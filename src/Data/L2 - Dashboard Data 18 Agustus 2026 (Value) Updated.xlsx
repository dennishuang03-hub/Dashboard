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430" windowHeight="6350" firstSheet="1" activeTab="2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DATA'!$C$8:$AW$1684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<sst xmlns="http://schemas.openxmlformats.org/spreadsheetml/2006/main" count="25118" uniqueCount="1763">
  <si>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</si>
  <si>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</si>
  <si>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</si>
  <si>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</si>
  <si>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</si>
  <si>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</si>
  <si>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服务类型 Jenis Layanan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</si>
  <si>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</si>
  <si>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</si>
  <si>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</si>
  <si>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</si>
  <si>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</si>
  <si>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</si>
  <si>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</si>
  <si>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</si>
  <si>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</si>
  <si>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</si>
  <si>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</si>
  <si>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</si>
  <si>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</si>
  <si>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</si>
  <si>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</si>
  <si>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</si>
  <si>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</si>
  <si>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</si>
  <si>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</si>
  <si>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</si>
  <si>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</si>
  <si>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</si>
  <si>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</si>
  <si>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</si>
  <si>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</si>
  <si>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</si>
  <si>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</si>
  <si>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</si>
  <si>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-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</si>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</sst>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0" xfId="0" applyNumberFormat="1" applyBorder="1">
      <alignment vertical="center"/>
    </xf>
    <xf numFmtId="0" fontId="4" fillId="3" borderId="15" xfId="0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>
      <alignment vertical="center"/>
    </xf>
    <xf numFmtId="10" fontId="4" fillId="3" borderId="15" xfId="0" applyNumberFormat="1" applyFont="1" applyFill="1" applyBorder="1">
      <alignment vertical="center"/>
    </xf>
    <xf numFmtId="10" fontId="0" fillId="0" borderId="14" xfId="0" applyNumberFormat="1" applyBorder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4" fillId="3" borderId="17" xfId="0" applyNumberFormat="1" applyFont="1" applyFill="1" applyBorder="1">
      <alignment vertical="center"/>
    </xf>
    <xf numFmtId="10" fontId="0" fillId="0" borderId="18" xfId="0" applyNumberFormat="1" applyBorder="1">
      <alignment vertical="center"/>
    </xf>
    <xf numFmtId="10" fontId="0" fillId="0" borderId="18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10" fontId="5" fillId="4" borderId="28" xfId="3" applyNumberFormat="1" applyFont="1" applyFill="1" applyBorder="1" applyAlignment="1">
      <alignment horizontal="center"/>
    </xf>
    <xf numFmtId="10" fontId="5" fillId="0" borderId="28" xfId="3" applyNumberFormat="1" applyFont="1" applyFill="1" applyBorder="1" applyAlignment="1">
      <alignment horizontal="center"/>
    </xf>
    <xf numFmtId="181" fontId="5" fillId="4" borderId="28" xfId="0" applyNumberFormat="1" applyFont="1" applyFill="1" applyBorder="1" applyAlignment="1">
      <alignment horizontal="center" vertical="center"/>
    </xf>
    <xf numFmtId="10" fontId="5" fillId="0" borderId="28" xfId="3" applyNumberFormat="1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10" fontId="2" fillId="5" borderId="34" xfId="3" applyNumberFormat="1" applyFont="1" applyFill="1" applyBorder="1" applyAlignment="1">
      <alignment horizontal="center" vertical="center" wrapText="1"/>
    </xf>
    <xf numFmtId="10" fontId="6" fillId="5" borderId="34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" fillId="2" borderId="23" xfId="50" applyFont="1" applyFill="1" applyBorder="1" applyAlignment="1">
      <alignment horizontal="center" vertical="center" wrapText="1"/>
    </xf>
    <xf numFmtId="0" fontId="7" fillId="2" borderId="24" xfId="50" applyFont="1" applyFill="1" applyBorder="1" applyAlignment="1">
      <alignment horizontal="center" vertical="center" wrapText="1"/>
    </xf>
    <xf numFmtId="0" fontId="7" fillId="2" borderId="42" xfId="5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58" fontId="2" fillId="2" borderId="44" xfId="0" applyNumberFormat="1" applyFont="1" applyFill="1" applyBorder="1" applyAlignment="1">
      <alignment horizontal="center" vertical="center" wrapText="1"/>
    </xf>
    <xf numFmtId="10" fontId="5" fillId="4" borderId="28" xfId="0" applyNumberFormat="1" applyFont="1" applyFill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181" fontId="5" fillId="0" borderId="28" xfId="0" applyNumberFormat="1" applyFont="1" applyBorder="1" applyAlignment="1">
      <alignment horizontal="center" vertical="center"/>
    </xf>
    <xf numFmtId="10" fontId="2" fillId="2" borderId="33" xfId="3" applyNumberFormat="1" applyFont="1" applyFill="1" applyBorder="1" applyAlignment="1">
      <alignment horizontal="center" vertical="center" wrapText="1"/>
    </xf>
    <xf numFmtId="10" fontId="2" fillId="2" borderId="45" xfId="3" applyNumberFormat="1" applyFont="1" applyFill="1" applyBorder="1" applyAlignment="1">
      <alignment horizontal="center" vertical="center" wrapText="1"/>
    </xf>
    <xf numFmtId="10" fontId="2" fillId="5" borderId="46" xfId="3" applyNumberFormat="1" applyFont="1" applyFill="1" applyBorder="1" applyAlignment="1">
      <alignment horizontal="center" vertical="center" wrapText="1"/>
    </xf>
    <xf numFmtId="10" fontId="2" fillId="5" borderId="47" xfId="3" applyNumberFormat="1" applyFont="1" applyFill="1" applyBorder="1" applyAlignment="1">
      <alignment horizontal="center" vertical="center" wrapText="1"/>
    </xf>
    <xf numFmtId="10" fontId="2" fillId="2" borderId="34" xfId="3" applyNumberFormat="1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80" fontId="2" fillId="2" borderId="51" xfId="0" applyNumberFormat="1" applyFont="1" applyFill="1" applyBorder="1" applyAlignment="1">
      <alignment horizontal="center" vertical="center" wrapText="1"/>
    </xf>
    <xf numFmtId="58" fontId="2" fillId="2" borderId="51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0" fontId="5" fillId="4" borderId="28" xfId="3" applyNumberFormat="1" applyFont="1" applyFill="1" applyBorder="1" applyAlignment="1">
      <alignment horizontal="center" vertical="center"/>
    </xf>
    <xf numFmtId="10" fontId="8" fillId="0" borderId="28" xfId="0" applyNumberFormat="1" applyFont="1" applyBorder="1" applyAlignment="1">
      <alignment horizontal="center" vertical="center"/>
    </xf>
    <xf numFmtId="10" fontId="2" fillId="2" borderId="53" xfId="3" applyNumberFormat="1" applyFont="1" applyFill="1" applyBorder="1" applyAlignment="1">
      <alignment horizontal="center" vertical="center" wrapText="1"/>
    </xf>
    <xf numFmtId="10" fontId="2" fillId="5" borderId="54" xfId="3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1" fillId="3" borderId="56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7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9" borderId="69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70" xfId="3" applyNumberFormat="1" applyFont="1" applyFill="1" applyBorder="1" applyAlignment="1">
      <alignment horizontal="center"/>
    </xf>
    <xf numFmtId="181" fontId="4" fillId="0" borderId="70" xfId="0" applyNumberFormat="1" applyFont="1" applyBorder="1" applyAlignment="1">
      <alignment horizontal="center" vertical="center"/>
    </xf>
    <xf numFmtId="181" fontId="4" fillId="0" borderId="71" xfId="0" applyNumberFormat="1" applyFont="1" applyBorder="1" applyAlignment="1">
      <alignment horizontal="center" vertical="center"/>
    </xf>
    <xf numFmtId="10" fontId="5" fillId="10" borderId="0" xfId="3" applyNumberFormat="1" applyFont="1" applyFill="1" applyBorder="1" applyAlignment="1">
      <alignment horizontal="center" vertical="center"/>
    </xf>
    <xf numFmtId="181" fontId="4" fillId="0" borderId="72" xfId="0" applyNumberFormat="1" applyFont="1" applyBorder="1" applyAlignment="1">
      <alignment horizontal="center" vertical="center"/>
    </xf>
    <xf numFmtId="10" fontId="4" fillId="0" borderId="70" xfId="3" applyNumberFormat="1" applyFont="1" applyFill="1" applyBorder="1" applyAlignment="1">
      <alignment horizontal="center"/>
    </xf>
    <xf numFmtId="10" fontId="4" fillId="0" borderId="71" xfId="3" applyNumberFormat="1" applyFont="1" applyFill="1" applyBorder="1" applyAlignment="1">
      <alignment horizontal="center"/>
    </xf>
    <xf numFmtId="181" fontId="5" fillId="10" borderId="0" xfId="0" applyNumberFormat="1" applyFont="1" applyFill="1" applyAlignment="1">
      <alignment horizontal="center" vertical="center"/>
    </xf>
    <xf numFmtId="10" fontId="4" fillId="0" borderId="72" xfId="3" applyNumberFormat="1" applyFont="1" applyBorder="1" applyAlignment="1">
      <alignment horizontal="center"/>
    </xf>
    <xf numFmtId="10" fontId="4" fillId="0" borderId="70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9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70" xfId="3" applyNumberFormat="1" applyFont="1" applyFill="1" applyBorder="1" applyAlignment="1">
      <alignment horizontal="center"/>
    </xf>
    <xf numFmtId="181" fontId="4" fillId="6" borderId="70" xfId="0" applyNumberFormat="1" applyFont="1" applyFill="1" applyBorder="1" applyAlignment="1">
      <alignment horizontal="center" vertical="center"/>
    </xf>
    <xf numFmtId="181" fontId="4" fillId="6" borderId="71" xfId="0" applyNumberFormat="1" applyFont="1" applyFill="1" applyBorder="1" applyAlignment="1">
      <alignment horizontal="center" vertical="center"/>
    </xf>
    <xf numFmtId="181" fontId="4" fillId="6" borderId="72" xfId="0" applyNumberFormat="1" applyFont="1" applyFill="1" applyBorder="1" applyAlignment="1">
      <alignment horizontal="center" vertical="center"/>
    </xf>
    <xf numFmtId="10" fontId="5" fillId="6" borderId="0" xfId="3" applyNumberFormat="1" applyFont="1" applyFill="1" applyBorder="1" applyAlignment="1">
      <alignment horizontal="center" vertical="center"/>
    </xf>
    <xf numFmtId="181" fontId="4" fillId="6" borderId="73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81" fontId="4" fillId="10" borderId="70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4" fillId="6" borderId="72" xfId="3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0" fontId="9" fillId="6" borderId="72" xfId="3" applyNumberFormat="1" applyFont="1" applyFill="1" applyBorder="1" applyAlignment="1">
      <alignment horizontal="center"/>
    </xf>
    <xf numFmtId="181" fontId="9" fillId="6" borderId="70" xfId="0" applyNumberFormat="1" applyFont="1" applyFill="1" applyBorder="1" applyAlignment="1">
      <alignment horizontal="center" vertical="center"/>
    </xf>
    <xf numFmtId="10" fontId="9" fillId="6" borderId="70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3" applyNumberFormat="1" applyFont="1" applyFill="1" applyBorder="1" applyAlignment="1">
      <alignment horizontal="center"/>
    </xf>
    <xf numFmtId="181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4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75" xfId="0" applyFont="1" applyBorder="1" applyAlignment="1">
      <alignment horizontal="left" vertical="center"/>
    </xf>
    <xf numFmtId="0" fontId="14" fillId="0" borderId="76" xfId="0" applyFont="1" applyBorder="1" applyAlignment="1">
      <alignment horizontal="left" vertical="center"/>
    </xf>
    <xf numFmtId="0" fontId="14" fillId="0" borderId="75" xfId="0" applyFont="1" applyBorder="1" applyAlignment="1">
      <alignment horizontal="left"/>
    </xf>
    <xf numFmtId="0" fontId="14" fillId="0" borderId="76" xfId="0" applyFont="1" applyBorder="1" applyAlignment="1">
      <alignment horizontal="left"/>
    </xf>
    <xf numFmtId="0" fontId="14" fillId="0" borderId="75" xfId="0" applyFont="1" applyBorder="1" applyAlignment="1"/>
    <xf numFmtId="0" fontId="14" fillId="0" borderId="76" xfId="0" applyFont="1" applyBorder="1" applyAlignment="1"/>
    <xf numFmtId="0" fontId="14" fillId="12" borderId="75" xfId="0" applyFont="1" applyFill="1" applyBorder="1" applyAlignment="1">
      <alignment horizontal="left"/>
    </xf>
    <xf numFmtId="0" fontId="14" fillId="12" borderId="76" xfId="0" applyFont="1" applyFill="1" applyBorder="1" applyAlignment="1">
      <alignment horizontal="left"/>
    </xf>
    <xf numFmtId="0" fontId="5" fillId="12" borderId="75" xfId="0" applyFont="1" applyFill="1" applyBorder="1">
      <alignment vertical="center"/>
    </xf>
    <xf numFmtId="0" fontId="5" fillId="12" borderId="76" xfId="0" applyFont="1" applyFill="1" applyBorder="1">
      <alignment vertical="center"/>
    </xf>
    <xf numFmtId="0" fontId="14" fillId="12" borderId="75" xfId="0" applyFont="1" applyFill="1" applyBorder="1" applyAlignment="1">
      <alignment horizontal="left" vertical="center"/>
    </xf>
    <xf numFmtId="0" fontId="14" fillId="12" borderId="76" xfId="0" applyFont="1" applyFill="1" applyBorder="1" applyAlignment="1">
      <alignment horizontal="left" vertical="center"/>
    </xf>
    <xf numFmtId="181" fontId="4" fillId="8" borderId="7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81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49" applyFont="1"/>
    <xf numFmtId="0" fontId="8" fillId="0" borderId="0" xfId="0" applyFont="1" applyAlignment="1"/>
    <xf numFmtId="0" fontId="1" fillId="2" borderId="77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10" fontId="1" fillId="2" borderId="79" xfId="3" applyNumberFormat="1" applyFont="1" applyFill="1" applyBorder="1" applyAlignment="1">
      <alignment horizontal="center" vertical="center" wrapText="1"/>
    </xf>
    <xf numFmtId="10" fontId="1" fillId="13" borderId="79" xfId="3" applyNumberFormat="1" applyFont="1" applyFill="1" applyBorder="1" applyAlignment="1">
      <alignment horizontal="center" vertical="center" wrapText="1"/>
    </xf>
    <xf numFmtId="181" fontId="19" fillId="13" borderId="70" xfId="0" applyNumberFormat="1" applyFont="1" applyFill="1" applyBorder="1" applyAlignment="1">
      <alignment horizontal="center" vertical="center"/>
    </xf>
    <xf numFmtId="10" fontId="19" fillId="13" borderId="79" xfId="3" applyNumberFormat="1" applyFont="1" applyFill="1" applyBorder="1" applyAlignment="1">
      <alignment horizontal="center" vertical="center" wrapText="1"/>
    </xf>
    <xf numFmtId="10" fontId="6" fillId="13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3" applyNumberFormat="1" applyFont="1" applyFill="1" applyBorder="1" applyAlignment="1">
      <alignment horizontal="center"/>
    </xf>
    <xf numFmtId="181" fontId="9" fillId="5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0" fillId="0" borderId="14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88"/>
  <sheetViews>
    <sheetView topLeftCell="E1660" workbookViewId="0">
      <selection activeCell="F1690" sqref="F1690"/>
    </sheetView>
  </sheetViews>
  <sheetFormatPr defaultColWidth="9.78181818181818" defaultRowHeight="14"/>
  <cols>
    <col min="1" max="2" width="1.89090909090909" style="88" customWidth="1"/>
    <col min="3" max="4" width="23.6636363636364" style="89" customWidth="1"/>
    <col min="5" max="6" width="29.7818181818182" style="89" customWidth="1"/>
    <col min="7" max="7" width="30.3363636363636" style="89" customWidth="1"/>
    <col min="8" max="8" width="31.8909090909091" style="89" customWidth="1"/>
    <col min="9" max="9" width="30.7818181818182" style="88" customWidth="1"/>
    <col min="10" max="10" width="13.2181818181818" style="88" customWidth="1"/>
    <col min="11" max="11" width="18" style="88" customWidth="1"/>
    <col min="12" max="14" width="15.4454545454545" style="88" customWidth="1"/>
    <col min="15" max="15" width="13.2181818181818" style="88" customWidth="1"/>
    <col min="16" max="16" width="18.3363636363636" style="88" customWidth="1"/>
    <col min="17" max="17" width="17.3363636363636" style="88" customWidth="1"/>
    <col min="18" max="18" width="21.3363636363636" style="88" customWidth="1"/>
    <col min="19" max="19" width="16.1090909090909" style="88" customWidth="1"/>
    <col min="20" max="20" width="13.2181818181818" style="88" customWidth="1"/>
    <col min="21" max="21" width="17.5545454545455" style="88" customWidth="1"/>
    <col min="22" max="22" width="19.1090909090909" style="88" customWidth="1"/>
    <col min="23" max="24" width="16.1090909090909" style="88" customWidth="1"/>
    <col min="25" max="25" width="13.2181818181818" style="88" customWidth="1"/>
    <col min="26" max="26" width="15.3363636363636" style="88" customWidth="1"/>
    <col min="27" max="27" width="14.7818181818182" style="88" customWidth="1"/>
    <col min="28" max="28" width="14.3363636363636" style="88" customWidth="1"/>
    <col min="29" max="29" width="15" style="88" customWidth="1"/>
    <col min="30" max="30" width="13.2181818181818" style="88" customWidth="1"/>
    <col min="31" max="31" width="13.6636363636364" style="88" customWidth="1"/>
    <col min="32" max="32" width="15.1090909090909" style="88" customWidth="1"/>
    <col min="33" max="33" width="15" style="88" customWidth="1"/>
    <col min="34" max="34" width="14.4454545454545" style="88" customWidth="1"/>
    <col min="35" max="35" width="13.2181818181818" style="88" customWidth="1"/>
    <col min="36" max="36" width="16.5545454545455" style="88" customWidth="1"/>
    <col min="37" max="37" width="15.4454545454545" style="88" customWidth="1"/>
    <col min="38" max="38" width="14.3363636363636" style="88" customWidth="1"/>
    <col min="39" max="39" width="14.4454545454545" style="88" customWidth="1"/>
    <col min="40" max="40" width="13" style="88" customWidth="1"/>
    <col min="41" max="41" width="14.6636363636364" style="88" customWidth="1"/>
    <col min="42" max="44" width="16.1090909090909" style="88" customWidth="1"/>
    <col min="45" max="45" width="13.2181818181818" style="88" customWidth="1"/>
    <col min="46" max="46" width="14.2181818181818" style="88" customWidth="1"/>
    <col min="47" max="47" width="15.1090909090909" style="88" customWidth="1"/>
    <col min="48" max="48" width="15.7818181818182" style="88" customWidth="1"/>
    <col min="49" max="49" width="16.1090909090909" style="88" customWidth="1"/>
    <col min="50" max="50" width="10" style="88" customWidth="1"/>
    <col min="51" max="51" width="2.33636363636364" style="90" customWidth="1"/>
    <col min="52" max="53" width="13.7818181818182" style="88" customWidth="1"/>
    <col min="54" max="54" width="15" style="88" customWidth="1"/>
    <col min="55" max="16384" width="9.78181818181818" style="88"/>
  </cols>
  <sheetData>
    <row r="1" ht="12" customHeight="1" spans="1:60">
      <c r="A1" s="91"/>
      <c r="B1" s="92" t="str">
        <f>"网管-雅加达网点质量达成 "&amp;TEXT(BA2,"YYYY-MM-DD")&amp;"
"&amp;"NM - Pencapaian Kualitas DropPoint Jakarta "&amp;TEXT(BA2,"YYYY-MM-DD")</f>
        <v>网管-雅加达网点质量达成 2026-08-18
NM - Pencapaian Kualitas DropPoint Jakarta 2026-08-18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BA1" s="88" t="s">
        <v>0</v>
      </c>
    </row>
    <row r="2" ht="61.5" customHeight="1" spans="1:60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3"/>
      <c r="BA2" s="94">
        <f>'06.30, 07.30, &amp; 12.00'!F4</f>
        <v>46252</v>
      </c>
      <c r="BB2" s="94">
        <f>EOMONTH(BA2,-1)+1</f>
        <v>46235</v>
      </c>
      <c r="BC2" s="88" t="s">
        <v>1</v>
      </c>
      <c r="BF2" s="88" t="e">
        <f>COUNTIFS('[1]Raw Abnsensi (2)'!P:P,I:I,'[1]Raw Abnsensi (2)'!Q:Q,1,'[1]Raw Abnsensi (2)'!O:O,"&lt;="&amp;#REF!)</f>
        <v>#VALUE!</v>
      </c>
      <c r="BG2" s="88" t="e">
        <f>COUNTIFS('[1]Raw Abnsensi (2)'!P:P,I:I,'[1]Raw Abnsensi (2)'!Q:Q,1)</f>
        <v>#VALUE!</v>
      </c>
      <c r="BH2" s="88" t="e">
        <f>BF2/BG2</f>
        <v>#VALUE!</v>
      </c>
    </row>
    <row r="3" ht="36" customHeight="1" spans="1:60">
      <c r="A3" s="91"/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5"/>
      <c r="AY3" s="93"/>
      <c r="BA3" s="94">
        <f>BA2-2</f>
        <v>46250</v>
      </c>
      <c r="BB3" s="94">
        <f>EOMONTH(BA3,-1)+1</f>
        <v>46235</v>
      </c>
      <c r="BC3" s="88" t="s">
        <v>2</v>
      </c>
    </row>
    <row r="4" ht="249" hidden="1" customHeight="1" spans="1:60">
      <c r="A4" s="91"/>
      <c r="B4" s="95"/>
      <c r="C4" s="97" t="s">
        <v>3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  <c r="T4" s="98"/>
      <c r="U4" s="98" t="s">
        <v>4</v>
      </c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95"/>
      <c r="AY4" s="93"/>
    </row>
    <row r="5" ht="9" customHeight="1" spans="1:60">
      <c r="A5" s="91"/>
      <c r="B5" s="95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5"/>
      <c r="AY5" s="93"/>
    </row>
    <row r="6" ht="57" customHeight="1" spans="1:60">
      <c r="A6" s="91"/>
      <c r="B6" s="95"/>
      <c r="C6" s="100" t="s">
        <v>5</v>
      </c>
      <c r="D6" s="11" t="s">
        <v>6</v>
      </c>
      <c r="E6" s="8" t="s">
        <v>7</v>
      </c>
      <c r="F6" s="100" t="s">
        <v>8</v>
      </c>
      <c r="G6" s="101" t="s">
        <v>9</v>
      </c>
      <c r="H6" s="102"/>
      <c r="I6" s="103" t="s">
        <v>7</v>
      </c>
      <c r="J6" s="104" t="s">
        <v>10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5"/>
      <c r="V6" s="105"/>
      <c r="W6" s="104"/>
      <c r="X6" s="106"/>
      <c r="Y6" s="107" t="s">
        <v>11</v>
      </c>
      <c r="Z6" s="107"/>
      <c r="AA6" s="107"/>
      <c r="AB6" s="107"/>
      <c r="AC6" s="108"/>
      <c r="AD6" s="109" t="s">
        <v>12</v>
      </c>
      <c r="AE6" s="104"/>
      <c r="AF6" s="104"/>
      <c r="AG6" s="104"/>
      <c r="AH6" s="104"/>
      <c r="AI6" s="104"/>
      <c r="AJ6" s="104"/>
      <c r="AK6" s="104"/>
      <c r="AL6" s="104"/>
      <c r="AM6" s="106"/>
      <c r="AN6" s="110"/>
      <c r="AO6" s="110"/>
      <c r="AP6" s="110"/>
      <c r="AQ6" s="110"/>
      <c r="AR6" s="110"/>
      <c r="AS6" s="110"/>
      <c r="AT6" s="110"/>
      <c r="AU6" s="110"/>
      <c r="AV6" s="110"/>
      <c r="AW6" s="111"/>
      <c r="AX6" s="95"/>
      <c r="AY6" s="93"/>
    </row>
    <row r="7" ht="54.45" customHeight="1" spans="1:60">
      <c r="A7" s="91"/>
      <c r="B7" s="95"/>
      <c r="C7" s="9"/>
      <c r="D7" s="112"/>
      <c r="E7" s="8"/>
      <c r="F7" s="9"/>
      <c r="G7" s="10"/>
      <c r="H7" s="104"/>
      <c r="I7" s="113"/>
      <c r="J7" s="114" t="s">
        <v>13</v>
      </c>
      <c r="K7" s="110"/>
      <c r="L7" s="110"/>
      <c r="M7" s="110"/>
      <c r="N7" s="111"/>
      <c r="O7" s="114" t="s">
        <v>14</v>
      </c>
      <c r="P7" s="110"/>
      <c r="Q7" s="110"/>
      <c r="R7" s="110"/>
      <c r="S7" s="111"/>
      <c r="T7" s="115" t="s">
        <v>15</v>
      </c>
      <c r="U7" s="116"/>
      <c r="V7" s="116"/>
      <c r="W7" s="116"/>
      <c r="X7" s="117"/>
      <c r="Y7" s="118" t="s">
        <v>16</v>
      </c>
      <c r="Z7" s="118"/>
      <c r="AA7" s="118"/>
      <c r="AB7" s="118"/>
      <c r="AC7" s="118"/>
      <c r="AD7" s="119" t="s">
        <v>17</v>
      </c>
      <c r="AE7" s="119"/>
      <c r="AF7" s="119"/>
      <c r="AG7" s="119"/>
      <c r="AH7" s="119"/>
      <c r="AI7" s="119" t="s">
        <v>18</v>
      </c>
      <c r="AJ7" s="119"/>
      <c r="AK7" s="119"/>
      <c r="AL7" s="119"/>
      <c r="AM7" s="119"/>
      <c r="AN7" s="110" t="s">
        <v>19</v>
      </c>
      <c r="AO7" s="110"/>
      <c r="AP7" s="110"/>
      <c r="AQ7" s="110"/>
      <c r="AR7" s="111"/>
      <c r="AS7" s="114" t="s">
        <v>20</v>
      </c>
      <c r="AT7" s="110"/>
      <c r="AU7" s="110"/>
      <c r="AV7" s="110"/>
      <c r="AW7" s="111"/>
      <c r="AX7" s="95"/>
      <c r="AY7" s="93"/>
      <c r="BA7" s="120">
        <f>BA2-1</f>
        <v>46251</v>
      </c>
    </row>
    <row r="8" ht="56.25" customHeight="1" spans="1:60">
      <c r="A8" s="91"/>
      <c r="B8" s="95"/>
      <c r="C8" s="121"/>
      <c r="D8" s="112"/>
      <c r="E8" s="11"/>
      <c r="F8" s="121"/>
      <c r="G8" s="122"/>
      <c r="H8" s="123"/>
      <c r="I8" s="124"/>
      <c r="J8" s="100" t="s">
        <v>21</v>
      </c>
      <c r="K8" s="125">
        <f>$BA$2</f>
        <v>46252</v>
      </c>
      <c r="L8" s="126">
        <f>BA7</f>
        <v>46251</v>
      </c>
      <c r="M8" s="126">
        <f>BA3</f>
        <v>46250</v>
      </c>
      <c r="N8" s="100" t="s">
        <v>22</v>
      </c>
      <c r="O8" s="100" t="s">
        <v>21</v>
      </c>
      <c r="P8" s="125">
        <f>$BA$2</f>
        <v>46252</v>
      </c>
      <c r="Q8" s="126">
        <f>BA7</f>
        <v>46251</v>
      </c>
      <c r="R8" s="126">
        <f>BA3</f>
        <v>46250</v>
      </c>
      <c r="S8" s="100" t="s">
        <v>22</v>
      </c>
      <c r="T8" s="100" t="s">
        <v>21</v>
      </c>
      <c r="U8" s="125">
        <f>$BA$2</f>
        <v>46252</v>
      </c>
      <c r="V8" s="126">
        <f>BA7</f>
        <v>46251</v>
      </c>
      <c r="W8" s="126">
        <f>BA3</f>
        <v>46250</v>
      </c>
      <c r="X8" s="100" t="s">
        <v>22</v>
      </c>
      <c r="Y8" s="100" t="s">
        <v>21</v>
      </c>
      <c r="Z8" s="125">
        <f>$BA$2</f>
        <v>46252</v>
      </c>
      <c r="AA8" s="126">
        <f>BA7</f>
        <v>46251</v>
      </c>
      <c r="AB8" s="126">
        <f>BA3</f>
        <v>46250</v>
      </c>
      <c r="AC8" s="100" t="s">
        <v>22</v>
      </c>
      <c r="AD8" s="100" t="s">
        <v>21</v>
      </c>
      <c r="AE8" s="125">
        <f>$BA$2</f>
        <v>46252</v>
      </c>
      <c r="AF8" s="126">
        <f>BA7</f>
        <v>46251</v>
      </c>
      <c r="AG8" s="126">
        <f>BA3</f>
        <v>46250</v>
      </c>
      <c r="AH8" s="100" t="s">
        <v>22</v>
      </c>
      <c r="AI8" s="100" t="s">
        <v>21</v>
      </c>
      <c r="AJ8" s="125">
        <f>$BA$2</f>
        <v>46252</v>
      </c>
      <c r="AK8" s="126">
        <f>BA7</f>
        <v>46251</v>
      </c>
      <c r="AL8" s="126">
        <f>BA3</f>
        <v>46250</v>
      </c>
      <c r="AM8" s="100" t="s">
        <v>22</v>
      </c>
      <c r="AN8" s="127" t="s">
        <v>21</v>
      </c>
      <c r="AO8" s="125">
        <f>$BA$2</f>
        <v>46252</v>
      </c>
      <c r="AP8" s="126">
        <f>BA7</f>
        <v>46251</v>
      </c>
      <c r="AQ8" s="126">
        <f>BA3</f>
        <v>46250</v>
      </c>
      <c r="AR8" s="100" t="s">
        <v>22</v>
      </c>
      <c r="AS8" s="100" t="s">
        <v>23</v>
      </c>
      <c r="AT8" s="125">
        <f>$BA$2</f>
        <v>46252</v>
      </c>
      <c r="AU8" s="126">
        <f>BA7</f>
        <v>46251</v>
      </c>
      <c r="AV8" s="126">
        <f>BA3</f>
        <v>46250</v>
      </c>
      <c r="AW8" s="100" t="s">
        <v>22</v>
      </c>
      <c r="AX8" s="95"/>
      <c r="AY8" s="93"/>
    </row>
    <row r="9" ht="14.5" spans="1:60">
      <c r="A9" s="91"/>
      <c r="B9" s="95"/>
      <c r="C9" s="128" t="s">
        <v>24</v>
      </c>
      <c r="D9" s="129" t="s">
        <v>25</v>
      </c>
      <c r="E9" s="130" t="s">
        <v>26</v>
      </c>
      <c r="F9" s="131" t="s">
        <v>27</v>
      </c>
      <c r="G9" s="131" t="s">
        <v>27</v>
      </c>
      <c r="H9" s="131" t="s">
        <v>27</v>
      </c>
      <c r="I9" s="131" t="s">
        <v>27</v>
      </c>
      <c r="J9" s="132">
        <v>0.9</v>
      </c>
      <c r="K9" s="133">
        <v>0.88135593220339</v>
      </c>
      <c r="L9" s="133">
        <v>0.825</v>
      </c>
      <c r="M9" s="134">
        <v>0.862068965517241</v>
      </c>
      <c r="N9" s="134">
        <v>0.874045801526718</v>
      </c>
      <c r="O9" s="135">
        <v>0.9</v>
      </c>
      <c r="P9" s="136">
        <v>0.988831118813788</v>
      </c>
      <c r="Q9" s="133">
        <v>0.975609756097561</v>
      </c>
      <c r="R9" s="133">
        <v>0.991541874653356</v>
      </c>
      <c r="S9" s="133">
        <v>0.9300492528312</v>
      </c>
      <c r="T9" s="135">
        <v>0.9</v>
      </c>
      <c r="U9" s="133">
        <v>0.716348931253611</v>
      </c>
      <c r="V9" s="133">
        <v>0.570029563932003</v>
      </c>
      <c r="W9" s="133">
        <v>0.698835274542429</v>
      </c>
      <c r="X9" s="133">
        <v>0.648805535080078</v>
      </c>
      <c r="Y9" s="135">
        <v>0.92</v>
      </c>
      <c r="Z9" s="135">
        <v>0.906832298136646</v>
      </c>
      <c r="AA9" s="135">
        <v>0.866433021806854</v>
      </c>
      <c r="AB9" s="135">
        <v>0.909066009312517</v>
      </c>
      <c r="AC9" s="135">
        <v>0.927692437069014</v>
      </c>
      <c r="AD9" s="135">
        <v>0.92</v>
      </c>
      <c r="AE9" s="133">
        <v>0.99582506076856</v>
      </c>
      <c r="AF9" s="133">
        <v>0.995429012005728</v>
      </c>
      <c r="AG9" s="133">
        <v>0.996775303121507</v>
      </c>
      <c r="AH9" s="133">
        <v>0.983301298372295</v>
      </c>
      <c r="AI9" s="135">
        <v>0.92</v>
      </c>
      <c r="AJ9" s="133">
        <v>0.928034371643394</v>
      </c>
      <c r="AK9" s="133">
        <v>0.870191705300088</v>
      </c>
      <c r="AL9" s="133">
        <v>0.933830296337199</v>
      </c>
      <c r="AM9" s="133">
        <v>0.944907681584009</v>
      </c>
      <c r="AN9" s="132">
        <v>0.99</v>
      </c>
      <c r="AO9" s="137">
        <v>1</v>
      </c>
      <c r="AP9" s="137">
        <v>1</v>
      </c>
      <c r="AQ9" s="137">
        <v>1</v>
      </c>
      <c r="AR9" s="138">
        <v>1</v>
      </c>
      <c r="AS9" s="139">
        <v>0.0872182100128262</v>
      </c>
      <c r="AT9" s="140">
        <v>0.125</v>
      </c>
      <c r="AU9" s="141">
        <v>0.0256410256410256</v>
      </c>
      <c r="AV9" s="141">
        <v>0.133333333333333</v>
      </c>
      <c r="AW9" s="141">
        <v>0.0658105939004815</v>
      </c>
      <c r="AX9" s="95"/>
      <c r="AY9" s="93"/>
    </row>
    <row r="10" ht="14.5" spans="1:60">
      <c r="A10" s="91"/>
      <c r="B10" s="95"/>
      <c r="C10" s="128" t="s">
        <v>24</v>
      </c>
      <c r="D10" s="129" t="s">
        <v>25</v>
      </c>
      <c r="E10" s="130" t="s">
        <v>26</v>
      </c>
      <c r="F10" s="131" t="s">
        <v>28</v>
      </c>
      <c r="G10" s="131" t="s">
        <v>28</v>
      </c>
      <c r="H10" s="131" t="s">
        <v>28</v>
      </c>
      <c r="I10" s="131" t="s">
        <v>28</v>
      </c>
      <c r="J10" s="132">
        <v>0.9</v>
      </c>
      <c r="K10" s="133">
        <v>0.865546218487395</v>
      </c>
      <c r="L10" s="133">
        <v>0.814814814814815</v>
      </c>
      <c r="M10" s="134">
        <v>0.838095238095238</v>
      </c>
      <c r="N10" s="133">
        <v>0.8264631043257</v>
      </c>
      <c r="O10" s="135">
        <v>0.9</v>
      </c>
      <c r="P10" s="133">
        <v>0.980078125</v>
      </c>
      <c r="Q10" s="133">
        <v>0.990493662441628</v>
      </c>
      <c r="R10" s="133">
        <v>0.988999611751003</v>
      </c>
      <c r="S10" s="133">
        <v>0.982867601532254</v>
      </c>
      <c r="T10" s="135">
        <v>0.9</v>
      </c>
      <c r="U10" s="133">
        <v>0.7994140625</v>
      </c>
      <c r="V10" s="133">
        <v>0.687625083388926</v>
      </c>
      <c r="W10" s="133">
        <v>0.751132392907985</v>
      </c>
      <c r="X10" s="133">
        <v>0.759091805977969</v>
      </c>
      <c r="Y10" s="135">
        <v>0.92</v>
      </c>
      <c r="Z10" s="135">
        <v>0.939886271324127</v>
      </c>
      <c r="AA10" s="135">
        <v>0.824175824175824</v>
      </c>
      <c r="AB10" s="135">
        <v>0.9272030651341</v>
      </c>
      <c r="AC10" s="135">
        <v>0.946624555028573</v>
      </c>
      <c r="AD10" s="135">
        <v>0.92</v>
      </c>
      <c r="AE10" s="133">
        <v>0.99167756509333</v>
      </c>
      <c r="AF10" s="133">
        <v>0.988760487573215</v>
      </c>
      <c r="AG10" s="133">
        <v>0.995639886960032</v>
      </c>
      <c r="AH10" s="133">
        <v>0.969987152433565</v>
      </c>
      <c r="AI10" s="135">
        <v>0.92</v>
      </c>
      <c r="AJ10" s="133">
        <v>0.949241924851681</v>
      </c>
      <c r="AK10" s="133">
        <v>0.835690968443961</v>
      </c>
      <c r="AL10" s="133">
        <v>0.9327325394271</v>
      </c>
      <c r="AM10" s="133">
        <v>0.955815002213387</v>
      </c>
      <c r="AN10" s="132">
        <v>0.99</v>
      </c>
      <c r="AO10" s="137">
        <v>1</v>
      </c>
      <c r="AP10" s="137">
        <v>1</v>
      </c>
      <c r="AQ10" s="137">
        <v>1</v>
      </c>
      <c r="AR10" s="138">
        <v>1</v>
      </c>
      <c r="AS10" s="139">
        <v>0.0872182100128262</v>
      </c>
      <c r="AT10" s="140">
        <v>0</v>
      </c>
      <c r="AU10" s="141">
        <v>0.104166666666667</v>
      </c>
      <c r="AV10" s="141">
        <v>0.0909090909090909</v>
      </c>
      <c r="AW10" s="141">
        <v>0.0734883720930233</v>
      </c>
      <c r="AX10" s="95"/>
      <c r="AY10" s="93"/>
    </row>
    <row r="11" ht="14.5" spans="1:60">
      <c r="A11" s="91"/>
      <c r="B11" s="95"/>
      <c r="C11" s="128" t="s">
        <v>24</v>
      </c>
      <c r="D11" s="129" t="s">
        <v>25</v>
      </c>
      <c r="E11" s="130" t="s">
        <v>26</v>
      </c>
      <c r="F11" s="131" t="s">
        <v>29</v>
      </c>
      <c r="G11" s="131" t="s">
        <v>29</v>
      </c>
      <c r="H11" s="131" t="s">
        <v>29</v>
      </c>
      <c r="I11" s="131" t="s">
        <v>29</v>
      </c>
      <c r="J11" s="132">
        <v>0.9</v>
      </c>
      <c r="K11" s="133">
        <v>0.896551724137931</v>
      </c>
      <c r="L11" s="133">
        <v>1</v>
      </c>
      <c r="M11" s="134">
        <v>0.888888888888889</v>
      </c>
      <c r="N11" s="133">
        <v>0.957642725598527</v>
      </c>
      <c r="O11" s="135">
        <v>0.9</v>
      </c>
      <c r="P11" s="133">
        <v>0.991420400381316</v>
      </c>
      <c r="Q11" s="133">
        <v>0.946727549467275</v>
      </c>
      <c r="R11" s="133">
        <v>0.978487161693269</v>
      </c>
      <c r="S11" s="133">
        <v>0.983595616130392</v>
      </c>
      <c r="T11" s="135">
        <v>0.9</v>
      </c>
      <c r="U11" s="133">
        <v>0.887511916110582</v>
      </c>
      <c r="V11" s="133">
        <v>0.875951293759513</v>
      </c>
      <c r="W11" s="133">
        <v>0.929215822345593</v>
      </c>
      <c r="X11" s="133">
        <v>0.895566952367571</v>
      </c>
      <c r="Y11" s="135">
        <v>0.92</v>
      </c>
      <c r="Z11" s="135">
        <v>0.974860335195531</v>
      </c>
      <c r="AA11" s="135">
        <v>0.91899852724595</v>
      </c>
      <c r="AB11" s="135">
        <v>0.946043165467626</v>
      </c>
      <c r="AC11" s="135">
        <v>0.962634408602151</v>
      </c>
      <c r="AD11" s="135">
        <v>0.92</v>
      </c>
      <c r="AE11" s="133">
        <v>0.999489535477284</v>
      </c>
      <c r="AF11" s="133">
        <v>0.933281209278082</v>
      </c>
      <c r="AG11" s="133">
        <v>0.99721103191819</v>
      </c>
      <c r="AH11" s="133">
        <v>0.87157623255628</v>
      </c>
      <c r="AI11" s="135">
        <v>0.92</v>
      </c>
      <c r="AJ11" s="133">
        <v>0.962317475270843</v>
      </c>
      <c r="AK11" s="133">
        <v>0.947342026078235</v>
      </c>
      <c r="AL11" s="133">
        <v>0.955604395604396</v>
      </c>
      <c r="AM11" s="133">
        <v>0.971810939989379</v>
      </c>
      <c r="AN11" s="132">
        <v>0.99</v>
      </c>
      <c r="AO11" s="137">
        <v>1</v>
      </c>
      <c r="AP11" s="137">
        <v>1</v>
      </c>
      <c r="AQ11" s="137">
        <v>1</v>
      </c>
      <c r="AR11" s="137">
        <v>1</v>
      </c>
      <c r="AS11" s="139">
        <v>0.0872182100128262</v>
      </c>
      <c r="AT11" s="141">
        <v>0.2</v>
      </c>
      <c r="AU11" s="141">
        <v>0</v>
      </c>
      <c r="AV11" s="141">
        <v>0.2</v>
      </c>
      <c r="AW11" s="141">
        <v>0.069364161849711</v>
      </c>
      <c r="AX11" s="95"/>
      <c r="AY11" s="93"/>
    </row>
    <row r="12" ht="14.5" spans="1:60">
      <c r="A12" s="91"/>
      <c r="B12" s="95"/>
      <c r="C12" s="128" t="s">
        <v>24</v>
      </c>
      <c r="D12" s="129" t="s">
        <v>25</v>
      </c>
      <c r="E12" s="130" t="s">
        <v>26</v>
      </c>
      <c r="F12" s="131" t="s">
        <v>30</v>
      </c>
      <c r="G12" s="131" t="s">
        <v>30</v>
      </c>
      <c r="H12" s="131" t="s">
        <v>30</v>
      </c>
      <c r="I12" s="131" t="s">
        <v>30</v>
      </c>
      <c r="J12" s="132">
        <v>0.9</v>
      </c>
      <c r="K12" s="133">
        <v>0.93859649122807</v>
      </c>
      <c r="L12" s="133">
        <v>0.89010989010989</v>
      </c>
      <c r="M12" s="134">
        <v>0.90625</v>
      </c>
      <c r="N12" s="133">
        <v>0.912127440904419</v>
      </c>
      <c r="O12" s="135">
        <v>0.9</v>
      </c>
      <c r="P12" s="133">
        <v>0.814157486740106</v>
      </c>
      <c r="Q12" s="133">
        <v>0.886675691355637</v>
      </c>
      <c r="R12" s="133">
        <v>0.905970149253731</v>
      </c>
      <c r="S12" s="133">
        <v>0.897539231849545</v>
      </c>
      <c r="T12" s="135">
        <v>0.9</v>
      </c>
      <c r="U12" s="133">
        <v>0.794573643410853</v>
      </c>
      <c r="V12" s="133">
        <v>0.682459872365113</v>
      </c>
      <c r="W12" s="133">
        <v>0.749118046132972</v>
      </c>
      <c r="X12" s="133">
        <v>0.769928015577402</v>
      </c>
      <c r="Y12" s="135">
        <v>0.92</v>
      </c>
      <c r="Z12" s="135">
        <v>0.942307692307692</v>
      </c>
      <c r="AA12" s="135">
        <v>0.901386748844376</v>
      </c>
      <c r="AB12" s="135">
        <v>0.912618928392589</v>
      </c>
      <c r="AC12" s="135">
        <v>0.966063848602759</v>
      </c>
      <c r="AD12" s="135">
        <v>0.92</v>
      </c>
      <c r="AE12" s="133">
        <v>0.925925925925926</v>
      </c>
      <c r="AF12" s="133">
        <v>0.367741935483871</v>
      </c>
      <c r="AG12" s="133">
        <v>0.601593625498008</v>
      </c>
      <c r="AH12" s="133">
        <v>0.84474123539232</v>
      </c>
      <c r="AI12" s="135">
        <v>0.92</v>
      </c>
      <c r="AJ12" s="133">
        <v>0.936407906044113</v>
      </c>
      <c r="AK12" s="133">
        <v>0.933183604716451</v>
      </c>
      <c r="AL12" s="133">
        <v>0.920809502859657</v>
      </c>
      <c r="AM12" s="133">
        <v>0.971142488429672</v>
      </c>
      <c r="AN12" s="132">
        <v>0.99</v>
      </c>
      <c r="AO12" s="137">
        <v>1</v>
      </c>
      <c r="AP12" s="137">
        <v>1</v>
      </c>
      <c r="AQ12" s="137">
        <v>1</v>
      </c>
      <c r="AR12" s="137">
        <v>1</v>
      </c>
      <c r="AS12" s="139">
        <v>0.0872182100128262</v>
      </c>
      <c r="AT12" s="141">
        <v>0.176470588235294</v>
      </c>
      <c r="AU12" s="141">
        <v>0.117647058823529</v>
      </c>
      <c r="AV12" s="141">
        <v>0.0588235294117647</v>
      </c>
      <c r="AW12" s="141">
        <v>0.0769230769230769</v>
      </c>
      <c r="AX12" s="95"/>
      <c r="AY12" s="93"/>
    </row>
    <row r="13" ht="14.5" spans="1:60">
      <c r="A13" s="91"/>
      <c r="B13" s="95"/>
      <c r="C13" s="128" t="s">
        <v>24</v>
      </c>
      <c r="D13" s="129" t="s">
        <v>25</v>
      </c>
      <c r="E13" s="130" t="s">
        <v>26</v>
      </c>
      <c r="F13" s="131" t="s">
        <v>31</v>
      </c>
      <c r="G13" s="131" t="s">
        <v>31</v>
      </c>
      <c r="H13" s="131" t="s">
        <v>31</v>
      </c>
      <c r="I13" s="131" t="s">
        <v>31</v>
      </c>
      <c r="J13" s="132">
        <v>0.9</v>
      </c>
      <c r="K13" s="133">
        <v>0.857142857142857</v>
      </c>
      <c r="L13" s="133">
        <v>0.463414634146341</v>
      </c>
      <c r="M13" s="134">
        <v>0.770833333333333</v>
      </c>
      <c r="N13" s="133">
        <v>0.823399558498896</v>
      </c>
      <c r="O13" s="135">
        <v>0.9</v>
      </c>
      <c r="P13" s="133">
        <v>0.854301461778097</v>
      </c>
      <c r="Q13" s="133">
        <v>0.750795816280127</v>
      </c>
      <c r="R13" s="133">
        <v>0.882072662298988</v>
      </c>
      <c r="S13" s="133">
        <v>0.884806254937309</v>
      </c>
      <c r="T13" s="135">
        <v>0.9</v>
      </c>
      <c r="U13" s="133">
        <v>0.93961179007908</v>
      </c>
      <c r="V13" s="133">
        <v>0.813096862210095</v>
      </c>
      <c r="W13" s="133">
        <v>0.927933293627159</v>
      </c>
      <c r="X13" s="133">
        <v>0.901486762948409</v>
      </c>
      <c r="Y13" s="135">
        <v>0.92</v>
      </c>
      <c r="Z13" s="135">
        <v>0.960912052117264</v>
      </c>
      <c r="AA13" s="135">
        <v>0.88828089375285</v>
      </c>
      <c r="AB13" s="135">
        <v>0.980805419646218</v>
      </c>
      <c r="AC13" s="135">
        <v>0.942251051893408</v>
      </c>
      <c r="AD13" s="135">
        <v>0.92</v>
      </c>
      <c r="AE13" s="133">
        <v>0.99483989538418</v>
      </c>
      <c r="AF13" s="133">
        <v>0.992065235967675</v>
      </c>
      <c r="AG13" s="133">
        <v>0.969500647862055</v>
      </c>
      <c r="AH13" s="133">
        <v>0.971100052254545</v>
      </c>
      <c r="AI13" s="135">
        <v>0.92</v>
      </c>
      <c r="AJ13" s="133">
        <v>0.963098404255319</v>
      </c>
      <c r="AK13" s="133">
        <v>0.874563931442439</v>
      </c>
      <c r="AL13" s="133">
        <v>0.98207326578332</v>
      </c>
      <c r="AM13" s="133">
        <v>0.96102162613104</v>
      </c>
      <c r="AN13" s="132">
        <v>0.99</v>
      </c>
      <c r="AO13" s="137">
        <v>1</v>
      </c>
      <c r="AP13" s="137">
        <v>1</v>
      </c>
      <c r="AQ13" s="137">
        <v>1</v>
      </c>
      <c r="AR13" s="137">
        <v>1</v>
      </c>
      <c r="AS13" s="139">
        <v>0.0872182100128262</v>
      </c>
      <c r="AT13" s="141">
        <v>0</v>
      </c>
      <c r="AU13" s="141">
        <v>0</v>
      </c>
      <c r="AV13" s="141">
        <v>0</v>
      </c>
      <c r="AW13" s="141">
        <v>0.0613861386138614</v>
      </c>
      <c r="AX13" s="95"/>
      <c r="AY13" s="93"/>
    </row>
    <row r="14" ht="14.5" spans="1:60">
      <c r="A14" s="91"/>
      <c r="B14" s="95"/>
      <c r="C14" s="128" t="s">
        <v>24</v>
      </c>
      <c r="D14" s="129" t="s">
        <v>25</v>
      </c>
      <c r="E14" s="130" t="s">
        <v>26</v>
      </c>
      <c r="F14" s="131" t="s">
        <v>32</v>
      </c>
      <c r="G14" s="131" t="s">
        <v>32</v>
      </c>
      <c r="H14" s="131" t="s">
        <v>32</v>
      </c>
      <c r="I14" s="131" t="s">
        <v>32</v>
      </c>
      <c r="J14" s="132">
        <v>0.9</v>
      </c>
      <c r="K14" s="133">
        <v>0.92</v>
      </c>
      <c r="L14" s="133">
        <v>0.857142857142857</v>
      </c>
      <c r="M14" s="134">
        <v>0.821917808219178</v>
      </c>
      <c r="N14" s="133">
        <v>0.887982195845697</v>
      </c>
      <c r="O14" s="135">
        <v>0.9</v>
      </c>
      <c r="P14" s="133">
        <v>0.826177646445333</v>
      </c>
      <c r="Q14" s="133">
        <v>0.856843708357129</v>
      </c>
      <c r="R14" s="133">
        <v>0.93929173693086</v>
      </c>
      <c r="S14" s="133">
        <v>0.855202112726321</v>
      </c>
      <c r="T14" s="135">
        <v>0.9</v>
      </c>
      <c r="U14" s="133">
        <v>0.87450026073353</v>
      </c>
      <c r="V14" s="133">
        <v>0.692747001713307</v>
      </c>
      <c r="W14" s="133">
        <v>0.814042618427104</v>
      </c>
      <c r="X14" s="133">
        <v>0.779710213889748</v>
      </c>
      <c r="Y14" s="135">
        <v>0.92</v>
      </c>
      <c r="Z14" s="135">
        <v>0.962032085561497</v>
      </c>
      <c r="AA14" s="135">
        <v>0.763888888888889</v>
      </c>
      <c r="AB14" s="135">
        <v>0.981064665952126</v>
      </c>
      <c r="AC14" s="135">
        <v>0.970244932170242</v>
      </c>
      <c r="AD14" s="135">
        <v>0.92</v>
      </c>
      <c r="AE14" s="133">
        <v>0.897349757372154</v>
      </c>
      <c r="AF14" s="133">
        <v>0.909360237008567</v>
      </c>
      <c r="AG14" s="133">
        <v>0.962523354214749</v>
      </c>
      <c r="AH14" s="133">
        <v>0.916431632171799</v>
      </c>
      <c r="AI14" s="135">
        <v>0.92</v>
      </c>
      <c r="AJ14" s="133">
        <v>0.962486883525708</v>
      </c>
      <c r="AK14" s="133">
        <v>0.780975333144315</v>
      </c>
      <c r="AL14" s="133">
        <v>0.968153549217242</v>
      </c>
      <c r="AM14" s="133">
        <v>0.97085508881484</v>
      </c>
      <c r="AN14" s="132">
        <v>0.99</v>
      </c>
      <c r="AO14" s="137">
        <v>1</v>
      </c>
      <c r="AP14" s="137">
        <v>1</v>
      </c>
      <c r="AQ14" s="137">
        <v>1</v>
      </c>
      <c r="AR14" s="137">
        <v>1</v>
      </c>
      <c r="AS14" s="139">
        <v>0.0872182100128262</v>
      </c>
      <c r="AT14" s="141">
        <v>0.0465116279069767</v>
      </c>
      <c r="AU14" s="141">
        <v>0.121212121212121</v>
      </c>
      <c r="AV14" s="141">
        <v>0.0454545454545455</v>
      </c>
      <c r="AW14" s="141">
        <v>0.0616113744075829</v>
      </c>
      <c r="AX14" s="95"/>
      <c r="AY14" s="93"/>
    </row>
    <row r="15" ht="14.5" spans="1:60">
      <c r="A15" s="91"/>
      <c r="B15" s="95"/>
      <c r="C15" s="128" t="s">
        <v>24</v>
      </c>
      <c r="D15" s="129" t="s">
        <v>25</v>
      </c>
      <c r="E15" s="130" t="s">
        <v>26</v>
      </c>
      <c r="F15" s="142" t="s">
        <v>33</v>
      </c>
      <c r="G15" s="142" t="s">
        <v>33</v>
      </c>
      <c r="H15" s="142" t="s">
        <v>33</v>
      </c>
      <c r="I15" s="142" t="s">
        <v>33</v>
      </c>
      <c r="J15" s="132">
        <v>0.9</v>
      </c>
      <c r="K15" s="133">
        <v>0.983870967741935</v>
      </c>
      <c r="L15" s="133">
        <v>0.981132075471698</v>
      </c>
      <c r="M15" s="134">
        <v>0.983333333333333</v>
      </c>
      <c r="N15" s="133">
        <v>0.987771739130435</v>
      </c>
      <c r="O15" s="135">
        <v>0.9</v>
      </c>
      <c r="P15" s="133">
        <v>0.989107066074244</v>
      </c>
      <c r="Q15" s="133">
        <v>0.991971095945403</v>
      </c>
      <c r="R15" s="133">
        <v>0.990167344237496</v>
      </c>
      <c r="S15" s="133">
        <v>0.959951521105404</v>
      </c>
      <c r="T15" s="135">
        <v>0.9</v>
      </c>
      <c r="U15" s="133">
        <v>0.937078973770962</v>
      </c>
      <c r="V15" s="133">
        <v>0.927472233373478</v>
      </c>
      <c r="W15" s="133">
        <v>0.932211402098894</v>
      </c>
      <c r="X15" s="133">
        <v>0.917377654860169</v>
      </c>
      <c r="Y15" s="135">
        <v>0.92</v>
      </c>
      <c r="Z15" s="135">
        <v>0.963709677419355</v>
      </c>
      <c r="AA15" s="135">
        <v>0.953199365415124</v>
      </c>
      <c r="AB15" s="135">
        <v>0.96328437917223</v>
      </c>
      <c r="AC15" s="135">
        <v>0.965185323025392</v>
      </c>
      <c r="AD15" s="135">
        <v>0.92</v>
      </c>
      <c r="AE15" s="133">
        <v>0.999065517599419</v>
      </c>
      <c r="AF15" s="133">
        <v>0.998925345832857</v>
      </c>
      <c r="AG15" s="133">
        <v>0.995854494553416</v>
      </c>
      <c r="AH15" s="133">
        <v>0.996693240842853</v>
      </c>
      <c r="AI15" s="135">
        <v>0.92</v>
      </c>
      <c r="AJ15" s="133">
        <v>0.970813397129187</v>
      </c>
      <c r="AK15" s="133">
        <v>0.964846870838882</v>
      </c>
      <c r="AL15" s="133">
        <v>0.974351237175619</v>
      </c>
      <c r="AM15" s="133">
        <v>0.977616336147654</v>
      </c>
      <c r="AN15" s="132">
        <v>0.99</v>
      </c>
      <c r="AO15" s="137">
        <v>1</v>
      </c>
      <c r="AP15" s="137">
        <v>1</v>
      </c>
      <c r="AQ15" s="137">
        <v>1</v>
      </c>
      <c r="AR15" s="137">
        <v>1</v>
      </c>
      <c r="AS15" s="139">
        <v>0.0872182100128262</v>
      </c>
      <c r="AT15" s="141">
        <v>0.0522875816993464</v>
      </c>
      <c r="AU15" s="141">
        <v>0.0135135135135135</v>
      </c>
      <c r="AV15" s="141">
        <v>0.0124223602484472</v>
      </c>
      <c r="AW15" s="141">
        <v>0.0213845596230518</v>
      </c>
      <c r="AX15" s="95"/>
      <c r="AY15" s="93"/>
    </row>
    <row r="16" ht="14.5" spans="1:60">
      <c r="A16" s="91"/>
      <c r="B16" s="95"/>
      <c r="C16" s="128" t="s">
        <v>24</v>
      </c>
      <c r="D16" s="129" t="s">
        <v>25</v>
      </c>
      <c r="E16" s="130" t="s">
        <v>26</v>
      </c>
      <c r="F16" s="142" t="s">
        <v>34</v>
      </c>
      <c r="G16" s="142" t="s">
        <v>34</v>
      </c>
      <c r="H16" s="142" t="s">
        <v>34</v>
      </c>
      <c r="I16" s="142" t="s">
        <v>34</v>
      </c>
      <c r="J16" s="132">
        <v>0.9</v>
      </c>
      <c r="K16" s="133">
        <v>1</v>
      </c>
      <c r="L16" s="133">
        <v>0.857142857142857</v>
      </c>
      <c r="M16" s="134">
        <v>0.96551724137931</v>
      </c>
      <c r="N16" s="133">
        <v>0.958932238193018</v>
      </c>
      <c r="O16" s="135">
        <v>0.9</v>
      </c>
      <c r="P16" s="133">
        <v>0.99721103191819</v>
      </c>
      <c r="Q16" s="133">
        <v>0.96236381644107</v>
      </c>
      <c r="R16" s="133">
        <v>0.962052764727141</v>
      </c>
      <c r="S16" s="133">
        <v>0.984589181310493</v>
      </c>
      <c r="T16" s="135">
        <v>0.9</v>
      </c>
      <c r="U16" s="133">
        <v>0.973349860551596</v>
      </c>
      <c r="V16" s="133">
        <v>0.953119841531859</v>
      </c>
      <c r="W16" s="133">
        <v>0.941091434766896</v>
      </c>
      <c r="X16" s="133">
        <v>0.980789702101178</v>
      </c>
      <c r="Y16" s="135">
        <v>0.92</v>
      </c>
      <c r="Z16" s="135" t="s">
        <v>35</v>
      </c>
      <c r="AA16" s="135" t="s">
        <v>35</v>
      </c>
      <c r="AB16" s="135" t="s">
        <v>35</v>
      </c>
      <c r="AC16" s="135" t="s">
        <v>35</v>
      </c>
      <c r="AD16" s="135">
        <v>0.92</v>
      </c>
      <c r="AE16" s="133">
        <v>1</v>
      </c>
      <c r="AF16" s="133">
        <v>0.2</v>
      </c>
      <c r="AG16" s="133">
        <v>0</v>
      </c>
      <c r="AH16" s="133">
        <v>0.418918918918919</v>
      </c>
      <c r="AI16" s="135">
        <v>0.92</v>
      </c>
      <c r="AJ16" s="133">
        <v>0.982336535481872</v>
      </c>
      <c r="AK16" s="133">
        <v>0.9877847474414</v>
      </c>
      <c r="AL16" s="133">
        <v>0.996024575352367</v>
      </c>
      <c r="AM16" s="133">
        <v>0.993105255400337</v>
      </c>
      <c r="AN16" s="132">
        <v>0.99</v>
      </c>
      <c r="AO16" s="137">
        <v>1</v>
      </c>
      <c r="AP16" s="137">
        <v>1</v>
      </c>
      <c r="AQ16" s="137">
        <v>1</v>
      </c>
      <c r="AR16" s="137">
        <v>1</v>
      </c>
      <c r="AS16" s="139">
        <v>0.0872182100128262</v>
      </c>
      <c r="AT16" s="141">
        <v>0.5</v>
      </c>
      <c r="AU16" s="141">
        <v>0.285714285714286</v>
      </c>
      <c r="AV16" s="141">
        <v>0.0625</v>
      </c>
      <c r="AW16" s="141">
        <v>0.102040816326531</v>
      </c>
      <c r="AX16" s="95"/>
      <c r="AY16" s="93"/>
    </row>
    <row r="17" ht="14.5" spans="1:51">
      <c r="A17" s="91"/>
      <c r="B17" s="95"/>
      <c r="C17" s="128" t="s">
        <v>24</v>
      </c>
      <c r="D17" s="129" t="s">
        <v>25</v>
      </c>
      <c r="E17" s="130" t="s">
        <v>26</v>
      </c>
      <c r="F17" s="142" t="s">
        <v>36</v>
      </c>
      <c r="G17" s="142" t="s">
        <v>36</v>
      </c>
      <c r="H17" s="142" t="s">
        <v>36</v>
      </c>
      <c r="I17" s="142" t="s">
        <v>36</v>
      </c>
      <c r="J17" s="132">
        <v>0.9</v>
      </c>
      <c r="K17" s="133">
        <v>0.843137254901961</v>
      </c>
      <c r="L17" s="133">
        <v>0.814285714285714</v>
      </c>
      <c r="M17" s="134">
        <v>0.710843373493976</v>
      </c>
      <c r="N17" s="133">
        <v>0.812392426850258</v>
      </c>
      <c r="O17" s="135">
        <v>0.9</v>
      </c>
      <c r="P17" s="133">
        <v>0.994803695150115</v>
      </c>
      <c r="Q17" s="133">
        <v>0.989314568673443</v>
      </c>
      <c r="R17" s="133">
        <v>0.99295138261341</v>
      </c>
      <c r="S17" s="133">
        <v>0.986099381237181</v>
      </c>
      <c r="T17" s="135">
        <v>0.9</v>
      </c>
      <c r="U17" s="133">
        <v>0.735565819861432</v>
      </c>
      <c r="V17" s="133">
        <v>0.561115454782382</v>
      </c>
      <c r="W17" s="133">
        <v>0.476233508042653</v>
      </c>
      <c r="X17" s="133">
        <v>0.673839604267568</v>
      </c>
      <c r="Y17" s="135">
        <v>0.92</v>
      </c>
      <c r="Z17" s="135">
        <v>0.891207153502235</v>
      </c>
      <c r="AA17" s="135">
        <v>0.617283950617284</v>
      </c>
      <c r="AB17" s="135">
        <v>0.649513212795549</v>
      </c>
      <c r="AC17" s="135">
        <v>0.837906795769707</v>
      </c>
      <c r="AD17" s="135">
        <v>0.92</v>
      </c>
      <c r="AE17" s="133">
        <v>0.996380090497738</v>
      </c>
      <c r="AF17" s="133">
        <v>0.999646892655367</v>
      </c>
      <c r="AG17" s="133">
        <v>0.994725738396624</v>
      </c>
      <c r="AH17" s="133">
        <v>0.860894640261195</v>
      </c>
      <c r="AI17" s="135">
        <v>0.92</v>
      </c>
      <c r="AJ17" s="133">
        <v>0.913289521723257</v>
      </c>
      <c r="AK17" s="133">
        <v>0.672797337537222</v>
      </c>
      <c r="AL17" s="133">
        <v>0.703659070990359</v>
      </c>
      <c r="AM17" s="133">
        <v>0.87750893522923</v>
      </c>
      <c r="AN17" s="132">
        <v>0.99</v>
      </c>
      <c r="AO17" s="137">
        <v>1</v>
      </c>
      <c r="AP17" s="137">
        <v>1</v>
      </c>
      <c r="AQ17" s="137">
        <v>1</v>
      </c>
      <c r="AR17" s="137">
        <v>1</v>
      </c>
      <c r="AS17" s="139">
        <v>0.0872182100128262</v>
      </c>
      <c r="AT17" s="141">
        <v>0.0816326530612245</v>
      </c>
      <c r="AU17" s="141">
        <v>0.0714285714285714</v>
      </c>
      <c r="AV17" s="141">
        <v>0.0930232558139535</v>
      </c>
      <c r="AW17" s="141">
        <v>0.0754527162977867</v>
      </c>
      <c r="AX17" s="95"/>
      <c r="AY17" s="93"/>
    </row>
    <row r="18" ht="14.5" spans="1:51">
      <c r="A18" s="91"/>
      <c r="B18" s="95"/>
      <c r="C18" s="128" t="s">
        <v>24</v>
      </c>
      <c r="D18" s="129" t="s">
        <v>25</v>
      </c>
      <c r="E18" s="130" t="s">
        <v>26</v>
      </c>
      <c r="F18" s="142" t="s">
        <v>37</v>
      </c>
      <c r="G18" s="142" t="s">
        <v>37</v>
      </c>
      <c r="H18" s="142" t="s">
        <v>37</v>
      </c>
      <c r="I18" s="142" t="s">
        <v>37</v>
      </c>
      <c r="J18" s="132">
        <v>0.9</v>
      </c>
      <c r="K18" s="133">
        <v>0.991525423728814</v>
      </c>
      <c r="L18" s="133">
        <v>0.95959595959596</v>
      </c>
      <c r="M18" s="134">
        <v>0.96078431372549</v>
      </c>
      <c r="N18" s="133">
        <v>0.975961538461538</v>
      </c>
      <c r="O18" s="135">
        <v>0.9</v>
      </c>
      <c r="P18" s="133">
        <v>0.988733774185648</v>
      </c>
      <c r="Q18" s="133">
        <v>0.990510801534424</v>
      </c>
      <c r="R18" s="133">
        <v>0.989538626609442</v>
      </c>
      <c r="S18" s="133">
        <v>0.982587490666977</v>
      </c>
      <c r="T18" s="135">
        <v>0.9</v>
      </c>
      <c r="U18" s="133">
        <v>0.853783982365907</v>
      </c>
      <c r="V18" s="133">
        <v>0.717948717948718</v>
      </c>
      <c r="W18" s="133">
        <v>0.762473175965665</v>
      </c>
      <c r="X18" s="133">
        <v>0.844760149876359</v>
      </c>
      <c r="Y18" s="135">
        <v>0.92</v>
      </c>
      <c r="Z18" s="135">
        <v>0.91321897073663</v>
      </c>
      <c r="AA18" s="135">
        <v>0.738544474393531</v>
      </c>
      <c r="AB18" s="135">
        <v>0.847972972972973</v>
      </c>
      <c r="AC18" s="135">
        <v>0.92067719028063</v>
      </c>
      <c r="AD18" s="135">
        <v>0.92</v>
      </c>
      <c r="AE18" s="133">
        <v>0.97563025210084</v>
      </c>
      <c r="AF18" s="133">
        <v>0.753099173553719</v>
      </c>
      <c r="AG18" s="133">
        <v>0.979466119096509</v>
      </c>
      <c r="AH18" s="133">
        <v>0.967081959203616</v>
      </c>
      <c r="AI18" s="135">
        <v>0.92</v>
      </c>
      <c r="AJ18" s="133">
        <v>0.930596768875701</v>
      </c>
      <c r="AK18" s="133">
        <v>0.800612642717906</v>
      </c>
      <c r="AL18" s="133">
        <v>0.879148349280234</v>
      </c>
      <c r="AM18" s="133">
        <v>0.940082083912639</v>
      </c>
      <c r="AN18" s="132">
        <v>0.99</v>
      </c>
      <c r="AO18" s="137">
        <v>1</v>
      </c>
      <c r="AP18" s="137">
        <v>1</v>
      </c>
      <c r="AQ18" s="137">
        <v>1</v>
      </c>
      <c r="AR18" s="137">
        <v>1</v>
      </c>
      <c r="AS18" s="139">
        <v>0.0872182100128262</v>
      </c>
      <c r="AT18" s="141">
        <v>0.0625</v>
      </c>
      <c r="AU18" s="141">
        <v>0.0344827586206897</v>
      </c>
      <c r="AV18" s="141">
        <v>0.0540540540540541</v>
      </c>
      <c r="AW18" s="141">
        <v>0.0551724137931034</v>
      </c>
      <c r="AX18" s="95"/>
      <c r="AY18" s="93"/>
    </row>
    <row r="19" ht="14.5" spans="1:51">
      <c r="A19" s="91"/>
      <c r="B19" s="95"/>
      <c r="C19" s="128" t="s">
        <v>24</v>
      </c>
      <c r="D19" s="129" t="s">
        <v>25</v>
      </c>
      <c r="E19" s="130" t="s">
        <v>26</v>
      </c>
      <c r="F19" s="142" t="s">
        <v>38</v>
      </c>
      <c r="G19" s="142" t="s">
        <v>38</v>
      </c>
      <c r="H19" s="142" t="s">
        <v>38</v>
      </c>
      <c r="I19" s="142" t="s">
        <v>38</v>
      </c>
      <c r="J19" s="132">
        <v>0.9</v>
      </c>
      <c r="K19" s="133">
        <v>0.842105263157895</v>
      </c>
      <c r="L19" s="133">
        <v>0.777777777777778</v>
      </c>
      <c r="M19" s="134">
        <v>0.454545454545455</v>
      </c>
      <c r="N19" s="133">
        <v>0.817307692307692</v>
      </c>
      <c r="O19" s="135">
        <v>0.9</v>
      </c>
      <c r="P19" s="133">
        <v>0.985902255639098</v>
      </c>
      <c r="Q19" s="133">
        <v>0.442773600668337</v>
      </c>
      <c r="R19" s="133">
        <v>0.22476050110538</v>
      </c>
      <c r="S19" s="133">
        <v>0.850947887687498</v>
      </c>
      <c r="T19" s="135">
        <v>0.9</v>
      </c>
      <c r="U19" s="133">
        <v>0.75093984962406</v>
      </c>
      <c r="V19" s="133">
        <v>0.371762740183793</v>
      </c>
      <c r="W19" s="133">
        <v>0.358142962417097</v>
      </c>
      <c r="X19" s="133">
        <v>0.644047380044168</v>
      </c>
      <c r="Y19" s="135">
        <v>0.92</v>
      </c>
      <c r="Z19" s="135">
        <v>0.945533769063181</v>
      </c>
      <c r="AA19" s="135">
        <v>0.437619961612284</v>
      </c>
      <c r="AB19" s="135">
        <v>0.603801169590643</v>
      </c>
      <c r="AC19" s="135">
        <v>0.813337504562282</v>
      </c>
      <c r="AD19" s="135">
        <v>0.92</v>
      </c>
      <c r="AE19" s="133">
        <v>0.995753973068058</v>
      </c>
      <c r="AF19" s="133">
        <v>0.999032414126754</v>
      </c>
      <c r="AG19" s="133">
        <v>0.997121842021107</v>
      </c>
      <c r="AH19" s="133">
        <v>0.988532610608567</v>
      </c>
      <c r="AI19" s="135">
        <v>0.92</v>
      </c>
      <c r="AJ19" s="133">
        <v>0.940906106369009</v>
      </c>
      <c r="AK19" s="133">
        <v>0.549476135040745</v>
      </c>
      <c r="AL19" s="133">
        <v>0.63890249877511</v>
      </c>
      <c r="AM19" s="133">
        <v>0.863103167554766</v>
      </c>
      <c r="AN19" s="132">
        <v>0.99</v>
      </c>
      <c r="AO19" s="137">
        <v>1</v>
      </c>
      <c r="AP19" s="137">
        <v>1</v>
      </c>
      <c r="AQ19" s="137">
        <v>1</v>
      </c>
      <c r="AR19" s="137">
        <v>1</v>
      </c>
      <c r="AS19" s="139">
        <v>0.0872182100128262</v>
      </c>
      <c r="AT19" s="141">
        <v>0.166666666666667</v>
      </c>
      <c r="AU19" s="141">
        <v>0.25</v>
      </c>
      <c r="AV19" s="141">
        <v>0</v>
      </c>
      <c r="AW19" s="141">
        <v>0.0807453416149068</v>
      </c>
      <c r="AX19" s="95"/>
      <c r="AY19" s="93"/>
    </row>
    <row r="20" ht="14.5" spans="1:51">
      <c r="A20" s="91"/>
      <c r="B20" s="95"/>
      <c r="C20" s="128" t="s">
        <v>24</v>
      </c>
      <c r="D20" s="129" t="s">
        <v>25</v>
      </c>
      <c r="E20" s="130" t="s">
        <v>26</v>
      </c>
      <c r="F20" s="142" t="s">
        <v>39</v>
      </c>
      <c r="G20" s="142" t="s">
        <v>39</v>
      </c>
      <c r="H20" s="142" t="s">
        <v>39</v>
      </c>
      <c r="I20" s="142" t="s">
        <v>39</v>
      </c>
      <c r="J20" s="132">
        <v>0.9</v>
      </c>
      <c r="K20" s="133">
        <v>0.866071428571429</v>
      </c>
      <c r="L20" s="133">
        <v>0.919191919191919</v>
      </c>
      <c r="M20" s="134">
        <v>0.889830508474576</v>
      </c>
      <c r="N20" s="133">
        <v>0.893472348141433</v>
      </c>
      <c r="O20" s="135">
        <v>0.9</v>
      </c>
      <c r="P20" s="133">
        <v>0.996219931271478</v>
      </c>
      <c r="Q20" s="133">
        <v>0.998016435250779</v>
      </c>
      <c r="R20" s="133">
        <v>0.984783456886461</v>
      </c>
      <c r="S20" s="133">
        <v>0.947979401239417</v>
      </c>
      <c r="T20" s="135">
        <v>0.9</v>
      </c>
      <c r="U20" s="133">
        <v>0.809965635738832</v>
      </c>
      <c r="V20" s="133">
        <v>0.792009067724568</v>
      </c>
      <c r="W20" s="133">
        <v>0.807452204447913</v>
      </c>
      <c r="X20" s="133">
        <v>0.826976229961305</v>
      </c>
      <c r="Y20" s="135">
        <v>0.92</v>
      </c>
      <c r="Z20" s="135">
        <v>0.913499344692005</v>
      </c>
      <c r="AA20" s="135">
        <v>0.868796349115802</v>
      </c>
      <c r="AB20" s="135">
        <v>0.867017978921265</v>
      </c>
      <c r="AC20" s="135">
        <v>0.933426718847026</v>
      </c>
      <c r="AD20" s="135">
        <v>0.92</v>
      </c>
      <c r="AE20" s="133">
        <v>0.99599679743795</v>
      </c>
      <c r="AF20" s="133">
        <v>0.991549295774648</v>
      </c>
      <c r="AG20" s="133">
        <v>0.997784342688331</v>
      </c>
      <c r="AH20" s="133">
        <v>0.993772978702262</v>
      </c>
      <c r="AI20" s="135">
        <v>0.92</v>
      </c>
      <c r="AJ20" s="133">
        <v>0.931244364292155</v>
      </c>
      <c r="AK20" s="133">
        <v>0.898600075671585</v>
      </c>
      <c r="AL20" s="133">
        <v>0.913314176245211</v>
      </c>
      <c r="AM20" s="133">
        <v>0.954658313029354</v>
      </c>
      <c r="AN20" s="132">
        <v>0.99</v>
      </c>
      <c r="AO20" s="137">
        <v>1</v>
      </c>
      <c r="AP20" s="137">
        <v>1</v>
      </c>
      <c r="AQ20" s="137">
        <v>1</v>
      </c>
      <c r="AR20" s="137">
        <v>1</v>
      </c>
      <c r="AS20" s="139">
        <v>0.0872182100128262</v>
      </c>
      <c r="AT20" s="141">
        <v>0.03125</v>
      </c>
      <c r="AU20" s="141">
        <v>0.133333333333333</v>
      </c>
      <c r="AV20" s="141">
        <v>0.04</v>
      </c>
      <c r="AW20" s="141">
        <v>0.0560836501901141</v>
      </c>
      <c r="AX20" s="95"/>
      <c r="AY20" s="93"/>
    </row>
    <row r="21" ht="14.5" spans="1:51">
      <c r="A21" s="91"/>
      <c r="B21" s="95"/>
      <c r="C21" s="128" t="s">
        <v>24</v>
      </c>
      <c r="D21" s="129" t="s">
        <v>25</v>
      </c>
      <c r="E21" s="130" t="s">
        <v>26</v>
      </c>
      <c r="F21" s="142" t="s">
        <v>40</v>
      </c>
      <c r="G21" s="142" t="s">
        <v>40</v>
      </c>
      <c r="H21" s="142" t="s">
        <v>40</v>
      </c>
      <c r="I21" s="142" t="s">
        <v>40</v>
      </c>
      <c r="J21" s="132">
        <v>0.9</v>
      </c>
      <c r="K21" s="133">
        <v>0.947368421052632</v>
      </c>
      <c r="L21" s="133">
        <v>1</v>
      </c>
      <c r="M21" s="134">
        <v>0.823529411764706</v>
      </c>
      <c r="N21" s="133">
        <v>0.916666666666667</v>
      </c>
      <c r="O21" s="135">
        <v>0.9</v>
      </c>
      <c r="P21" s="133">
        <v>0.992878942014242</v>
      </c>
      <c r="Q21" s="133">
        <v>0.992876224398931</v>
      </c>
      <c r="R21" s="133">
        <v>0.992292870905588</v>
      </c>
      <c r="S21" s="133">
        <v>0.981462450592885</v>
      </c>
      <c r="T21" s="135">
        <v>0.9</v>
      </c>
      <c r="U21" s="133">
        <v>0.92472024415056</v>
      </c>
      <c r="V21" s="133">
        <v>0.535173642030276</v>
      </c>
      <c r="W21" s="133">
        <v>0.887604367373154</v>
      </c>
      <c r="X21" s="133">
        <v>0.866877470355731</v>
      </c>
      <c r="Y21" s="135">
        <v>0.92</v>
      </c>
      <c r="Z21" s="135">
        <v>0.952554744525547</v>
      </c>
      <c r="AA21" s="135">
        <v>0.54468802698145</v>
      </c>
      <c r="AB21" s="135">
        <v>0.870894677236693</v>
      </c>
      <c r="AC21" s="135">
        <v>0.92294869420263</v>
      </c>
      <c r="AD21" s="135">
        <v>0.92</v>
      </c>
      <c r="AE21" s="133">
        <v>0.992466637968145</v>
      </c>
      <c r="AF21" s="133">
        <v>0.997774734679904</v>
      </c>
      <c r="AG21" s="133">
        <v>0.997889485801995</v>
      </c>
      <c r="AH21" s="133">
        <v>0.975961826422026</v>
      </c>
      <c r="AI21" s="135">
        <v>0.92</v>
      </c>
      <c r="AJ21" s="133">
        <v>0.968015665796345</v>
      </c>
      <c r="AK21" s="133">
        <v>0.578916715200932</v>
      </c>
      <c r="AL21" s="133">
        <v>0.920491803278689</v>
      </c>
      <c r="AM21" s="133">
        <v>0.942058639449232</v>
      </c>
      <c r="AN21" s="132">
        <v>0.99</v>
      </c>
      <c r="AO21" s="137">
        <v>1</v>
      </c>
      <c r="AP21" s="137">
        <v>1</v>
      </c>
      <c r="AQ21" s="137">
        <v>1</v>
      </c>
      <c r="AR21" s="137">
        <v>1</v>
      </c>
      <c r="AS21" s="139">
        <v>0.0872182100128262</v>
      </c>
      <c r="AT21" s="141">
        <v>0.0714285714285714</v>
      </c>
      <c r="AU21" s="141">
        <v>0</v>
      </c>
      <c r="AV21" s="141">
        <v>0</v>
      </c>
      <c r="AW21" s="141">
        <v>0.0575539568345324</v>
      </c>
      <c r="AX21" s="95"/>
      <c r="AY21" s="93"/>
    </row>
    <row r="22" ht="14.5" spans="1:51">
      <c r="A22" s="91"/>
      <c r="B22" s="95"/>
      <c r="C22" s="128" t="s">
        <v>24</v>
      </c>
      <c r="D22" s="129" t="s">
        <v>25</v>
      </c>
      <c r="E22" s="130" t="s">
        <v>26</v>
      </c>
      <c r="F22" s="142" t="s">
        <v>41</v>
      </c>
      <c r="G22" s="142" t="s">
        <v>41</v>
      </c>
      <c r="H22" s="142" t="s">
        <v>41</v>
      </c>
      <c r="I22" s="142" t="s">
        <v>41</v>
      </c>
      <c r="J22" s="132">
        <v>0.9</v>
      </c>
      <c r="K22" s="133">
        <v>0.978260869565217</v>
      </c>
      <c r="L22" s="133">
        <v>0.875</v>
      </c>
      <c r="M22" s="134">
        <v>0.880952380952381</v>
      </c>
      <c r="N22" s="133">
        <v>0.910975609756098</v>
      </c>
      <c r="O22" s="135">
        <v>0.9</v>
      </c>
      <c r="P22" s="133">
        <v>0.758331276228092</v>
      </c>
      <c r="Q22" s="133">
        <v>0.974025974025974</v>
      </c>
      <c r="R22" s="133">
        <v>0.988553336580614</v>
      </c>
      <c r="S22" s="133">
        <v>0.943567240945222</v>
      </c>
      <c r="T22" s="135">
        <v>0.9</v>
      </c>
      <c r="U22" s="133">
        <v>0.774623549740805</v>
      </c>
      <c r="V22" s="133">
        <v>0.851404409543944</v>
      </c>
      <c r="W22" s="133">
        <v>0.812469556746225</v>
      </c>
      <c r="X22" s="133">
        <v>0.786737642220864</v>
      </c>
      <c r="Y22" s="135">
        <v>0.92</v>
      </c>
      <c r="Z22" s="135">
        <v>0.921267893660532</v>
      </c>
      <c r="AA22" s="135">
        <v>0.967839805825243</v>
      </c>
      <c r="AB22" s="135">
        <v>0.987308951965066</v>
      </c>
      <c r="AC22" s="135">
        <v>0.966916331062517</v>
      </c>
      <c r="AD22" s="135">
        <v>0.92</v>
      </c>
      <c r="AE22" s="133">
        <v>0.93261480787254</v>
      </c>
      <c r="AF22" s="133">
        <v>0.998562749069053</v>
      </c>
      <c r="AG22" s="133">
        <v>0.998435702783529</v>
      </c>
      <c r="AH22" s="133">
        <v>0.982382333126804</v>
      </c>
      <c r="AI22" s="135">
        <v>0.92</v>
      </c>
      <c r="AJ22" s="133">
        <v>0.953488372093023</v>
      </c>
      <c r="AK22" s="133">
        <v>0.970777912132205</v>
      </c>
      <c r="AL22" s="133">
        <v>0.985658067337123</v>
      </c>
      <c r="AM22" s="133">
        <v>0.977206663005674</v>
      </c>
      <c r="AN22" s="132">
        <v>0.99</v>
      </c>
      <c r="AO22" s="137">
        <v>1</v>
      </c>
      <c r="AP22" s="137">
        <v>1</v>
      </c>
      <c r="AQ22" s="137">
        <v>1</v>
      </c>
      <c r="AR22" s="137">
        <v>1</v>
      </c>
      <c r="AS22" s="139">
        <v>0.0872182100128262</v>
      </c>
      <c r="AT22" s="141">
        <v>0.125</v>
      </c>
      <c r="AU22" s="141">
        <v>0.136363636363636</v>
      </c>
      <c r="AV22" s="141">
        <v>0.176470588235294</v>
      </c>
      <c r="AW22" s="141">
        <v>0.0958904109589041</v>
      </c>
      <c r="AX22" s="95"/>
      <c r="AY22" s="93"/>
    </row>
    <row r="23" ht="14.5" spans="1:51">
      <c r="A23" s="91"/>
      <c r="B23" s="95"/>
      <c r="C23" s="128" t="s">
        <v>24</v>
      </c>
      <c r="D23" s="129" t="s">
        <v>25</v>
      </c>
      <c r="E23" s="130" t="s">
        <v>26</v>
      </c>
      <c r="F23" s="142" t="s">
        <v>42</v>
      </c>
      <c r="G23" s="142" t="s">
        <v>42</v>
      </c>
      <c r="H23" s="142" t="s">
        <v>42</v>
      </c>
      <c r="I23" s="142" t="s">
        <v>42</v>
      </c>
      <c r="J23" s="132">
        <v>0.9</v>
      </c>
      <c r="K23" s="133">
        <v>0.874213836477987</v>
      </c>
      <c r="L23" s="133">
        <v>0.745614035087719</v>
      </c>
      <c r="M23" s="134">
        <v>0.768</v>
      </c>
      <c r="N23" s="133">
        <v>0.826239750097618</v>
      </c>
      <c r="O23" s="135">
        <v>0.9</v>
      </c>
      <c r="P23" s="133">
        <v>0.784432533209042</v>
      </c>
      <c r="Q23" s="133">
        <v>0.887775286825795</v>
      </c>
      <c r="R23" s="133">
        <v>0.844104308390023</v>
      </c>
      <c r="S23" s="133">
        <v>0.896809101782872</v>
      </c>
      <c r="T23" s="135">
        <v>0.9</v>
      </c>
      <c r="U23" s="133">
        <v>0.752272197622932</v>
      </c>
      <c r="V23" s="133">
        <v>0.64525913226955</v>
      </c>
      <c r="W23" s="133">
        <v>0.702853363567649</v>
      </c>
      <c r="X23" s="133">
        <v>0.6578543375684</v>
      </c>
      <c r="Y23" s="135">
        <v>0.92</v>
      </c>
      <c r="Z23" s="135">
        <v>0.925632911392405</v>
      </c>
      <c r="AA23" s="135">
        <v>0.931159420289855</v>
      </c>
      <c r="AB23" s="135">
        <v>0.949570579167584</v>
      </c>
      <c r="AC23" s="135">
        <v>0.957561782545491</v>
      </c>
      <c r="AD23" s="135">
        <v>0.92</v>
      </c>
      <c r="AE23" s="133">
        <v>0.991734242174952</v>
      </c>
      <c r="AF23" s="133">
        <v>0.532602865680791</v>
      </c>
      <c r="AG23" s="133">
        <v>0.897768288343246</v>
      </c>
      <c r="AH23" s="133">
        <v>0.779449705648662</v>
      </c>
      <c r="AI23" s="135">
        <v>0.92</v>
      </c>
      <c r="AJ23" s="133">
        <v>0.932439726520331</v>
      </c>
      <c r="AK23" s="133">
        <v>0.93488683242279</v>
      </c>
      <c r="AL23" s="133">
        <v>0.962451246116216</v>
      </c>
      <c r="AM23" s="133">
        <v>0.966025745739205</v>
      </c>
      <c r="AN23" s="132">
        <v>0.99</v>
      </c>
      <c r="AO23" s="137">
        <v>1</v>
      </c>
      <c r="AP23" s="137">
        <v>1</v>
      </c>
      <c r="AQ23" s="137">
        <v>1</v>
      </c>
      <c r="AR23" s="137">
        <v>0.997083775185578</v>
      </c>
      <c r="AS23" s="139">
        <v>0.0872182100128262</v>
      </c>
      <c r="AT23" s="141">
        <v>0.0166666666666667</v>
      </c>
      <c r="AU23" s="141">
        <v>0.06</v>
      </c>
      <c r="AV23" s="141">
        <v>0.0533333333333333</v>
      </c>
      <c r="AW23" s="141">
        <v>0.0467497773820125</v>
      </c>
      <c r="AX23" s="95"/>
      <c r="AY23" s="93"/>
    </row>
    <row r="24" ht="14.5" spans="1:51">
      <c r="A24" s="91"/>
      <c r="B24" s="95"/>
      <c r="C24" s="128" t="s">
        <v>24</v>
      </c>
      <c r="D24" s="129" t="s">
        <v>25</v>
      </c>
      <c r="E24" s="130" t="s">
        <v>26</v>
      </c>
      <c r="F24" s="142" t="s">
        <v>43</v>
      </c>
      <c r="G24" s="142" t="s">
        <v>43</v>
      </c>
      <c r="H24" s="142" t="s">
        <v>43</v>
      </c>
      <c r="I24" s="142" t="s">
        <v>43</v>
      </c>
      <c r="J24" s="132">
        <v>0.9</v>
      </c>
      <c r="K24" s="133">
        <v>0.8125</v>
      </c>
      <c r="L24" s="133">
        <v>0.843478260869565</v>
      </c>
      <c r="M24" s="134">
        <v>0.748091603053435</v>
      </c>
      <c r="N24" s="133">
        <v>0.82870551427454</v>
      </c>
      <c r="O24" s="135">
        <v>0.9</v>
      </c>
      <c r="P24" s="133">
        <v>0.979267980547735</v>
      </c>
      <c r="Q24" s="133">
        <v>0.973605789697744</v>
      </c>
      <c r="R24" s="133">
        <v>0.979856759176365</v>
      </c>
      <c r="S24" s="133">
        <v>0.964782162874787</v>
      </c>
      <c r="T24" s="135">
        <v>0.9</v>
      </c>
      <c r="U24" s="133">
        <v>0.695674430509342</v>
      </c>
      <c r="V24" s="133">
        <v>0.624308216262239</v>
      </c>
      <c r="W24" s="133">
        <v>0.639062966278723</v>
      </c>
      <c r="X24" s="133">
        <v>0.684804983539824</v>
      </c>
      <c r="Y24" s="135">
        <v>0.92</v>
      </c>
      <c r="Z24" s="135">
        <v>0.852146967684816</v>
      </c>
      <c r="AA24" s="135">
        <v>0.82744378155117</v>
      </c>
      <c r="AB24" s="135">
        <v>0.740792216817234</v>
      </c>
      <c r="AC24" s="135">
        <v>0.892814450790278</v>
      </c>
      <c r="AD24" s="135">
        <v>0.92</v>
      </c>
      <c r="AE24" s="133">
        <v>0.975308641975309</v>
      </c>
      <c r="AF24" s="133">
        <v>0.857142857142857</v>
      </c>
      <c r="AG24" s="133">
        <v>0.333333333333333</v>
      </c>
      <c r="AH24" s="133">
        <v>0.805668016194332</v>
      </c>
      <c r="AI24" s="135">
        <v>0.92</v>
      </c>
      <c r="AJ24" s="133">
        <v>0.88355497891664</v>
      </c>
      <c r="AK24" s="133">
        <v>0.867858700392499</v>
      </c>
      <c r="AL24" s="133">
        <v>0.832924947817406</v>
      </c>
      <c r="AM24" s="133">
        <v>0.921781566367982</v>
      </c>
      <c r="AN24" s="132">
        <v>0.99</v>
      </c>
      <c r="AO24" s="137">
        <v>1</v>
      </c>
      <c r="AP24" s="137">
        <v>1</v>
      </c>
      <c r="AQ24" s="137">
        <v>1</v>
      </c>
      <c r="AR24" s="137">
        <v>1</v>
      </c>
      <c r="AS24" s="139">
        <v>0.0872182100128262</v>
      </c>
      <c r="AT24" s="141">
        <v>0.03125</v>
      </c>
      <c r="AU24" s="141">
        <v>0.0597014925373134</v>
      </c>
      <c r="AV24" s="141">
        <v>0.0625</v>
      </c>
      <c r="AW24" s="141">
        <v>0.0628058727569331</v>
      </c>
      <c r="AX24" s="95"/>
      <c r="AY24" s="93"/>
    </row>
    <row r="25" ht="14.5" spans="1:51">
      <c r="A25" s="91"/>
      <c r="B25" s="95"/>
      <c r="C25" s="128" t="s">
        <v>24</v>
      </c>
      <c r="D25" s="129" t="s">
        <v>25</v>
      </c>
      <c r="E25" s="130" t="s">
        <v>26</v>
      </c>
      <c r="F25" s="142" t="s">
        <v>44</v>
      </c>
      <c r="G25" s="142" t="s">
        <v>44</v>
      </c>
      <c r="H25" s="142" t="s">
        <v>44</v>
      </c>
      <c r="I25" s="142" t="s">
        <v>44</v>
      </c>
      <c r="J25" s="132">
        <v>0.9</v>
      </c>
      <c r="K25" s="133">
        <v>0.934579439252336</v>
      </c>
      <c r="L25" s="133">
        <v>0.948717948717949</v>
      </c>
      <c r="M25" s="134">
        <v>0.911111111111111</v>
      </c>
      <c r="N25" s="133">
        <v>0.955915178571429</v>
      </c>
      <c r="O25" s="135">
        <v>0.9</v>
      </c>
      <c r="P25" s="133">
        <v>0.991561181434599</v>
      </c>
      <c r="Q25" s="133">
        <v>0.99205448354143</v>
      </c>
      <c r="R25" s="133">
        <v>0.983183856502242</v>
      </c>
      <c r="S25" s="133">
        <v>0.972181860087583</v>
      </c>
      <c r="T25" s="135">
        <v>0.9</v>
      </c>
      <c r="U25" s="133">
        <v>0.817798235519755</v>
      </c>
      <c r="V25" s="133">
        <v>0.753972758229285</v>
      </c>
      <c r="W25" s="133">
        <v>0.742899850523169</v>
      </c>
      <c r="X25" s="133">
        <v>0.794600715495385</v>
      </c>
      <c r="Y25" s="135">
        <v>0.92</v>
      </c>
      <c r="Z25" s="135">
        <v>0.898255813953488</v>
      </c>
      <c r="AA25" s="135">
        <v>0.84375</v>
      </c>
      <c r="AB25" s="135">
        <v>0.884627377611475</v>
      </c>
      <c r="AC25" s="135">
        <v>0.915100630455868</v>
      </c>
      <c r="AD25" s="135">
        <v>0.92</v>
      </c>
      <c r="AE25" s="133">
        <v>0.999294852422686</v>
      </c>
      <c r="AF25" s="133">
        <v>0.990846047156727</v>
      </c>
      <c r="AG25" s="133">
        <v>0.976823238566131</v>
      </c>
      <c r="AH25" s="133">
        <v>0.991146486785763</v>
      </c>
      <c r="AI25" s="135">
        <v>0.92</v>
      </c>
      <c r="AJ25" s="133">
        <v>0.923041368153455</v>
      </c>
      <c r="AK25" s="133">
        <v>0.889951219512195</v>
      </c>
      <c r="AL25" s="133">
        <v>0.914953271028037</v>
      </c>
      <c r="AM25" s="133">
        <v>0.941858781803047</v>
      </c>
      <c r="AN25" s="132">
        <v>0.99</v>
      </c>
      <c r="AO25" s="137">
        <v>1</v>
      </c>
      <c r="AP25" s="137">
        <v>1</v>
      </c>
      <c r="AQ25" s="137">
        <v>1</v>
      </c>
      <c r="AR25" s="137">
        <v>1</v>
      </c>
      <c r="AS25" s="139">
        <v>0.0872182100128262</v>
      </c>
      <c r="AT25" s="141">
        <v>0.0277777777777778</v>
      </c>
      <c r="AU25" s="141">
        <v>0.0806451612903226</v>
      </c>
      <c r="AV25" s="141">
        <v>0.0461538461538462</v>
      </c>
      <c r="AW25" s="141">
        <v>0.0604351329572925</v>
      </c>
      <c r="AX25" s="95"/>
      <c r="AY25" s="93"/>
    </row>
    <row r="26" ht="14.5" spans="1:51">
      <c r="A26" s="91"/>
      <c r="B26" s="95"/>
      <c r="C26" s="128" t="s">
        <v>24</v>
      </c>
      <c r="D26" s="129" t="s">
        <v>25</v>
      </c>
      <c r="E26" s="130" t="s">
        <v>26</v>
      </c>
      <c r="F26" s="142" t="s">
        <v>45</v>
      </c>
      <c r="G26" s="142" t="s">
        <v>45</v>
      </c>
      <c r="H26" s="142" t="s">
        <v>45</v>
      </c>
      <c r="I26" s="142" t="s">
        <v>45</v>
      </c>
      <c r="J26" s="132">
        <v>0.9</v>
      </c>
      <c r="K26" s="133">
        <v>0.959183673469388</v>
      </c>
      <c r="L26" s="133">
        <v>0.932584269662921</v>
      </c>
      <c r="M26" s="134">
        <v>0.820224719101124</v>
      </c>
      <c r="N26" s="133">
        <v>0.892094017094017</v>
      </c>
      <c r="O26" s="135">
        <v>0.9</v>
      </c>
      <c r="P26" s="133">
        <v>0.925413432332096</v>
      </c>
      <c r="Q26" s="133">
        <v>0.938715694111378</v>
      </c>
      <c r="R26" s="133">
        <v>0.925974025974026</v>
      </c>
      <c r="S26" s="133">
        <v>0.937623989012666</v>
      </c>
      <c r="T26" s="135">
        <v>0.9</v>
      </c>
      <c r="U26" s="133">
        <v>0.771515356058049</v>
      </c>
      <c r="V26" s="133">
        <v>0.756461497468692</v>
      </c>
      <c r="W26" s="133">
        <v>0.645640074211503</v>
      </c>
      <c r="X26" s="133">
        <v>0.677838394628414</v>
      </c>
      <c r="Y26" s="135">
        <v>0.92</v>
      </c>
      <c r="Z26" s="135">
        <v>0.881637875879719</v>
      </c>
      <c r="AA26" s="135">
        <v>0.89086127547666</v>
      </c>
      <c r="AB26" s="135">
        <v>0.775563541326364</v>
      </c>
      <c r="AC26" s="135">
        <v>0.909124629080119</v>
      </c>
      <c r="AD26" s="135">
        <v>0.92</v>
      </c>
      <c r="AE26" s="133">
        <v>0.99966588706983</v>
      </c>
      <c r="AF26" s="133">
        <v>0.973808276584599</v>
      </c>
      <c r="AG26" s="133">
        <v>0.995823181343543</v>
      </c>
      <c r="AH26" s="133">
        <v>0.991229532797546</v>
      </c>
      <c r="AI26" s="135">
        <v>0.92</v>
      </c>
      <c r="AJ26" s="133">
        <v>0.921122403888643</v>
      </c>
      <c r="AK26" s="133">
        <v>0.922114837976123</v>
      </c>
      <c r="AL26" s="133">
        <v>0.873876005679129</v>
      </c>
      <c r="AM26" s="133">
        <v>0.938970869953907</v>
      </c>
      <c r="AN26" s="132">
        <v>0.99</v>
      </c>
      <c r="AO26" s="137">
        <v>1</v>
      </c>
      <c r="AP26" s="137">
        <v>1</v>
      </c>
      <c r="AQ26" s="137">
        <v>1</v>
      </c>
      <c r="AR26" s="137">
        <v>1</v>
      </c>
      <c r="AS26" s="139">
        <v>0.0872182100128262</v>
      </c>
      <c r="AT26" s="141">
        <v>0.0181818181818182</v>
      </c>
      <c r="AU26" s="141">
        <v>0.0307692307692308</v>
      </c>
      <c r="AV26" s="141">
        <v>0.0416666666666667</v>
      </c>
      <c r="AW26" s="141">
        <v>0.0332502078137988</v>
      </c>
      <c r="AX26" s="95"/>
      <c r="AY26" s="93"/>
    </row>
    <row r="27" ht="14.5" spans="1:51">
      <c r="A27" s="91"/>
      <c r="B27" s="95"/>
      <c r="C27" s="128" t="s">
        <v>24</v>
      </c>
      <c r="D27" s="129" t="s">
        <v>25</v>
      </c>
      <c r="E27" s="130" t="s">
        <v>26</v>
      </c>
      <c r="F27" s="142" t="s">
        <v>46</v>
      </c>
      <c r="G27" s="142" t="s">
        <v>46</v>
      </c>
      <c r="H27" s="142" t="s">
        <v>46</v>
      </c>
      <c r="I27" s="142" t="s">
        <v>46</v>
      </c>
      <c r="J27" s="132">
        <v>0.9</v>
      </c>
      <c r="K27" s="133">
        <v>0.98</v>
      </c>
      <c r="L27" s="133">
        <v>0.986111111111111</v>
      </c>
      <c r="M27" s="134">
        <v>0.945652173913043</v>
      </c>
      <c r="N27" s="133">
        <v>0.952089136490251</v>
      </c>
      <c r="O27" s="135">
        <v>0.9</v>
      </c>
      <c r="P27" s="133">
        <v>0.979700338327695</v>
      </c>
      <c r="Q27" s="133">
        <v>0.965078210258276</v>
      </c>
      <c r="R27" s="133">
        <v>0.984607620489528</v>
      </c>
      <c r="S27" s="133">
        <v>0.941349269387395</v>
      </c>
      <c r="T27" s="135">
        <v>0.9</v>
      </c>
      <c r="U27" s="133">
        <v>0.879168680521991</v>
      </c>
      <c r="V27" s="133">
        <v>0.825027282648236</v>
      </c>
      <c r="W27" s="133">
        <v>0.879636638909917</v>
      </c>
      <c r="X27" s="133">
        <v>0.895545721598144</v>
      </c>
      <c r="Y27" s="135">
        <v>0.92</v>
      </c>
      <c r="Z27" s="135">
        <v>0.914129586260734</v>
      </c>
      <c r="AA27" s="135">
        <v>0.910801963993453</v>
      </c>
      <c r="AB27" s="135">
        <v>0.919755445166221</v>
      </c>
      <c r="AC27" s="135">
        <v>0.949665347509711</v>
      </c>
      <c r="AD27" s="135">
        <v>0.92</v>
      </c>
      <c r="AE27" s="133">
        <v>1</v>
      </c>
      <c r="AF27" s="133">
        <v>0.888888888888889</v>
      </c>
      <c r="AG27" s="133">
        <v>0</v>
      </c>
      <c r="AH27" s="133">
        <v>0.891428571428571</v>
      </c>
      <c r="AI27" s="135">
        <v>0.92</v>
      </c>
      <c r="AJ27" s="133">
        <v>0.93910447761194</v>
      </c>
      <c r="AK27" s="133">
        <v>0.946653246099648</v>
      </c>
      <c r="AL27" s="133">
        <v>0.948936170212766</v>
      </c>
      <c r="AM27" s="133">
        <v>0.968299282205708</v>
      </c>
      <c r="AN27" s="132">
        <v>0.99</v>
      </c>
      <c r="AO27" s="137">
        <v>1</v>
      </c>
      <c r="AP27" s="137">
        <v>1</v>
      </c>
      <c r="AQ27" s="137">
        <v>1</v>
      </c>
      <c r="AR27" s="137">
        <v>1</v>
      </c>
      <c r="AS27" s="139">
        <v>0.0872182100128262</v>
      </c>
      <c r="AT27" s="141">
        <v>0.0967741935483871</v>
      </c>
      <c r="AU27" s="141">
        <v>0.138888888888889</v>
      </c>
      <c r="AV27" s="141">
        <v>0</v>
      </c>
      <c r="AW27" s="141">
        <v>0.0687898089171975</v>
      </c>
      <c r="AX27" s="95"/>
      <c r="AY27" s="93"/>
    </row>
    <row r="28" ht="14.5" spans="1:51">
      <c r="A28" s="91"/>
      <c r="B28" s="95"/>
      <c r="C28" s="128" t="s">
        <v>24</v>
      </c>
      <c r="D28" s="129" t="s">
        <v>25</v>
      </c>
      <c r="E28" s="130" t="s">
        <v>26</v>
      </c>
      <c r="F28" s="142" t="s">
        <v>47</v>
      </c>
      <c r="G28" s="142" t="s">
        <v>47</v>
      </c>
      <c r="H28" s="142" t="s">
        <v>47</v>
      </c>
      <c r="I28" s="142" t="s">
        <v>47</v>
      </c>
      <c r="J28" s="132">
        <v>0.9</v>
      </c>
      <c r="K28" s="133">
        <v>0.982456140350877</v>
      </c>
      <c r="L28" s="133">
        <v>0.981481481481482</v>
      </c>
      <c r="M28" s="134">
        <v>0.981481481481482</v>
      </c>
      <c r="N28" s="133">
        <v>0.970498474059003</v>
      </c>
      <c r="O28" s="135">
        <v>0.9</v>
      </c>
      <c r="P28" s="133">
        <v>0.987037037037037</v>
      </c>
      <c r="Q28" s="133">
        <v>0.974710221285564</v>
      </c>
      <c r="R28" s="133">
        <v>0.985724482512491</v>
      </c>
      <c r="S28" s="133">
        <v>0.969469416534462</v>
      </c>
      <c r="T28" s="135">
        <v>0.9</v>
      </c>
      <c r="U28" s="133">
        <v>0.882716049382716</v>
      </c>
      <c r="V28" s="133">
        <v>0.891991570073762</v>
      </c>
      <c r="W28" s="133">
        <v>0.883654532476802</v>
      </c>
      <c r="X28" s="133">
        <v>0.877401727481051</v>
      </c>
      <c r="Y28" s="135">
        <v>0.92</v>
      </c>
      <c r="Z28" s="135">
        <v>0.944121071012806</v>
      </c>
      <c r="AA28" s="135">
        <v>0.942045454545455</v>
      </c>
      <c r="AB28" s="135">
        <v>0.949839914621131</v>
      </c>
      <c r="AC28" s="135">
        <v>0.961671491891061</v>
      </c>
      <c r="AD28" s="135">
        <v>0.92</v>
      </c>
      <c r="AE28" s="133">
        <v>0.996287456907982</v>
      </c>
      <c r="AF28" s="133">
        <v>0.988137603795967</v>
      </c>
      <c r="AG28" s="133">
        <v>0.997489730716568</v>
      </c>
      <c r="AH28" s="133">
        <v>0.992490934568443</v>
      </c>
      <c r="AI28" s="135">
        <v>0.92</v>
      </c>
      <c r="AJ28" s="133">
        <v>0.956434045986285</v>
      </c>
      <c r="AK28" s="133">
        <v>0.95825836631882</v>
      </c>
      <c r="AL28" s="133">
        <v>0.96450716271114</v>
      </c>
      <c r="AM28" s="133">
        <v>0.974293918037066</v>
      </c>
      <c r="AN28" s="132">
        <v>0.99</v>
      </c>
      <c r="AO28" s="137">
        <v>1</v>
      </c>
      <c r="AP28" s="137">
        <v>1</v>
      </c>
      <c r="AQ28" s="137">
        <v>1</v>
      </c>
      <c r="AR28" s="137">
        <v>1</v>
      </c>
      <c r="AS28" s="139">
        <v>0.0872182100128262</v>
      </c>
      <c r="AT28" s="141">
        <v>0.0833333333333333</v>
      </c>
      <c r="AU28" s="141">
        <v>0.0740740740740741</v>
      </c>
      <c r="AV28" s="141">
        <v>0</v>
      </c>
      <c r="AW28" s="141">
        <v>0.0671256454388985</v>
      </c>
      <c r="AX28" s="95"/>
      <c r="AY28" s="93"/>
    </row>
    <row r="29" ht="14.5" spans="1:51">
      <c r="A29" s="91"/>
      <c r="B29" s="95"/>
      <c r="C29" s="128" t="s">
        <v>24</v>
      </c>
      <c r="D29" s="129" t="s">
        <v>25</v>
      </c>
      <c r="E29" s="130" t="s">
        <v>26</v>
      </c>
      <c r="F29" s="142" t="s">
        <v>48</v>
      </c>
      <c r="G29" s="142" t="s">
        <v>48</v>
      </c>
      <c r="H29" s="142" t="s">
        <v>48</v>
      </c>
      <c r="I29" s="142" t="s">
        <v>48</v>
      </c>
      <c r="J29" s="132">
        <v>0.9</v>
      </c>
      <c r="K29" s="133">
        <v>0.907692307692308</v>
      </c>
      <c r="L29" s="133">
        <v>0.66</v>
      </c>
      <c r="M29" s="134">
        <v>0.807017543859649</v>
      </c>
      <c r="N29" s="133">
        <v>0.849056603773585</v>
      </c>
      <c r="O29" s="135">
        <v>0.9</v>
      </c>
      <c r="P29" s="133">
        <v>0.971374045801527</v>
      </c>
      <c r="Q29" s="133">
        <v>0.958484573502722</v>
      </c>
      <c r="R29" s="133">
        <v>0.977011494252874</v>
      </c>
      <c r="S29" s="133">
        <v>0.987587947688516</v>
      </c>
      <c r="T29" s="135">
        <v>0.9</v>
      </c>
      <c r="U29" s="133">
        <v>0.937738549618321</v>
      </c>
      <c r="V29" s="133">
        <v>0.865471869328494</v>
      </c>
      <c r="W29" s="133">
        <v>0.89463601532567</v>
      </c>
      <c r="X29" s="133">
        <v>0.834837222244306</v>
      </c>
      <c r="Y29" s="135">
        <v>0.92</v>
      </c>
      <c r="Z29" s="135">
        <v>0.952357563850688</v>
      </c>
      <c r="AA29" s="135">
        <v>0.956339210747271</v>
      </c>
      <c r="AB29" s="135">
        <v>0.970525676086296</v>
      </c>
      <c r="AC29" s="135">
        <v>0.966525152464706</v>
      </c>
      <c r="AD29" s="135">
        <v>0.92</v>
      </c>
      <c r="AE29" s="133">
        <v>0.987135731163035</v>
      </c>
      <c r="AF29" s="133">
        <v>0.990132184542877</v>
      </c>
      <c r="AG29" s="133">
        <v>0.992749609788027</v>
      </c>
      <c r="AH29" s="133">
        <v>0.957430203474186</v>
      </c>
      <c r="AI29" s="135">
        <v>0.92</v>
      </c>
      <c r="AJ29" s="133">
        <v>0.965666613187871</v>
      </c>
      <c r="AK29" s="133">
        <v>0.945663378000295</v>
      </c>
      <c r="AL29" s="133">
        <v>0.983361239012139</v>
      </c>
      <c r="AM29" s="133">
        <v>0.976699575106223</v>
      </c>
      <c r="AN29" s="132">
        <v>0.99</v>
      </c>
      <c r="AO29" s="137">
        <v>1</v>
      </c>
      <c r="AP29" s="137">
        <v>1</v>
      </c>
      <c r="AQ29" s="137">
        <v>1</v>
      </c>
      <c r="AR29" s="137">
        <v>1</v>
      </c>
      <c r="AS29" s="139">
        <v>0.0872182100128262</v>
      </c>
      <c r="AT29" s="141">
        <v>0.0309278350515464</v>
      </c>
      <c r="AU29" s="141">
        <v>0.00952380952380952</v>
      </c>
      <c r="AV29" s="141">
        <v>0.027027027027027</v>
      </c>
      <c r="AW29" s="141">
        <v>0.0294936004451864</v>
      </c>
      <c r="AX29" s="95"/>
      <c r="AY29" s="93"/>
    </row>
    <row r="30" ht="14.5" spans="1:51">
      <c r="A30" s="91"/>
      <c r="B30" s="95"/>
      <c r="C30" s="128" t="s">
        <v>24</v>
      </c>
      <c r="D30" s="129" t="s">
        <v>25</v>
      </c>
      <c r="E30" s="130" t="s">
        <v>26</v>
      </c>
      <c r="F30" s="142" t="s">
        <v>49</v>
      </c>
      <c r="G30" s="142" t="s">
        <v>49</v>
      </c>
      <c r="H30" s="142" t="s">
        <v>49</v>
      </c>
      <c r="I30" s="142" t="s">
        <v>49</v>
      </c>
      <c r="J30" s="132">
        <v>0.9</v>
      </c>
      <c r="K30" s="133">
        <v>0.827586206896552</v>
      </c>
      <c r="L30" s="133">
        <v>0.833333333333333</v>
      </c>
      <c r="M30" s="134">
        <v>0.82089552238806</v>
      </c>
      <c r="N30" s="133">
        <v>0.888259109311741</v>
      </c>
      <c r="O30" s="135">
        <v>0.9</v>
      </c>
      <c r="P30" s="133">
        <v>0.968876860622463</v>
      </c>
      <c r="Q30" s="133">
        <v>0.97491219267436</v>
      </c>
      <c r="R30" s="133">
        <v>0.975918493362149</v>
      </c>
      <c r="S30" s="133">
        <v>0.965915310742897</v>
      </c>
      <c r="T30" s="135">
        <v>0.9</v>
      </c>
      <c r="U30" s="133">
        <v>0.784844384303112</v>
      </c>
      <c r="V30" s="133">
        <v>0.778725539387857</v>
      </c>
      <c r="W30" s="133">
        <v>0.795615930842853</v>
      </c>
      <c r="X30" s="133">
        <v>0.8177174039243</v>
      </c>
      <c r="Y30" s="135">
        <v>0.92</v>
      </c>
      <c r="Z30" s="135">
        <v>0.869565217391304</v>
      </c>
      <c r="AA30" s="135">
        <v>0.839285714285714</v>
      </c>
      <c r="AB30" s="135">
        <v>0.896416573348264</v>
      </c>
      <c r="AC30" s="135">
        <v>0.926540570572747</v>
      </c>
      <c r="AD30" s="135">
        <v>0.92</v>
      </c>
      <c r="AE30" s="133">
        <v>0.666666666666667</v>
      </c>
      <c r="AF30" s="133">
        <v>0.333333333333333</v>
      </c>
      <c r="AG30" s="133">
        <v>1</v>
      </c>
      <c r="AH30" s="133">
        <v>0.70625</v>
      </c>
      <c r="AI30" s="135">
        <v>0.92</v>
      </c>
      <c r="AJ30" s="133">
        <v>0.911578947368421</v>
      </c>
      <c r="AK30" s="133">
        <v>0.894080996884735</v>
      </c>
      <c r="AL30" s="133">
        <v>0.923398328690808</v>
      </c>
      <c r="AM30" s="133">
        <v>0.948229097055702</v>
      </c>
      <c r="AN30" s="132">
        <v>0.99</v>
      </c>
      <c r="AO30" s="137">
        <v>1</v>
      </c>
      <c r="AP30" s="137">
        <v>1</v>
      </c>
      <c r="AQ30" s="137" t="s">
        <v>35</v>
      </c>
      <c r="AR30" s="137">
        <v>1</v>
      </c>
      <c r="AS30" s="139">
        <v>0.0872182100128262</v>
      </c>
      <c r="AT30" s="141">
        <v>0.0606060606060606</v>
      </c>
      <c r="AU30" s="141">
        <v>0.0571428571428571</v>
      </c>
      <c r="AV30" s="141">
        <v>0</v>
      </c>
      <c r="AW30" s="141">
        <v>0.0422960725075529</v>
      </c>
      <c r="AX30" s="95"/>
      <c r="AY30" s="93"/>
    </row>
    <row r="31" ht="14.5" spans="1:51">
      <c r="A31" s="91"/>
      <c r="B31" s="95"/>
      <c r="C31" s="128" t="s">
        <v>24</v>
      </c>
      <c r="D31" s="129" t="s">
        <v>25</v>
      </c>
      <c r="E31" s="130" t="s">
        <v>26</v>
      </c>
      <c r="F31" s="142" t="s">
        <v>50</v>
      </c>
      <c r="G31" s="142" t="s">
        <v>50</v>
      </c>
      <c r="H31" s="142" t="s">
        <v>50</v>
      </c>
      <c r="I31" s="142" t="s">
        <v>50</v>
      </c>
      <c r="J31" s="132">
        <v>0.9</v>
      </c>
      <c r="K31" s="133">
        <v>0.967391304347826</v>
      </c>
      <c r="L31" s="133">
        <v>0.948051948051948</v>
      </c>
      <c r="M31" s="134">
        <v>0.929411764705882</v>
      </c>
      <c r="N31" s="133">
        <v>0.93586387434555</v>
      </c>
      <c r="O31" s="135">
        <v>0.9</v>
      </c>
      <c r="P31" s="133">
        <v>0.988150807899461</v>
      </c>
      <c r="Q31" s="133">
        <v>0.989928909952607</v>
      </c>
      <c r="R31" s="133">
        <v>0.99684186780961</v>
      </c>
      <c r="S31" s="133">
        <v>0.952756589746065</v>
      </c>
      <c r="T31" s="135">
        <v>0.9</v>
      </c>
      <c r="U31" s="133">
        <v>0.887971274685817</v>
      </c>
      <c r="V31" s="133">
        <v>0.755627962085308</v>
      </c>
      <c r="W31" s="133">
        <v>0.729077374238665</v>
      </c>
      <c r="X31" s="133">
        <v>0.768890605387661</v>
      </c>
      <c r="Y31" s="135">
        <v>0.92</v>
      </c>
      <c r="Z31" s="135">
        <v>0.918881118881119</v>
      </c>
      <c r="AA31" s="135">
        <v>0.740932642487047</v>
      </c>
      <c r="AB31" s="135">
        <v>0.775126536514823</v>
      </c>
      <c r="AC31" s="135">
        <v>0.878664181518508</v>
      </c>
      <c r="AD31" s="135">
        <v>0.92</v>
      </c>
      <c r="AE31" s="133">
        <v>1</v>
      </c>
      <c r="AF31" s="133">
        <v>0.995083579154376</v>
      </c>
      <c r="AG31" s="133">
        <v>0.999385182908085</v>
      </c>
      <c r="AH31" s="133">
        <v>0.995592132793974</v>
      </c>
      <c r="AI31" s="135">
        <v>0.92</v>
      </c>
      <c r="AJ31" s="133">
        <v>0.94855381697487</v>
      </c>
      <c r="AK31" s="133">
        <v>0.813821138211382</v>
      </c>
      <c r="AL31" s="133">
        <v>0.800305513123177</v>
      </c>
      <c r="AM31" s="133">
        <v>0.903628757083939</v>
      </c>
      <c r="AN31" s="132">
        <v>0.99</v>
      </c>
      <c r="AO31" s="137">
        <v>1</v>
      </c>
      <c r="AP31" s="137">
        <v>1</v>
      </c>
      <c r="AQ31" s="137">
        <v>1</v>
      </c>
      <c r="AR31" s="137">
        <v>1</v>
      </c>
      <c r="AS31" s="139">
        <v>0.0872182100128262</v>
      </c>
      <c r="AT31" s="141">
        <v>0.1</v>
      </c>
      <c r="AU31" s="141">
        <v>0.0425531914893617</v>
      </c>
      <c r="AV31" s="141">
        <v>0.0408163265306122</v>
      </c>
      <c r="AW31" s="141">
        <v>0.072289156626506</v>
      </c>
      <c r="AX31" s="95"/>
      <c r="AY31" s="93"/>
    </row>
    <row r="32" ht="14.5" spans="1:51">
      <c r="A32" s="91"/>
      <c r="B32" s="95"/>
      <c r="C32" s="128" t="s">
        <v>24</v>
      </c>
      <c r="D32" s="129" t="s">
        <v>25</v>
      </c>
      <c r="E32" s="130" t="s">
        <v>26</v>
      </c>
      <c r="F32" s="142" t="s">
        <v>51</v>
      </c>
      <c r="G32" s="142" t="s">
        <v>51</v>
      </c>
      <c r="H32" s="142" t="s">
        <v>51</v>
      </c>
      <c r="I32" s="142" t="s">
        <v>51</v>
      </c>
      <c r="J32" s="132">
        <v>0.9</v>
      </c>
      <c r="K32" s="133">
        <v>0.931506849315068</v>
      </c>
      <c r="L32" s="133">
        <v>0.872727272727273</v>
      </c>
      <c r="M32" s="134">
        <v>0.863636363636364</v>
      </c>
      <c r="N32" s="133">
        <v>0.928514694201747</v>
      </c>
      <c r="O32" s="135">
        <v>0.9</v>
      </c>
      <c r="P32" s="133">
        <v>0.989337822671156</v>
      </c>
      <c r="Q32" s="133">
        <v>0.992307692307692</v>
      </c>
      <c r="R32" s="133">
        <v>0.978968596946125</v>
      </c>
      <c r="S32" s="133">
        <v>0.962963509683514</v>
      </c>
      <c r="T32" s="135">
        <v>0.9</v>
      </c>
      <c r="U32" s="133">
        <v>0.866442199775533</v>
      </c>
      <c r="V32" s="133">
        <v>0.812393162393162</v>
      </c>
      <c r="W32" s="133">
        <v>0.871506770383175</v>
      </c>
      <c r="X32" s="133">
        <v>0.878070382616911</v>
      </c>
      <c r="Y32" s="135">
        <v>0.92</v>
      </c>
      <c r="Z32" s="135">
        <v>0.932407407407407</v>
      </c>
      <c r="AA32" s="135">
        <v>0.91600790513834</v>
      </c>
      <c r="AB32" s="135">
        <v>0.906835443037975</v>
      </c>
      <c r="AC32" s="135">
        <v>0.953674009223062</v>
      </c>
      <c r="AD32" s="135">
        <v>0.92</v>
      </c>
      <c r="AE32" s="133">
        <v>0.999198717948718</v>
      </c>
      <c r="AF32" s="133">
        <v>0.999519692603266</v>
      </c>
      <c r="AG32" s="133">
        <v>0.998174516246805</v>
      </c>
      <c r="AH32" s="133">
        <v>0.997405587436858</v>
      </c>
      <c r="AI32" s="135">
        <v>0.92</v>
      </c>
      <c r="AJ32" s="133">
        <v>0.939203354297694</v>
      </c>
      <c r="AK32" s="133">
        <v>0.946944858420268</v>
      </c>
      <c r="AL32" s="133">
        <v>0.933541398935194</v>
      </c>
      <c r="AM32" s="133">
        <v>0.967629513628011</v>
      </c>
      <c r="AN32" s="132">
        <v>0.99</v>
      </c>
      <c r="AO32" s="137">
        <v>1</v>
      </c>
      <c r="AP32" s="137">
        <v>1</v>
      </c>
      <c r="AQ32" s="137">
        <v>1</v>
      </c>
      <c r="AR32" s="137">
        <v>1</v>
      </c>
      <c r="AS32" s="139">
        <v>0.0872182100128262</v>
      </c>
      <c r="AT32" s="141">
        <v>0.0882352941176471</v>
      </c>
      <c r="AU32" s="141">
        <v>0.0277777777777778</v>
      </c>
      <c r="AV32" s="141">
        <v>0.0540540540540541</v>
      </c>
      <c r="AW32" s="141">
        <v>0.0525502318392581</v>
      </c>
      <c r="AX32" s="95"/>
      <c r="AY32" s="93"/>
    </row>
    <row r="33" ht="14.5" spans="1:51">
      <c r="A33" s="91"/>
      <c r="B33" s="95"/>
      <c r="C33" s="128" t="s">
        <v>24</v>
      </c>
      <c r="D33" s="129" t="s">
        <v>25</v>
      </c>
      <c r="E33" s="130" t="s">
        <v>26</v>
      </c>
      <c r="F33" s="142" t="s">
        <v>52</v>
      </c>
      <c r="G33" s="142" t="s">
        <v>52</v>
      </c>
      <c r="H33" s="142" t="s">
        <v>52</v>
      </c>
      <c r="I33" s="142" t="s">
        <v>52</v>
      </c>
      <c r="J33" s="132">
        <v>0.9</v>
      </c>
      <c r="K33" s="133">
        <v>0.941176470588235</v>
      </c>
      <c r="L33" s="133">
        <v>0.909090909090909</v>
      </c>
      <c r="M33" s="134">
        <v>0.854838709677419</v>
      </c>
      <c r="N33" s="133">
        <v>0.906095551894563</v>
      </c>
      <c r="O33" s="135">
        <v>0.9</v>
      </c>
      <c r="P33" s="133">
        <v>0.768823306848278</v>
      </c>
      <c r="Q33" s="133">
        <v>0.85965555148406</v>
      </c>
      <c r="R33" s="133">
        <v>0.913933277263807</v>
      </c>
      <c r="S33" s="133">
        <v>0.862019989479221</v>
      </c>
      <c r="T33" s="135">
        <v>0.9</v>
      </c>
      <c r="U33" s="133">
        <v>0.807037457434733</v>
      </c>
      <c r="V33" s="133">
        <v>0.707218761451081</v>
      </c>
      <c r="W33" s="133">
        <v>0.728343145500421</v>
      </c>
      <c r="X33" s="133">
        <v>0.782062072593372</v>
      </c>
      <c r="Y33" s="135">
        <v>0.92</v>
      </c>
      <c r="Z33" s="135">
        <v>0.927601809954751</v>
      </c>
      <c r="AA33" s="135">
        <v>0.935739436619718</v>
      </c>
      <c r="AB33" s="135">
        <v>0.958011996572408</v>
      </c>
      <c r="AC33" s="135">
        <v>0.949269230769231</v>
      </c>
      <c r="AD33" s="135">
        <v>0.92</v>
      </c>
      <c r="AE33" s="133">
        <v>0.998664387220857</v>
      </c>
      <c r="AF33" s="133">
        <v>0.998166948674563</v>
      </c>
      <c r="AG33" s="133">
        <v>0.975985341702078</v>
      </c>
      <c r="AH33" s="133">
        <v>0.969485004442507</v>
      </c>
      <c r="AI33" s="135">
        <v>0.92</v>
      </c>
      <c r="AJ33" s="133">
        <v>0.932764140875133</v>
      </c>
      <c r="AK33" s="133">
        <v>0.899379203310916</v>
      </c>
      <c r="AL33" s="133">
        <v>0.95766299745978</v>
      </c>
      <c r="AM33" s="133">
        <v>0.95890453736377</v>
      </c>
      <c r="AN33" s="132">
        <v>0.99</v>
      </c>
      <c r="AO33" s="137">
        <v>1</v>
      </c>
      <c r="AP33" s="137">
        <v>1</v>
      </c>
      <c r="AQ33" s="137">
        <v>1</v>
      </c>
      <c r="AR33" s="137">
        <v>1</v>
      </c>
      <c r="AS33" s="139">
        <v>0.0872182100128262</v>
      </c>
      <c r="AT33" s="141">
        <v>0.135135135135135</v>
      </c>
      <c r="AU33" s="141">
        <v>0.1</v>
      </c>
      <c r="AV33" s="141">
        <v>0</v>
      </c>
      <c r="AW33" s="141">
        <v>0.0697350069735007</v>
      </c>
      <c r="AX33" s="95"/>
      <c r="AY33" s="93"/>
    </row>
    <row r="34" ht="14.5" spans="1:51">
      <c r="A34" s="91"/>
      <c r="B34" s="95"/>
      <c r="C34" s="128" t="s">
        <v>24</v>
      </c>
      <c r="D34" s="129" t="s">
        <v>25</v>
      </c>
      <c r="E34" s="130" t="s">
        <v>26</v>
      </c>
      <c r="F34" s="142" t="s">
        <v>53</v>
      </c>
      <c r="G34" s="142" t="s">
        <v>53</v>
      </c>
      <c r="H34" s="142" t="s">
        <v>53</v>
      </c>
      <c r="I34" s="142" t="s">
        <v>53</v>
      </c>
      <c r="J34" s="132">
        <v>0.9</v>
      </c>
      <c r="K34" s="133">
        <v>0.983739837398374</v>
      </c>
      <c r="L34" s="133">
        <v>1</v>
      </c>
      <c r="M34" s="134">
        <v>0.990566037735849</v>
      </c>
      <c r="N34" s="133">
        <v>0.978561219628394</v>
      </c>
      <c r="O34" s="135">
        <v>0.9</v>
      </c>
      <c r="P34" s="133">
        <v>0.992716909436352</v>
      </c>
      <c r="Q34" s="133">
        <v>0.993424657534247</v>
      </c>
      <c r="R34" s="133">
        <v>0.995961538461538</v>
      </c>
      <c r="S34" s="133">
        <v>0.993288825807356</v>
      </c>
      <c r="T34" s="135">
        <v>0.9</v>
      </c>
      <c r="U34" s="133">
        <v>0.885370487650412</v>
      </c>
      <c r="V34" s="133">
        <v>0.841917808219178</v>
      </c>
      <c r="W34" s="133">
        <v>0.822307692307692</v>
      </c>
      <c r="X34" s="133">
        <v>0.870078326236661</v>
      </c>
      <c r="Y34" s="135">
        <v>0.92</v>
      </c>
      <c r="Z34" s="135">
        <v>0.917276308384918</v>
      </c>
      <c r="AA34" s="135">
        <v>0.825109306683323</v>
      </c>
      <c r="AB34" s="135">
        <v>0.869671879791475</v>
      </c>
      <c r="AC34" s="135">
        <v>0.934022954401392</v>
      </c>
      <c r="AD34" s="135">
        <v>0.92</v>
      </c>
      <c r="AE34" s="133">
        <v>0.980911983032874</v>
      </c>
      <c r="AF34" s="133">
        <v>0.987551867219917</v>
      </c>
      <c r="AG34" s="133">
        <v>0.99295154185022</v>
      </c>
      <c r="AH34" s="133">
        <v>0.986405086589141</v>
      </c>
      <c r="AI34" s="135">
        <v>0.92</v>
      </c>
      <c r="AJ34" s="133">
        <v>0.946707193515704</v>
      </c>
      <c r="AK34" s="133">
        <v>0.902894135567403</v>
      </c>
      <c r="AL34" s="133">
        <v>0.915731001063704</v>
      </c>
      <c r="AM34" s="133">
        <v>0.956355254842187</v>
      </c>
      <c r="AN34" s="132">
        <v>0.99</v>
      </c>
      <c r="AO34" s="137">
        <v>1</v>
      </c>
      <c r="AP34" s="137">
        <v>1</v>
      </c>
      <c r="AQ34" s="137">
        <v>1</v>
      </c>
      <c r="AR34" s="137">
        <v>1</v>
      </c>
      <c r="AS34" s="139">
        <v>0.0872182100128262</v>
      </c>
      <c r="AT34" s="141">
        <v>0.0615384615384615</v>
      </c>
      <c r="AU34" s="141">
        <v>0.0784313725490196</v>
      </c>
      <c r="AV34" s="141">
        <v>0.03125</v>
      </c>
      <c r="AW34" s="141">
        <v>0.0480928689883914</v>
      </c>
      <c r="AX34" s="95"/>
      <c r="AY34" s="93"/>
    </row>
    <row r="35" ht="14.5" spans="1:51">
      <c r="A35" s="91"/>
      <c r="B35" s="95"/>
      <c r="C35" s="128" t="s">
        <v>24</v>
      </c>
      <c r="D35" s="129" t="s">
        <v>25</v>
      </c>
      <c r="E35" s="130" t="s">
        <v>26</v>
      </c>
      <c r="F35" s="142" t="s">
        <v>54</v>
      </c>
      <c r="G35" s="142" t="s">
        <v>54</v>
      </c>
      <c r="H35" s="142" t="s">
        <v>54</v>
      </c>
      <c r="I35" s="142" t="s">
        <v>54</v>
      </c>
      <c r="J35" s="132">
        <v>0.9</v>
      </c>
      <c r="K35" s="133">
        <v>0.923076923076923</v>
      </c>
      <c r="L35" s="133">
        <v>0.934210526315789</v>
      </c>
      <c r="M35" s="134">
        <v>0.91304347826087</v>
      </c>
      <c r="N35" s="133">
        <v>0.891676866585067</v>
      </c>
      <c r="O35" s="135">
        <v>0.9</v>
      </c>
      <c r="P35" s="133">
        <v>0.930503252310852</v>
      </c>
      <c r="Q35" s="133">
        <v>0.891734575087311</v>
      </c>
      <c r="R35" s="133">
        <v>0.9009978477793</v>
      </c>
      <c r="S35" s="133">
        <v>0.935020402931185</v>
      </c>
      <c r="T35" s="135">
        <v>0.9</v>
      </c>
      <c r="U35" s="133">
        <v>0.896953098254023</v>
      </c>
      <c r="V35" s="133">
        <v>0.828288707799767</v>
      </c>
      <c r="W35" s="133">
        <v>0.82840931324594</v>
      </c>
      <c r="X35" s="133">
        <v>0.809643856688102</v>
      </c>
      <c r="Y35" s="135">
        <v>0.92</v>
      </c>
      <c r="Z35" s="135">
        <v>0.944200626959248</v>
      </c>
      <c r="AA35" s="135">
        <v>0.888546798029557</v>
      </c>
      <c r="AB35" s="135">
        <v>0.910467855940761</v>
      </c>
      <c r="AC35" s="135">
        <v>0.935697440824526</v>
      </c>
      <c r="AD35" s="135">
        <v>0.92</v>
      </c>
      <c r="AE35" s="133">
        <v>0.998056887712915</v>
      </c>
      <c r="AF35" s="133">
        <v>0.998797457481532</v>
      </c>
      <c r="AG35" s="133">
        <v>0.995802544707271</v>
      </c>
      <c r="AH35" s="133">
        <v>0.955346698660385</v>
      </c>
      <c r="AI35" s="135">
        <v>0.92</v>
      </c>
      <c r="AJ35" s="133">
        <v>0.96036315323295</v>
      </c>
      <c r="AK35" s="133">
        <v>0.933425523508495</v>
      </c>
      <c r="AL35" s="133">
        <v>0.944946183347767</v>
      </c>
      <c r="AM35" s="133">
        <v>0.958506746547199</v>
      </c>
      <c r="AN35" s="132">
        <v>0.99</v>
      </c>
      <c r="AO35" s="137">
        <v>1</v>
      </c>
      <c r="AP35" s="137">
        <v>1</v>
      </c>
      <c r="AQ35" s="137">
        <v>1</v>
      </c>
      <c r="AR35" s="137">
        <v>0.999418266433973</v>
      </c>
      <c r="AS35" s="139">
        <v>0.0872182100128262</v>
      </c>
      <c r="AT35" s="141">
        <v>0.105263157894737</v>
      </c>
      <c r="AU35" s="141">
        <v>0.108108108108108</v>
      </c>
      <c r="AV35" s="141">
        <v>0</v>
      </c>
      <c r="AW35" s="141">
        <v>0.0865497076023392</v>
      </c>
      <c r="AX35" s="95"/>
      <c r="AY35" s="93"/>
    </row>
    <row r="36" ht="14.5" spans="1:51">
      <c r="A36" s="91"/>
      <c r="B36" s="95"/>
      <c r="C36" s="128" t="s">
        <v>24</v>
      </c>
      <c r="D36" s="129" t="s">
        <v>25</v>
      </c>
      <c r="E36" s="130" t="s">
        <v>26</v>
      </c>
      <c r="F36" s="142" t="s">
        <v>55</v>
      </c>
      <c r="G36" s="142" t="s">
        <v>55</v>
      </c>
      <c r="H36" s="142" t="s">
        <v>55</v>
      </c>
      <c r="I36" s="142" t="s">
        <v>55</v>
      </c>
      <c r="J36" s="132">
        <v>0.9</v>
      </c>
      <c r="K36" s="133">
        <v>0.960264900662252</v>
      </c>
      <c r="L36" s="133">
        <v>0.954545454545455</v>
      </c>
      <c r="M36" s="134">
        <v>0.895833333333333</v>
      </c>
      <c r="N36" s="133">
        <v>0.912678114724151</v>
      </c>
      <c r="O36" s="135">
        <v>0.9</v>
      </c>
      <c r="P36" s="133">
        <v>0.967365967365967</v>
      </c>
      <c r="Q36" s="133">
        <v>0.957942238267148</v>
      </c>
      <c r="R36" s="133">
        <v>0.948500418210061</v>
      </c>
      <c r="S36" s="133">
        <v>0.941914521369658</v>
      </c>
      <c r="T36" s="135">
        <v>0.9</v>
      </c>
      <c r="U36" s="133">
        <v>0.792074592074592</v>
      </c>
      <c r="V36" s="133">
        <v>0.766425992779783</v>
      </c>
      <c r="W36" s="133">
        <v>0.712988409606883</v>
      </c>
      <c r="X36" s="133">
        <v>0.759666333416646</v>
      </c>
      <c r="Y36" s="135">
        <v>0.92</v>
      </c>
      <c r="Z36" s="135">
        <v>0.882886776145203</v>
      </c>
      <c r="AA36" s="135">
        <v>0.891739130434783</v>
      </c>
      <c r="AB36" s="135">
        <v>0.853411962931761</v>
      </c>
      <c r="AC36" s="135">
        <v>0.911770599551138</v>
      </c>
      <c r="AD36" s="135">
        <v>0.92</v>
      </c>
      <c r="AE36" s="133">
        <v>0.982035928143713</v>
      </c>
      <c r="AF36" s="133">
        <v>0.873239436619718</v>
      </c>
      <c r="AG36" s="133">
        <v>0.954614220877458</v>
      </c>
      <c r="AH36" s="133">
        <v>0.968103448275862</v>
      </c>
      <c r="AI36" s="135">
        <v>0.92</v>
      </c>
      <c r="AJ36" s="133">
        <v>0.906723198061781</v>
      </c>
      <c r="AK36" s="133">
        <v>0.916369199388067</v>
      </c>
      <c r="AL36" s="133">
        <v>0.89616528169551</v>
      </c>
      <c r="AM36" s="133">
        <v>0.937995205239603</v>
      </c>
      <c r="AN36" s="132">
        <v>0.99</v>
      </c>
      <c r="AO36" s="137">
        <v>1</v>
      </c>
      <c r="AP36" s="137">
        <v>1</v>
      </c>
      <c r="AQ36" s="137">
        <v>1</v>
      </c>
      <c r="AR36" s="137">
        <v>1</v>
      </c>
      <c r="AS36" s="139">
        <v>0.0872182100128262</v>
      </c>
      <c r="AT36" s="141">
        <v>0.135135135135135</v>
      </c>
      <c r="AU36" s="141">
        <v>0.0526315789473684</v>
      </c>
      <c r="AV36" s="141">
        <v>0.0689655172413793</v>
      </c>
      <c r="AW36" s="141">
        <v>0.0665064102564103</v>
      </c>
      <c r="AX36" s="95"/>
      <c r="AY36" s="93"/>
    </row>
    <row r="37" ht="14.5" spans="1:51">
      <c r="A37" s="91"/>
      <c r="B37" s="95"/>
      <c r="C37" s="128" t="s">
        <v>24</v>
      </c>
      <c r="D37" s="129" t="s">
        <v>25</v>
      </c>
      <c r="E37" s="130" t="s">
        <v>26</v>
      </c>
      <c r="F37" s="142" t="s">
        <v>56</v>
      </c>
      <c r="G37" s="142" t="s">
        <v>56</v>
      </c>
      <c r="H37" s="142" t="s">
        <v>56</v>
      </c>
      <c r="I37" s="142" t="s">
        <v>56</v>
      </c>
      <c r="J37" s="132">
        <v>0.9</v>
      </c>
      <c r="K37" s="133" t="s">
        <v>35</v>
      </c>
      <c r="L37" s="133" t="s">
        <v>35</v>
      </c>
      <c r="M37" s="134" t="s">
        <v>35</v>
      </c>
      <c r="N37" s="133" t="s">
        <v>35</v>
      </c>
      <c r="O37" s="135">
        <v>0.9</v>
      </c>
      <c r="P37" s="133" t="s">
        <v>35</v>
      </c>
      <c r="Q37" s="133" t="s">
        <v>35</v>
      </c>
      <c r="R37" s="133" t="s">
        <v>35</v>
      </c>
      <c r="S37" s="133">
        <v>0.987740805604203</v>
      </c>
      <c r="T37" s="135">
        <v>0.9</v>
      </c>
      <c r="U37" s="133" t="s">
        <v>35</v>
      </c>
      <c r="V37" s="133" t="s">
        <v>35</v>
      </c>
      <c r="W37" s="133" t="s">
        <v>35</v>
      </c>
      <c r="X37" s="133">
        <v>0.992994746059545</v>
      </c>
      <c r="Y37" s="135">
        <v>0.92</v>
      </c>
      <c r="Z37" s="135" t="s">
        <v>35</v>
      </c>
      <c r="AA37" s="135" t="s">
        <v>35</v>
      </c>
      <c r="AB37" s="135">
        <v>1</v>
      </c>
      <c r="AC37" s="135">
        <v>0.996887966804979</v>
      </c>
      <c r="AD37" s="135">
        <v>0.92</v>
      </c>
      <c r="AE37" s="133" t="s">
        <v>35</v>
      </c>
      <c r="AF37" s="133" t="s">
        <v>35</v>
      </c>
      <c r="AG37" s="133" t="s">
        <v>35</v>
      </c>
      <c r="AH37" s="133">
        <v>0.999397729905027</v>
      </c>
      <c r="AI37" s="135">
        <v>0.92</v>
      </c>
      <c r="AJ37" s="133" t="s">
        <v>35</v>
      </c>
      <c r="AK37" s="133" t="s">
        <v>35</v>
      </c>
      <c r="AL37" s="133">
        <v>1</v>
      </c>
      <c r="AM37" s="133">
        <v>0.996272828922848</v>
      </c>
      <c r="AN37" s="132">
        <v>0.99</v>
      </c>
      <c r="AO37" s="137" t="s">
        <v>35</v>
      </c>
      <c r="AP37" s="137" t="s">
        <v>35</v>
      </c>
      <c r="AQ37" s="137" t="s">
        <v>35</v>
      </c>
      <c r="AR37" s="137">
        <v>1</v>
      </c>
      <c r="AS37" s="139">
        <v>0.0872182100128262</v>
      </c>
      <c r="AT37" s="141" t="s">
        <v>35</v>
      </c>
      <c r="AU37" s="141" t="s">
        <v>35</v>
      </c>
      <c r="AV37" s="141" t="s">
        <v>35</v>
      </c>
      <c r="AW37" s="141" t="s">
        <v>35</v>
      </c>
      <c r="AX37" s="95"/>
      <c r="AY37" s="93"/>
    </row>
    <row r="38" ht="14.5" spans="1:51">
      <c r="A38" s="91"/>
      <c r="B38" s="95"/>
      <c r="C38" s="128" t="s">
        <v>24</v>
      </c>
      <c r="D38" s="129" t="s">
        <v>25</v>
      </c>
      <c r="E38" s="130" t="s">
        <v>26</v>
      </c>
      <c r="F38" s="142" t="s">
        <v>57</v>
      </c>
      <c r="G38" s="142" t="s">
        <v>57</v>
      </c>
      <c r="H38" s="142" t="s">
        <v>57</v>
      </c>
      <c r="I38" s="142" t="s">
        <v>57</v>
      </c>
      <c r="J38" s="132">
        <v>0.9</v>
      </c>
      <c r="K38" s="133">
        <v>0.954545454545455</v>
      </c>
      <c r="L38" s="133">
        <v>1</v>
      </c>
      <c r="M38" s="134">
        <v>1</v>
      </c>
      <c r="N38" s="133">
        <v>0.982485404503753</v>
      </c>
      <c r="O38" s="135">
        <v>0.9</v>
      </c>
      <c r="P38" s="133">
        <v>0.97847809377402</v>
      </c>
      <c r="Q38" s="133">
        <v>0.991927346115035</v>
      </c>
      <c r="R38" s="133">
        <v>0.984773846842812</v>
      </c>
      <c r="S38" s="133">
        <v>0.979011136947742</v>
      </c>
      <c r="T38" s="135">
        <v>0.9</v>
      </c>
      <c r="U38" s="133">
        <v>0.873174481168332</v>
      </c>
      <c r="V38" s="133">
        <v>0.8627648839556</v>
      </c>
      <c r="W38" s="133">
        <v>0.798701298701299</v>
      </c>
      <c r="X38" s="133">
        <v>0.838000244768082</v>
      </c>
      <c r="Y38" s="135">
        <v>0.92</v>
      </c>
      <c r="Z38" s="135">
        <v>0.913663663663664</v>
      </c>
      <c r="AA38" s="135">
        <v>0.904574132492114</v>
      </c>
      <c r="AB38" s="135">
        <v>0.867880666408369</v>
      </c>
      <c r="AC38" s="135">
        <v>0.936666355750396</v>
      </c>
      <c r="AD38" s="135">
        <v>0.92</v>
      </c>
      <c r="AE38" s="133">
        <v>0.999678021765729</v>
      </c>
      <c r="AF38" s="133">
        <v>0.960834181078332</v>
      </c>
      <c r="AG38" s="133">
        <v>0.994413407821229</v>
      </c>
      <c r="AH38" s="133">
        <v>0.962904105386936</v>
      </c>
      <c r="AI38" s="135">
        <v>0.92</v>
      </c>
      <c r="AJ38" s="133">
        <v>0.933672172808132</v>
      </c>
      <c r="AK38" s="133">
        <v>0.948868991517436</v>
      </c>
      <c r="AL38" s="133">
        <v>0.910896708286039</v>
      </c>
      <c r="AM38" s="133">
        <v>0.956894386073798</v>
      </c>
      <c r="AN38" s="132">
        <v>0.99</v>
      </c>
      <c r="AO38" s="137">
        <v>1</v>
      </c>
      <c r="AP38" s="137">
        <v>1</v>
      </c>
      <c r="AQ38" s="137">
        <v>1</v>
      </c>
      <c r="AR38" s="137">
        <v>1</v>
      </c>
      <c r="AS38" s="139">
        <v>0.0872182100128262</v>
      </c>
      <c r="AT38" s="141">
        <v>0</v>
      </c>
      <c r="AU38" s="141">
        <v>0.142857142857143</v>
      </c>
      <c r="AV38" s="141">
        <v>0.117647058823529</v>
      </c>
      <c r="AW38" s="141">
        <v>0.0593607305936073</v>
      </c>
      <c r="AX38" s="95"/>
      <c r="AY38" s="93"/>
    </row>
    <row r="39" ht="14.5" spans="1:51">
      <c r="A39" s="91"/>
      <c r="B39" s="95"/>
      <c r="C39" s="128" t="s">
        <v>24</v>
      </c>
      <c r="D39" s="129" t="s">
        <v>25</v>
      </c>
      <c r="E39" s="130" t="s">
        <v>26</v>
      </c>
      <c r="F39" s="142" t="s">
        <v>58</v>
      </c>
      <c r="G39" s="142" t="s">
        <v>58</v>
      </c>
      <c r="H39" s="142" t="s">
        <v>58</v>
      </c>
      <c r="I39" s="142" t="s">
        <v>58</v>
      </c>
      <c r="J39" s="132">
        <v>0.9</v>
      </c>
      <c r="K39" s="133">
        <v>0.932203389830508</v>
      </c>
      <c r="L39" s="133">
        <v>0.966101694915254</v>
      </c>
      <c r="M39" s="134">
        <v>0.936507936507937</v>
      </c>
      <c r="N39" s="133">
        <v>0.94021294021294</v>
      </c>
      <c r="O39" s="135">
        <v>0.9</v>
      </c>
      <c r="P39" s="133">
        <v>1</v>
      </c>
      <c r="Q39" s="133">
        <v>0.995307612095933</v>
      </c>
      <c r="R39" s="133">
        <v>0.99530358939953</v>
      </c>
      <c r="S39" s="133">
        <v>0.995897196417552</v>
      </c>
      <c r="T39" s="135">
        <v>0.9</v>
      </c>
      <c r="U39" s="133">
        <v>0.887925283522348</v>
      </c>
      <c r="V39" s="133">
        <v>0.846193952033368</v>
      </c>
      <c r="W39" s="133">
        <v>0.85340489768534</v>
      </c>
      <c r="X39" s="133">
        <v>0.849513834453543</v>
      </c>
      <c r="Y39" s="135">
        <v>0.92</v>
      </c>
      <c r="Z39" s="135">
        <v>0.907035175879397</v>
      </c>
      <c r="AA39" s="135">
        <v>0.910501193317422</v>
      </c>
      <c r="AB39" s="135">
        <v>0.935882352941176</v>
      </c>
      <c r="AC39" s="135">
        <v>0.94583962060789</v>
      </c>
      <c r="AD39" s="135">
        <v>0.92</v>
      </c>
      <c r="AE39" s="133">
        <v>0.984042553191489</v>
      </c>
      <c r="AF39" s="133">
        <v>1</v>
      </c>
      <c r="AG39" s="133">
        <v>0.994623655913978</v>
      </c>
      <c r="AH39" s="133">
        <v>0.965880893300248</v>
      </c>
      <c r="AI39" s="135">
        <v>0.92</v>
      </c>
      <c r="AJ39" s="133">
        <v>0.932461873638344</v>
      </c>
      <c r="AK39" s="133">
        <v>0.935483870967742</v>
      </c>
      <c r="AL39" s="133">
        <v>0.948301644947661</v>
      </c>
      <c r="AM39" s="133">
        <v>0.961939391442286</v>
      </c>
      <c r="AN39" s="132">
        <v>0.99</v>
      </c>
      <c r="AO39" s="137">
        <v>1</v>
      </c>
      <c r="AP39" s="137">
        <v>1</v>
      </c>
      <c r="AQ39" s="137">
        <v>1</v>
      </c>
      <c r="AR39" s="137">
        <v>1</v>
      </c>
      <c r="AS39" s="139">
        <v>0.0872182100128262</v>
      </c>
      <c r="AT39" s="141">
        <v>0</v>
      </c>
      <c r="AU39" s="141">
        <v>0.05</v>
      </c>
      <c r="AV39" s="141">
        <v>0.0967741935483871</v>
      </c>
      <c r="AW39" s="141">
        <v>0.0584677419354839</v>
      </c>
      <c r="AX39" s="95"/>
      <c r="AY39" s="93"/>
    </row>
    <row r="40" ht="14.5" spans="1:51">
      <c r="A40" s="91"/>
      <c r="B40" s="95"/>
      <c r="C40" s="128" t="s">
        <v>24</v>
      </c>
      <c r="D40" s="129" t="s">
        <v>25</v>
      </c>
      <c r="E40" s="130" t="s">
        <v>26</v>
      </c>
      <c r="F40" s="142" t="s">
        <v>59</v>
      </c>
      <c r="G40" s="142" t="s">
        <v>59</v>
      </c>
      <c r="H40" s="142" t="s">
        <v>59</v>
      </c>
      <c r="I40" s="142" t="s">
        <v>59</v>
      </c>
      <c r="J40" s="132">
        <v>0.9</v>
      </c>
      <c r="K40" s="133">
        <v>0.976190476190476</v>
      </c>
      <c r="L40" s="133">
        <v>0.941176470588235</v>
      </c>
      <c r="M40" s="134">
        <v>0.936708860759494</v>
      </c>
      <c r="N40" s="133">
        <v>0.939905469277515</v>
      </c>
      <c r="O40" s="135">
        <v>0.9</v>
      </c>
      <c r="P40" s="133">
        <v>0.986321626617375</v>
      </c>
      <c r="Q40" s="133">
        <v>0.971576227390181</v>
      </c>
      <c r="R40" s="133">
        <v>0.939854191980559</v>
      </c>
      <c r="S40" s="133">
        <v>0.970354143044287</v>
      </c>
      <c r="T40" s="135">
        <v>0.9</v>
      </c>
      <c r="U40" s="133">
        <v>0.862107208872458</v>
      </c>
      <c r="V40" s="133">
        <v>0.749354005167959</v>
      </c>
      <c r="W40" s="133">
        <v>0.793843661401377</v>
      </c>
      <c r="X40" s="133">
        <v>0.818899371415361</v>
      </c>
      <c r="Y40" s="135">
        <v>0.92</v>
      </c>
      <c r="Z40" s="135">
        <v>0.94375</v>
      </c>
      <c r="AA40" s="135">
        <v>0.85997357992074</v>
      </c>
      <c r="AB40" s="135">
        <v>0.897227856659905</v>
      </c>
      <c r="AC40" s="135">
        <v>0.939548421831886</v>
      </c>
      <c r="AD40" s="135">
        <v>0.92</v>
      </c>
      <c r="AE40" s="133">
        <v>0.999115267947422</v>
      </c>
      <c r="AF40" s="133">
        <v>0.997581035316884</v>
      </c>
      <c r="AG40" s="133">
        <v>0.994782259682922</v>
      </c>
      <c r="AH40" s="133">
        <v>0.953831457005695</v>
      </c>
      <c r="AI40" s="135">
        <v>0.92</v>
      </c>
      <c r="AJ40" s="133">
        <v>0.948612786489747</v>
      </c>
      <c r="AK40" s="133">
        <v>0.887332399439664</v>
      </c>
      <c r="AL40" s="133">
        <v>0.918946301925025</v>
      </c>
      <c r="AM40" s="133">
        <v>0.954970359478646</v>
      </c>
      <c r="AN40" s="132">
        <v>0.99</v>
      </c>
      <c r="AO40" s="137">
        <v>1</v>
      </c>
      <c r="AP40" s="137">
        <v>1</v>
      </c>
      <c r="AQ40" s="137">
        <v>1</v>
      </c>
      <c r="AR40" s="137">
        <v>1</v>
      </c>
      <c r="AS40" s="139">
        <v>0.0872182100128262</v>
      </c>
      <c r="AT40" s="141">
        <v>0.08</v>
      </c>
      <c r="AU40" s="141">
        <v>0.04</v>
      </c>
      <c r="AV40" s="141">
        <v>0.172413793103448</v>
      </c>
      <c r="AW40" s="141">
        <v>0.0633693972179289</v>
      </c>
      <c r="AX40" s="95"/>
      <c r="AY40" s="93"/>
    </row>
    <row r="41" ht="14.5" spans="1:51">
      <c r="A41" s="91"/>
      <c r="B41" s="95"/>
      <c r="C41" s="128" t="s">
        <v>24</v>
      </c>
      <c r="D41" s="129" t="s">
        <v>25</v>
      </c>
      <c r="E41" s="130" t="s">
        <v>26</v>
      </c>
      <c r="F41" s="142" t="s">
        <v>60</v>
      </c>
      <c r="G41" s="142" t="s">
        <v>60</v>
      </c>
      <c r="H41" s="142" t="s">
        <v>60</v>
      </c>
      <c r="I41" s="142" t="s">
        <v>60</v>
      </c>
      <c r="J41" s="132">
        <v>0.9</v>
      </c>
      <c r="K41" s="133">
        <v>0.913385826771654</v>
      </c>
      <c r="L41" s="133">
        <v>0.961240310077519</v>
      </c>
      <c r="M41" s="134">
        <v>0.992537313432836</v>
      </c>
      <c r="N41" s="133">
        <v>0.962659380692168</v>
      </c>
      <c r="O41" s="135">
        <v>0.9</v>
      </c>
      <c r="P41" s="133">
        <v>0.964188163884674</v>
      </c>
      <c r="Q41" s="133">
        <v>0.995253559830127</v>
      </c>
      <c r="R41" s="133">
        <v>0.99470219938995</v>
      </c>
      <c r="S41" s="133">
        <v>0.989711678443348</v>
      </c>
      <c r="T41" s="135">
        <v>0.9</v>
      </c>
      <c r="U41" s="133">
        <v>0.868892261001517</v>
      </c>
      <c r="V41" s="133">
        <v>0.867849113165126</v>
      </c>
      <c r="W41" s="133">
        <v>0.901589340183015</v>
      </c>
      <c r="X41" s="133">
        <v>0.896433263501758</v>
      </c>
      <c r="Y41" s="135">
        <v>0.92</v>
      </c>
      <c r="Z41" s="135">
        <v>0.938219895287958</v>
      </c>
      <c r="AA41" s="135">
        <v>0.915077989601387</v>
      </c>
      <c r="AB41" s="135">
        <v>0.944169416941694</v>
      </c>
      <c r="AC41" s="135">
        <v>0.957811251152782</v>
      </c>
      <c r="AD41" s="135">
        <v>0.92</v>
      </c>
      <c r="AE41" s="133">
        <v>0.995056497175141</v>
      </c>
      <c r="AF41" s="133">
        <v>0.976525821596244</v>
      </c>
      <c r="AG41" s="133">
        <v>0.990713224368499</v>
      </c>
      <c r="AH41" s="133">
        <v>0.985918944812067</v>
      </c>
      <c r="AI41" s="135">
        <v>0.92</v>
      </c>
      <c r="AJ41" s="133">
        <v>0.936215177713737</v>
      </c>
      <c r="AK41" s="133">
        <v>0.945597210113339</v>
      </c>
      <c r="AL41" s="133">
        <v>0.963815122643422</v>
      </c>
      <c r="AM41" s="133">
        <v>0.971406332154603</v>
      </c>
      <c r="AN41" s="132">
        <v>0.99</v>
      </c>
      <c r="AO41" s="137">
        <v>1</v>
      </c>
      <c r="AP41" s="137">
        <v>1</v>
      </c>
      <c r="AQ41" s="137">
        <v>1</v>
      </c>
      <c r="AR41" s="137">
        <v>1</v>
      </c>
      <c r="AS41" s="139">
        <v>0.0872182100128262</v>
      </c>
      <c r="AT41" s="141">
        <v>0.130434782608696</v>
      </c>
      <c r="AU41" s="141">
        <v>0.09375</v>
      </c>
      <c r="AV41" s="141">
        <v>0.0526315789473684</v>
      </c>
      <c r="AW41" s="141">
        <v>0.0605652759084791</v>
      </c>
      <c r="AX41" s="95"/>
      <c r="AY41" s="93"/>
    </row>
    <row r="42" ht="14.5" spans="1:51">
      <c r="A42" s="91"/>
      <c r="B42" s="95"/>
      <c r="C42" s="128" t="s">
        <v>24</v>
      </c>
      <c r="D42" s="129" t="s">
        <v>25</v>
      </c>
      <c r="E42" s="130" t="s">
        <v>26</v>
      </c>
      <c r="F42" s="142" t="s">
        <v>61</v>
      </c>
      <c r="G42" s="142" t="s">
        <v>61</v>
      </c>
      <c r="H42" s="142" t="s">
        <v>61</v>
      </c>
      <c r="I42" s="142" t="s">
        <v>61</v>
      </c>
      <c r="J42" s="132">
        <v>0.9</v>
      </c>
      <c r="K42" s="133">
        <v>0.992537313432836</v>
      </c>
      <c r="L42" s="133">
        <v>0.980952380952381</v>
      </c>
      <c r="M42" s="134">
        <v>0.901785714285714</v>
      </c>
      <c r="N42" s="133">
        <v>0.972163644032054</v>
      </c>
      <c r="O42" s="135">
        <v>0.9</v>
      </c>
      <c r="P42" s="133">
        <v>0.989989177489177</v>
      </c>
      <c r="Q42" s="133">
        <v>0.994095650462507</v>
      </c>
      <c r="R42" s="133">
        <v>0.996755536747073</v>
      </c>
      <c r="S42" s="133">
        <v>0.997345904572864</v>
      </c>
      <c r="T42" s="135">
        <v>0.9</v>
      </c>
      <c r="U42" s="133">
        <v>0.910714285714286</v>
      </c>
      <c r="V42" s="133">
        <v>0.845699665420193</v>
      </c>
      <c r="W42" s="133">
        <v>0.88630272252786</v>
      </c>
      <c r="X42" s="133">
        <v>0.903798439121216</v>
      </c>
      <c r="Y42" s="135">
        <v>0.92</v>
      </c>
      <c r="Z42" s="135">
        <v>0.920523138832998</v>
      </c>
      <c r="AA42" s="135">
        <v>0.882599580712788</v>
      </c>
      <c r="AB42" s="135">
        <v>0.921377183967112</v>
      </c>
      <c r="AC42" s="135">
        <v>0.951646469811747</v>
      </c>
      <c r="AD42" s="135">
        <v>0.92</v>
      </c>
      <c r="AE42" s="133">
        <v>0.998922413793103</v>
      </c>
      <c r="AF42" s="133">
        <v>0.993839835728953</v>
      </c>
      <c r="AG42" s="133">
        <v>0.991803278688525</v>
      </c>
      <c r="AH42" s="133">
        <v>0.980242954177571</v>
      </c>
      <c r="AI42" s="135">
        <v>0.92</v>
      </c>
      <c r="AJ42" s="133">
        <v>0.946535349982413</v>
      </c>
      <c r="AK42" s="133">
        <v>0.921767734553776</v>
      </c>
      <c r="AL42" s="133">
        <v>0.942365473914231</v>
      </c>
      <c r="AM42" s="133">
        <v>0.967757833694906</v>
      </c>
      <c r="AN42" s="132">
        <v>0.99</v>
      </c>
      <c r="AO42" s="137">
        <v>1</v>
      </c>
      <c r="AP42" s="137">
        <v>1</v>
      </c>
      <c r="AQ42" s="137">
        <v>1</v>
      </c>
      <c r="AR42" s="137">
        <v>1</v>
      </c>
      <c r="AS42" s="139">
        <v>0.0872182100128262</v>
      </c>
      <c r="AT42" s="141">
        <v>0.0263157894736842</v>
      </c>
      <c r="AU42" s="141">
        <v>0.0833333333333333</v>
      </c>
      <c r="AV42" s="141">
        <v>0.037037037037037</v>
      </c>
      <c r="AW42" s="141">
        <v>0.0452755905511811</v>
      </c>
      <c r="AX42" s="95"/>
      <c r="AY42" s="93"/>
    </row>
    <row r="43" ht="14.5" spans="1:51">
      <c r="A43" s="91"/>
      <c r="B43" s="95"/>
      <c r="C43" s="128" t="s">
        <v>24</v>
      </c>
      <c r="D43" s="129" t="s">
        <v>25</v>
      </c>
      <c r="E43" s="130" t="s">
        <v>26</v>
      </c>
      <c r="F43" s="142" t="s">
        <v>62</v>
      </c>
      <c r="G43" s="142" t="s">
        <v>62</v>
      </c>
      <c r="H43" s="142" t="s">
        <v>62</v>
      </c>
      <c r="I43" s="142" t="s">
        <v>62</v>
      </c>
      <c r="J43" s="132">
        <v>0.9</v>
      </c>
      <c r="K43" s="133" t="s">
        <v>35</v>
      </c>
      <c r="L43" s="133" t="s">
        <v>35</v>
      </c>
      <c r="M43" s="134" t="s">
        <v>35</v>
      </c>
      <c r="N43" s="133" t="s">
        <v>35</v>
      </c>
      <c r="O43" s="135">
        <v>0.9</v>
      </c>
      <c r="P43" s="133" t="s">
        <v>35</v>
      </c>
      <c r="Q43" s="133" t="s">
        <v>35</v>
      </c>
      <c r="R43" s="133" t="s">
        <v>35</v>
      </c>
      <c r="S43" s="133">
        <v>0.714285714285714</v>
      </c>
      <c r="T43" s="135">
        <v>0.9</v>
      </c>
      <c r="U43" s="133" t="s">
        <v>35</v>
      </c>
      <c r="V43" s="133" t="s">
        <v>35</v>
      </c>
      <c r="W43" s="133" t="s">
        <v>35</v>
      </c>
      <c r="X43" s="133">
        <v>1</v>
      </c>
      <c r="Y43" s="135">
        <v>0.92</v>
      </c>
      <c r="Z43" s="135" t="s">
        <v>35</v>
      </c>
      <c r="AA43" s="135" t="s">
        <v>35</v>
      </c>
      <c r="AB43" s="135" t="s">
        <v>35</v>
      </c>
      <c r="AC43" s="135">
        <v>1</v>
      </c>
      <c r="AD43" s="135">
        <v>0.92</v>
      </c>
      <c r="AE43" s="133" t="s">
        <v>35</v>
      </c>
      <c r="AF43" s="133" t="s">
        <v>35</v>
      </c>
      <c r="AG43" s="133" t="s">
        <v>35</v>
      </c>
      <c r="AH43" s="133">
        <v>0.947368421052632</v>
      </c>
      <c r="AI43" s="135">
        <v>0.92</v>
      </c>
      <c r="AJ43" s="133" t="s">
        <v>35</v>
      </c>
      <c r="AK43" s="133" t="s">
        <v>35</v>
      </c>
      <c r="AL43" s="133" t="s">
        <v>35</v>
      </c>
      <c r="AM43" s="133">
        <v>0.923076923076923</v>
      </c>
      <c r="AN43" s="132">
        <v>0.99</v>
      </c>
      <c r="AO43" s="137" t="s">
        <v>35</v>
      </c>
      <c r="AP43" s="137" t="s">
        <v>35</v>
      </c>
      <c r="AQ43" s="137" t="s">
        <v>35</v>
      </c>
      <c r="AR43" s="137">
        <v>1</v>
      </c>
      <c r="AS43" s="139">
        <v>0.0872182100128262</v>
      </c>
      <c r="AT43" s="141" t="s">
        <v>35</v>
      </c>
      <c r="AU43" s="141" t="s">
        <v>35</v>
      </c>
      <c r="AV43" s="141" t="s">
        <v>35</v>
      </c>
      <c r="AW43" s="141" t="s">
        <v>35</v>
      </c>
      <c r="AX43" s="95"/>
      <c r="AY43" s="93"/>
    </row>
    <row r="44" ht="14.5" spans="1:51">
      <c r="A44" s="91"/>
      <c r="B44" s="95"/>
      <c r="C44" s="128" t="s">
        <v>24</v>
      </c>
      <c r="D44" s="129" t="s">
        <v>25</v>
      </c>
      <c r="E44" s="130" t="s">
        <v>26</v>
      </c>
      <c r="F44" s="142" t="s">
        <v>63</v>
      </c>
      <c r="G44" s="142" t="s">
        <v>63</v>
      </c>
      <c r="H44" s="142" t="s">
        <v>63</v>
      </c>
      <c r="I44" s="142" t="s">
        <v>63</v>
      </c>
      <c r="J44" s="132">
        <v>0.9</v>
      </c>
      <c r="K44" s="133">
        <v>0.859375</v>
      </c>
      <c r="L44" s="133">
        <v>0.884615384615385</v>
      </c>
      <c r="M44" s="134">
        <v>0.851063829787234</v>
      </c>
      <c r="N44" s="133">
        <v>0.839154411764706</v>
      </c>
      <c r="O44" s="135">
        <v>0.9</v>
      </c>
      <c r="P44" s="133">
        <v>0.97751660705161</v>
      </c>
      <c r="Q44" s="133">
        <v>0.932209222298692</v>
      </c>
      <c r="R44" s="133">
        <v>0.969072164948454</v>
      </c>
      <c r="S44" s="133">
        <v>0.956720893141946</v>
      </c>
      <c r="T44" s="135">
        <v>0.9</v>
      </c>
      <c r="U44" s="133">
        <v>0.717424629535003</v>
      </c>
      <c r="V44" s="133">
        <v>0.474191328286304</v>
      </c>
      <c r="W44" s="133">
        <v>0.510727222067428</v>
      </c>
      <c r="X44" s="133">
        <v>0.563381180223286</v>
      </c>
      <c r="Y44" s="135">
        <v>0.92</v>
      </c>
      <c r="Z44" s="135">
        <v>0.886586695747001</v>
      </c>
      <c r="AA44" s="135">
        <v>0.807339449541284</v>
      </c>
      <c r="AB44" s="135">
        <v>0.82300163132137</v>
      </c>
      <c r="AC44" s="135">
        <v>0.867574321861821</v>
      </c>
      <c r="AD44" s="135">
        <v>0.92</v>
      </c>
      <c r="AE44" s="133">
        <v>1</v>
      </c>
      <c r="AF44" s="133">
        <v>0.777777777777778</v>
      </c>
      <c r="AG44" s="133">
        <v>0.956521739130435</v>
      </c>
      <c r="AH44" s="133">
        <v>0.678200692041522</v>
      </c>
      <c r="AI44" s="135">
        <v>0.92</v>
      </c>
      <c r="AJ44" s="133">
        <v>0.892484342379958</v>
      </c>
      <c r="AK44" s="133">
        <v>0.72172254020169</v>
      </c>
      <c r="AL44" s="133">
        <v>0.735617860851506</v>
      </c>
      <c r="AM44" s="133">
        <v>0.881058588833617</v>
      </c>
      <c r="AN44" s="132">
        <v>0.99</v>
      </c>
      <c r="AO44" s="137">
        <v>1</v>
      </c>
      <c r="AP44" s="137">
        <v>1</v>
      </c>
      <c r="AQ44" s="137">
        <v>1</v>
      </c>
      <c r="AR44" s="137">
        <v>1</v>
      </c>
      <c r="AS44" s="139">
        <v>0.0872182100128262</v>
      </c>
      <c r="AT44" s="141">
        <v>0.0392156862745098</v>
      </c>
      <c r="AU44" s="141">
        <v>0.0652173913043478</v>
      </c>
      <c r="AV44" s="141">
        <v>0.0263157894736842</v>
      </c>
      <c r="AW44" s="141">
        <v>0.0456062291434928</v>
      </c>
      <c r="AX44" s="95"/>
      <c r="AY44" s="93"/>
    </row>
    <row r="45" ht="14.5" spans="1:51">
      <c r="A45" s="91"/>
      <c r="B45" s="95"/>
      <c r="C45" s="128" t="s">
        <v>24</v>
      </c>
      <c r="D45" s="129" t="s">
        <v>25</v>
      </c>
      <c r="E45" s="130" t="s">
        <v>26</v>
      </c>
      <c r="F45" s="142" t="s">
        <v>64</v>
      </c>
      <c r="G45" s="142" t="s">
        <v>64</v>
      </c>
      <c r="H45" s="142" t="s">
        <v>64</v>
      </c>
      <c r="I45" s="142" t="s">
        <v>64</v>
      </c>
      <c r="J45" s="132">
        <v>0.9</v>
      </c>
      <c r="K45" s="133">
        <v>0.909090909090909</v>
      </c>
      <c r="L45" s="133">
        <v>0.885714285714286</v>
      </c>
      <c r="M45" s="134">
        <v>0.844827586206897</v>
      </c>
      <c r="N45" s="133">
        <v>0.893115942028985</v>
      </c>
      <c r="O45" s="135">
        <v>0.9</v>
      </c>
      <c r="P45" s="133">
        <v>0.479946524064171</v>
      </c>
      <c r="Q45" s="133">
        <v>0.87563915266618</v>
      </c>
      <c r="R45" s="133">
        <v>0.916048160976414</v>
      </c>
      <c r="S45" s="133">
        <v>0.838220504117166</v>
      </c>
      <c r="T45" s="135">
        <v>0.9</v>
      </c>
      <c r="U45" s="133">
        <v>0.715641711229947</v>
      </c>
      <c r="V45" s="133">
        <v>0.870525931336742</v>
      </c>
      <c r="W45" s="133">
        <v>0.867062510308428</v>
      </c>
      <c r="X45" s="133">
        <v>0.82700829719027</v>
      </c>
      <c r="Y45" s="135">
        <v>0.92</v>
      </c>
      <c r="Z45" s="135">
        <v>0.93535778713169</v>
      </c>
      <c r="AA45" s="135">
        <v>0.978790259230165</v>
      </c>
      <c r="AB45" s="135">
        <v>0.982383419689119</v>
      </c>
      <c r="AC45" s="135">
        <v>0.976331780003116</v>
      </c>
      <c r="AD45" s="135">
        <v>0.92</v>
      </c>
      <c r="AE45" s="133">
        <v>0.99901740482116</v>
      </c>
      <c r="AF45" s="133">
        <v>0.997519841269841</v>
      </c>
      <c r="AG45" s="133">
        <v>0.999426418378346</v>
      </c>
      <c r="AH45" s="133">
        <v>0.997683638269728</v>
      </c>
      <c r="AI45" s="135">
        <v>0.92</v>
      </c>
      <c r="AJ45" s="133">
        <v>0.910924058828971</v>
      </c>
      <c r="AK45" s="133">
        <v>0.942825112107623</v>
      </c>
      <c r="AL45" s="133">
        <v>0.976650088510495</v>
      </c>
      <c r="AM45" s="133">
        <v>0.976528880538214</v>
      </c>
      <c r="AN45" s="132">
        <v>0.99</v>
      </c>
      <c r="AO45" s="137">
        <v>1</v>
      </c>
      <c r="AP45" s="137">
        <v>1</v>
      </c>
      <c r="AQ45" s="137">
        <v>1</v>
      </c>
      <c r="AR45" s="137">
        <v>1</v>
      </c>
      <c r="AS45" s="139">
        <v>0.0872182100128262</v>
      </c>
      <c r="AT45" s="141">
        <v>0.0740740740740741</v>
      </c>
      <c r="AU45" s="141">
        <v>0</v>
      </c>
      <c r="AV45" s="141">
        <v>0.0384615384615385</v>
      </c>
      <c r="AW45" s="141">
        <v>0.0547368421052632</v>
      </c>
      <c r="AX45" s="95"/>
      <c r="AY45" s="93"/>
    </row>
    <row r="46" ht="14.5" spans="1:51">
      <c r="A46" s="91"/>
      <c r="B46" s="95"/>
      <c r="C46" s="128" t="s">
        <v>24</v>
      </c>
      <c r="D46" s="129" t="s">
        <v>25</v>
      </c>
      <c r="E46" s="130" t="s">
        <v>26</v>
      </c>
      <c r="F46" s="142" t="s">
        <v>65</v>
      </c>
      <c r="G46" s="142" t="s">
        <v>65</v>
      </c>
      <c r="H46" s="142" t="s">
        <v>65</v>
      </c>
      <c r="I46" s="142" t="s">
        <v>65</v>
      </c>
      <c r="J46" s="132">
        <v>0.9</v>
      </c>
      <c r="K46" s="133" t="s">
        <v>35</v>
      </c>
      <c r="L46" s="133" t="s">
        <v>35</v>
      </c>
      <c r="M46" s="134" t="s">
        <v>35</v>
      </c>
      <c r="N46" s="133">
        <v>0.926694329183956</v>
      </c>
      <c r="O46" s="135">
        <v>0.9</v>
      </c>
      <c r="P46" s="133">
        <v>0.950292397660819</v>
      </c>
      <c r="Q46" s="133">
        <v>0.969594594594595</v>
      </c>
      <c r="R46" s="133">
        <v>0.969365426695842</v>
      </c>
      <c r="S46" s="133">
        <v>0.947965269913175</v>
      </c>
      <c r="T46" s="135">
        <v>0.9</v>
      </c>
      <c r="U46" s="133">
        <v>0.976608187134503</v>
      </c>
      <c r="V46" s="133">
        <v>0.97972972972973</v>
      </c>
      <c r="W46" s="133">
        <v>0.838074398249453</v>
      </c>
      <c r="X46" s="133">
        <v>0.788931672329181</v>
      </c>
      <c r="Y46" s="135">
        <v>0.92</v>
      </c>
      <c r="Z46" s="135">
        <v>0.993464052287582</v>
      </c>
      <c r="AA46" s="135">
        <v>0.984455958549223</v>
      </c>
      <c r="AB46" s="135">
        <v>0.981481481481482</v>
      </c>
      <c r="AC46" s="135">
        <v>0.910853618651591</v>
      </c>
      <c r="AD46" s="135">
        <v>0.92</v>
      </c>
      <c r="AE46" s="133" t="s">
        <v>35</v>
      </c>
      <c r="AF46" s="133" t="s">
        <v>35</v>
      </c>
      <c r="AG46" s="133" t="s">
        <v>35</v>
      </c>
      <c r="AH46" s="133">
        <v>0.9709256622045</v>
      </c>
      <c r="AI46" s="135">
        <v>0.92</v>
      </c>
      <c r="AJ46" s="133">
        <v>0.979959919839679</v>
      </c>
      <c r="AK46" s="133">
        <v>0.973630831643002</v>
      </c>
      <c r="AL46" s="133">
        <v>0.982222222222222</v>
      </c>
      <c r="AM46" s="133">
        <v>0.945061796310559</v>
      </c>
      <c r="AN46" s="132">
        <v>0.99</v>
      </c>
      <c r="AO46" s="137" t="s">
        <v>35</v>
      </c>
      <c r="AP46" s="137" t="s">
        <v>35</v>
      </c>
      <c r="AQ46" s="137" t="s">
        <v>35</v>
      </c>
      <c r="AR46" s="137">
        <v>0.999323867478026</v>
      </c>
      <c r="AS46" s="139">
        <v>0.0872182100128262</v>
      </c>
      <c r="AT46" s="141" t="s">
        <v>35</v>
      </c>
      <c r="AU46" s="141">
        <v>0</v>
      </c>
      <c r="AV46" s="141" t="s">
        <v>35</v>
      </c>
      <c r="AW46" s="141">
        <v>0.0687203791469194</v>
      </c>
      <c r="AX46" s="95"/>
      <c r="AY46" s="93"/>
    </row>
    <row r="47" ht="14.5" spans="1:51">
      <c r="A47" s="91"/>
      <c r="B47" s="95"/>
      <c r="C47" s="128" t="s">
        <v>24</v>
      </c>
      <c r="D47" s="129" t="s">
        <v>25</v>
      </c>
      <c r="E47" s="130" t="s">
        <v>26</v>
      </c>
      <c r="F47" s="142" t="s">
        <v>66</v>
      </c>
      <c r="G47" s="142" t="s">
        <v>66</v>
      </c>
      <c r="H47" s="142" t="s">
        <v>66</v>
      </c>
      <c r="I47" s="142" t="s">
        <v>66</v>
      </c>
      <c r="J47" s="132">
        <v>0.9</v>
      </c>
      <c r="K47" s="133">
        <v>0.82051282051282</v>
      </c>
      <c r="L47" s="133">
        <v>0.932584269662921</v>
      </c>
      <c r="M47" s="134">
        <v>0.809090909090909</v>
      </c>
      <c r="N47" s="133">
        <v>0.889047619047619</v>
      </c>
      <c r="O47" s="135">
        <v>0.9</v>
      </c>
      <c r="P47" s="133">
        <v>0.951532430506058</v>
      </c>
      <c r="Q47" s="133">
        <v>0.961483007209063</v>
      </c>
      <c r="R47" s="133">
        <v>0.953923156190196</v>
      </c>
      <c r="S47" s="133">
        <v>0.943561923030812</v>
      </c>
      <c r="T47" s="135">
        <v>0.9</v>
      </c>
      <c r="U47" s="133">
        <v>0.874554526015681</v>
      </c>
      <c r="V47" s="133">
        <v>0.805355303810505</v>
      </c>
      <c r="W47" s="133">
        <v>0.803768585308406</v>
      </c>
      <c r="X47" s="133">
        <v>0.805980997482316</v>
      </c>
      <c r="Y47" s="135">
        <v>0.92</v>
      </c>
      <c r="Z47" s="135">
        <v>0.92616226071103</v>
      </c>
      <c r="AA47" s="135">
        <v>0.879946043165468</v>
      </c>
      <c r="AB47" s="135">
        <v>0.907168643630737</v>
      </c>
      <c r="AC47" s="135">
        <v>0.946664568911265</v>
      </c>
      <c r="AD47" s="135">
        <v>0.92</v>
      </c>
      <c r="AE47" s="133">
        <v>0.998740490704821</v>
      </c>
      <c r="AF47" s="133">
        <v>0.997116436313016</v>
      </c>
      <c r="AG47" s="133">
        <v>0.99912625600699</v>
      </c>
      <c r="AH47" s="133">
        <v>0.984295379131638</v>
      </c>
      <c r="AI47" s="135">
        <v>0.92</v>
      </c>
      <c r="AJ47" s="133">
        <v>0.940515222482436</v>
      </c>
      <c r="AK47" s="133">
        <v>0.907551164431898</v>
      </c>
      <c r="AL47" s="133">
        <v>0.925780151813326</v>
      </c>
      <c r="AM47" s="133">
        <v>0.960729968211957</v>
      </c>
      <c r="AN47" s="132">
        <v>0.99</v>
      </c>
      <c r="AO47" s="137">
        <v>1</v>
      </c>
      <c r="AP47" s="137">
        <v>1</v>
      </c>
      <c r="AQ47" s="137">
        <v>1</v>
      </c>
      <c r="AR47" s="137">
        <v>1</v>
      </c>
      <c r="AS47" s="139">
        <v>0.0872182100128262</v>
      </c>
      <c r="AT47" s="141">
        <v>0.0344827586206897</v>
      </c>
      <c r="AU47" s="141">
        <v>0.0344827586206897</v>
      </c>
      <c r="AV47" s="141">
        <v>0.0930232558139535</v>
      </c>
      <c r="AW47" s="141">
        <v>0.0705741626794258</v>
      </c>
      <c r="AX47" s="95"/>
      <c r="AY47" s="93"/>
    </row>
    <row r="48" ht="14.5" spans="1:51">
      <c r="A48" s="91"/>
      <c r="B48" s="95"/>
      <c r="C48" s="128" t="s">
        <v>24</v>
      </c>
      <c r="D48" s="129" t="s">
        <v>25</v>
      </c>
      <c r="E48" s="130" t="s">
        <v>26</v>
      </c>
      <c r="F48" s="142" t="s">
        <v>67</v>
      </c>
      <c r="G48" s="142" t="s">
        <v>67</v>
      </c>
      <c r="H48" s="142" t="s">
        <v>67</v>
      </c>
      <c r="I48" s="142" t="s">
        <v>67</v>
      </c>
      <c r="J48" s="132">
        <v>0.9</v>
      </c>
      <c r="K48" s="133">
        <v>0.96969696969697</v>
      </c>
      <c r="L48" s="133">
        <v>0.966101694915254</v>
      </c>
      <c r="M48" s="134">
        <v>0.970588235294118</v>
      </c>
      <c r="N48" s="133">
        <v>0.976284584980237</v>
      </c>
      <c r="O48" s="135">
        <v>0.9</v>
      </c>
      <c r="P48" s="133">
        <v>0.92763358778626</v>
      </c>
      <c r="Q48" s="133">
        <v>0.968418327724566</v>
      </c>
      <c r="R48" s="133">
        <v>0.979403687720675</v>
      </c>
      <c r="S48" s="133">
        <v>0.951709658068386</v>
      </c>
      <c r="T48" s="135">
        <v>0.9</v>
      </c>
      <c r="U48" s="133">
        <v>0.906564885496183</v>
      </c>
      <c r="V48" s="133">
        <v>0.846233497281905</v>
      </c>
      <c r="W48" s="133">
        <v>0.87995292271479</v>
      </c>
      <c r="X48" s="133">
        <v>0.861551827565521</v>
      </c>
      <c r="Y48" s="135">
        <v>0.92</v>
      </c>
      <c r="Z48" s="135">
        <v>0.918837068443368</v>
      </c>
      <c r="AA48" s="135">
        <v>0.930489731437599</v>
      </c>
      <c r="AB48" s="135">
        <v>0.951227948806641</v>
      </c>
      <c r="AC48" s="135">
        <v>0.957806679084619</v>
      </c>
      <c r="AD48" s="135">
        <v>0.92</v>
      </c>
      <c r="AE48" s="133">
        <v>0.972860703406259</v>
      </c>
      <c r="AF48" s="133">
        <v>0.903625706727527</v>
      </c>
      <c r="AG48" s="133">
        <v>0.99499114596509</v>
      </c>
      <c r="AH48" s="133">
        <v>0.97936803809616</v>
      </c>
      <c r="AI48" s="135">
        <v>0.92</v>
      </c>
      <c r="AJ48" s="133">
        <v>0.94072269589931</v>
      </c>
      <c r="AK48" s="133">
        <v>0.93996182543814</v>
      </c>
      <c r="AL48" s="133">
        <v>0.961586586586587</v>
      </c>
      <c r="AM48" s="133">
        <v>0.97108481362935</v>
      </c>
      <c r="AN48" s="132">
        <v>0.99</v>
      </c>
      <c r="AO48" s="137">
        <v>1</v>
      </c>
      <c r="AP48" s="137">
        <v>1</v>
      </c>
      <c r="AQ48" s="137">
        <v>1</v>
      </c>
      <c r="AR48" s="137">
        <v>1</v>
      </c>
      <c r="AS48" s="139">
        <v>0.0872182100128262</v>
      </c>
      <c r="AT48" s="141">
        <v>0.0344827586206897</v>
      </c>
      <c r="AU48" s="141">
        <v>0.0333333333333333</v>
      </c>
      <c r="AV48" s="141">
        <v>0.0256410256410256</v>
      </c>
      <c r="AW48" s="141">
        <v>0.0445945945945946</v>
      </c>
      <c r="AX48" s="95"/>
      <c r="AY48" s="93"/>
    </row>
    <row r="49" ht="14.5" spans="1:51">
      <c r="A49" s="91"/>
      <c r="B49" s="95"/>
      <c r="C49" s="128" t="s">
        <v>24</v>
      </c>
      <c r="D49" s="129" t="s">
        <v>25</v>
      </c>
      <c r="E49" s="130" t="s">
        <v>26</v>
      </c>
      <c r="F49" s="142" t="s">
        <v>68</v>
      </c>
      <c r="G49" s="142" t="s">
        <v>68</v>
      </c>
      <c r="H49" s="142" t="s">
        <v>68</v>
      </c>
      <c r="I49" s="142" t="s">
        <v>68</v>
      </c>
      <c r="J49" s="132">
        <v>0.9</v>
      </c>
      <c r="K49" s="133">
        <v>0.941176470588235</v>
      </c>
      <c r="L49" s="133">
        <v>0.911111111111111</v>
      </c>
      <c r="M49" s="134">
        <v>0.94</v>
      </c>
      <c r="N49" s="133">
        <v>0.945676274944568</v>
      </c>
      <c r="O49" s="135">
        <v>0.9</v>
      </c>
      <c r="P49" s="133">
        <v>0.970988339811216</v>
      </c>
      <c r="Q49" s="133">
        <v>0.827333050967104</v>
      </c>
      <c r="R49" s="133">
        <v>0.801162434995411</v>
      </c>
      <c r="S49" s="133">
        <v>0.934119304489675</v>
      </c>
      <c r="T49" s="135">
        <v>0.9</v>
      </c>
      <c r="U49" s="133">
        <v>0.951277068295391</v>
      </c>
      <c r="V49" s="133">
        <v>0.852040096004518</v>
      </c>
      <c r="W49" s="133">
        <v>0.943407769960232</v>
      </c>
      <c r="X49" s="133">
        <v>0.912883253623994</v>
      </c>
      <c r="Y49" s="135">
        <v>0.92</v>
      </c>
      <c r="Z49" s="135">
        <v>0.979441997063142</v>
      </c>
      <c r="AA49" s="135">
        <v>0.869298245614035</v>
      </c>
      <c r="AB49" s="135">
        <v>0.97196261682243</v>
      </c>
      <c r="AC49" s="135">
        <v>0.969681657402729</v>
      </c>
      <c r="AD49" s="135">
        <v>0.92</v>
      </c>
      <c r="AE49" s="133">
        <v>0.987345824424069</v>
      </c>
      <c r="AF49" s="133">
        <v>0.989844444444444</v>
      </c>
      <c r="AG49" s="133">
        <v>0.992368856985091</v>
      </c>
      <c r="AH49" s="133">
        <v>0.982088687022829</v>
      </c>
      <c r="AI49" s="135">
        <v>0.92</v>
      </c>
      <c r="AJ49" s="133">
        <v>0.983972372266006</v>
      </c>
      <c r="AK49" s="133">
        <v>0.876524128456122</v>
      </c>
      <c r="AL49" s="133">
        <v>0.979057941924261</v>
      </c>
      <c r="AM49" s="133">
        <v>0.976683925942572</v>
      </c>
      <c r="AN49" s="132">
        <v>0.99</v>
      </c>
      <c r="AO49" s="137">
        <v>1</v>
      </c>
      <c r="AP49" s="137">
        <v>1</v>
      </c>
      <c r="AQ49" s="137">
        <v>1</v>
      </c>
      <c r="AR49" s="137">
        <v>1</v>
      </c>
      <c r="AS49" s="139">
        <v>0.0872182100128262</v>
      </c>
      <c r="AT49" s="141">
        <v>0.0384615384615385</v>
      </c>
      <c r="AU49" s="141">
        <v>0</v>
      </c>
      <c r="AV49" s="141">
        <v>0.105263157894737</v>
      </c>
      <c r="AW49" s="141">
        <v>0.0719602977667494</v>
      </c>
      <c r="AX49" s="95"/>
      <c r="AY49" s="93"/>
    </row>
    <row r="50" ht="14.5" spans="1:51">
      <c r="A50" s="91"/>
      <c r="B50" s="95"/>
      <c r="C50" s="128" t="s">
        <v>24</v>
      </c>
      <c r="D50" s="129" t="s">
        <v>25</v>
      </c>
      <c r="E50" s="130" t="s">
        <v>26</v>
      </c>
      <c r="F50" s="142" t="s">
        <v>69</v>
      </c>
      <c r="G50" s="142" t="s">
        <v>69</v>
      </c>
      <c r="H50" s="142" t="s">
        <v>69</v>
      </c>
      <c r="I50" s="142" t="s">
        <v>69</v>
      </c>
      <c r="J50" s="132">
        <v>0.9</v>
      </c>
      <c r="K50" s="133">
        <v>0.983333333333333</v>
      </c>
      <c r="L50" s="133">
        <v>0.95</v>
      </c>
      <c r="M50" s="134">
        <v>0.909090909090909</v>
      </c>
      <c r="N50" s="133">
        <v>0.93488824101069</v>
      </c>
      <c r="O50" s="135">
        <v>0.9</v>
      </c>
      <c r="P50" s="133">
        <v>0.961610486891386</v>
      </c>
      <c r="Q50" s="133">
        <v>0.902672923893083</v>
      </c>
      <c r="R50" s="133">
        <v>0.901158199526191</v>
      </c>
      <c r="S50" s="133">
        <v>0.898505917944907</v>
      </c>
      <c r="T50" s="135">
        <v>0.9</v>
      </c>
      <c r="U50" s="133">
        <v>0.809691011235955</v>
      </c>
      <c r="V50" s="133">
        <v>0.697816772087329</v>
      </c>
      <c r="W50" s="133">
        <v>0.631481968939195</v>
      </c>
      <c r="X50" s="133">
        <v>0.653083700440529</v>
      </c>
      <c r="Y50" s="135">
        <v>0.92</v>
      </c>
      <c r="Z50" s="135">
        <v>0.895377128953771</v>
      </c>
      <c r="AA50" s="135">
        <v>0.79961556943777</v>
      </c>
      <c r="AB50" s="135">
        <v>0.801745635910224</v>
      </c>
      <c r="AC50" s="135">
        <v>0.887343335118066</v>
      </c>
      <c r="AD50" s="135">
        <v>0.92</v>
      </c>
      <c r="AE50" s="133">
        <v>0.953125</v>
      </c>
      <c r="AF50" s="133">
        <v>0.956521739130435</v>
      </c>
      <c r="AG50" s="133">
        <v>0.934640522875817</v>
      </c>
      <c r="AH50" s="133">
        <v>0.892120075046904</v>
      </c>
      <c r="AI50" s="135">
        <v>0.92</v>
      </c>
      <c r="AJ50" s="133">
        <v>0.938823901359469</v>
      </c>
      <c r="AK50" s="133">
        <v>0.853585229712323</v>
      </c>
      <c r="AL50" s="133">
        <v>0.850189524465886</v>
      </c>
      <c r="AM50" s="133">
        <v>0.922847354082391</v>
      </c>
      <c r="AN50" s="132">
        <v>0.99</v>
      </c>
      <c r="AO50" s="137">
        <v>1</v>
      </c>
      <c r="AP50" s="137">
        <v>1</v>
      </c>
      <c r="AQ50" s="137">
        <v>1</v>
      </c>
      <c r="AR50" s="137">
        <v>1</v>
      </c>
      <c r="AS50" s="139">
        <v>0.0872182100128262</v>
      </c>
      <c r="AT50" s="141">
        <v>0.0416666666666667</v>
      </c>
      <c r="AU50" s="141">
        <v>0.162162162162162</v>
      </c>
      <c r="AV50" s="141">
        <v>0.0625</v>
      </c>
      <c r="AW50" s="141">
        <v>0.0635208711433757</v>
      </c>
      <c r="AX50" s="95"/>
      <c r="AY50" s="93"/>
    </row>
    <row r="51" ht="14.5" spans="1:51">
      <c r="A51" s="91"/>
      <c r="B51" s="95"/>
      <c r="C51" s="128" t="s">
        <v>24</v>
      </c>
      <c r="D51" s="129" t="s">
        <v>25</v>
      </c>
      <c r="E51" s="130" t="s">
        <v>26</v>
      </c>
      <c r="F51" s="142" t="s">
        <v>70</v>
      </c>
      <c r="G51" s="142" t="s">
        <v>70</v>
      </c>
      <c r="H51" s="142" t="s">
        <v>70</v>
      </c>
      <c r="I51" s="142" t="s">
        <v>70</v>
      </c>
      <c r="J51" s="132">
        <v>0.9</v>
      </c>
      <c r="K51" s="133">
        <v>0.989690721649485</v>
      </c>
      <c r="L51" s="133">
        <v>0.885057471264368</v>
      </c>
      <c r="M51" s="134">
        <v>0.931818181818182</v>
      </c>
      <c r="N51" s="133">
        <v>0.921791044776119</v>
      </c>
      <c r="O51" s="135">
        <v>0.9</v>
      </c>
      <c r="P51" s="133">
        <v>0.950621023932142</v>
      </c>
      <c r="Q51" s="133">
        <v>0.955505841411882</v>
      </c>
      <c r="R51" s="133">
        <v>0.961484837922621</v>
      </c>
      <c r="S51" s="133">
        <v>0.936634911615601</v>
      </c>
      <c r="T51" s="135">
        <v>0.9</v>
      </c>
      <c r="U51" s="133">
        <v>0.871554074522872</v>
      </c>
      <c r="V51" s="133">
        <v>0.829977628635347</v>
      </c>
      <c r="W51" s="133">
        <v>0.814918089926804</v>
      </c>
      <c r="X51" s="133">
        <v>0.817016327364094</v>
      </c>
      <c r="Y51" s="135">
        <v>0.92</v>
      </c>
      <c r="Z51" s="135">
        <v>0.910773298083278</v>
      </c>
      <c r="AA51" s="135">
        <v>0.900984009840098</v>
      </c>
      <c r="AB51" s="135">
        <v>0.903473716569321</v>
      </c>
      <c r="AC51" s="135">
        <v>0.937619695245497</v>
      </c>
      <c r="AD51" s="135">
        <v>0.92</v>
      </c>
      <c r="AE51" s="133">
        <v>0.8</v>
      </c>
      <c r="AF51" s="133">
        <v>0.833333333333333</v>
      </c>
      <c r="AG51" s="133">
        <v>0.8</v>
      </c>
      <c r="AH51" s="133">
        <v>0.787610619469027</v>
      </c>
      <c r="AI51" s="135">
        <v>0.92</v>
      </c>
      <c r="AJ51" s="133">
        <v>0.924387203988367</v>
      </c>
      <c r="AK51" s="133">
        <v>0.941769911504425</v>
      </c>
      <c r="AL51" s="133">
        <v>0.939606272939606</v>
      </c>
      <c r="AM51" s="133">
        <v>0.960346078463221</v>
      </c>
      <c r="AN51" s="132">
        <v>0.99</v>
      </c>
      <c r="AO51" s="137">
        <v>1</v>
      </c>
      <c r="AP51" s="137">
        <v>1</v>
      </c>
      <c r="AQ51" s="137">
        <v>1</v>
      </c>
      <c r="AR51" s="137">
        <v>1</v>
      </c>
      <c r="AS51" s="139">
        <v>0.0872182100128262</v>
      </c>
      <c r="AT51" s="141">
        <v>0.0540540540540541</v>
      </c>
      <c r="AU51" s="141">
        <v>0.05</v>
      </c>
      <c r="AV51" s="141">
        <v>0.0222222222222222</v>
      </c>
      <c r="AW51" s="141">
        <v>0.0540229885057471</v>
      </c>
      <c r="AX51" s="95"/>
      <c r="AY51" s="93"/>
    </row>
    <row r="52" ht="14.5" spans="1:51">
      <c r="A52" s="91"/>
      <c r="B52" s="95"/>
      <c r="C52" s="128" t="s">
        <v>24</v>
      </c>
      <c r="D52" s="129" t="s">
        <v>25</v>
      </c>
      <c r="E52" s="130" t="s">
        <v>26</v>
      </c>
      <c r="F52" s="142" t="s">
        <v>71</v>
      </c>
      <c r="G52" s="142" t="s">
        <v>71</v>
      </c>
      <c r="H52" s="142" t="s">
        <v>71</v>
      </c>
      <c r="I52" s="142" t="s">
        <v>71</v>
      </c>
      <c r="J52" s="132">
        <v>0.9</v>
      </c>
      <c r="K52" s="133">
        <v>0.964705882352941</v>
      </c>
      <c r="L52" s="133">
        <v>1</v>
      </c>
      <c r="M52" s="134">
        <v>0.949367088607595</v>
      </c>
      <c r="N52" s="133">
        <v>0.974291364535267</v>
      </c>
      <c r="O52" s="135">
        <v>0.9</v>
      </c>
      <c r="P52" s="133">
        <v>0.990299823633157</v>
      </c>
      <c r="Q52" s="133">
        <v>0.9920116194626</v>
      </c>
      <c r="R52" s="133">
        <v>0.995729917267147</v>
      </c>
      <c r="S52" s="133">
        <v>0.992997512584437</v>
      </c>
      <c r="T52" s="135">
        <v>0.9</v>
      </c>
      <c r="U52" s="133">
        <v>0.891975308641975</v>
      </c>
      <c r="V52" s="133">
        <v>0.893246187363834</v>
      </c>
      <c r="W52" s="133">
        <v>0.887643448091807</v>
      </c>
      <c r="X52" s="133">
        <v>0.916288445895764</v>
      </c>
      <c r="Y52" s="135">
        <v>0.92</v>
      </c>
      <c r="Z52" s="135">
        <v>0.941578148710167</v>
      </c>
      <c r="AA52" s="135">
        <v>0.913513513513514</v>
      </c>
      <c r="AB52" s="135">
        <v>0.917919544900447</v>
      </c>
      <c r="AC52" s="135">
        <v>0.954250549450549</v>
      </c>
      <c r="AD52" s="135">
        <v>0.92</v>
      </c>
      <c r="AE52" s="133">
        <v>0.987480916030534</v>
      </c>
      <c r="AF52" s="133">
        <v>0.995746943115364</v>
      </c>
      <c r="AG52" s="133">
        <v>0.994973388527499</v>
      </c>
      <c r="AH52" s="133">
        <v>0.977786164176774</v>
      </c>
      <c r="AI52" s="135">
        <v>0.92</v>
      </c>
      <c r="AJ52" s="133">
        <v>0.95175683212493</v>
      </c>
      <c r="AK52" s="133">
        <v>0.93756169792695</v>
      </c>
      <c r="AL52" s="133">
        <v>0.942493556701031</v>
      </c>
      <c r="AM52" s="133">
        <v>0.968698180175985</v>
      </c>
      <c r="AN52" s="132">
        <v>0.99</v>
      </c>
      <c r="AO52" s="137">
        <v>1</v>
      </c>
      <c r="AP52" s="137">
        <v>1</v>
      </c>
      <c r="AQ52" s="137">
        <v>1</v>
      </c>
      <c r="AR52" s="137">
        <v>1</v>
      </c>
      <c r="AS52" s="139">
        <v>0.0872182100128262</v>
      </c>
      <c r="AT52" s="141">
        <v>0.133333333333333</v>
      </c>
      <c r="AU52" s="141">
        <v>0.0952380952380952</v>
      </c>
      <c r="AV52" s="141">
        <v>0.112903225806452</v>
      </c>
      <c r="AW52" s="141">
        <v>0.0694037145650049</v>
      </c>
      <c r="AX52" s="95"/>
      <c r="AY52" s="93"/>
    </row>
    <row r="53" ht="14.5" spans="1:51">
      <c r="A53" s="91"/>
      <c r="B53" s="95"/>
      <c r="C53" s="128" t="s">
        <v>24</v>
      </c>
      <c r="D53" s="129" t="s">
        <v>25</v>
      </c>
      <c r="E53" s="130" t="s">
        <v>26</v>
      </c>
      <c r="F53" s="142" t="s">
        <v>72</v>
      </c>
      <c r="G53" s="142" t="s">
        <v>72</v>
      </c>
      <c r="H53" s="142" t="s">
        <v>72</v>
      </c>
      <c r="I53" s="142" t="s">
        <v>72</v>
      </c>
      <c r="J53" s="132">
        <v>0.9</v>
      </c>
      <c r="K53" s="133">
        <v>0.942307692307692</v>
      </c>
      <c r="L53" s="133">
        <v>0.883720930232558</v>
      </c>
      <c r="M53" s="134">
        <v>0.91304347826087</v>
      </c>
      <c r="N53" s="133">
        <v>0.952069716775599</v>
      </c>
      <c r="O53" s="135">
        <v>0.9</v>
      </c>
      <c r="P53" s="133">
        <v>0.977800722767166</v>
      </c>
      <c r="Q53" s="133">
        <v>0.52567409144197</v>
      </c>
      <c r="R53" s="133">
        <v>0.959074230877787</v>
      </c>
      <c r="S53" s="133">
        <v>0.927248279906736</v>
      </c>
      <c r="T53" s="135">
        <v>0.9</v>
      </c>
      <c r="U53" s="133">
        <v>0.884873515745999</v>
      </c>
      <c r="V53" s="133">
        <v>0.8968347010551</v>
      </c>
      <c r="W53" s="133">
        <v>0.826136042901496</v>
      </c>
      <c r="X53" s="133">
        <v>0.833369094108055</v>
      </c>
      <c r="Y53" s="135">
        <v>0.92</v>
      </c>
      <c r="Z53" s="135">
        <v>0.897292250233427</v>
      </c>
      <c r="AA53" s="135">
        <v>0.840361445783133</v>
      </c>
      <c r="AB53" s="135">
        <v>0.90979381443299</v>
      </c>
      <c r="AC53" s="135">
        <v>0.936161994022811</v>
      </c>
      <c r="AD53" s="135">
        <v>0.92</v>
      </c>
      <c r="AE53" s="133">
        <v>0.941534713763703</v>
      </c>
      <c r="AF53" s="133">
        <v>0.98659793814433</v>
      </c>
      <c r="AG53" s="133">
        <v>0.959083469721768</v>
      </c>
      <c r="AH53" s="133">
        <v>0.952205406803777</v>
      </c>
      <c r="AI53" s="135">
        <v>0.92</v>
      </c>
      <c r="AJ53" s="133">
        <v>0.924534574468085</v>
      </c>
      <c r="AK53" s="133">
        <v>0.926847805434163</v>
      </c>
      <c r="AL53" s="133">
        <v>0.922487689221229</v>
      </c>
      <c r="AM53" s="133">
        <v>0.9536578403882</v>
      </c>
      <c r="AN53" s="132">
        <v>0.99</v>
      </c>
      <c r="AO53" s="137">
        <v>1</v>
      </c>
      <c r="AP53" s="137">
        <v>1</v>
      </c>
      <c r="AQ53" s="137">
        <v>1</v>
      </c>
      <c r="AR53" s="137">
        <v>1</v>
      </c>
      <c r="AS53" s="139">
        <v>0.0872182100128262</v>
      </c>
      <c r="AT53" s="141">
        <v>0</v>
      </c>
      <c r="AU53" s="141">
        <v>0.0869565217391304</v>
      </c>
      <c r="AV53" s="141">
        <v>0.0645161290322581</v>
      </c>
      <c r="AW53" s="141">
        <v>0.0471380471380471</v>
      </c>
      <c r="AX53" s="95"/>
      <c r="AY53" s="93"/>
    </row>
    <row r="54" ht="14.5" spans="1:51">
      <c r="A54" s="91"/>
      <c r="B54" s="95"/>
      <c r="C54" s="128" t="s">
        <v>24</v>
      </c>
      <c r="D54" s="129" t="s">
        <v>25</v>
      </c>
      <c r="E54" s="130" t="s">
        <v>26</v>
      </c>
      <c r="F54" s="142" t="s">
        <v>73</v>
      </c>
      <c r="G54" s="142" t="s">
        <v>73</v>
      </c>
      <c r="H54" s="142" t="s">
        <v>73</v>
      </c>
      <c r="I54" s="142" t="s">
        <v>73</v>
      </c>
      <c r="J54" s="132">
        <v>0.9</v>
      </c>
      <c r="K54" s="133">
        <v>1</v>
      </c>
      <c r="L54" s="133">
        <v>0.954545454545455</v>
      </c>
      <c r="M54" s="134">
        <v>0.904761904761905</v>
      </c>
      <c r="N54" s="133">
        <v>0.943627450980392</v>
      </c>
      <c r="O54" s="135">
        <v>0.9</v>
      </c>
      <c r="P54" s="133">
        <v>0.967777777777778</v>
      </c>
      <c r="Q54" s="133">
        <v>0.961614173228346</v>
      </c>
      <c r="R54" s="133">
        <v>0.965823650034176</v>
      </c>
      <c r="S54" s="133">
        <v>0.950156073587036</v>
      </c>
      <c r="T54" s="135">
        <v>0.9</v>
      </c>
      <c r="U54" s="133">
        <v>0.931111111111111</v>
      </c>
      <c r="V54" s="133">
        <v>0.928149606299213</v>
      </c>
      <c r="W54" s="133">
        <v>0.915926179084074</v>
      </c>
      <c r="X54" s="133">
        <v>0.903765690376569</v>
      </c>
      <c r="Y54" s="135">
        <v>0.92</v>
      </c>
      <c r="Z54" s="135">
        <v>0.916461916461916</v>
      </c>
      <c r="AA54" s="135">
        <v>0.905</v>
      </c>
      <c r="AB54" s="135">
        <v>0.903341288782816</v>
      </c>
      <c r="AC54" s="135">
        <v>0.945057253913226</v>
      </c>
      <c r="AD54" s="135">
        <v>0.92</v>
      </c>
      <c r="AE54" s="133">
        <v>0.996420047732697</v>
      </c>
      <c r="AF54" s="133">
        <v>0.987405541561713</v>
      </c>
      <c r="AG54" s="133">
        <v>1</v>
      </c>
      <c r="AH54" s="133">
        <v>0.8014440433213</v>
      </c>
      <c r="AI54" s="135">
        <v>0.92</v>
      </c>
      <c r="AJ54" s="133">
        <v>0.949502677888294</v>
      </c>
      <c r="AK54" s="133">
        <v>0.947071277346507</v>
      </c>
      <c r="AL54" s="133">
        <v>0.947871416159861</v>
      </c>
      <c r="AM54" s="133">
        <v>0.967434197144136</v>
      </c>
      <c r="AN54" s="132">
        <v>0.99</v>
      </c>
      <c r="AO54" s="137">
        <v>1</v>
      </c>
      <c r="AP54" s="137">
        <v>1</v>
      </c>
      <c r="AQ54" s="137">
        <v>1</v>
      </c>
      <c r="AR54" s="137">
        <v>1</v>
      </c>
      <c r="AS54" s="139">
        <v>0.0872182100128262</v>
      </c>
      <c r="AT54" s="141">
        <v>0.166666666666667</v>
      </c>
      <c r="AU54" s="141">
        <v>0</v>
      </c>
      <c r="AV54" s="141">
        <v>0.0555555555555556</v>
      </c>
      <c r="AW54" s="141">
        <v>0.06</v>
      </c>
      <c r="AX54" s="95"/>
      <c r="AY54" s="93"/>
    </row>
    <row r="55" ht="14.5" spans="1:51">
      <c r="A55" s="91"/>
      <c r="B55" s="95"/>
      <c r="C55" s="128" t="s">
        <v>24</v>
      </c>
      <c r="D55" s="129" t="s">
        <v>25</v>
      </c>
      <c r="E55" s="130" t="s">
        <v>26</v>
      </c>
      <c r="F55" s="142" t="s">
        <v>74</v>
      </c>
      <c r="G55" s="142" t="s">
        <v>74</v>
      </c>
      <c r="H55" s="142" t="s">
        <v>74</v>
      </c>
      <c r="I55" s="142" t="s">
        <v>74</v>
      </c>
      <c r="J55" s="132">
        <v>0.9</v>
      </c>
      <c r="K55" s="133">
        <v>0.944444444444444</v>
      </c>
      <c r="L55" s="133">
        <v>0.917808219178082</v>
      </c>
      <c r="M55" s="134">
        <v>0.925925925925926</v>
      </c>
      <c r="N55" s="133">
        <v>0.925465838509317</v>
      </c>
      <c r="O55" s="135">
        <v>0.9</v>
      </c>
      <c r="P55" s="133">
        <v>0.989643268124281</v>
      </c>
      <c r="Q55" s="133">
        <v>0.962044689317417</v>
      </c>
      <c r="R55" s="133">
        <v>0.981156316916488</v>
      </c>
      <c r="S55" s="133">
        <v>0.946014309460143</v>
      </c>
      <c r="T55" s="135">
        <v>0.9</v>
      </c>
      <c r="U55" s="133">
        <v>0.912159570387418</v>
      </c>
      <c r="V55" s="133">
        <v>0.879400061218243</v>
      </c>
      <c r="W55" s="133">
        <v>0.902569593147752</v>
      </c>
      <c r="X55" s="133">
        <v>0.897934110407912</v>
      </c>
      <c r="Y55" s="135">
        <v>0.92</v>
      </c>
      <c r="Z55" s="135">
        <v>0.931724137931034</v>
      </c>
      <c r="AA55" s="135">
        <v>0.895155459146782</v>
      </c>
      <c r="AB55" s="135">
        <v>0.922938422758372</v>
      </c>
      <c r="AC55" s="135">
        <v>0.945427225974348</v>
      </c>
      <c r="AD55" s="135">
        <v>0.92</v>
      </c>
      <c r="AE55" s="133">
        <v>0.973963355834137</v>
      </c>
      <c r="AF55" s="133">
        <v>0.962648556876061</v>
      </c>
      <c r="AG55" s="133">
        <v>0.938650306748466</v>
      </c>
      <c r="AH55" s="133">
        <v>0.925237271989557</v>
      </c>
      <c r="AI55" s="135">
        <v>0.92</v>
      </c>
      <c r="AJ55" s="133">
        <v>0.953671759487432</v>
      </c>
      <c r="AK55" s="133">
        <v>0.928648183967333</v>
      </c>
      <c r="AL55" s="133">
        <v>0.951389821404592</v>
      </c>
      <c r="AM55" s="133">
        <v>0.964244564207396</v>
      </c>
      <c r="AN55" s="132">
        <v>0.99</v>
      </c>
      <c r="AO55" s="137">
        <v>1</v>
      </c>
      <c r="AP55" s="137">
        <v>1</v>
      </c>
      <c r="AQ55" s="137">
        <v>1</v>
      </c>
      <c r="AR55" s="137">
        <v>1</v>
      </c>
      <c r="AS55" s="139">
        <v>0.0872182100128262</v>
      </c>
      <c r="AT55" s="141">
        <v>0.0434782608695652</v>
      </c>
      <c r="AU55" s="141">
        <v>0.0196078431372549</v>
      </c>
      <c r="AV55" s="141">
        <v>0.06</v>
      </c>
      <c r="AW55" s="141">
        <v>0.043312101910828</v>
      </c>
      <c r="AX55" s="95"/>
      <c r="AY55" s="93"/>
    </row>
    <row r="56" ht="14.5" spans="1:51">
      <c r="A56" s="91"/>
      <c r="B56" s="95"/>
      <c r="C56" s="128" t="s">
        <v>24</v>
      </c>
      <c r="D56" s="129" t="s">
        <v>25</v>
      </c>
      <c r="E56" s="130" t="s">
        <v>26</v>
      </c>
      <c r="F56" s="142" t="s">
        <v>75</v>
      </c>
      <c r="G56" s="142" t="s">
        <v>75</v>
      </c>
      <c r="H56" s="142" t="s">
        <v>75</v>
      </c>
      <c r="I56" s="142" t="s">
        <v>75</v>
      </c>
      <c r="J56" s="132">
        <v>0.9</v>
      </c>
      <c r="K56" s="133">
        <v>1</v>
      </c>
      <c r="L56" s="133">
        <v>1</v>
      </c>
      <c r="M56" s="134">
        <v>0.985294117647059</v>
      </c>
      <c r="N56" s="133">
        <v>0.993653032440056</v>
      </c>
      <c r="O56" s="135">
        <v>0.9</v>
      </c>
      <c r="P56" s="133">
        <v>0.985537190082645</v>
      </c>
      <c r="Q56" s="133">
        <v>0.974436503573392</v>
      </c>
      <c r="R56" s="133">
        <v>0.971720818291215</v>
      </c>
      <c r="S56" s="133">
        <v>0.977436672522598</v>
      </c>
      <c r="T56" s="135">
        <v>0.9</v>
      </c>
      <c r="U56" s="133">
        <v>0.919077134986226</v>
      </c>
      <c r="V56" s="133">
        <v>0.904892798240792</v>
      </c>
      <c r="W56" s="133">
        <v>0.866024869634978</v>
      </c>
      <c r="X56" s="133">
        <v>0.907813251415729</v>
      </c>
      <c r="Y56" s="135">
        <v>0.92</v>
      </c>
      <c r="Z56" s="135">
        <v>0.925587467362924</v>
      </c>
      <c r="AA56" s="135">
        <v>0.894542772861357</v>
      </c>
      <c r="AB56" s="135">
        <v>0.858493870402802</v>
      </c>
      <c r="AC56" s="135">
        <v>0.937680323139065</v>
      </c>
      <c r="AD56" s="135">
        <v>0.92</v>
      </c>
      <c r="AE56" s="133">
        <v>0.999088145896657</v>
      </c>
      <c r="AF56" s="133">
        <v>0.997621474685695</v>
      </c>
      <c r="AG56" s="133">
        <v>0.996953283683142</v>
      </c>
      <c r="AH56" s="133">
        <v>0.973895889405432</v>
      </c>
      <c r="AI56" s="135">
        <v>0.92</v>
      </c>
      <c r="AJ56" s="133">
        <v>0.956492335437331</v>
      </c>
      <c r="AK56" s="133">
        <v>0.937762657594557</v>
      </c>
      <c r="AL56" s="133">
        <v>0.900777961994644</v>
      </c>
      <c r="AM56" s="133">
        <v>0.957951084008417</v>
      </c>
      <c r="AN56" s="132">
        <v>0.99</v>
      </c>
      <c r="AO56" s="137">
        <v>1</v>
      </c>
      <c r="AP56" s="137">
        <v>1</v>
      </c>
      <c r="AQ56" s="137">
        <v>1</v>
      </c>
      <c r="AR56" s="137">
        <v>1</v>
      </c>
      <c r="AS56" s="139">
        <v>0.0872182100128262</v>
      </c>
      <c r="AT56" s="141">
        <v>0.0277777777777778</v>
      </c>
      <c r="AU56" s="141">
        <v>0.148148148148148</v>
      </c>
      <c r="AV56" s="141">
        <v>0.075</v>
      </c>
      <c r="AW56" s="141">
        <v>0.0592105263157895</v>
      </c>
      <c r="AX56" s="95"/>
      <c r="AY56" s="93"/>
    </row>
    <row r="57" ht="14.5" spans="1:51">
      <c r="A57" s="91"/>
      <c r="B57" s="95"/>
      <c r="C57" s="128" t="s">
        <v>24</v>
      </c>
      <c r="D57" s="129" t="s">
        <v>25</v>
      </c>
      <c r="E57" s="130" t="s">
        <v>26</v>
      </c>
      <c r="F57" s="142" t="s">
        <v>76</v>
      </c>
      <c r="G57" s="142" t="s">
        <v>76</v>
      </c>
      <c r="H57" s="142" t="s">
        <v>76</v>
      </c>
      <c r="I57" s="142" t="s">
        <v>76</v>
      </c>
      <c r="J57" s="132">
        <v>0.9</v>
      </c>
      <c r="K57" s="133">
        <v>0.986301369863014</v>
      </c>
      <c r="L57" s="133">
        <v>0.933333333333333</v>
      </c>
      <c r="M57" s="134">
        <v>0.963636363636364</v>
      </c>
      <c r="N57" s="133">
        <v>0.964226289517471</v>
      </c>
      <c r="O57" s="135">
        <v>0.9</v>
      </c>
      <c r="P57" s="133">
        <v>0.978485116416151</v>
      </c>
      <c r="Q57" s="133">
        <v>0.974391805377721</v>
      </c>
      <c r="R57" s="133">
        <v>0.973272933182333</v>
      </c>
      <c r="S57" s="133">
        <v>0.973074340749658</v>
      </c>
      <c r="T57" s="135">
        <v>0.9</v>
      </c>
      <c r="U57" s="133">
        <v>0.937223695844385</v>
      </c>
      <c r="V57" s="133">
        <v>0.899487836107554</v>
      </c>
      <c r="W57" s="133">
        <v>0.906908267270668</v>
      </c>
      <c r="X57" s="133">
        <v>0.920658440025004</v>
      </c>
      <c r="Y57" s="135">
        <v>0.92</v>
      </c>
      <c r="Z57" s="135">
        <v>0.933734939759036</v>
      </c>
      <c r="AA57" s="135">
        <v>0.943732193732194</v>
      </c>
      <c r="AB57" s="135">
        <v>0.933333333333333</v>
      </c>
      <c r="AC57" s="135">
        <v>0.953244063031738</v>
      </c>
      <c r="AD57" s="135">
        <v>0.92</v>
      </c>
      <c r="AE57" s="133">
        <v>0.969234000105003</v>
      </c>
      <c r="AF57" s="133">
        <v>0.978269061675669</v>
      </c>
      <c r="AG57" s="133">
        <v>0.972079566003617</v>
      </c>
      <c r="AH57" s="133">
        <v>0.975317806901946</v>
      </c>
      <c r="AI57" s="135">
        <v>0.92</v>
      </c>
      <c r="AJ57" s="133">
        <v>0.965904277848369</v>
      </c>
      <c r="AK57" s="133">
        <v>0.955388692579505</v>
      </c>
      <c r="AL57" s="133">
        <v>0.959424083769634</v>
      </c>
      <c r="AM57" s="133">
        <v>0.971296362212572</v>
      </c>
      <c r="AN57" s="132">
        <v>0.99</v>
      </c>
      <c r="AO57" s="137">
        <v>1</v>
      </c>
      <c r="AP57" s="137">
        <v>1</v>
      </c>
      <c r="AQ57" s="137">
        <v>1</v>
      </c>
      <c r="AR57" s="137">
        <v>1</v>
      </c>
      <c r="AS57" s="139">
        <v>0.0872182100128262</v>
      </c>
      <c r="AT57" s="141">
        <v>0.0689655172413793</v>
      </c>
      <c r="AU57" s="141">
        <v>0.0357142857142857</v>
      </c>
      <c r="AV57" s="141">
        <v>0</v>
      </c>
      <c r="AW57" s="141">
        <v>0.0341997264021888</v>
      </c>
      <c r="AX57" s="95"/>
      <c r="AY57" s="93"/>
    </row>
    <row r="58" ht="14.5" spans="1:51">
      <c r="A58" s="91"/>
      <c r="B58" s="95"/>
      <c r="C58" s="128" t="s">
        <v>24</v>
      </c>
      <c r="D58" s="129" t="s">
        <v>25</v>
      </c>
      <c r="E58" s="130" t="s">
        <v>26</v>
      </c>
      <c r="F58" s="142" t="s">
        <v>77</v>
      </c>
      <c r="G58" s="142" t="s">
        <v>77</v>
      </c>
      <c r="H58" s="142" t="s">
        <v>77</v>
      </c>
      <c r="I58" s="142" t="s">
        <v>77</v>
      </c>
      <c r="J58" s="132">
        <v>0.9</v>
      </c>
      <c r="K58" s="133">
        <v>1</v>
      </c>
      <c r="L58" s="133">
        <v>1</v>
      </c>
      <c r="M58" s="134">
        <v>1</v>
      </c>
      <c r="N58" s="133">
        <v>0.965928449744463</v>
      </c>
      <c r="O58" s="135">
        <v>0.9</v>
      </c>
      <c r="P58" s="133">
        <v>0.89823717948718</v>
      </c>
      <c r="Q58" s="133">
        <v>0.541960784313726</v>
      </c>
      <c r="R58" s="133">
        <v>0.942172073342736</v>
      </c>
      <c r="S58" s="133">
        <v>0.921331352439375</v>
      </c>
      <c r="T58" s="135">
        <v>0.9</v>
      </c>
      <c r="U58" s="133">
        <v>0.955128205128205</v>
      </c>
      <c r="V58" s="133">
        <v>0.961176470588235</v>
      </c>
      <c r="W58" s="133">
        <v>0.886694875411377</v>
      </c>
      <c r="X58" s="133">
        <v>0.92787309498706</v>
      </c>
      <c r="Y58" s="135">
        <v>0.92</v>
      </c>
      <c r="Z58" s="135">
        <v>0.948604992657856</v>
      </c>
      <c r="AA58" s="135">
        <v>0.899830220713073</v>
      </c>
      <c r="AB58" s="135">
        <v>0.955499580184719</v>
      </c>
      <c r="AC58" s="135">
        <v>0.967592437115895</v>
      </c>
      <c r="AD58" s="135">
        <v>0.92</v>
      </c>
      <c r="AE58" s="133">
        <v>0.995430809399478</v>
      </c>
      <c r="AF58" s="133">
        <v>0.99179366940211</v>
      </c>
      <c r="AG58" s="133">
        <v>0.907639680729761</v>
      </c>
      <c r="AH58" s="133">
        <v>0.97873492670951</v>
      </c>
      <c r="AI58" s="135">
        <v>0.92</v>
      </c>
      <c r="AJ58" s="133">
        <v>0.967875647668394</v>
      </c>
      <c r="AK58" s="133">
        <v>0.961464968152866</v>
      </c>
      <c r="AL58" s="133">
        <v>0.961121157323689</v>
      </c>
      <c r="AM58" s="133">
        <v>0.976053345262393</v>
      </c>
      <c r="AN58" s="132">
        <v>0.99</v>
      </c>
      <c r="AO58" s="137">
        <v>1</v>
      </c>
      <c r="AP58" s="137">
        <v>1</v>
      </c>
      <c r="AQ58" s="137">
        <v>1</v>
      </c>
      <c r="AR58" s="137">
        <v>1</v>
      </c>
      <c r="AS58" s="139">
        <v>0.0872182100128262</v>
      </c>
      <c r="AT58" s="141">
        <v>0</v>
      </c>
      <c r="AU58" s="141">
        <v>0</v>
      </c>
      <c r="AV58" s="141">
        <v>0.0625</v>
      </c>
      <c r="AW58" s="141">
        <v>0.052434456928839</v>
      </c>
      <c r="AX58" s="95"/>
      <c r="AY58" s="93"/>
    </row>
    <row r="59" ht="14.5" spans="1:51">
      <c r="A59" s="91"/>
      <c r="B59" s="95"/>
      <c r="C59" s="128" t="s">
        <v>24</v>
      </c>
      <c r="D59" s="129" t="s">
        <v>25</v>
      </c>
      <c r="E59" s="130" t="s">
        <v>26</v>
      </c>
      <c r="F59" s="142" t="s">
        <v>78</v>
      </c>
      <c r="G59" s="142" t="s">
        <v>78</v>
      </c>
      <c r="H59" s="142" t="s">
        <v>78</v>
      </c>
      <c r="I59" s="142" t="s">
        <v>78</v>
      </c>
      <c r="J59" s="132">
        <v>0.9</v>
      </c>
      <c r="K59" s="133">
        <v>0.95959595959596</v>
      </c>
      <c r="L59" s="133">
        <v>0.935064935064935</v>
      </c>
      <c r="M59" s="134">
        <v>0.903614457831325</v>
      </c>
      <c r="N59" s="133">
        <v>0.903114186851211</v>
      </c>
      <c r="O59" s="135">
        <v>0.9</v>
      </c>
      <c r="P59" s="133">
        <v>0.977590126664502</v>
      </c>
      <c r="Q59" s="133">
        <v>0.901084010840108</v>
      </c>
      <c r="R59" s="133">
        <v>0.97039230199852</v>
      </c>
      <c r="S59" s="133">
        <v>0.951316391644863</v>
      </c>
      <c r="T59" s="135">
        <v>0.9</v>
      </c>
      <c r="U59" s="133">
        <v>0.731081519974017</v>
      </c>
      <c r="V59" s="133">
        <v>0.592140921409214</v>
      </c>
      <c r="W59" s="133">
        <v>0.649888971132494</v>
      </c>
      <c r="X59" s="133">
        <v>0.672529768843527</v>
      </c>
      <c r="Y59" s="135">
        <v>0.92</v>
      </c>
      <c r="Z59" s="135">
        <v>0.886277001270648</v>
      </c>
      <c r="AA59" s="135">
        <v>0.616951379763469</v>
      </c>
      <c r="AB59" s="135">
        <v>0.7248</v>
      </c>
      <c r="AC59" s="135">
        <v>0.909045455844119</v>
      </c>
      <c r="AD59" s="135">
        <v>0.92</v>
      </c>
      <c r="AE59" s="133">
        <v>0.995900111815132</v>
      </c>
      <c r="AF59" s="133">
        <v>0.961820285383725</v>
      </c>
      <c r="AG59" s="133">
        <v>0.996606334841629</v>
      </c>
      <c r="AH59" s="133">
        <v>0.99414026453399</v>
      </c>
      <c r="AI59" s="135">
        <v>0.92</v>
      </c>
      <c r="AJ59" s="133">
        <v>0.92522561237645</v>
      </c>
      <c r="AK59" s="133">
        <v>0.736811816612315</v>
      </c>
      <c r="AL59" s="133">
        <v>0.837337395992031</v>
      </c>
      <c r="AM59" s="133">
        <v>0.937289111564355</v>
      </c>
      <c r="AN59" s="132">
        <v>0.99</v>
      </c>
      <c r="AO59" s="137">
        <v>1</v>
      </c>
      <c r="AP59" s="137">
        <v>1</v>
      </c>
      <c r="AQ59" s="137">
        <v>1</v>
      </c>
      <c r="AR59" s="137">
        <v>1</v>
      </c>
      <c r="AS59" s="139">
        <v>0.0872182100128262</v>
      </c>
      <c r="AT59" s="141">
        <v>0.131578947368421</v>
      </c>
      <c r="AU59" s="141">
        <v>0.0697674418604651</v>
      </c>
      <c r="AV59" s="141">
        <v>0</v>
      </c>
      <c r="AW59" s="141">
        <v>0.0658385093167702</v>
      </c>
      <c r="AX59" s="95"/>
      <c r="AY59" s="93"/>
    </row>
    <row r="60" ht="14.5" spans="1:51">
      <c r="A60" s="91"/>
      <c r="B60" s="95"/>
      <c r="C60" s="128" t="s">
        <v>24</v>
      </c>
      <c r="D60" s="129" t="s">
        <v>25</v>
      </c>
      <c r="E60" s="130" t="s">
        <v>26</v>
      </c>
      <c r="F60" s="142" t="s">
        <v>79</v>
      </c>
      <c r="G60" s="142" t="s">
        <v>79</v>
      </c>
      <c r="H60" s="142" t="s">
        <v>79</v>
      </c>
      <c r="I60" s="142" t="s">
        <v>79</v>
      </c>
      <c r="J60" s="132">
        <v>0.9</v>
      </c>
      <c r="K60" s="133">
        <v>0.948717948717949</v>
      </c>
      <c r="L60" s="133">
        <v>0.890909090909091</v>
      </c>
      <c r="M60" s="134">
        <v>0.904761904761905</v>
      </c>
      <c r="N60" s="133">
        <v>0.940366972477064</v>
      </c>
      <c r="O60" s="135">
        <v>0.9</v>
      </c>
      <c r="P60" s="133">
        <v>0.849964446551315</v>
      </c>
      <c r="Q60" s="133">
        <v>0.936175395858709</v>
      </c>
      <c r="R60" s="133">
        <v>0.938453798423612</v>
      </c>
      <c r="S60" s="133">
        <v>0.944159858118172</v>
      </c>
      <c r="T60" s="135">
        <v>0.9</v>
      </c>
      <c r="U60" s="133">
        <v>0.791419767717469</v>
      </c>
      <c r="V60" s="133">
        <v>0.692813641900122</v>
      </c>
      <c r="W60" s="133">
        <v>0.687237967466041</v>
      </c>
      <c r="X60" s="133">
        <v>0.744053102373593</v>
      </c>
      <c r="Y60" s="135">
        <v>0.92</v>
      </c>
      <c r="Z60" s="135">
        <v>0.879775280898876</v>
      </c>
      <c r="AA60" s="135">
        <v>0.919637804187889</v>
      </c>
      <c r="AB60" s="135">
        <v>0.924563591022444</v>
      </c>
      <c r="AC60" s="135">
        <v>0.950653359707487</v>
      </c>
      <c r="AD60" s="135">
        <v>0.92</v>
      </c>
      <c r="AE60" s="133">
        <v>0.996391434404824</v>
      </c>
      <c r="AF60" s="133">
        <v>0.992246407739365</v>
      </c>
      <c r="AG60" s="133">
        <v>0.99413823272091</v>
      </c>
      <c r="AH60" s="133">
        <v>0.9866208982431</v>
      </c>
      <c r="AI60" s="135">
        <v>0.92</v>
      </c>
      <c r="AJ60" s="133">
        <v>0.908</v>
      </c>
      <c r="AK60" s="133">
        <v>0.925238419618529</v>
      </c>
      <c r="AL60" s="133">
        <v>0.941567644173117</v>
      </c>
      <c r="AM60" s="133">
        <v>0.963187131625277</v>
      </c>
      <c r="AN60" s="132">
        <v>0.99</v>
      </c>
      <c r="AO60" s="137">
        <v>1</v>
      </c>
      <c r="AP60" s="137">
        <v>1</v>
      </c>
      <c r="AQ60" s="137">
        <v>1</v>
      </c>
      <c r="AR60" s="137">
        <v>1</v>
      </c>
      <c r="AS60" s="139">
        <v>0.0872182100128262</v>
      </c>
      <c r="AT60" s="141">
        <v>0.0555555555555556</v>
      </c>
      <c r="AU60" s="141">
        <v>0.0256410256410256</v>
      </c>
      <c r="AV60" s="141">
        <v>0.0652173913043478</v>
      </c>
      <c r="AW60" s="141">
        <v>0.0489690721649485</v>
      </c>
      <c r="AX60" s="95"/>
      <c r="AY60" s="93"/>
    </row>
    <row r="61" ht="14.5" spans="1:51">
      <c r="A61" s="91"/>
      <c r="B61" s="95"/>
      <c r="C61" s="128" t="s">
        <v>24</v>
      </c>
      <c r="D61" s="129" t="s">
        <v>25</v>
      </c>
      <c r="E61" s="130" t="s">
        <v>26</v>
      </c>
      <c r="F61" s="142" t="s">
        <v>80</v>
      </c>
      <c r="G61" s="142" t="s">
        <v>80</v>
      </c>
      <c r="H61" s="142" t="s">
        <v>80</v>
      </c>
      <c r="I61" s="142" t="s">
        <v>80</v>
      </c>
      <c r="J61" s="132">
        <v>0.9</v>
      </c>
      <c r="K61" s="133">
        <v>0.978260869565217</v>
      </c>
      <c r="L61" s="133">
        <v>0.914285714285714</v>
      </c>
      <c r="M61" s="134">
        <v>0.894736842105263</v>
      </c>
      <c r="N61" s="133">
        <v>0.937756497948016</v>
      </c>
      <c r="O61" s="135">
        <v>0.9</v>
      </c>
      <c r="P61" s="133">
        <v>0.883689320388349</v>
      </c>
      <c r="Q61" s="133">
        <v>0.953286008701626</v>
      </c>
      <c r="R61" s="133">
        <v>0.955784469096672</v>
      </c>
      <c r="S61" s="133">
        <v>0.963369269043952</v>
      </c>
      <c r="T61" s="135">
        <v>0.9</v>
      </c>
      <c r="U61" s="133">
        <v>0.898252427184466</v>
      </c>
      <c r="V61" s="133">
        <v>0.874284405770552</v>
      </c>
      <c r="W61" s="133">
        <v>0.869255150554675</v>
      </c>
      <c r="X61" s="133">
        <v>0.846187260593137</v>
      </c>
      <c r="Y61" s="135">
        <v>0.92</v>
      </c>
      <c r="Z61" s="135">
        <v>0.93210586881473</v>
      </c>
      <c r="AA61" s="135">
        <v>0.914881297046902</v>
      </c>
      <c r="AB61" s="135">
        <v>0.939830774052021</v>
      </c>
      <c r="AC61" s="135">
        <v>0.95478160205551</v>
      </c>
      <c r="AD61" s="135">
        <v>0.92</v>
      </c>
      <c r="AE61" s="133">
        <v>0.992371316148719</v>
      </c>
      <c r="AF61" s="133">
        <v>0.989824524971446</v>
      </c>
      <c r="AG61" s="133">
        <v>0.990071788605468</v>
      </c>
      <c r="AH61" s="133">
        <v>0.975018899775024</v>
      </c>
      <c r="AI61" s="135">
        <v>0.92</v>
      </c>
      <c r="AJ61" s="133">
        <v>0.950638792102207</v>
      </c>
      <c r="AK61" s="133">
        <v>0.943396226415094</v>
      </c>
      <c r="AL61" s="133">
        <v>0.957267656036207</v>
      </c>
      <c r="AM61" s="133">
        <v>0.968100837612551</v>
      </c>
      <c r="AN61" s="132">
        <v>0.99</v>
      </c>
      <c r="AO61" s="137">
        <v>1</v>
      </c>
      <c r="AP61" s="137">
        <v>1</v>
      </c>
      <c r="AQ61" s="137">
        <v>1</v>
      </c>
      <c r="AR61" s="137">
        <v>0.999183228968146</v>
      </c>
      <c r="AS61" s="139">
        <v>0.0872182100128262</v>
      </c>
      <c r="AT61" s="141">
        <v>0.0961538461538462</v>
      </c>
      <c r="AU61" s="141">
        <v>0.0909090909090909</v>
      </c>
      <c r="AV61" s="141">
        <v>0.0185185185185185</v>
      </c>
      <c r="AW61" s="141">
        <v>0.0715686274509804</v>
      </c>
      <c r="AX61" s="95"/>
      <c r="AY61" s="93"/>
    </row>
    <row r="62" ht="14.5" spans="1:51">
      <c r="A62" s="91"/>
      <c r="B62" s="95"/>
      <c r="C62" s="128" t="s">
        <v>24</v>
      </c>
      <c r="D62" s="129" t="s">
        <v>81</v>
      </c>
      <c r="E62" s="130" t="s">
        <v>26</v>
      </c>
      <c r="F62" s="142" t="s">
        <v>82</v>
      </c>
      <c r="G62" s="142" t="s">
        <v>82</v>
      </c>
      <c r="H62" s="142" t="s">
        <v>82</v>
      </c>
      <c r="I62" s="142" t="s">
        <v>82</v>
      </c>
      <c r="J62" s="132">
        <v>0.9</v>
      </c>
      <c r="K62" s="133">
        <v>0.918367346938776</v>
      </c>
      <c r="L62" s="133">
        <v>0.914285714285714</v>
      </c>
      <c r="M62" s="134">
        <v>0.676470588235294</v>
      </c>
      <c r="N62" s="133">
        <v>0.828690807799443</v>
      </c>
      <c r="O62" s="135">
        <v>0.9</v>
      </c>
      <c r="P62" s="133">
        <v>0.956944444444444</v>
      </c>
      <c r="Q62" s="133">
        <v>0.922705314009662</v>
      </c>
      <c r="R62" s="133">
        <v>0.933867735470942</v>
      </c>
      <c r="S62" s="133">
        <v>0.971853403985252</v>
      </c>
      <c r="T62" s="135">
        <v>0.9</v>
      </c>
      <c r="U62" s="133">
        <v>0.780555555555556</v>
      </c>
      <c r="V62" s="133">
        <v>0.584541062801932</v>
      </c>
      <c r="W62" s="133">
        <v>0.52064128256513</v>
      </c>
      <c r="X62" s="133">
        <v>0.645840469042774</v>
      </c>
      <c r="Y62" s="135">
        <v>0.92</v>
      </c>
      <c r="Z62" s="135">
        <v>0.951334379905808</v>
      </c>
      <c r="AA62" s="135">
        <v>0.738983050847458</v>
      </c>
      <c r="AB62" s="135">
        <v>0.770326906957251</v>
      </c>
      <c r="AC62" s="135">
        <v>0.885769854132901</v>
      </c>
      <c r="AD62" s="135">
        <v>0.92</v>
      </c>
      <c r="AE62" s="133">
        <v>1</v>
      </c>
      <c r="AF62" s="133">
        <v>1</v>
      </c>
      <c r="AG62" s="133">
        <v>0.763157894736842</v>
      </c>
      <c r="AH62" s="133">
        <v>0.882850241545894</v>
      </c>
      <c r="AI62" s="135">
        <v>0.92</v>
      </c>
      <c r="AJ62" s="133">
        <v>0.963408762638421</v>
      </c>
      <c r="AK62" s="133">
        <v>0.770703472840605</v>
      </c>
      <c r="AL62" s="133">
        <v>0.766061263214963</v>
      </c>
      <c r="AM62" s="133">
        <v>0.907349195502268</v>
      </c>
      <c r="AN62" s="132">
        <v>0.99</v>
      </c>
      <c r="AO62" s="137">
        <v>1</v>
      </c>
      <c r="AP62" s="137">
        <v>1</v>
      </c>
      <c r="AQ62" s="137">
        <v>1</v>
      </c>
      <c r="AR62" s="137">
        <v>1</v>
      </c>
      <c r="AS62" s="139">
        <v>0.0872182100128262</v>
      </c>
      <c r="AT62" s="141">
        <v>0</v>
      </c>
      <c r="AU62" s="141">
        <v>0</v>
      </c>
      <c r="AV62" s="141">
        <v>0</v>
      </c>
      <c r="AW62" s="141">
        <v>0.0422960725075529</v>
      </c>
      <c r="AX62" s="95"/>
      <c r="AY62" s="93"/>
    </row>
    <row r="63" ht="14.5" spans="1:51">
      <c r="A63" s="91"/>
      <c r="B63" s="95"/>
      <c r="C63" s="128" t="s">
        <v>24</v>
      </c>
      <c r="D63" s="129" t="s">
        <v>25</v>
      </c>
      <c r="E63" s="130" t="s">
        <v>26</v>
      </c>
      <c r="F63" s="142" t="s">
        <v>83</v>
      </c>
      <c r="G63" s="142" t="s">
        <v>83</v>
      </c>
      <c r="H63" s="142" t="s">
        <v>83</v>
      </c>
      <c r="I63" s="142" t="s">
        <v>83</v>
      </c>
      <c r="J63" s="132">
        <v>0.9</v>
      </c>
      <c r="K63" s="133">
        <v>0.989247311827957</v>
      </c>
      <c r="L63" s="133">
        <v>0.975308641975309</v>
      </c>
      <c r="M63" s="134">
        <v>0.988095238095238</v>
      </c>
      <c r="N63" s="133">
        <v>0.923217550274223</v>
      </c>
      <c r="O63" s="135">
        <v>0.9</v>
      </c>
      <c r="P63" s="133">
        <v>0.993648553281581</v>
      </c>
      <c r="Q63" s="133">
        <v>0.996723102129984</v>
      </c>
      <c r="R63" s="133">
        <v>0.994916911045943</v>
      </c>
      <c r="S63" s="133">
        <v>0.98654388272881</v>
      </c>
      <c r="T63" s="135">
        <v>0.9</v>
      </c>
      <c r="U63" s="133">
        <v>0.885321100917431</v>
      </c>
      <c r="V63" s="133">
        <v>0.888585472419443</v>
      </c>
      <c r="W63" s="133">
        <v>0.878201368523949</v>
      </c>
      <c r="X63" s="133">
        <v>0.853561360646495</v>
      </c>
      <c r="Y63" s="135">
        <v>0.92</v>
      </c>
      <c r="Z63" s="135">
        <v>0.909205548549811</v>
      </c>
      <c r="AA63" s="135">
        <v>0.889400921658986</v>
      </c>
      <c r="AB63" s="135">
        <v>0.910076530612245</v>
      </c>
      <c r="AC63" s="135">
        <v>0.930684950872977</v>
      </c>
      <c r="AD63" s="135">
        <v>0.92</v>
      </c>
      <c r="AE63" s="133">
        <v>0.987451737451737</v>
      </c>
      <c r="AF63" s="133">
        <v>0.990491283676704</v>
      </c>
      <c r="AG63" s="133">
        <v>0.986167615947925</v>
      </c>
      <c r="AH63" s="133">
        <v>0.983836835960304</v>
      </c>
      <c r="AI63" s="135">
        <v>0.92</v>
      </c>
      <c r="AJ63" s="133">
        <v>0.940950226244344</v>
      </c>
      <c r="AK63" s="133">
        <v>0.937270797143409</v>
      </c>
      <c r="AL63" s="133">
        <v>0.936734941219246</v>
      </c>
      <c r="AM63" s="133">
        <v>0.95593373408969</v>
      </c>
      <c r="AN63" s="132">
        <v>0.99</v>
      </c>
      <c r="AO63" s="137">
        <v>1</v>
      </c>
      <c r="AP63" s="137">
        <v>1</v>
      </c>
      <c r="AQ63" s="137">
        <v>1</v>
      </c>
      <c r="AR63" s="137">
        <v>1</v>
      </c>
      <c r="AS63" s="139">
        <v>0.0872182100128262</v>
      </c>
      <c r="AT63" s="141">
        <v>0.121212121212121</v>
      </c>
      <c r="AU63" s="141">
        <v>0.129032258064516</v>
      </c>
      <c r="AV63" s="141">
        <v>0.0625</v>
      </c>
      <c r="AW63" s="141">
        <v>0.0738327904451683</v>
      </c>
      <c r="AX63" s="95"/>
      <c r="AY63" s="93"/>
    </row>
    <row r="64" ht="14.5" spans="1:51">
      <c r="A64" s="91"/>
      <c r="B64" s="95"/>
      <c r="C64" s="128" t="s">
        <v>24</v>
      </c>
      <c r="D64" s="129" t="s">
        <v>25</v>
      </c>
      <c r="E64" s="130" t="s">
        <v>26</v>
      </c>
      <c r="F64" s="142" t="s">
        <v>84</v>
      </c>
      <c r="G64" s="142" t="s">
        <v>84</v>
      </c>
      <c r="H64" s="142" t="s">
        <v>84</v>
      </c>
      <c r="I64" s="142" t="s">
        <v>84</v>
      </c>
      <c r="J64" s="132">
        <v>0.9</v>
      </c>
      <c r="K64" s="133">
        <v>0.957264957264957</v>
      </c>
      <c r="L64" s="133">
        <v>0.927835051546392</v>
      </c>
      <c r="M64" s="134">
        <v>0.950980392156863</v>
      </c>
      <c r="N64" s="133">
        <v>0.934022648941408</v>
      </c>
      <c r="O64" s="135">
        <v>0.9</v>
      </c>
      <c r="P64" s="133">
        <v>0.98991784914115</v>
      </c>
      <c r="Q64" s="133">
        <v>0.985191212367779</v>
      </c>
      <c r="R64" s="133">
        <v>0.984287440940556</v>
      </c>
      <c r="S64" s="133">
        <v>0.965838579645817</v>
      </c>
      <c r="T64" s="135">
        <v>0.9</v>
      </c>
      <c r="U64" s="133">
        <v>0.913741598207618</v>
      </c>
      <c r="V64" s="133">
        <v>0.853376729048007</v>
      </c>
      <c r="W64" s="133">
        <v>0.806285023623778</v>
      </c>
      <c r="X64" s="133">
        <v>0.795965623443091</v>
      </c>
      <c r="Y64" s="135">
        <v>0.92</v>
      </c>
      <c r="Z64" s="135">
        <v>0.946791443850267</v>
      </c>
      <c r="AA64" s="135">
        <v>0.912367930391548</v>
      </c>
      <c r="AB64" s="135">
        <v>0.903287380699894</v>
      </c>
      <c r="AC64" s="135">
        <v>0.945173312037724</v>
      </c>
      <c r="AD64" s="135">
        <v>0.92</v>
      </c>
      <c r="AE64" s="133">
        <v>0.985856637737062</v>
      </c>
      <c r="AF64" s="133">
        <v>0.996477765897226</v>
      </c>
      <c r="AG64" s="133">
        <v>0.985399130330714</v>
      </c>
      <c r="AH64" s="133">
        <v>0.978491749094709</v>
      </c>
      <c r="AI64" s="135">
        <v>0.92</v>
      </c>
      <c r="AJ64" s="133">
        <v>0.959327250742003</v>
      </c>
      <c r="AK64" s="133">
        <v>0.927917472598324</v>
      </c>
      <c r="AL64" s="133">
        <v>0.932035321366532</v>
      </c>
      <c r="AM64" s="133">
        <v>0.962367041092197</v>
      </c>
      <c r="AN64" s="132">
        <v>0.99</v>
      </c>
      <c r="AO64" s="137">
        <v>1</v>
      </c>
      <c r="AP64" s="137">
        <v>1</v>
      </c>
      <c r="AQ64" s="137">
        <v>1</v>
      </c>
      <c r="AR64" s="137">
        <v>0.999940241424644</v>
      </c>
      <c r="AS64" s="139">
        <v>0.0872182100128262</v>
      </c>
      <c r="AT64" s="141">
        <v>0.09375</v>
      </c>
      <c r="AU64" s="141">
        <v>0.111111111111111</v>
      </c>
      <c r="AV64" s="141">
        <v>0.0405405405405405</v>
      </c>
      <c r="AW64" s="141">
        <v>0.0692431561996779</v>
      </c>
      <c r="AX64" s="95"/>
      <c r="AY64" s="93"/>
    </row>
    <row r="65" ht="14.5" spans="1:51">
      <c r="A65" s="91"/>
      <c r="B65" s="95"/>
      <c r="C65" s="128" t="s">
        <v>24</v>
      </c>
      <c r="D65" s="129" t="s">
        <v>25</v>
      </c>
      <c r="E65" s="130" t="s">
        <v>26</v>
      </c>
      <c r="F65" s="142" t="s">
        <v>85</v>
      </c>
      <c r="G65" s="142" t="s">
        <v>85</v>
      </c>
      <c r="H65" s="142" t="s">
        <v>85</v>
      </c>
      <c r="I65" s="142" t="s">
        <v>85</v>
      </c>
      <c r="J65" s="132">
        <v>0.9</v>
      </c>
      <c r="K65" s="133">
        <v>0.846153846153846</v>
      </c>
      <c r="L65" s="133">
        <v>0.811594202898551</v>
      </c>
      <c r="M65" s="134">
        <v>0.735294117647059</v>
      </c>
      <c r="N65" s="133">
        <v>0.821249102656138</v>
      </c>
      <c r="O65" s="135">
        <v>0.9</v>
      </c>
      <c r="P65" s="133">
        <v>0.976514215080346</v>
      </c>
      <c r="Q65" s="133">
        <v>0.967501692620176</v>
      </c>
      <c r="R65" s="133">
        <v>0.990537733671821</v>
      </c>
      <c r="S65" s="133">
        <v>0.946178443384546</v>
      </c>
      <c r="T65" s="135">
        <v>0.9</v>
      </c>
      <c r="U65" s="133">
        <v>0.679851668726823</v>
      </c>
      <c r="V65" s="133">
        <v>0.582261340555179</v>
      </c>
      <c r="W65" s="133">
        <v>0.546042003231018</v>
      </c>
      <c r="X65" s="133">
        <v>0.661868412269463</v>
      </c>
      <c r="Y65" s="135">
        <v>0.92</v>
      </c>
      <c r="Z65" s="135">
        <v>0.893550893550894</v>
      </c>
      <c r="AA65" s="135">
        <v>0.619865571321882</v>
      </c>
      <c r="AB65" s="135">
        <v>0.561857788738183</v>
      </c>
      <c r="AC65" s="135">
        <v>0.864677929413356</v>
      </c>
      <c r="AD65" s="135">
        <v>0.92</v>
      </c>
      <c r="AE65" s="133">
        <v>0.935446685878963</v>
      </c>
      <c r="AF65" s="133">
        <v>0.976470588235294</v>
      </c>
      <c r="AG65" s="133">
        <v>0.952406134320465</v>
      </c>
      <c r="AH65" s="133">
        <v>0.877215292075411</v>
      </c>
      <c r="AI65" s="135">
        <v>0.92</v>
      </c>
      <c r="AJ65" s="133">
        <v>0.917878298330641</v>
      </c>
      <c r="AK65" s="133">
        <v>0.720903165735568</v>
      </c>
      <c r="AL65" s="133">
        <v>0.666321856066204</v>
      </c>
      <c r="AM65" s="133">
        <v>0.897860248508489</v>
      </c>
      <c r="AN65" s="132">
        <v>0.99</v>
      </c>
      <c r="AO65" s="137">
        <v>1</v>
      </c>
      <c r="AP65" s="137">
        <v>1</v>
      </c>
      <c r="AQ65" s="137">
        <v>1</v>
      </c>
      <c r="AR65" s="137">
        <v>1</v>
      </c>
      <c r="AS65" s="139">
        <v>0.0872182100128262</v>
      </c>
      <c r="AT65" s="141">
        <v>0.0588235294117647</v>
      </c>
      <c r="AU65" s="141">
        <v>0.0285714285714286</v>
      </c>
      <c r="AV65" s="141">
        <v>0.148148148148148</v>
      </c>
      <c r="AW65" s="141">
        <v>0.064327485380117</v>
      </c>
      <c r="AX65" s="95"/>
      <c r="AY65" s="93"/>
    </row>
    <row r="66" ht="14.5" spans="1:51">
      <c r="A66" s="91"/>
      <c r="B66" s="95"/>
      <c r="C66" s="128" t="s">
        <v>24</v>
      </c>
      <c r="D66" s="129" t="s">
        <v>25</v>
      </c>
      <c r="E66" s="130" t="s">
        <v>26</v>
      </c>
      <c r="F66" s="142" t="s">
        <v>86</v>
      </c>
      <c r="G66" s="142" t="s">
        <v>86</v>
      </c>
      <c r="H66" s="142" t="s">
        <v>86</v>
      </c>
      <c r="I66" s="142" t="s">
        <v>86</v>
      </c>
      <c r="J66" s="132">
        <v>0.9</v>
      </c>
      <c r="K66" s="133">
        <v>0.949152542372881</v>
      </c>
      <c r="L66" s="133">
        <v>0.978260869565217</v>
      </c>
      <c r="M66" s="134">
        <v>0.918367346938776</v>
      </c>
      <c r="N66" s="133">
        <v>0.947259565667011</v>
      </c>
      <c r="O66" s="135">
        <v>0.9</v>
      </c>
      <c r="P66" s="133">
        <v>0.900289715113472</v>
      </c>
      <c r="Q66" s="133">
        <v>0.943878759175941</v>
      </c>
      <c r="R66" s="133">
        <v>0.979603617471618</v>
      </c>
      <c r="S66" s="133">
        <v>0.96685933245073</v>
      </c>
      <c r="T66" s="135">
        <v>0.9</v>
      </c>
      <c r="U66" s="133">
        <v>0.903428295509416</v>
      </c>
      <c r="V66" s="133">
        <v>0.839924224484963</v>
      </c>
      <c r="W66" s="133">
        <v>0.877044448720416</v>
      </c>
      <c r="X66" s="133">
        <v>0.846706921975739</v>
      </c>
      <c r="Y66" s="135">
        <v>0.92</v>
      </c>
      <c r="Z66" s="135">
        <v>0.945</v>
      </c>
      <c r="AA66" s="135">
        <v>0.954063604240283</v>
      </c>
      <c r="AB66" s="135">
        <v>0.964989802855201</v>
      </c>
      <c r="AC66" s="135">
        <v>0.966770900726044</v>
      </c>
      <c r="AD66" s="135">
        <v>0.92</v>
      </c>
      <c r="AE66" s="133">
        <v>0.988921863566144</v>
      </c>
      <c r="AF66" s="133">
        <v>0.992086450540316</v>
      </c>
      <c r="AG66" s="133">
        <v>0.997854683001186</v>
      </c>
      <c r="AH66" s="133">
        <v>0.989893947925555</v>
      </c>
      <c r="AI66" s="135">
        <v>0.92</v>
      </c>
      <c r="AJ66" s="133">
        <v>0.941578519121237</v>
      </c>
      <c r="AK66" s="133">
        <v>0.926546391752577</v>
      </c>
      <c r="AL66" s="133">
        <v>0.965009208103131</v>
      </c>
      <c r="AM66" s="133">
        <v>0.972190822231194</v>
      </c>
      <c r="AN66" s="132">
        <v>0.99</v>
      </c>
      <c r="AO66" s="137">
        <v>1</v>
      </c>
      <c r="AP66" s="137">
        <v>1</v>
      </c>
      <c r="AQ66" s="137">
        <v>1</v>
      </c>
      <c r="AR66" s="137">
        <v>1</v>
      </c>
      <c r="AS66" s="139">
        <v>0.0872182100128262</v>
      </c>
      <c r="AT66" s="141">
        <v>0.230769230769231</v>
      </c>
      <c r="AU66" s="141">
        <v>0.05</v>
      </c>
      <c r="AV66" s="141">
        <v>0.0869565217391304</v>
      </c>
      <c r="AW66" s="141">
        <v>0.0622895622895623</v>
      </c>
      <c r="AX66" s="95"/>
      <c r="AY66" s="93"/>
    </row>
    <row r="67" ht="14.5" spans="1:51">
      <c r="A67" s="91"/>
      <c r="B67" s="95"/>
      <c r="C67" s="128" t="s">
        <v>24</v>
      </c>
      <c r="D67" s="129" t="s">
        <v>25</v>
      </c>
      <c r="E67" s="130" t="s">
        <v>26</v>
      </c>
      <c r="F67" s="142" t="s">
        <v>87</v>
      </c>
      <c r="G67" s="142" t="s">
        <v>87</v>
      </c>
      <c r="H67" s="142" t="s">
        <v>87</v>
      </c>
      <c r="I67" s="142" t="s">
        <v>87</v>
      </c>
      <c r="J67" s="132">
        <v>0.9</v>
      </c>
      <c r="K67" s="133" t="s">
        <v>35</v>
      </c>
      <c r="L67" s="133" t="s">
        <v>35</v>
      </c>
      <c r="M67" s="134" t="s">
        <v>35</v>
      </c>
      <c r="N67" s="133" t="s">
        <v>35</v>
      </c>
      <c r="O67" s="135">
        <v>0.9</v>
      </c>
      <c r="P67" s="133">
        <v>0</v>
      </c>
      <c r="Q67" s="133">
        <v>0.5</v>
      </c>
      <c r="R67" s="133">
        <v>0</v>
      </c>
      <c r="S67" s="133">
        <v>0.842105263157895</v>
      </c>
      <c r="T67" s="135">
        <v>0.9</v>
      </c>
      <c r="U67" s="133">
        <v>1</v>
      </c>
      <c r="V67" s="133">
        <v>1</v>
      </c>
      <c r="W67" s="133">
        <v>1</v>
      </c>
      <c r="X67" s="133">
        <v>0.957430340557275</v>
      </c>
      <c r="Y67" s="135">
        <v>0.92</v>
      </c>
      <c r="Z67" s="135">
        <v>1</v>
      </c>
      <c r="AA67" s="135">
        <v>1</v>
      </c>
      <c r="AB67" s="135">
        <v>1</v>
      </c>
      <c r="AC67" s="135">
        <v>0.975806451612903</v>
      </c>
      <c r="AD67" s="135">
        <v>0.92</v>
      </c>
      <c r="AE67" s="133" t="s">
        <v>35</v>
      </c>
      <c r="AF67" s="133" t="s">
        <v>35</v>
      </c>
      <c r="AG67" s="133" t="s">
        <v>35</v>
      </c>
      <c r="AH67" s="133">
        <v>0.833333333333333</v>
      </c>
      <c r="AI67" s="135">
        <v>0.92</v>
      </c>
      <c r="AJ67" s="133">
        <v>1</v>
      </c>
      <c r="AK67" s="133">
        <v>1</v>
      </c>
      <c r="AL67" s="133">
        <v>1</v>
      </c>
      <c r="AM67" s="133">
        <v>0.971933471933472</v>
      </c>
      <c r="AN67" s="132">
        <v>0.99</v>
      </c>
      <c r="AO67" s="137" t="s">
        <v>35</v>
      </c>
      <c r="AP67" s="137" t="s">
        <v>35</v>
      </c>
      <c r="AQ67" s="137" t="s">
        <v>35</v>
      </c>
      <c r="AR67" s="137">
        <v>1</v>
      </c>
      <c r="AS67" s="139">
        <v>0.0872182100128262</v>
      </c>
      <c r="AT67" s="141" t="s">
        <v>35</v>
      </c>
      <c r="AU67" s="141" t="s">
        <v>35</v>
      </c>
      <c r="AV67" s="141" t="s">
        <v>35</v>
      </c>
      <c r="AW67" s="141">
        <v>2</v>
      </c>
      <c r="AX67" s="95"/>
      <c r="AY67" s="93"/>
    </row>
    <row r="68" ht="14.5" spans="1:51">
      <c r="A68" s="91"/>
      <c r="B68" s="95"/>
      <c r="C68" s="128" t="s">
        <v>24</v>
      </c>
      <c r="D68" s="129" t="s">
        <v>25</v>
      </c>
      <c r="E68" s="130" t="s">
        <v>26</v>
      </c>
      <c r="F68" s="142" t="s">
        <v>88</v>
      </c>
      <c r="G68" s="142" t="s">
        <v>88</v>
      </c>
      <c r="H68" s="142" t="s">
        <v>88</v>
      </c>
      <c r="I68" s="142" t="s">
        <v>88</v>
      </c>
      <c r="J68" s="132">
        <v>0.9</v>
      </c>
      <c r="K68" s="133">
        <v>0.939024390243902</v>
      </c>
      <c r="L68" s="133">
        <v>0.917647058823529</v>
      </c>
      <c r="M68" s="134">
        <v>0.92</v>
      </c>
      <c r="N68" s="133">
        <v>0.929541047188106</v>
      </c>
      <c r="O68" s="135">
        <v>0.9</v>
      </c>
      <c r="P68" s="133">
        <v>0.994162826420891</v>
      </c>
      <c r="Q68" s="133">
        <v>0.991152679474216</v>
      </c>
      <c r="R68" s="133">
        <v>0.986091040462428</v>
      </c>
      <c r="S68" s="133">
        <v>0.974231634182909</v>
      </c>
      <c r="T68" s="135">
        <v>0.9</v>
      </c>
      <c r="U68" s="133">
        <v>0.804301075268817</v>
      </c>
      <c r="V68" s="133">
        <v>0.735591506572295</v>
      </c>
      <c r="W68" s="133">
        <v>0.698338150289017</v>
      </c>
      <c r="X68" s="133">
        <v>0.758288469401663</v>
      </c>
      <c r="Y68" s="135">
        <v>0.92</v>
      </c>
      <c r="Z68" s="135">
        <v>0.91641429436705</v>
      </c>
      <c r="AA68" s="135">
        <v>0.854947756607253</v>
      </c>
      <c r="AB68" s="135">
        <v>0.781934306569343</v>
      </c>
      <c r="AC68" s="135">
        <v>0.913112355176071</v>
      </c>
      <c r="AD68" s="135">
        <v>0.92</v>
      </c>
      <c r="AE68" s="133">
        <v>0.999343401181878</v>
      </c>
      <c r="AF68" s="133">
        <v>0.968331303288672</v>
      </c>
      <c r="AG68" s="133">
        <v>0.990167158308751</v>
      </c>
      <c r="AH68" s="133">
        <v>0.978376812357612</v>
      </c>
      <c r="AI68" s="135">
        <v>0.92</v>
      </c>
      <c r="AJ68" s="133">
        <v>0.93681206685691</v>
      </c>
      <c r="AK68" s="133">
        <v>0.872157564905998</v>
      </c>
      <c r="AL68" s="133">
        <v>0.826742209631728</v>
      </c>
      <c r="AM68" s="133">
        <v>0.932952597324774</v>
      </c>
      <c r="AN68" s="132">
        <v>0.99</v>
      </c>
      <c r="AO68" s="137">
        <v>1</v>
      </c>
      <c r="AP68" s="137">
        <v>1</v>
      </c>
      <c r="AQ68" s="137">
        <v>1</v>
      </c>
      <c r="AR68" s="137">
        <v>1</v>
      </c>
      <c r="AS68" s="139">
        <v>0.0872182100128262</v>
      </c>
      <c r="AT68" s="141">
        <v>0.0810810810810811</v>
      </c>
      <c r="AU68" s="141">
        <v>0.191489361702128</v>
      </c>
      <c r="AV68" s="141">
        <v>0.0163934426229508</v>
      </c>
      <c r="AW68" s="141">
        <v>0.0718562874251497</v>
      </c>
      <c r="AX68" s="95"/>
      <c r="AY68" s="93"/>
    </row>
    <row r="69" ht="14.5" spans="1:51">
      <c r="A69" s="91"/>
      <c r="B69" s="95"/>
      <c r="C69" s="128" t="s">
        <v>24</v>
      </c>
      <c r="D69" s="129" t="s">
        <v>25</v>
      </c>
      <c r="E69" s="130" t="s">
        <v>26</v>
      </c>
      <c r="F69" s="142" t="s">
        <v>89</v>
      </c>
      <c r="G69" s="142" t="s">
        <v>89</v>
      </c>
      <c r="H69" s="142" t="s">
        <v>89</v>
      </c>
      <c r="I69" s="142" t="s">
        <v>89</v>
      </c>
      <c r="J69" s="132">
        <v>0.9</v>
      </c>
      <c r="K69" s="133">
        <v>0.899159663865546</v>
      </c>
      <c r="L69" s="133">
        <v>0.989010989010989</v>
      </c>
      <c r="M69" s="134">
        <v>0.97029702970297</v>
      </c>
      <c r="N69" s="133">
        <v>0.974175035868006</v>
      </c>
      <c r="O69" s="135">
        <v>0.9</v>
      </c>
      <c r="P69" s="133">
        <v>0.991844416562108</v>
      </c>
      <c r="Q69" s="133">
        <v>0.988135593220339</v>
      </c>
      <c r="R69" s="133">
        <v>0.984811874352779</v>
      </c>
      <c r="S69" s="133">
        <v>0.972185240735435</v>
      </c>
      <c r="T69" s="135">
        <v>0.9</v>
      </c>
      <c r="U69" s="133">
        <v>0.845671267252196</v>
      </c>
      <c r="V69" s="133">
        <v>0.746973365617433</v>
      </c>
      <c r="W69" s="133">
        <v>0.750431480842251</v>
      </c>
      <c r="X69" s="133">
        <v>0.809476061275047</v>
      </c>
      <c r="Y69" s="135">
        <v>0.92</v>
      </c>
      <c r="Z69" s="135">
        <v>0.922651933701657</v>
      </c>
      <c r="AA69" s="135">
        <v>0.772651473040578</v>
      </c>
      <c r="AB69" s="135">
        <v>0.850467289719626</v>
      </c>
      <c r="AC69" s="135">
        <v>0.91534116247956</v>
      </c>
      <c r="AD69" s="135">
        <v>0.92</v>
      </c>
      <c r="AE69" s="133">
        <v>0.976218787158145</v>
      </c>
      <c r="AF69" s="133">
        <v>0.974293059125964</v>
      </c>
      <c r="AG69" s="133">
        <v>0.981064021641118</v>
      </c>
      <c r="AH69" s="133">
        <v>0.985674623067134</v>
      </c>
      <c r="AI69" s="135">
        <v>0.92</v>
      </c>
      <c r="AJ69" s="133">
        <v>0.95078031212485</v>
      </c>
      <c r="AK69" s="133">
        <v>0.837268128161889</v>
      </c>
      <c r="AL69" s="133">
        <v>0.876073359482667</v>
      </c>
      <c r="AM69" s="133">
        <v>0.941249034690951</v>
      </c>
      <c r="AN69" s="132">
        <v>0.99</v>
      </c>
      <c r="AO69" s="137">
        <v>1</v>
      </c>
      <c r="AP69" s="137">
        <v>1</v>
      </c>
      <c r="AQ69" s="137">
        <v>1</v>
      </c>
      <c r="AR69" s="137">
        <v>1</v>
      </c>
      <c r="AS69" s="139">
        <v>0.0872182100128262</v>
      </c>
      <c r="AT69" s="141">
        <v>0.0684931506849315</v>
      </c>
      <c r="AU69" s="141">
        <v>0</v>
      </c>
      <c r="AV69" s="141">
        <v>0.0547945205479452</v>
      </c>
      <c r="AW69" s="141">
        <v>0.0473575840768703</v>
      </c>
      <c r="AX69" s="95"/>
      <c r="AY69" s="93"/>
    </row>
    <row r="70" ht="14.5" spans="1:51">
      <c r="A70" s="91"/>
      <c r="B70" s="95"/>
      <c r="C70" s="128" t="s">
        <v>24</v>
      </c>
      <c r="D70" s="129" t="s">
        <v>25</v>
      </c>
      <c r="E70" s="130" t="s">
        <v>26</v>
      </c>
      <c r="F70" s="142" t="s">
        <v>90</v>
      </c>
      <c r="G70" s="142" t="s">
        <v>90</v>
      </c>
      <c r="H70" s="142" t="s">
        <v>90</v>
      </c>
      <c r="I70" s="142" t="s">
        <v>90</v>
      </c>
      <c r="J70" s="132">
        <v>0.9</v>
      </c>
      <c r="K70" s="133">
        <v>0.974358974358974</v>
      </c>
      <c r="L70" s="133">
        <v>0.904347826086957</v>
      </c>
      <c r="M70" s="134">
        <v>0.936619718309859</v>
      </c>
      <c r="N70" s="133">
        <v>0.953445747800587</v>
      </c>
      <c r="O70" s="135">
        <v>0.9</v>
      </c>
      <c r="P70" s="133">
        <v>0.985373870172556</v>
      </c>
      <c r="Q70" s="133">
        <v>0.982167165804519</v>
      </c>
      <c r="R70" s="133">
        <v>0.979979025645915</v>
      </c>
      <c r="S70" s="133">
        <v>0.970373138907639</v>
      </c>
      <c r="T70" s="135">
        <v>0.9</v>
      </c>
      <c r="U70" s="133">
        <v>0.88759244042728</v>
      </c>
      <c r="V70" s="133">
        <v>0.790498230329431</v>
      </c>
      <c r="W70" s="133">
        <v>0.87339117170369</v>
      </c>
      <c r="X70" s="133">
        <v>0.833239430334202</v>
      </c>
      <c r="Y70" s="135">
        <v>0.92</v>
      </c>
      <c r="Z70" s="135">
        <v>0.948599569098184</v>
      </c>
      <c r="AA70" s="135">
        <v>0.857181352735112</v>
      </c>
      <c r="AB70" s="135">
        <v>0.94520325203252</v>
      </c>
      <c r="AC70" s="135">
        <v>0.947597624312669</v>
      </c>
      <c r="AD70" s="135">
        <v>0.92</v>
      </c>
      <c r="AE70" s="133">
        <v>0.995791336628321</v>
      </c>
      <c r="AF70" s="133">
        <v>0.988708678267725</v>
      </c>
      <c r="AG70" s="133">
        <v>0.982251168340459</v>
      </c>
      <c r="AH70" s="133">
        <v>0.98652990129669</v>
      </c>
      <c r="AI70" s="135">
        <v>0.92</v>
      </c>
      <c r="AJ70" s="133">
        <v>0.962189374464439</v>
      </c>
      <c r="AK70" s="133">
        <v>0.889190166305134</v>
      </c>
      <c r="AL70" s="133">
        <v>0.961547704878635</v>
      </c>
      <c r="AM70" s="133">
        <v>0.963418160786582</v>
      </c>
      <c r="AN70" s="132">
        <v>0.99</v>
      </c>
      <c r="AO70" s="137">
        <v>1</v>
      </c>
      <c r="AP70" s="137">
        <v>1</v>
      </c>
      <c r="AQ70" s="137">
        <v>1</v>
      </c>
      <c r="AR70" s="137">
        <v>1</v>
      </c>
      <c r="AS70" s="139">
        <v>0.0872182100128262</v>
      </c>
      <c r="AT70" s="141">
        <v>0.0967741935483871</v>
      </c>
      <c r="AU70" s="141">
        <v>0.0545454545454545</v>
      </c>
      <c r="AV70" s="141">
        <v>0.0864197530864197</v>
      </c>
      <c r="AW70" s="141">
        <v>0.0660847880299252</v>
      </c>
      <c r="AX70" s="95"/>
      <c r="AY70" s="93"/>
    </row>
    <row r="71" ht="14.5" spans="1:51">
      <c r="A71" s="91"/>
      <c r="B71" s="95"/>
      <c r="C71" s="128" t="s">
        <v>24</v>
      </c>
      <c r="D71" s="129" t="s">
        <v>25</v>
      </c>
      <c r="E71" s="130" t="s">
        <v>26</v>
      </c>
      <c r="F71" s="142" t="s">
        <v>91</v>
      </c>
      <c r="G71" s="142" t="s">
        <v>91</v>
      </c>
      <c r="H71" s="142" t="s">
        <v>91</v>
      </c>
      <c r="I71" s="142" t="s">
        <v>91</v>
      </c>
      <c r="J71" s="132">
        <v>0.9</v>
      </c>
      <c r="K71" s="133">
        <v>0.972222222222222</v>
      </c>
      <c r="L71" s="133">
        <v>0.836363636363636</v>
      </c>
      <c r="M71" s="134">
        <v>0.909090909090909</v>
      </c>
      <c r="N71" s="133">
        <v>0.9245960502693</v>
      </c>
      <c r="O71" s="135">
        <v>0.9</v>
      </c>
      <c r="P71" s="133">
        <v>0.876196990424077</v>
      </c>
      <c r="Q71" s="133">
        <v>0.928483957874112</v>
      </c>
      <c r="R71" s="133">
        <v>0.960748423835672</v>
      </c>
      <c r="S71" s="133">
        <v>0.9518583998862</v>
      </c>
      <c r="T71" s="135">
        <v>0.9</v>
      </c>
      <c r="U71" s="133">
        <v>0.911536707706338</v>
      </c>
      <c r="V71" s="133">
        <v>0.856233161890767</v>
      </c>
      <c r="W71" s="133">
        <v>0.902582875737238</v>
      </c>
      <c r="X71" s="133">
        <v>0.840557621573289</v>
      </c>
      <c r="Y71" s="135">
        <v>0.92</v>
      </c>
      <c r="Z71" s="135">
        <v>0.94290465631929</v>
      </c>
      <c r="AA71" s="135">
        <v>0.960569550930997</v>
      </c>
      <c r="AB71" s="135">
        <v>0.969996202050893</v>
      </c>
      <c r="AC71" s="135">
        <v>0.948447991000809</v>
      </c>
      <c r="AD71" s="135">
        <v>0.92</v>
      </c>
      <c r="AE71" s="133">
        <v>0.967306469329942</v>
      </c>
      <c r="AF71" s="133">
        <v>0.996568570431546</v>
      </c>
      <c r="AG71" s="133">
        <v>0.975081794811872</v>
      </c>
      <c r="AH71" s="133">
        <v>0.910711227524935</v>
      </c>
      <c r="AI71" s="135">
        <v>0.92</v>
      </c>
      <c r="AJ71" s="133">
        <v>0.962203198190922</v>
      </c>
      <c r="AK71" s="133">
        <v>0.949763193504736</v>
      </c>
      <c r="AL71" s="133">
        <v>0.981194543769037</v>
      </c>
      <c r="AM71" s="133">
        <v>0.967672788366839</v>
      </c>
      <c r="AN71" s="132">
        <v>0.99</v>
      </c>
      <c r="AO71" s="137">
        <v>1</v>
      </c>
      <c r="AP71" s="137">
        <v>1</v>
      </c>
      <c r="AQ71" s="137">
        <v>1</v>
      </c>
      <c r="AR71" s="137">
        <v>1</v>
      </c>
      <c r="AS71" s="139">
        <v>0.0872182100128262</v>
      </c>
      <c r="AT71" s="141">
        <v>0.15</v>
      </c>
      <c r="AU71" s="141">
        <v>0.138888888888889</v>
      </c>
      <c r="AV71" s="141">
        <v>0.0232558139534884</v>
      </c>
      <c r="AW71" s="141">
        <v>0.0810457516339869</v>
      </c>
      <c r="AX71" s="95"/>
      <c r="AY71" s="93"/>
    </row>
    <row r="72" ht="14.5" spans="1:51">
      <c r="A72" s="91"/>
      <c r="B72" s="95"/>
      <c r="C72" s="128" t="s">
        <v>24</v>
      </c>
      <c r="D72" s="129" t="s">
        <v>25</v>
      </c>
      <c r="E72" s="130" t="s">
        <v>26</v>
      </c>
      <c r="F72" s="142" t="s">
        <v>92</v>
      </c>
      <c r="G72" s="142" t="s">
        <v>92</v>
      </c>
      <c r="H72" s="142" t="s">
        <v>92</v>
      </c>
      <c r="I72" s="142" t="s">
        <v>92</v>
      </c>
      <c r="J72" s="132">
        <v>0.9</v>
      </c>
      <c r="K72" s="133">
        <v>0.827956989247312</v>
      </c>
      <c r="L72" s="133">
        <v>0.833333333333333</v>
      </c>
      <c r="M72" s="134">
        <v>0.835294117647059</v>
      </c>
      <c r="N72" s="133">
        <v>0.83886541943271</v>
      </c>
      <c r="O72" s="135">
        <v>0.9</v>
      </c>
      <c r="P72" s="133">
        <v>0.959213190627712</v>
      </c>
      <c r="Q72" s="133">
        <v>0.947142534447707</v>
      </c>
      <c r="R72" s="133">
        <v>0.949685534591195</v>
      </c>
      <c r="S72" s="133">
        <v>0.853296011434794</v>
      </c>
      <c r="T72" s="135">
        <v>0.9</v>
      </c>
      <c r="U72" s="133">
        <v>0.707839166907723</v>
      </c>
      <c r="V72" s="133">
        <v>0.633160153602891</v>
      </c>
      <c r="W72" s="133">
        <v>0.70440251572327</v>
      </c>
      <c r="X72" s="133">
        <v>0.647171930302205</v>
      </c>
      <c r="Y72" s="135">
        <v>0.92</v>
      </c>
      <c r="Z72" s="135">
        <v>0.866871479774706</v>
      </c>
      <c r="AA72" s="135">
        <v>0.698984302862419</v>
      </c>
      <c r="AB72" s="135">
        <v>0.844207723035952</v>
      </c>
      <c r="AC72" s="135">
        <v>0.86163555939152</v>
      </c>
      <c r="AD72" s="135">
        <v>0.92</v>
      </c>
      <c r="AE72" s="133">
        <v>0.993351695317694</v>
      </c>
      <c r="AF72" s="133">
        <v>0.990384615384615</v>
      </c>
      <c r="AG72" s="133">
        <v>0.997353701810309</v>
      </c>
      <c r="AH72" s="133">
        <v>0.909108053218386</v>
      </c>
      <c r="AI72" s="135">
        <v>0.92</v>
      </c>
      <c r="AJ72" s="133">
        <v>0.901663585951941</v>
      </c>
      <c r="AK72" s="133">
        <v>0.768950879320801</v>
      </c>
      <c r="AL72" s="133">
        <v>0.882081157091201</v>
      </c>
      <c r="AM72" s="133">
        <v>0.896655329981013</v>
      </c>
      <c r="AN72" s="132">
        <v>0.99</v>
      </c>
      <c r="AO72" s="137">
        <v>1</v>
      </c>
      <c r="AP72" s="137">
        <v>1</v>
      </c>
      <c r="AQ72" s="137">
        <v>1</v>
      </c>
      <c r="AR72" s="137">
        <v>1</v>
      </c>
      <c r="AS72" s="139">
        <v>0.0872182100128262</v>
      </c>
      <c r="AT72" s="141">
        <v>0.0909090909090909</v>
      </c>
      <c r="AU72" s="141">
        <v>0.0869565217391304</v>
      </c>
      <c r="AV72" s="141">
        <v>0.0238095238095238</v>
      </c>
      <c r="AW72" s="141">
        <v>0.0611664295874822</v>
      </c>
      <c r="AX72" s="95"/>
      <c r="AY72" s="93"/>
    </row>
    <row r="73" ht="14.5" spans="1:51">
      <c r="A73" s="91"/>
      <c r="B73" s="95"/>
      <c r="C73" s="128" t="s">
        <v>24</v>
      </c>
      <c r="D73" s="129" t="s">
        <v>25</v>
      </c>
      <c r="E73" s="130" t="s">
        <v>26</v>
      </c>
      <c r="F73" s="142" t="s">
        <v>93</v>
      </c>
      <c r="G73" s="142" t="s">
        <v>93</v>
      </c>
      <c r="H73" s="142" t="s">
        <v>93</v>
      </c>
      <c r="I73" s="142" t="s">
        <v>93</v>
      </c>
      <c r="J73" s="132">
        <v>0.9</v>
      </c>
      <c r="K73" s="133">
        <v>0.959459459459459</v>
      </c>
      <c r="L73" s="133">
        <v>0.953125</v>
      </c>
      <c r="M73" s="134">
        <v>0.926174496644295</v>
      </c>
      <c r="N73" s="133">
        <v>0.914275065225494</v>
      </c>
      <c r="O73" s="135">
        <v>0.9</v>
      </c>
      <c r="P73" s="133">
        <v>0.945489169245418</v>
      </c>
      <c r="Q73" s="133">
        <v>0.952778983933999</v>
      </c>
      <c r="R73" s="133">
        <v>0.942471874251975</v>
      </c>
      <c r="S73" s="133">
        <v>0.900203431112505</v>
      </c>
      <c r="T73" s="135">
        <v>0.9</v>
      </c>
      <c r="U73" s="133">
        <v>0.859795286836468</v>
      </c>
      <c r="V73" s="133">
        <v>0.777898393399913</v>
      </c>
      <c r="W73" s="133">
        <v>0.807308705018751</v>
      </c>
      <c r="X73" s="133">
        <v>0.766856873988034</v>
      </c>
      <c r="Y73" s="135">
        <v>0.92</v>
      </c>
      <c r="Z73" s="135">
        <v>0.941602535083748</v>
      </c>
      <c r="AA73" s="135">
        <v>0.888222698072805</v>
      </c>
      <c r="AB73" s="135">
        <v>0.890487839976975</v>
      </c>
      <c r="AC73" s="135">
        <v>0.934442874801342</v>
      </c>
      <c r="AD73" s="135">
        <v>0.92</v>
      </c>
      <c r="AE73" s="133">
        <v>0.904572066665971</v>
      </c>
      <c r="AF73" s="133">
        <v>0.994848163942872</v>
      </c>
      <c r="AG73" s="133">
        <v>0.916764420226788</v>
      </c>
      <c r="AH73" s="133">
        <v>0.955869826745932</v>
      </c>
      <c r="AI73" s="135">
        <v>0.92</v>
      </c>
      <c r="AJ73" s="133">
        <v>0.946580363409499</v>
      </c>
      <c r="AK73" s="133">
        <v>0.901771568486245</v>
      </c>
      <c r="AL73" s="133">
        <v>0.919958953309389</v>
      </c>
      <c r="AM73" s="133">
        <v>0.952015986167996</v>
      </c>
      <c r="AN73" s="132">
        <v>0.99</v>
      </c>
      <c r="AO73" s="137">
        <v>1</v>
      </c>
      <c r="AP73" s="137">
        <v>1</v>
      </c>
      <c r="AQ73" s="137">
        <v>1</v>
      </c>
      <c r="AR73" s="137">
        <v>0.999863537117904</v>
      </c>
      <c r="AS73" s="139">
        <v>0.0872182100128262</v>
      </c>
      <c r="AT73" s="141">
        <v>0.0833333333333333</v>
      </c>
      <c r="AU73" s="141">
        <v>0.105263157894737</v>
      </c>
      <c r="AV73" s="141">
        <v>0.037037037037037</v>
      </c>
      <c r="AW73" s="141">
        <v>0.0546984572230014</v>
      </c>
      <c r="AX73" s="95"/>
      <c r="AY73" s="93"/>
    </row>
    <row r="74" ht="14.5" spans="1:51">
      <c r="A74" s="91"/>
      <c r="B74" s="95"/>
      <c r="C74" s="128" t="s">
        <v>24</v>
      </c>
      <c r="D74" s="129" t="s">
        <v>25</v>
      </c>
      <c r="E74" s="130" t="s">
        <v>26</v>
      </c>
      <c r="F74" s="142" t="s">
        <v>94</v>
      </c>
      <c r="G74" s="142" t="s">
        <v>94</v>
      </c>
      <c r="H74" s="142" t="s">
        <v>94</v>
      </c>
      <c r="I74" s="142" t="s">
        <v>94</v>
      </c>
      <c r="J74" s="132">
        <v>0.9</v>
      </c>
      <c r="K74" s="133">
        <v>0.792452830188679</v>
      </c>
      <c r="L74" s="133">
        <v>0.730769230769231</v>
      </c>
      <c r="M74" s="134">
        <v>0.827586206896552</v>
      </c>
      <c r="N74" s="133">
        <v>0.832579185520362</v>
      </c>
      <c r="O74" s="135">
        <v>0.9</v>
      </c>
      <c r="P74" s="133">
        <v>0.991851851851852</v>
      </c>
      <c r="Q74" s="133">
        <v>0.989146282196663</v>
      </c>
      <c r="R74" s="133">
        <v>0.9867903599879</v>
      </c>
      <c r="S74" s="133">
        <v>0.933110813572013</v>
      </c>
      <c r="T74" s="135">
        <v>0.9</v>
      </c>
      <c r="U74" s="133">
        <v>0.89037037037037</v>
      </c>
      <c r="V74" s="133">
        <v>0.729791025433339</v>
      </c>
      <c r="W74" s="133">
        <v>0.765453262075224</v>
      </c>
      <c r="X74" s="133">
        <v>0.770244116023327</v>
      </c>
      <c r="Y74" s="135">
        <v>0.92</v>
      </c>
      <c r="Z74" s="135">
        <v>0.951530612244898</v>
      </c>
      <c r="AA74" s="135">
        <v>0.833873206848681</v>
      </c>
      <c r="AB74" s="135">
        <v>0.858857828845824</v>
      </c>
      <c r="AC74" s="135">
        <v>0.879679040236825</v>
      </c>
      <c r="AD74" s="135">
        <v>0.92</v>
      </c>
      <c r="AE74" s="133">
        <v>0.999189519557823</v>
      </c>
      <c r="AF74" s="133">
        <v>0.99777145767892</v>
      </c>
      <c r="AG74" s="133">
        <v>0.997911045347724</v>
      </c>
      <c r="AH74" s="133">
        <v>0.991237047062837</v>
      </c>
      <c r="AI74" s="135">
        <v>0.92</v>
      </c>
      <c r="AJ74" s="133">
        <v>0.963480963480963</v>
      </c>
      <c r="AK74" s="133">
        <v>0.852348355200608</v>
      </c>
      <c r="AL74" s="133">
        <v>0.902120096483433</v>
      </c>
      <c r="AM74" s="133">
        <v>0.925825378418437</v>
      </c>
      <c r="AN74" s="132">
        <v>0.99</v>
      </c>
      <c r="AO74" s="137">
        <v>1</v>
      </c>
      <c r="AP74" s="137">
        <v>1</v>
      </c>
      <c r="AQ74" s="137">
        <v>1</v>
      </c>
      <c r="AR74" s="137">
        <v>1</v>
      </c>
      <c r="AS74" s="139">
        <v>0.0872182100128262</v>
      </c>
      <c r="AT74" s="141">
        <v>0.25</v>
      </c>
      <c r="AU74" s="141">
        <v>0.04</v>
      </c>
      <c r="AV74" s="141">
        <v>0.0697674418604651</v>
      </c>
      <c r="AW74" s="141">
        <v>0.0556368960468521</v>
      </c>
      <c r="AX74" s="95"/>
      <c r="AY74" s="93"/>
    </row>
    <row r="75" ht="14.5" spans="1:51">
      <c r="A75" s="91"/>
      <c r="B75" s="95"/>
      <c r="C75" s="128" t="s">
        <v>24</v>
      </c>
      <c r="D75" s="129" t="s">
        <v>25</v>
      </c>
      <c r="E75" s="130" t="s">
        <v>26</v>
      </c>
      <c r="F75" s="142" t="s">
        <v>95</v>
      </c>
      <c r="G75" s="142" t="s">
        <v>95</v>
      </c>
      <c r="H75" s="142" t="s">
        <v>95</v>
      </c>
      <c r="I75" s="142" t="s">
        <v>95</v>
      </c>
      <c r="J75" s="132">
        <v>0.9</v>
      </c>
      <c r="K75" s="133">
        <v>0.941176470588235</v>
      </c>
      <c r="L75" s="133">
        <v>0.894736842105263</v>
      </c>
      <c r="M75" s="134">
        <v>0.930232558139535</v>
      </c>
      <c r="N75" s="133">
        <v>0.952529668956902</v>
      </c>
      <c r="O75" s="135">
        <v>0.9</v>
      </c>
      <c r="P75" s="133">
        <v>0.915699450213806</v>
      </c>
      <c r="Q75" s="133">
        <v>0.947041272998508</v>
      </c>
      <c r="R75" s="133">
        <v>0.979854955680903</v>
      </c>
      <c r="S75" s="133">
        <v>0.969071631755883</v>
      </c>
      <c r="T75" s="135">
        <v>0.9</v>
      </c>
      <c r="U75" s="133">
        <v>0.897067806963958</v>
      </c>
      <c r="V75" s="133">
        <v>0.837891596220786</v>
      </c>
      <c r="W75" s="133">
        <v>0.879935535858179</v>
      </c>
      <c r="X75" s="133">
        <v>0.869914662529092</v>
      </c>
      <c r="Y75" s="135">
        <v>0.92</v>
      </c>
      <c r="Z75" s="135">
        <v>0.946792640477374</v>
      </c>
      <c r="AA75" s="135">
        <v>0.916359163591636</v>
      </c>
      <c r="AB75" s="135">
        <v>0.924712443360056</v>
      </c>
      <c r="AC75" s="135">
        <v>0.966580788710952</v>
      </c>
      <c r="AD75" s="135">
        <v>0.92</v>
      </c>
      <c r="AE75" s="133">
        <v>0.999567024593003</v>
      </c>
      <c r="AF75" s="133">
        <v>0.99882378100941</v>
      </c>
      <c r="AG75" s="133">
        <v>0.991986567961536</v>
      </c>
      <c r="AH75" s="133">
        <v>0.961302308877056</v>
      </c>
      <c r="AI75" s="135">
        <v>0.92</v>
      </c>
      <c r="AJ75" s="133">
        <v>0.960339943342776</v>
      </c>
      <c r="AK75" s="133">
        <v>0.92923457808954</v>
      </c>
      <c r="AL75" s="133">
        <v>0.947717419025759</v>
      </c>
      <c r="AM75" s="133">
        <v>0.972698251161551</v>
      </c>
      <c r="AN75" s="132">
        <v>0.99</v>
      </c>
      <c r="AO75" s="137">
        <v>1</v>
      </c>
      <c r="AP75" s="137">
        <v>1</v>
      </c>
      <c r="AQ75" s="137">
        <v>1</v>
      </c>
      <c r="AR75" s="137">
        <v>1</v>
      </c>
      <c r="AS75" s="139">
        <v>0.0872182100128262</v>
      </c>
      <c r="AT75" s="141">
        <v>0.1</v>
      </c>
      <c r="AU75" s="141">
        <v>0.037037037037037</v>
      </c>
      <c r="AV75" s="141">
        <v>0.103448275862069</v>
      </c>
      <c r="AW75" s="141">
        <v>0.0638655462184874</v>
      </c>
      <c r="AX75" s="95"/>
      <c r="AY75" s="93"/>
    </row>
    <row r="76" ht="14.5" spans="1:51">
      <c r="A76" s="91"/>
      <c r="B76" s="95"/>
      <c r="C76" s="128" t="s">
        <v>24</v>
      </c>
      <c r="D76" s="129" t="s">
        <v>25</v>
      </c>
      <c r="E76" s="130" t="s">
        <v>26</v>
      </c>
      <c r="F76" s="142" t="s">
        <v>96</v>
      </c>
      <c r="G76" s="142" t="s">
        <v>96</v>
      </c>
      <c r="H76" s="142" t="s">
        <v>96</v>
      </c>
      <c r="I76" s="142" t="s">
        <v>96</v>
      </c>
      <c r="J76" s="132">
        <v>0.9</v>
      </c>
      <c r="K76" s="133">
        <v>0.934065934065934</v>
      </c>
      <c r="L76" s="133">
        <v>0.879518072289157</v>
      </c>
      <c r="M76" s="134">
        <v>0.816091954022989</v>
      </c>
      <c r="N76" s="133">
        <v>0.890130353817505</v>
      </c>
      <c r="O76" s="135">
        <v>0.9</v>
      </c>
      <c r="P76" s="133">
        <v>0.848279976138397</v>
      </c>
      <c r="Q76" s="133">
        <v>0.940870954854175</v>
      </c>
      <c r="R76" s="133">
        <v>0.956468235656053</v>
      </c>
      <c r="S76" s="133">
        <v>0.942336751432288</v>
      </c>
      <c r="T76" s="135">
        <v>0.9</v>
      </c>
      <c r="U76" s="133">
        <v>0.720222708291907</v>
      </c>
      <c r="V76" s="133">
        <v>0.625049940071914</v>
      </c>
      <c r="W76" s="133">
        <v>0.715120750653746</v>
      </c>
      <c r="X76" s="133">
        <v>0.735893271274232</v>
      </c>
      <c r="Y76" s="135">
        <v>0.92</v>
      </c>
      <c r="Z76" s="135">
        <v>0.902163687676388</v>
      </c>
      <c r="AA76" s="135">
        <v>0.906654343807763</v>
      </c>
      <c r="AB76" s="135">
        <v>0.903382880574065</v>
      </c>
      <c r="AC76" s="135">
        <v>0.936010791587467</v>
      </c>
      <c r="AD76" s="135">
        <v>0.92</v>
      </c>
      <c r="AE76" s="133">
        <v>0.999498243853487</v>
      </c>
      <c r="AF76" s="133">
        <v>0.997443436021986</v>
      </c>
      <c r="AG76" s="133">
        <v>0.998669150918286</v>
      </c>
      <c r="AH76" s="133">
        <v>0.99498649336667</v>
      </c>
      <c r="AI76" s="135">
        <v>0.92</v>
      </c>
      <c r="AJ76" s="133">
        <v>0.931294511939673</v>
      </c>
      <c r="AK76" s="133">
        <v>0.909230340211935</v>
      </c>
      <c r="AL76" s="133">
        <v>0.924274457044013</v>
      </c>
      <c r="AM76" s="133">
        <v>0.948650149009525</v>
      </c>
      <c r="AN76" s="132">
        <v>0.99</v>
      </c>
      <c r="AO76" s="137">
        <v>1</v>
      </c>
      <c r="AP76" s="137">
        <v>1</v>
      </c>
      <c r="AQ76" s="137">
        <v>1</v>
      </c>
      <c r="AR76" s="137">
        <v>1</v>
      </c>
      <c r="AS76" s="139">
        <v>0.0872182100128262</v>
      </c>
      <c r="AT76" s="141">
        <v>0.133333333333333</v>
      </c>
      <c r="AU76" s="141">
        <v>0.115384615384615</v>
      </c>
      <c r="AV76" s="141">
        <v>0.03125</v>
      </c>
      <c r="AW76" s="141">
        <v>0.0634390651085142</v>
      </c>
      <c r="AX76" s="95"/>
      <c r="AY76" s="93"/>
    </row>
    <row r="77" ht="14.5" spans="1:51">
      <c r="A77" s="91"/>
      <c r="B77" s="95"/>
      <c r="C77" s="128" t="s">
        <v>24</v>
      </c>
      <c r="D77" s="129" t="s">
        <v>25</v>
      </c>
      <c r="E77" s="130" t="s">
        <v>26</v>
      </c>
      <c r="F77" s="142" t="s">
        <v>97</v>
      </c>
      <c r="G77" s="142" t="s">
        <v>97</v>
      </c>
      <c r="H77" s="142" t="s">
        <v>97</v>
      </c>
      <c r="I77" s="142" t="s">
        <v>97</v>
      </c>
      <c r="J77" s="132">
        <v>0.9</v>
      </c>
      <c r="K77" s="133">
        <v>1</v>
      </c>
      <c r="L77" s="133">
        <v>1</v>
      </c>
      <c r="M77" s="134">
        <v>1</v>
      </c>
      <c r="N77" s="133">
        <v>0.97029702970297</v>
      </c>
      <c r="O77" s="135">
        <v>0.9</v>
      </c>
      <c r="P77" s="133">
        <v>0.623402163225172</v>
      </c>
      <c r="Q77" s="133">
        <v>0.936936936936937</v>
      </c>
      <c r="R77" s="133">
        <v>0.988185654008439</v>
      </c>
      <c r="S77" s="133">
        <v>0.955416262028781</v>
      </c>
      <c r="T77" s="135">
        <v>0.9</v>
      </c>
      <c r="U77" s="133">
        <v>0.905604719764012</v>
      </c>
      <c r="V77" s="133">
        <v>0.754504504504504</v>
      </c>
      <c r="W77" s="133">
        <v>0.741772151898734</v>
      </c>
      <c r="X77" s="133">
        <v>0.852652953120862</v>
      </c>
      <c r="Y77" s="135">
        <v>0.92</v>
      </c>
      <c r="Z77" s="135">
        <v>0.935866983372922</v>
      </c>
      <c r="AA77" s="135">
        <v>0.852112676056338</v>
      </c>
      <c r="AB77" s="135">
        <v>0.948571428571429</v>
      </c>
      <c r="AC77" s="135">
        <v>0.955887165390405</v>
      </c>
      <c r="AD77" s="135">
        <v>0.92</v>
      </c>
      <c r="AE77" s="133">
        <v>1</v>
      </c>
      <c r="AF77" s="133">
        <v>0</v>
      </c>
      <c r="AG77" s="133">
        <v>1</v>
      </c>
      <c r="AH77" s="133">
        <v>0.626373626373626</v>
      </c>
      <c r="AI77" s="135">
        <v>0.92</v>
      </c>
      <c r="AJ77" s="133">
        <v>0.94923504867872</v>
      </c>
      <c r="AK77" s="133">
        <v>0.876373626373626</v>
      </c>
      <c r="AL77" s="133">
        <v>0.960212201591512</v>
      </c>
      <c r="AM77" s="133">
        <v>0.969897461581042</v>
      </c>
      <c r="AN77" s="132">
        <v>0.99</v>
      </c>
      <c r="AO77" s="137">
        <v>1</v>
      </c>
      <c r="AP77" s="137">
        <v>1</v>
      </c>
      <c r="AQ77" s="137">
        <v>1</v>
      </c>
      <c r="AR77" s="137">
        <v>1</v>
      </c>
      <c r="AS77" s="139">
        <v>0.0872182100128262</v>
      </c>
      <c r="AT77" s="141">
        <v>0</v>
      </c>
      <c r="AU77" s="141">
        <v>0</v>
      </c>
      <c r="AV77" s="141">
        <v>0</v>
      </c>
      <c r="AW77" s="141">
        <v>0.0444444444444444</v>
      </c>
      <c r="AX77" s="95"/>
      <c r="AY77" s="93"/>
    </row>
    <row r="78" ht="14.5" spans="1:51">
      <c r="A78" s="91"/>
      <c r="B78" s="95"/>
      <c r="C78" s="128" t="s">
        <v>24</v>
      </c>
      <c r="D78" s="129" t="s">
        <v>25</v>
      </c>
      <c r="E78" s="130" t="s">
        <v>26</v>
      </c>
      <c r="F78" s="142" t="s">
        <v>98</v>
      </c>
      <c r="G78" s="142" t="s">
        <v>98</v>
      </c>
      <c r="H78" s="142" t="s">
        <v>98</v>
      </c>
      <c r="I78" s="142" t="s">
        <v>98</v>
      </c>
      <c r="J78" s="132">
        <v>0.9</v>
      </c>
      <c r="K78" s="133">
        <v>0.950617283950617</v>
      </c>
      <c r="L78" s="133">
        <v>0.96</v>
      </c>
      <c r="M78" s="134">
        <v>0.960526315789474</v>
      </c>
      <c r="N78" s="133">
        <v>0.951748251748252</v>
      </c>
      <c r="O78" s="135">
        <v>0.9</v>
      </c>
      <c r="P78" s="133">
        <v>0.420794678802731</v>
      </c>
      <c r="Q78" s="133">
        <v>0.988118175979448</v>
      </c>
      <c r="R78" s="133">
        <v>0.629508196721312</v>
      </c>
      <c r="S78" s="133">
        <v>0.809863558205489</v>
      </c>
      <c r="T78" s="135">
        <v>0.9</v>
      </c>
      <c r="U78" s="133">
        <v>0.954489760196044</v>
      </c>
      <c r="V78" s="133">
        <v>0.83975594091201</v>
      </c>
      <c r="W78" s="133">
        <v>0.918579234972678</v>
      </c>
      <c r="X78" s="133">
        <v>0.875125611308367</v>
      </c>
      <c r="Y78" s="135">
        <v>0.92</v>
      </c>
      <c r="Z78" s="135">
        <v>0.928899082568807</v>
      </c>
      <c r="AA78" s="135">
        <v>0.936906377204885</v>
      </c>
      <c r="AB78" s="135">
        <v>0.93351583887368</v>
      </c>
      <c r="AC78" s="135">
        <v>0.96460733371549</v>
      </c>
      <c r="AD78" s="135">
        <v>0.92</v>
      </c>
      <c r="AE78" s="133">
        <v>0.800114602234744</v>
      </c>
      <c r="AF78" s="133">
        <v>0.987661351556568</v>
      </c>
      <c r="AG78" s="133">
        <v>0.960192556933901</v>
      </c>
      <c r="AH78" s="133">
        <v>0.971326450830528</v>
      </c>
      <c r="AI78" s="135">
        <v>0.92</v>
      </c>
      <c r="AJ78" s="133">
        <v>0.975505553973227</v>
      </c>
      <c r="AK78" s="133">
        <v>0.960993680540423</v>
      </c>
      <c r="AL78" s="133">
        <v>0.966599190283401</v>
      </c>
      <c r="AM78" s="133">
        <v>0.97663183833715</v>
      </c>
      <c r="AN78" s="132">
        <v>0.99</v>
      </c>
      <c r="AO78" s="137">
        <v>1</v>
      </c>
      <c r="AP78" s="137">
        <v>1</v>
      </c>
      <c r="AQ78" s="137">
        <v>1</v>
      </c>
      <c r="AR78" s="137">
        <v>1</v>
      </c>
      <c r="AS78" s="139">
        <v>0.0872182100128262</v>
      </c>
      <c r="AT78" s="141">
        <v>0.25</v>
      </c>
      <c r="AU78" s="141">
        <v>0</v>
      </c>
      <c r="AV78" s="141">
        <v>0.136363636363636</v>
      </c>
      <c r="AW78" s="141">
        <v>0.0813704496788009</v>
      </c>
      <c r="AX78" s="95"/>
      <c r="AY78" s="93"/>
    </row>
    <row r="79" ht="14.5" spans="1:51">
      <c r="A79" s="91"/>
      <c r="B79" s="95"/>
      <c r="C79" s="143"/>
      <c r="D79" s="129"/>
      <c r="E79" s="144"/>
      <c r="F79" s="144"/>
      <c r="G79" s="145"/>
      <c r="H79" s="145"/>
      <c r="I79" s="145"/>
      <c r="J79" s="146"/>
      <c r="K79" s="147"/>
      <c r="L79" s="147"/>
      <c r="M79" s="134"/>
      <c r="N79" s="147"/>
      <c r="O79" s="146"/>
      <c r="P79" s="148"/>
      <c r="Q79" s="149"/>
      <c r="R79" s="133"/>
      <c r="S79" s="149"/>
      <c r="T79" s="150"/>
      <c r="U79" s="147"/>
      <c r="V79" s="147"/>
      <c r="W79" s="133"/>
      <c r="X79" s="147"/>
      <c r="Y79" s="150"/>
      <c r="Z79" s="150"/>
      <c r="AA79" s="150"/>
      <c r="AB79" s="135"/>
      <c r="AC79" s="150"/>
      <c r="AD79" s="147"/>
      <c r="AE79" s="147"/>
      <c r="AF79" s="147"/>
      <c r="AG79" s="133"/>
      <c r="AH79" s="147"/>
      <c r="AI79" s="150"/>
      <c r="AJ79" s="147"/>
      <c r="AK79" s="147"/>
      <c r="AL79" s="133"/>
      <c r="AM79" s="147"/>
      <c r="AN79" s="146"/>
      <c r="AO79" s="146"/>
      <c r="AP79" s="146"/>
      <c r="AQ79" s="137"/>
      <c r="AR79" s="146"/>
      <c r="AS79" s="151"/>
      <c r="AT79" s="146"/>
      <c r="AU79" s="146"/>
      <c r="AV79" s="141"/>
      <c r="AW79" s="146"/>
      <c r="AX79" s="95"/>
      <c r="AY79" s="93"/>
    </row>
    <row r="80" ht="14.5" spans="1:51">
      <c r="A80" s="91"/>
      <c r="B80" s="95"/>
      <c r="C80" s="152" t="s">
        <v>99</v>
      </c>
      <c r="D80" s="153" t="s">
        <v>25</v>
      </c>
      <c r="E80" s="130" t="s">
        <v>100</v>
      </c>
      <c r="F80" s="154" t="s">
        <v>101</v>
      </c>
      <c r="G80" s="154" t="s">
        <v>101</v>
      </c>
      <c r="H80" s="154" t="s">
        <v>101</v>
      </c>
      <c r="I80" s="154" t="s">
        <v>101</v>
      </c>
      <c r="J80" s="132">
        <v>0.9</v>
      </c>
      <c r="K80" s="133">
        <v>0.920634920634921</v>
      </c>
      <c r="L80" s="133">
        <v>0.883333333333333</v>
      </c>
      <c r="M80" s="134">
        <v>0.876923076923077</v>
      </c>
      <c r="N80" s="133">
        <v>0.912724306688418</v>
      </c>
      <c r="O80" s="135">
        <v>0.9</v>
      </c>
      <c r="P80" s="133">
        <v>0.975063613231552</v>
      </c>
      <c r="Q80" s="133">
        <v>0.972914409534128</v>
      </c>
      <c r="R80" s="133">
        <v>0.963218390804598</v>
      </c>
      <c r="S80" s="133">
        <v>0.918370680081009</v>
      </c>
      <c r="T80" s="135">
        <v>0.9</v>
      </c>
      <c r="U80" s="133">
        <v>0.87175572519084</v>
      </c>
      <c r="V80" s="133">
        <v>0.835319609967497</v>
      </c>
      <c r="W80" s="133">
        <v>0.869476372924649</v>
      </c>
      <c r="X80" s="133">
        <v>0.862464885346574</v>
      </c>
      <c r="Y80" s="135">
        <v>0.92</v>
      </c>
      <c r="Z80" s="135">
        <v>0.871232876712329</v>
      </c>
      <c r="AA80" s="135">
        <v>0.823418319169027</v>
      </c>
      <c r="AB80" s="135">
        <v>0.897157190635452</v>
      </c>
      <c r="AC80" s="135">
        <v>0.91408927612834</v>
      </c>
      <c r="AD80" s="135">
        <v>0.92</v>
      </c>
      <c r="AE80" s="133">
        <v>0.947953913388955</v>
      </c>
      <c r="AF80" s="133">
        <v>0.985024154589372</v>
      </c>
      <c r="AG80" s="133">
        <v>0.924767801857585</v>
      </c>
      <c r="AH80" s="133">
        <v>0.975106281061014</v>
      </c>
      <c r="AI80" s="135">
        <v>0.92</v>
      </c>
      <c r="AJ80" s="133">
        <v>0.928758169934641</v>
      </c>
      <c r="AK80" s="133">
        <v>0.902897415818324</v>
      </c>
      <c r="AL80" s="133">
        <v>0.944347550340891</v>
      </c>
      <c r="AM80" s="133">
        <v>0.948210622293139</v>
      </c>
      <c r="AN80" s="132">
        <v>0.99</v>
      </c>
      <c r="AO80" s="137">
        <v>1</v>
      </c>
      <c r="AP80" s="137">
        <v>1</v>
      </c>
      <c r="AQ80" s="137">
        <v>1</v>
      </c>
      <c r="AR80" s="138">
        <v>1</v>
      </c>
      <c r="AS80" s="139">
        <v>0.105261498981944</v>
      </c>
      <c r="AT80" s="140">
        <v>0.0666666666666667</v>
      </c>
      <c r="AU80" s="141">
        <v>0.0909090909090909</v>
      </c>
      <c r="AV80" s="141">
        <v>0.142857142857143</v>
      </c>
      <c r="AW80" s="141">
        <v>0.107734806629834</v>
      </c>
      <c r="AX80" s="95"/>
      <c r="AY80" s="93"/>
    </row>
    <row r="81" ht="14.5" spans="1:51">
      <c r="A81" s="91"/>
      <c r="B81" s="95"/>
      <c r="C81" s="152" t="s">
        <v>99</v>
      </c>
      <c r="D81" s="153" t="s">
        <v>25</v>
      </c>
      <c r="E81" s="130" t="s">
        <v>100</v>
      </c>
      <c r="F81" s="154" t="s">
        <v>102</v>
      </c>
      <c r="G81" s="154" t="s">
        <v>102</v>
      </c>
      <c r="H81" s="154" t="s">
        <v>102</v>
      </c>
      <c r="I81" s="154" t="s">
        <v>102</v>
      </c>
      <c r="J81" s="132">
        <v>0.9</v>
      </c>
      <c r="K81" s="133">
        <v>0.857142857142857</v>
      </c>
      <c r="L81" s="133">
        <v>0.936170212765957</v>
      </c>
      <c r="M81" s="134">
        <v>0.836363636363636</v>
      </c>
      <c r="N81" s="133">
        <v>0.906857727737973</v>
      </c>
      <c r="O81" s="135">
        <v>0.9</v>
      </c>
      <c r="P81" s="133">
        <v>0.952859836580767</v>
      </c>
      <c r="Q81" s="133">
        <v>0.953612479474548</v>
      </c>
      <c r="R81" s="133">
        <v>0.918996006845408</v>
      </c>
      <c r="S81" s="133">
        <v>0.921305104643161</v>
      </c>
      <c r="T81" s="135">
        <v>0.9</v>
      </c>
      <c r="U81" s="133">
        <v>0.889377749842866</v>
      </c>
      <c r="V81" s="133">
        <v>0.833333333333333</v>
      </c>
      <c r="W81" s="133">
        <v>0.886765544780377</v>
      </c>
      <c r="X81" s="133">
        <v>0.882544630206857</v>
      </c>
      <c r="Y81" s="135">
        <v>0.92</v>
      </c>
      <c r="Z81" s="135">
        <v>0.937639198218263</v>
      </c>
      <c r="AA81" s="135">
        <v>0.889017341040462</v>
      </c>
      <c r="AB81" s="135">
        <v>0.95078834209269</v>
      </c>
      <c r="AC81" s="135">
        <v>0.943541113716598</v>
      </c>
      <c r="AD81" s="135">
        <v>0.92</v>
      </c>
      <c r="AE81" s="133">
        <v>0.971264367816092</v>
      </c>
      <c r="AF81" s="133">
        <v>0.980952380952381</v>
      </c>
      <c r="AG81" s="133">
        <v>0.988986784140969</v>
      </c>
      <c r="AH81" s="133">
        <v>0.984923137564052</v>
      </c>
      <c r="AI81" s="135">
        <v>0.92</v>
      </c>
      <c r="AJ81" s="133">
        <v>0.952610441767068</v>
      </c>
      <c r="AK81" s="133">
        <v>0.949424591156875</v>
      </c>
      <c r="AL81" s="133">
        <v>0.97125</v>
      </c>
      <c r="AM81" s="133">
        <v>0.965404277990002</v>
      </c>
      <c r="AN81" s="132">
        <v>0.99</v>
      </c>
      <c r="AO81" s="137">
        <v>1</v>
      </c>
      <c r="AP81" s="137">
        <v>1</v>
      </c>
      <c r="AQ81" s="137">
        <v>1</v>
      </c>
      <c r="AR81" s="138">
        <v>1</v>
      </c>
      <c r="AS81" s="139">
        <v>0.105261498981944</v>
      </c>
      <c r="AT81" s="140">
        <v>0.125</v>
      </c>
      <c r="AU81" s="141">
        <v>0.2</v>
      </c>
      <c r="AV81" s="141">
        <v>0</v>
      </c>
      <c r="AW81" s="141">
        <v>0.1625</v>
      </c>
      <c r="AX81" s="95"/>
      <c r="AY81" s="93"/>
    </row>
    <row r="82" ht="14.5" spans="1:51">
      <c r="A82" s="91"/>
      <c r="B82" s="95"/>
      <c r="C82" s="152" t="s">
        <v>99</v>
      </c>
      <c r="D82" s="153" t="s">
        <v>25</v>
      </c>
      <c r="E82" s="130" t="s">
        <v>100</v>
      </c>
      <c r="F82" s="154" t="s">
        <v>103</v>
      </c>
      <c r="G82" s="154" t="s">
        <v>103</v>
      </c>
      <c r="H82" s="154" t="s">
        <v>103</v>
      </c>
      <c r="I82" s="154" t="s">
        <v>103</v>
      </c>
      <c r="J82" s="132">
        <v>0.9</v>
      </c>
      <c r="K82" s="133">
        <v>0.938144329896907</v>
      </c>
      <c r="L82" s="133">
        <v>0.988235294117647</v>
      </c>
      <c r="M82" s="134">
        <v>0.93</v>
      </c>
      <c r="N82" s="133">
        <v>0.947049089906233</v>
      </c>
      <c r="O82" s="135">
        <v>0.9</v>
      </c>
      <c r="P82" s="133">
        <v>0.985871271585557</v>
      </c>
      <c r="Q82" s="133">
        <v>0.986818807790675</v>
      </c>
      <c r="R82" s="133">
        <v>0.972194777699365</v>
      </c>
      <c r="S82" s="133">
        <v>0.961013576261443</v>
      </c>
      <c r="T82" s="135">
        <v>0.9</v>
      </c>
      <c r="U82" s="133">
        <v>0.873155416012559</v>
      </c>
      <c r="V82" s="133">
        <v>0.791265000983671</v>
      </c>
      <c r="W82" s="133">
        <v>0.850529287226535</v>
      </c>
      <c r="X82" s="133">
        <v>0.839375580418343</v>
      </c>
      <c r="Y82" s="135">
        <v>0.92</v>
      </c>
      <c r="Z82" s="135">
        <v>0.928571428571429</v>
      </c>
      <c r="AA82" s="135">
        <v>0.874591057797165</v>
      </c>
      <c r="AB82" s="135">
        <v>0.91737961378636</v>
      </c>
      <c r="AC82" s="135">
        <v>0.939072577255203</v>
      </c>
      <c r="AD82" s="135">
        <v>0.92</v>
      </c>
      <c r="AE82" s="133">
        <v>0.967400162999185</v>
      </c>
      <c r="AF82" s="133">
        <v>0.991119005328597</v>
      </c>
      <c r="AG82" s="133">
        <v>0.990821256038647</v>
      </c>
      <c r="AH82" s="133">
        <v>0.974230595157275</v>
      </c>
      <c r="AI82" s="135">
        <v>0.92</v>
      </c>
      <c r="AJ82" s="133">
        <v>0.957964145889141</v>
      </c>
      <c r="AK82" s="133">
        <v>0.936966893161775</v>
      </c>
      <c r="AL82" s="133">
        <v>0.950608446671439</v>
      </c>
      <c r="AM82" s="133">
        <v>0.962377256244143</v>
      </c>
      <c r="AN82" s="132">
        <v>0.99</v>
      </c>
      <c r="AO82" s="137">
        <v>1</v>
      </c>
      <c r="AP82" s="137">
        <v>1</v>
      </c>
      <c r="AQ82" s="137">
        <v>1</v>
      </c>
      <c r="AR82" s="137">
        <v>1</v>
      </c>
      <c r="AS82" s="139">
        <v>0.105261498981944</v>
      </c>
      <c r="AT82" s="141">
        <v>0</v>
      </c>
      <c r="AU82" s="141">
        <v>0</v>
      </c>
      <c r="AV82" s="141">
        <v>0.125</v>
      </c>
      <c r="AW82" s="141">
        <v>0.0890052356020942</v>
      </c>
      <c r="AX82" s="95"/>
      <c r="AY82" s="93"/>
    </row>
    <row r="83" ht="14.5" spans="1:51">
      <c r="A83" s="91"/>
      <c r="B83" s="95"/>
      <c r="C83" s="152" t="s">
        <v>99</v>
      </c>
      <c r="D83" s="153" t="s">
        <v>25</v>
      </c>
      <c r="E83" s="130" t="s">
        <v>100</v>
      </c>
      <c r="F83" s="154" t="s">
        <v>104</v>
      </c>
      <c r="G83" s="154" t="s">
        <v>104</v>
      </c>
      <c r="H83" s="154" t="s">
        <v>104</v>
      </c>
      <c r="I83" s="154" t="s">
        <v>104</v>
      </c>
      <c r="J83" s="132">
        <v>0.9</v>
      </c>
      <c r="K83" s="133">
        <v>0.87218045112782</v>
      </c>
      <c r="L83" s="133">
        <v>0.846846846846847</v>
      </c>
      <c r="M83" s="134">
        <v>0.875968992248062</v>
      </c>
      <c r="N83" s="133">
        <v>0.862551440329218</v>
      </c>
      <c r="O83" s="135">
        <v>0.9</v>
      </c>
      <c r="P83" s="133">
        <v>0.907293271700051</v>
      </c>
      <c r="Q83" s="133">
        <v>0.883845126835781</v>
      </c>
      <c r="R83" s="133">
        <v>0.821373134328358</v>
      </c>
      <c r="S83" s="133">
        <v>0.832200764878789</v>
      </c>
      <c r="T83" s="135">
        <v>0.9</v>
      </c>
      <c r="U83" s="133">
        <v>0.838469440164355</v>
      </c>
      <c r="V83" s="133">
        <v>0.762182910547397</v>
      </c>
      <c r="W83" s="133">
        <v>0.798686567164179</v>
      </c>
      <c r="X83" s="133">
        <v>0.82756250197541</v>
      </c>
      <c r="Y83" s="135">
        <v>0.92</v>
      </c>
      <c r="Z83" s="135">
        <v>0.898479646885728</v>
      </c>
      <c r="AA83" s="135">
        <v>0.889425186485301</v>
      </c>
      <c r="AB83" s="135">
        <v>0.914691943127962</v>
      </c>
      <c r="AC83" s="135">
        <v>0.933708696366924</v>
      </c>
      <c r="AD83" s="135">
        <v>0.92</v>
      </c>
      <c r="AE83" s="133">
        <v>0.995054095826893</v>
      </c>
      <c r="AF83" s="133">
        <v>0.989859154929577</v>
      </c>
      <c r="AG83" s="133">
        <v>0.99294325198471</v>
      </c>
      <c r="AH83" s="133">
        <v>0.990809997263523</v>
      </c>
      <c r="AI83" s="135">
        <v>0.92</v>
      </c>
      <c r="AJ83" s="133">
        <v>0.927873272665993</v>
      </c>
      <c r="AK83" s="133">
        <v>0.927622039632673</v>
      </c>
      <c r="AL83" s="133">
        <v>0.944213470405926</v>
      </c>
      <c r="AM83" s="133">
        <v>0.956218821038904</v>
      </c>
      <c r="AN83" s="132">
        <v>0.99</v>
      </c>
      <c r="AO83" s="137">
        <v>1</v>
      </c>
      <c r="AP83" s="137">
        <v>1</v>
      </c>
      <c r="AQ83" s="137">
        <v>1</v>
      </c>
      <c r="AR83" s="137">
        <v>1</v>
      </c>
      <c r="AS83" s="139">
        <v>0.105261498981944</v>
      </c>
      <c r="AT83" s="141">
        <v>0.0333333333333333</v>
      </c>
      <c r="AU83" s="141">
        <v>0.0285714285714286</v>
      </c>
      <c r="AV83" s="141">
        <v>0.117647058823529</v>
      </c>
      <c r="AW83" s="141">
        <v>0.0914076782449726</v>
      </c>
      <c r="AX83" s="95"/>
      <c r="AY83" s="93"/>
    </row>
    <row r="84" ht="14.5" spans="1:51">
      <c r="A84" s="91"/>
      <c r="B84" s="95"/>
      <c r="C84" s="152" t="s">
        <v>99</v>
      </c>
      <c r="D84" s="153" t="s">
        <v>25</v>
      </c>
      <c r="E84" s="130" t="s">
        <v>100</v>
      </c>
      <c r="F84" s="154" t="s">
        <v>105</v>
      </c>
      <c r="G84" s="154" t="s">
        <v>105</v>
      </c>
      <c r="H84" s="154" t="s">
        <v>105</v>
      </c>
      <c r="I84" s="154" t="s">
        <v>105</v>
      </c>
      <c r="J84" s="132">
        <v>0.9</v>
      </c>
      <c r="K84" s="133">
        <v>0.974683544303797</v>
      </c>
      <c r="L84" s="133">
        <v>0.945945945945946</v>
      </c>
      <c r="M84" s="134">
        <v>0.938271604938272</v>
      </c>
      <c r="N84" s="133">
        <v>0.938946015424165</v>
      </c>
      <c r="O84" s="135">
        <v>0.9</v>
      </c>
      <c r="P84" s="133">
        <v>0.914083954491958</v>
      </c>
      <c r="Q84" s="133">
        <v>0.868022823120814</v>
      </c>
      <c r="R84" s="133">
        <v>0.847384721266345</v>
      </c>
      <c r="S84" s="133">
        <v>0.878327754749185</v>
      </c>
      <c r="T84" s="135">
        <v>0.9</v>
      </c>
      <c r="U84" s="133">
        <v>0.824637112593174</v>
      </c>
      <c r="V84" s="133">
        <v>0.781195733068717</v>
      </c>
      <c r="W84" s="133">
        <v>0.811768754301445</v>
      </c>
      <c r="X84" s="133">
        <v>0.828818744042737</v>
      </c>
      <c r="Y84" s="135">
        <v>0.92</v>
      </c>
      <c r="Z84" s="135">
        <v>0.89957264957265</v>
      </c>
      <c r="AA84" s="135">
        <v>0.88543823326432</v>
      </c>
      <c r="AB84" s="135">
        <v>0.895673519484504</v>
      </c>
      <c r="AC84" s="135">
        <v>0.920378765607835</v>
      </c>
      <c r="AD84" s="135">
        <v>0.92</v>
      </c>
      <c r="AE84" s="133">
        <v>0.975646879756469</v>
      </c>
      <c r="AF84" s="133">
        <v>0.989583333333333</v>
      </c>
      <c r="AG84" s="133">
        <v>0.98993288590604</v>
      </c>
      <c r="AH84" s="133">
        <v>0.980965871364703</v>
      </c>
      <c r="AI84" s="135">
        <v>0.92</v>
      </c>
      <c r="AJ84" s="133">
        <v>0.935239058942575</v>
      </c>
      <c r="AK84" s="133">
        <v>0.933406312716658</v>
      </c>
      <c r="AL84" s="133">
        <v>0.933193694190277</v>
      </c>
      <c r="AM84" s="133">
        <v>0.949949310035322</v>
      </c>
      <c r="AN84" s="132">
        <v>0.99</v>
      </c>
      <c r="AO84" s="137">
        <v>1</v>
      </c>
      <c r="AP84" s="137">
        <v>1</v>
      </c>
      <c r="AQ84" s="137">
        <v>1</v>
      </c>
      <c r="AR84" s="137">
        <v>1</v>
      </c>
      <c r="AS84" s="139">
        <v>0.105261498981944</v>
      </c>
      <c r="AT84" s="141">
        <v>0.08</v>
      </c>
      <c r="AU84" s="141">
        <v>0.0555555555555556</v>
      </c>
      <c r="AV84" s="141">
        <v>0</v>
      </c>
      <c r="AW84" s="141">
        <v>0.0845481049562682</v>
      </c>
      <c r="AX84" s="95"/>
      <c r="AY84" s="93"/>
    </row>
    <row r="85" ht="14.5" spans="1:51">
      <c r="A85" s="91"/>
      <c r="B85" s="95"/>
      <c r="C85" s="152" t="s">
        <v>99</v>
      </c>
      <c r="D85" s="153" t="s">
        <v>25</v>
      </c>
      <c r="E85" s="130" t="s">
        <v>100</v>
      </c>
      <c r="F85" s="154" t="s">
        <v>106</v>
      </c>
      <c r="G85" s="154" t="s">
        <v>106</v>
      </c>
      <c r="H85" s="154" t="s">
        <v>106</v>
      </c>
      <c r="I85" s="154" t="s">
        <v>106</v>
      </c>
      <c r="J85" s="132">
        <v>0.9</v>
      </c>
      <c r="K85" s="133">
        <v>0.928571428571429</v>
      </c>
      <c r="L85" s="133">
        <v>0.888888888888889</v>
      </c>
      <c r="M85" s="134">
        <v>0.892857142857143</v>
      </c>
      <c r="N85" s="133">
        <v>0.937837837837838</v>
      </c>
      <c r="O85" s="135">
        <v>0.9</v>
      </c>
      <c r="P85" s="133">
        <v>0</v>
      </c>
      <c r="Q85" s="133">
        <v>0</v>
      </c>
      <c r="R85" s="133" t="s">
        <v>35</v>
      </c>
      <c r="S85" s="133">
        <v>0.2</v>
      </c>
      <c r="T85" s="135">
        <v>0.9</v>
      </c>
      <c r="U85" s="133">
        <v>0</v>
      </c>
      <c r="V85" s="133">
        <v>0</v>
      </c>
      <c r="W85" s="133" t="s">
        <v>35</v>
      </c>
      <c r="X85" s="133">
        <v>0</v>
      </c>
      <c r="Y85" s="135">
        <v>0.92</v>
      </c>
      <c r="Z85" s="135" t="s">
        <v>35</v>
      </c>
      <c r="AA85" s="135" t="s">
        <v>35</v>
      </c>
      <c r="AB85" s="135" t="s">
        <v>35</v>
      </c>
      <c r="AC85" s="135">
        <v>0.666666666666667</v>
      </c>
      <c r="AD85" s="135">
        <v>0.92</v>
      </c>
      <c r="AE85" s="133">
        <v>0.941176470588235</v>
      </c>
      <c r="AF85" s="133">
        <v>0.9</v>
      </c>
      <c r="AG85" s="133">
        <v>0.89010989010989</v>
      </c>
      <c r="AH85" s="133">
        <v>0.869589977220957</v>
      </c>
      <c r="AI85" s="135">
        <v>0.92</v>
      </c>
      <c r="AJ85" s="133">
        <v>0.950873722387075</v>
      </c>
      <c r="AK85" s="133">
        <v>0.961422757034153</v>
      </c>
      <c r="AL85" s="133">
        <v>0.939973321476212</v>
      </c>
      <c r="AM85" s="133">
        <v>0.972839707078926</v>
      </c>
      <c r="AN85" s="132">
        <v>0.99</v>
      </c>
      <c r="AO85" s="137">
        <v>1</v>
      </c>
      <c r="AP85" s="137">
        <v>1</v>
      </c>
      <c r="AQ85" s="137">
        <v>1</v>
      </c>
      <c r="AR85" s="137">
        <v>1</v>
      </c>
      <c r="AS85" s="139">
        <v>0.105261498981944</v>
      </c>
      <c r="AT85" s="141">
        <v>0.142857142857143</v>
      </c>
      <c r="AU85" s="141">
        <v>0.142857142857143</v>
      </c>
      <c r="AV85" s="141">
        <v>0</v>
      </c>
      <c r="AW85" s="141">
        <v>0.0894039735099338</v>
      </c>
      <c r="AX85" s="95"/>
      <c r="AY85" s="93"/>
    </row>
    <row r="86" ht="14.5" spans="1:51">
      <c r="A86" s="91"/>
      <c r="B86" s="95"/>
      <c r="C86" s="152" t="s">
        <v>99</v>
      </c>
      <c r="D86" s="153" t="s">
        <v>25</v>
      </c>
      <c r="E86" s="130" t="s">
        <v>100</v>
      </c>
      <c r="F86" s="154" t="s">
        <v>107</v>
      </c>
      <c r="G86" s="154" t="s">
        <v>107</v>
      </c>
      <c r="H86" s="154" t="s">
        <v>107</v>
      </c>
      <c r="I86" s="154" t="s">
        <v>107</v>
      </c>
      <c r="J86" s="132">
        <v>0.9</v>
      </c>
      <c r="K86" s="133">
        <v>0.873015873015873</v>
      </c>
      <c r="L86" s="133">
        <v>0.866666666666667</v>
      </c>
      <c r="M86" s="134">
        <v>0.888888888888889</v>
      </c>
      <c r="N86" s="133">
        <v>0.877843302443134</v>
      </c>
      <c r="O86" s="135">
        <v>0.9</v>
      </c>
      <c r="P86" s="133">
        <v>0.960875640428505</v>
      </c>
      <c r="Q86" s="133">
        <v>0.966421490246242</v>
      </c>
      <c r="R86" s="133">
        <v>0.956021650879567</v>
      </c>
      <c r="S86" s="133">
        <v>0.930809219936187</v>
      </c>
      <c r="T86" s="135">
        <v>0.9</v>
      </c>
      <c r="U86" s="133">
        <v>0.836516068933395</v>
      </c>
      <c r="V86" s="133">
        <v>0.838503357850975</v>
      </c>
      <c r="W86" s="133">
        <v>0.859720342805593</v>
      </c>
      <c r="X86" s="133">
        <v>0.851895147981076</v>
      </c>
      <c r="Y86" s="135">
        <v>0.92</v>
      </c>
      <c r="Z86" s="135">
        <v>0.901529636711281</v>
      </c>
      <c r="AA86" s="135">
        <v>0.852233676975945</v>
      </c>
      <c r="AB86" s="135">
        <v>0.918007061592781</v>
      </c>
      <c r="AC86" s="135">
        <v>0.936562464216191</v>
      </c>
      <c r="AD86" s="135">
        <v>0.92</v>
      </c>
      <c r="AE86" s="133">
        <v>0.988479262672811</v>
      </c>
      <c r="AF86" s="133">
        <v>0.992753623188406</v>
      </c>
      <c r="AG86" s="133">
        <v>0.98943661971831</v>
      </c>
      <c r="AH86" s="133">
        <v>0.971795643882365</v>
      </c>
      <c r="AI86" s="135">
        <v>0.92</v>
      </c>
      <c r="AJ86" s="133">
        <v>0.926111458985598</v>
      </c>
      <c r="AK86" s="133">
        <v>0.926391800605637</v>
      </c>
      <c r="AL86" s="133">
        <v>0.95474724330517</v>
      </c>
      <c r="AM86" s="133">
        <v>0.959567462156935</v>
      </c>
      <c r="AN86" s="132">
        <v>0.99</v>
      </c>
      <c r="AO86" s="137">
        <v>1</v>
      </c>
      <c r="AP86" s="137">
        <v>1</v>
      </c>
      <c r="AQ86" s="137">
        <v>1</v>
      </c>
      <c r="AR86" s="137">
        <v>1</v>
      </c>
      <c r="AS86" s="139">
        <v>0.105261498981944</v>
      </c>
      <c r="AT86" s="141">
        <v>0.1</v>
      </c>
      <c r="AU86" s="141">
        <v>0.0909090909090909</v>
      </c>
      <c r="AV86" s="141">
        <v>0</v>
      </c>
      <c r="AW86" s="141">
        <v>0.0952380952380952</v>
      </c>
      <c r="AX86" s="95"/>
      <c r="AY86" s="93"/>
    </row>
    <row r="87" ht="14.5" spans="1:51">
      <c r="A87" s="91"/>
      <c r="B87" s="95"/>
      <c r="C87" s="152" t="s">
        <v>99</v>
      </c>
      <c r="D87" s="153" t="s">
        <v>25</v>
      </c>
      <c r="E87" s="130" t="s">
        <v>100</v>
      </c>
      <c r="F87" s="154" t="s">
        <v>108</v>
      </c>
      <c r="G87" s="154" t="s">
        <v>108</v>
      </c>
      <c r="H87" s="154" t="s">
        <v>108</v>
      </c>
      <c r="I87" s="154" t="s">
        <v>108</v>
      </c>
      <c r="J87" s="132">
        <v>0.9</v>
      </c>
      <c r="K87" s="133">
        <v>0.886075949367089</v>
      </c>
      <c r="L87" s="133">
        <v>0.922077922077922</v>
      </c>
      <c r="M87" s="134">
        <v>0.932432432432432</v>
      </c>
      <c r="N87" s="133">
        <v>0.917631041524847</v>
      </c>
      <c r="O87" s="135">
        <v>0.9</v>
      </c>
      <c r="P87" s="133">
        <v>0.333333333333333</v>
      </c>
      <c r="Q87" s="133">
        <v>0</v>
      </c>
      <c r="R87" s="133">
        <v>1</v>
      </c>
      <c r="S87" s="133">
        <v>0.666666666666667</v>
      </c>
      <c r="T87" s="135">
        <v>0.9</v>
      </c>
      <c r="U87" s="133">
        <v>0</v>
      </c>
      <c r="V87" s="133">
        <v>0</v>
      </c>
      <c r="W87" s="133">
        <v>0.5</v>
      </c>
      <c r="X87" s="133">
        <v>0.583333333333333</v>
      </c>
      <c r="Y87" s="135">
        <v>0.92</v>
      </c>
      <c r="Z87" s="135">
        <v>0.333333333333333</v>
      </c>
      <c r="AA87" s="135">
        <v>1</v>
      </c>
      <c r="AB87" s="135">
        <v>1</v>
      </c>
      <c r="AC87" s="135">
        <v>0.8</v>
      </c>
      <c r="AD87" s="135">
        <v>0.92</v>
      </c>
      <c r="AE87" s="133">
        <v>0.95169946332737</v>
      </c>
      <c r="AF87" s="133">
        <v>0.947807933194154</v>
      </c>
      <c r="AG87" s="133">
        <v>0.994565217391304</v>
      </c>
      <c r="AH87" s="133">
        <v>0.973911375407635</v>
      </c>
      <c r="AI87" s="135">
        <v>0.92</v>
      </c>
      <c r="AJ87" s="133">
        <v>0.969092441697106</v>
      </c>
      <c r="AK87" s="133">
        <v>0.974567650050865</v>
      </c>
      <c r="AL87" s="133">
        <v>0.988614800759013</v>
      </c>
      <c r="AM87" s="133">
        <v>0.984942034847779</v>
      </c>
      <c r="AN87" s="132">
        <v>0.99</v>
      </c>
      <c r="AO87" s="137">
        <v>1</v>
      </c>
      <c r="AP87" s="137">
        <v>1</v>
      </c>
      <c r="AQ87" s="137">
        <v>1</v>
      </c>
      <c r="AR87" s="137">
        <v>1</v>
      </c>
      <c r="AS87" s="139">
        <v>0.105261498981944</v>
      </c>
      <c r="AT87" s="141">
        <v>0</v>
      </c>
      <c r="AU87" s="141">
        <v>0</v>
      </c>
      <c r="AV87" s="141">
        <v>0</v>
      </c>
      <c r="AW87" s="141">
        <v>0.0603174603174603</v>
      </c>
      <c r="AX87" s="95"/>
      <c r="AY87" s="93"/>
    </row>
    <row r="88" ht="14.5" spans="1:51">
      <c r="A88" s="91"/>
      <c r="B88" s="95"/>
      <c r="C88" s="152" t="s">
        <v>99</v>
      </c>
      <c r="D88" s="153" t="s">
        <v>25</v>
      </c>
      <c r="E88" s="130" t="s">
        <v>100</v>
      </c>
      <c r="F88" s="154" t="s">
        <v>109</v>
      </c>
      <c r="G88" s="154" t="s">
        <v>109</v>
      </c>
      <c r="H88" s="154" t="s">
        <v>109</v>
      </c>
      <c r="I88" s="154" t="s">
        <v>109</v>
      </c>
      <c r="J88" s="132">
        <v>0.9</v>
      </c>
      <c r="K88" s="133">
        <v>0.974358974358974</v>
      </c>
      <c r="L88" s="133">
        <v>0.951219512195122</v>
      </c>
      <c r="M88" s="134">
        <v>0.921052631578947</v>
      </c>
      <c r="N88" s="133">
        <v>0.967061923583663</v>
      </c>
      <c r="O88" s="135">
        <v>0.9</v>
      </c>
      <c r="P88" s="133">
        <v>0.927756653992395</v>
      </c>
      <c r="Q88" s="133">
        <v>0.912980769230769</v>
      </c>
      <c r="R88" s="133">
        <v>0.932934926958831</v>
      </c>
      <c r="S88" s="133">
        <v>0.927244362501773</v>
      </c>
      <c r="T88" s="135">
        <v>0.9</v>
      </c>
      <c r="U88" s="133">
        <v>0.898098859315589</v>
      </c>
      <c r="V88" s="133">
        <v>0.876923076923077</v>
      </c>
      <c r="W88" s="133">
        <v>0.910358565737052</v>
      </c>
      <c r="X88" s="133">
        <v>0.893105334602994</v>
      </c>
      <c r="Y88" s="135">
        <v>0.92</v>
      </c>
      <c r="Z88" s="135">
        <v>0.952076677316294</v>
      </c>
      <c r="AA88" s="135">
        <v>0.936170212765957</v>
      </c>
      <c r="AB88" s="135">
        <v>0.944807121661721</v>
      </c>
      <c r="AC88" s="135">
        <v>0.956293405268897</v>
      </c>
      <c r="AD88" s="135">
        <v>0.92</v>
      </c>
      <c r="AE88" s="133">
        <v>1</v>
      </c>
      <c r="AF88" s="133">
        <v>1</v>
      </c>
      <c r="AG88" s="133">
        <v>0.96</v>
      </c>
      <c r="AH88" s="133">
        <v>0.983811626195732</v>
      </c>
      <c r="AI88" s="135">
        <v>0.92</v>
      </c>
      <c r="AJ88" s="133">
        <v>0.959299330242143</v>
      </c>
      <c r="AK88" s="133">
        <v>0.958715596330275</v>
      </c>
      <c r="AL88" s="133">
        <v>0.968490525867575</v>
      </c>
      <c r="AM88" s="133">
        <v>0.969729357416842</v>
      </c>
      <c r="AN88" s="132">
        <v>0.99</v>
      </c>
      <c r="AO88" s="137">
        <v>1</v>
      </c>
      <c r="AP88" s="137">
        <v>1</v>
      </c>
      <c r="AQ88" s="137">
        <v>1</v>
      </c>
      <c r="AR88" s="137">
        <v>1</v>
      </c>
      <c r="AS88" s="139">
        <v>0.105261498981944</v>
      </c>
      <c r="AT88" s="141">
        <v>0.0833333333333333</v>
      </c>
      <c r="AU88" s="141">
        <v>0</v>
      </c>
      <c r="AV88" s="141">
        <v>0</v>
      </c>
      <c r="AW88" s="141">
        <v>0.08</v>
      </c>
      <c r="AX88" s="95"/>
      <c r="AY88" s="93"/>
    </row>
    <row r="89" ht="14.5" spans="1:51">
      <c r="A89" s="91"/>
      <c r="B89" s="95"/>
      <c r="C89" s="152" t="s">
        <v>99</v>
      </c>
      <c r="D89" s="153" t="s">
        <v>25</v>
      </c>
      <c r="E89" s="130" t="s">
        <v>100</v>
      </c>
      <c r="F89" s="154" t="s">
        <v>110</v>
      </c>
      <c r="G89" s="154" t="s">
        <v>110</v>
      </c>
      <c r="H89" s="154" t="s">
        <v>110</v>
      </c>
      <c r="I89" s="154" t="s">
        <v>110</v>
      </c>
      <c r="J89" s="132">
        <v>0.9</v>
      </c>
      <c r="K89" s="133">
        <v>0.836363636363636</v>
      </c>
      <c r="L89" s="133">
        <v>0.697674418604651</v>
      </c>
      <c r="M89" s="134">
        <v>0.836734693877551</v>
      </c>
      <c r="N89" s="133">
        <v>0.809428284854564</v>
      </c>
      <c r="O89" s="135">
        <v>0.9</v>
      </c>
      <c r="P89" s="133">
        <v>0.75</v>
      </c>
      <c r="Q89" s="133">
        <v>0.333333333333333</v>
      </c>
      <c r="R89" s="133">
        <v>0</v>
      </c>
      <c r="S89" s="133">
        <v>0.514285714285714</v>
      </c>
      <c r="T89" s="135">
        <v>0.9</v>
      </c>
      <c r="U89" s="133">
        <v>0</v>
      </c>
      <c r="V89" s="133">
        <v>0</v>
      </c>
      <c r="W89" s="133">
        <v>0</v>
      </c>
      <c r="X89" s="133">
        <v>0.285714285714286</v>
      </c>
      <c r="Y89" s="135">
        <v>0.92</v>
      </c>
      <c r="Z89" s="135">
        <v>0</v>
      </c>
      <c r="AA89" s="135" t="s">
        <v>35</v>
      </c>
      <c r="AB89" s="135">
        <v>0</v>
      </c>
      <c r="AC89" s="135">
        <v>0.470588235294118</v>
      </c>
      <c r="AD89" s="135">
        <v>0.92</v>
      </c>
      <c r="AE89" s="133">
        <v>1</v>
      </c>
      <c r="AF89" s="133">
        <v>1</v>
      </c>
      <c r="AG89" s="133">
        <v>0.730769230769231</v>
      </c>
      <c r="AH89" s="133">
        <v>0.946867565424266</v>
      </c>
      <c r="AI89" s="135">
        <v>0.92</v>
      </c>
      <c r="AJ89" s="133">
        <v>0.920318725099602</v>
      </c>
      <c r="AK89" s="133">
        <v>0.864163189615206</v>
      </c>
      <c r="AL89" s="133">
        <v>0.927266081871345</v>
      </c>
      <c r="AM89" s="133">
        <v>0.941569841189304</v>
      </c>
      <c r="AN89" s="132">
        <v>0.99</v>
      </c>
      <c r="AO89" s="137">
        <v>1</v>
      </c>
      <c r="AP89" s="137">
        <v>1</v>
      </c>
      <c r="AQ89" s="137">
        <v>1</v>
      </c>
      <c r="AR89" s="137">
        <v>1</v>
      </c>
      <c r="AS89" s="139">
        <v>0.105261498981944</v>
      </c>
      <c r="AT89" s="141">
        <v>0.181818181818182</v>
      </c>
      <c r="AU89" s="141">
        <v>0.0588235294117647</v>
      </c>
      <c r="AV89" s="141">
        <v>0.1</v>
      </c>
      <c r="AW89" s="141">
        <v>0.102564102564103</v>
      </c>
      <c r="AX89" s="95"/>
      <c r="AY89" s="93"/>
    </row>
    <row r="90" ht="14.5" spans="1:51">
      <c r="A90" s="91"/>
      <c r="B90" s="95"/>
      <c r="C90" s="152" t="s">
        <v>99</v>
      </c>
      <c r="D90" s="153" t="s">
        <v>25</v>
      </c>
      <c r="E90" s="130" t="s">
        <v>100</v>
      </c>
      <c r="F90" s="154" t="s">
        <v>111</v>
      </c>
      <c r="G90" s="154" t="s">
        <v>111</v>
      </c>
      <c r="H90" s="154" t="s">
        <v>111</v>
      </c>
      <c r="I90" s="154" t="s">
        <v>111</v>
      </c>
      <c r="J90" s="132">
        <v>0.9</v>
      </c>
      <c r="K90" s="133">
        <v>0.857142857142857</v>
      </c>
      <c r="L90" s="133">
        <v>0.879310344827586</v>
      </c>
      <c r="M90" s="134">
        <v>0.807017543859649</v>
      </c>
      <c r="N90" s="133">
        <v>0.898071625344353</v>
      </c>
      <c r="O90" s="135">
        <v>0.9</v>
      </c>
      <c r="P90" s="133">
        <v>0.2</v>
      </c>
      <c r="Q90" s="133" t="s">
        <v>35</v>
      </c>
      <c r="R90" s="133">
        <v>0</v>
      </c>
      <c r="S90" s="133">
        <v>0.431818181818182</v>
      </c>
      <c r="T90" s="135">
        <v>0.9</v>
      </c>
      <c r="U90" s="133">
        <v>0.1</v>
      </c>
      <c r="V90" s="133" t="s">
        <v>35</v>
      </c>
      <c r="W90" s="133">
        <v>0.333333333333333</v>
      </c>
      <c r="X90" s="133">
        <v>0.363636363636364</v>
      </c>
      <c r="Y90" s="135">
        <v>0.92</v>
      </c>
      <c r="Z90" s="135">
        <v>0.25</v>
      </c>
      <c r="AA90" s="135">
        <v>0</v>
      </c>
      <c r="AB90" s="135">
        <v>0</v>
      </c>
      <c r="AC90" s="135">
        <v>0.62962962962963</v>
      </c>
      <c r="AD90" s="135">
        <v>0.92</v>
      </c>
      <c r="AE90" s="133">
        <v>0.997445721583653</v>
      </c>
      <c r="AF90" s="133">
        <v>0.944954128440367</v>
      </c>
      <c r="AG90" s="133">
        <v>0.99640933572711</v>
      </c>
      <c r="AH90" s="133">
        <v>0.98147205538023</v>
      </c>
      <c r="AI90" s="135">
        <v>0.92</v>
      </c>
      <c r="AJ90" s="133">
        <v>0.975677339901478</v>
      </c>
      <c r="AK90" s="133">
        <v>0.986610169491525</v>
      </c>
      <c r="AL90" s="133">
        <v>0.981910374126353</v>
      </c>
      <c r="AM90" s="133">
        <v>0.985828833251514</v>
      </c>
      <c r="AN90" s="132">
        <v>0.99</v>
      </c>
      <c r="AO90" s="137">
        <v>1</v>
      </c>
      <c r="AP90" s="137">
        <v>1</v>
      </c>
      <c r="AQ90" s="137">
        <v>1</v>
      </c>
      <c r="AR90" s="137">
        <v>1</v>
      </c>
      <c r="AS90" s="139">
        <v>0.105261498981944</v>
      </c>
      <c r="AT90" s="141">
        <v>0.285714285714286</v>
      </c>
      <c r="AU90" s="141">
        <v>0.333333333333333</v>
      </c>
      <c r="AV90" s="141">
        <v>0.153846153846154</v>
      </c>
      <c r="AW90" s="141">
        <v>0.155102040816327</v>
      </c>
      <c r="AX90" s="95"/>
      <c r="AY90" s="93"/>
    </row>
    <row r="91" ht="14.5" spans="1:51">
      <c r="A91" s="91"/>
      <c r="B91" s="95"/>
      <c r="C91" s="152" t="s">
        <v>99</v>
      </c>
      <c r="D91" s="153" t="s">
        <v>25</v>
      </c>
      <c r="E91" s="130" t="s">
        <v>100</v>
      </c>
      <c r="F91" s="154" t="s">
        <v>112</v>
      </c>
      <c r="G91" s="154" t="s">
        <v>112</v>
      </c>
      <c r="H91" s="154" t="s">
        <v>112</v>
      </c>
      <c r="I91" s="154" t="s">
        <v>112</v>
      </c>
      <c r="J91" s="132">
        <v>0.9</v>
      </c>
      <c r="K91" s="133">
        <v>0.879310344827586</v>
      </c>
      <c r="L91" s="133">
        <v>0.851851851851852</v>
      </c>
      <c r="M91" s="134">
        <v>0.924528301886792</v>
      </c>
      <c r="N91" s="133">
        <v>0.942360475754803</v>
      </c>
      <c r="O91" s="135">
        <v>0.9</v>
      </c>
      <c r="P91" s="133">
        <v>0.97147001934236</v>
      </c>
      <c r="Q91" s="133">
        <v>0.942015503875969</v>
      </c>
      <c r="R91" s="133">
        <v>0.977496483825598</v>
      </c>
      <c r="S91" s="133">
        <v>0.964540528174552</v>
      </c>
      <c r="T91" s="135">
        <v>0.9</v>
      </c>
      <c r="U91" s="133">
        <v>0.867504835589942</v>
      </c>
      <c r="V91" s="133">
        <v>0.802480620155039</v>
      </c>
      <c r="W91" s="133">
        <v>0.80028129395218</v>
      </c>
      <c r="X91" s="133">
        <v>0.861307711005305</v>
      </c>
      <c r="Y91" s="135">
        <v>0.92</v>
      </c>
      <c r="Z91" s="135">
        <v>0.9182156133829</v>
      </c>
      <c r="AA91" s="135">
        <v>0.87532023911187</v>
      </c>
      <c r="AB91" s="135">
        <v>0.92326431181486</v>
      </c>
      <c r="AC91" s="135">
        <v>0.941601976005646</v>
      </c>
      <c r="AD91" s="135">
        <v>0.92</v>
      </c>
      <c r="AE91" s="133">
        <v>0.806640625</v>
      </c>
      <c r="AF91" s="133">
        <v>0.946666666666667</v>
      </c>
      <c r="AG91" s="133">
        <v>0.996742671009772</v>
      </c>
      <c r="AH91" s="133">
        <v>0.972650828639073</v>
      </c>
      <c r="AI91" s="135">
        <v>0.92</v>
      </c>
      <c r="AJ91" s="133">
        <v>0.950079491255962</v>
      </c>
      <c r="AK91" s="133">
        <v>0.917991821899137</v>
      </c>
      <c r="AL91" s="133">
        <v>0.950066874721355</v>
      </c>
      <c r="AM91" s="133">
        <v>0.961727946038884</v>
      </c>
      <c r="AN91" s="132">
        <v>0.99</v>
      </c>
      <c r="AO91" s="137">
        <v>1</v>
      </c>
      <c r="AP91" s="137">
        <v>1</v>
      </c>
      <c r="AQ91" s="137">
        <v>1</v>
      </c>
      <c r="AR91" s="137">
        <v>1</v>
      </c>
      <c r="AS91" s="139">
        <v>0.105261498981944</v>
      </c>
      <c r="AT91" s="141">
        <v>0.285714285714286</v>
      </c>
      <c r="AU91" s="141">
        <v>0.0476190476190476</v>
      </c>
      <c r="AV91" s="141">
        <v>0.0476190476190476</v>
      </c>
      <c r="AW91" s="141">
        <v>0.0942857142857143</v>
      </c>
      <c r="AX91" s="95"/>
      <c r="AY91" s="93"/>
    </row>
    <row r="92" ht="14.5" spans="1:51">
      <c r="A92" s="91"/>
      <c r="B92" s="95"/>
      <c r="C92" s="152" t="s">
        <v>99</v>
      </c>
      <c r="D92" s="153" t="s">
        <v>25</v>
      </c>
      <c r="E92" s="130" t="s">
        <v>100</v>
      </c>
      <c r="F92" s="154" t="s">
        <v>113</v>
      </c>
      <c r="G92" s="154" t="s">
        <v>113</v>
      </c>
      <c r="H92" s="154" t="s">
        <v>113</v>
      </c>
      <c r="I92" s="154" t="s">
        <v>113</v>
      </c>
      <c r="J92" s="132">
        <v>0.9</v>
      </c>
      <c r="K92" s="133">
        <v>0.979166666666667</v>
      </c>
      <c r="L92" s="133">
        <v>0.938775510204082</v>
      </c>
      <c r="M92" s="134">
        <v>0.88</v>
      </c>
      <c r="N92" s="133">
        <v>0.951527924130664</v>
      </c>
      <c r="O92" s="135">
        <v>0.9</v>
      </c>
      <c r="P92" s="133">
        <v>0.2</v>
      </c>
      <c r="Q92" s="133">
        <v>0</v>
      </c>
      <c r="R92" s="133">
        <v>1</v>
      </c>
      <c r="S92" s="133">
        <v>0.380952380952381</v>
      </c>
      <c r="T92" s="135">
        <v>0.9</v>
      </c>
      <c r="U92" s="133">
        <v>0.2</v>
      </c>
      <c r="V92" s="133">
        <v>0</v>
      </c>
      <c r="W92" s="133">
        <v>1</v>
      </c>
      <c r="X92" s="133">
        <v>0.428571428571429</v>
      </c>
      <c r="Y92" s="135">
        <v>0.92</v>
      </c>
      <c r="Z92" s="135">
        <v>0</v>
      </c>
      <c r="AA92" s="135" t="s">
        <v>35</v>
      </c>
      <c r="AB92" s="135">
        <v>1</v>
      </c>
      <c r="AC92" s="135">
        <v>0.2</v>
      </c>
      <c r="AD92" s="135">
        <v>0.92</v>
      </c>
      <c r="AE92" s="133">
        <v>0.890756302521008</v>
      </c>
      <c r="AF92" s="133">
        <v>0.958015267175573</v>
      </c>
      <c r="AG92" s="133">
        <v>0.86734693877551</v>
      </c>
      <c r="AH92" s="133">
        <v>0.952509262377905</v>
      </c>
      <c r="AI92" s="135">
        <v>0.92</v>
      </c>
      <c r="AJ92" s="133">
        <v>0.978436657681941</v>
      </c>
      <c r="AK92" s="133">
        <v>0.987089715536105</v>
      </c>
      <c r="AL92" s="133">
        <v>0.992604331748547</v>
      </c>
      <c r="AM92" s="133">
        <v>0.990095727487464</v>
      </c>
      <c r="AN92" s="132">
        <v>0.99</v>
      </c>
      <c r="AO92" s="137">
        <v>1</v>
      </c>
      <c r="AP92" s="137">
        <v>1</v>
      </c>
      <c r="AQ92" s="137">
        <v>1</v>
      </c>
      <c r="AR92" s="137">
        <v>1</v>
      </c>
      <c r="AS92" s="139">
        <v>0.105261498981944</v>
      </c>
      <c r="AT92" s="141">
        <v>0</v>
      </c>
      <c r="AU92" s="141">
        <v>0.1</v>
      </c>
      <c r="AV92" s="141">
        <v>0.0833333333333333</v>
      </c>
      <c r="AW92" s="141">
        <v>0.105263157894737</v>
      </c>
      <c r="AX92" s="95"/>
      <c r="AY92" s="93"/>
    </row>
    <row r="93" ht="14.5" spans="1:51">
      <c r="A93" s="91"/>
      <c r="B93" s="95"/>
      <c r="C93" s="152" t="s">
        <v>99</v>
      </c>
      <c r="D93" s="153" t="s">
        <v>25</v>
      </c>
      <c r="E93" s="130" t="s">
        <v>100</v>
      </c>
      <c r="F93" s="154" t="s">
        <v>114</v>
      </c>
      <c r="G93" s="154" t="s">
        <v>114</v>
      </c>
      <c r="H93" s="154" t="s">
        <v>114</v>
      </c>
      <c r="I93" s="154" t="s">
        <v>114</v>
      </c>
      <c r="J93" s="132">
        <v>0.9</v>
      </c>
      <c r="K93" s="133">
        <v>0.964912280701754</v>
      </c>
      <c r="L93" s="133">
        <v>0.96551724137931</v>
      </c>
      <c r="M93" s="134">
        <v>0.944444444444444</v>
      </c>
      <c r="N93" s="133">
        <v>0.936599423631124</v>
      </c>
      <c r="O93" s="135">
        <v>0.9</v>
      </c>
      <c r="P93" s="133">
        <v>0.966990291262136</v>
      </c>
      <c r="Q93" s="133">
        <v>0.948885472713297</v>
      </c>
      <c r="R93" s="133">
        <v>0.964661451308336</v>
      </c>
      <c r="S93" s="133">
        <v>0.944924609354944</v>
      </c>
      <c r="T93" s="135">
        <v>0.9</v>
      </c>
      <c r="U93" s="133">
        <v>0.874433656957929</v>
      </c>
      <c r="V93" s="133">
        <v>0.874327440430438</v>
      </c>
      <c r="W93" s="133">
        <v>0.898030752630159</v>
      </c>
      <c r="X93" s="133">
        <v>0.882951958787588</v>
      </c>
      <c r="Y93" s="135">
        <v>0.92</v>
      </c>
      <c r="Z93" s="135">
        <v>0.912912912912913</v>
      </c>
      <c r="AA93" s="135">
        <v>0.9179548156956</v>
      </c>
      <c r="AB93" s="135">
        <v>0.922025316455696</v>
      </c>
      <c r="AC93" s="135">
        <v>0.943063477942331</v>
      </c>
      <c r="AD93" s="135">
        <v>0.92</v>
      </c>
      <c r="AE93" s="133">
        <v>0.934210526315789</v>
      </c>
      <c r="AF93" s="133">
        <v>0.875</v>
      </c>
      <c r="AG93" s="133">
        <v>0.92511013215859</v>
      </c>
      <c r="AH93" s="133">
        <v>0.94435099523409</v>
      </c>
      <c r="AI93" s="135">
        <v>0.92</v>
      </c>
      <c r="AJ93" s="133">
        <v>0.946630483943917</v>
      </c>
      <c r="AK93" s="133">
        <v>0.955980306979438</v>
      </c>
      <c r="AL93" s="133">
        <v>0.959908563390188</v>
      </c>
      <c r="AM93" s="133">
        <v>0.967815331154594</v>
      </c>
      <c r="AN93" s="132">
        <v>0.99</v>
      </c>
      <c r="AO93" s="137">
        <v>1</v>
      </c>
      <c r="AP93" s="137">
        <v>1</v>
      </c>
      <c r="AQ93" s="137">
        <v>1</v>
      </c>
      <c r="AR93" s="137">
        <v>1</v>
      </c>
      <c r="AS93" s="139">
        <v>0.105261498981944</v>
      </c>
      <c r="AT93" s="141">
        <v>0.142857142857143</v>
      </c>
      <c r="AU93" s="141">
        <v>0</v>
      </c>
      <c r="AV93" s="141">
        <v>0.0909090909090909</v>
      </c>
      <c r="AW93" s="141">
        <v>0.0914634146341463</v>
      </c>
      <c r="AX93" s="95"/>
      <c r="AY93" s="93"/>
    </row>
    <row r="94" ht="14.5" spans="1:51">
      <c r="A94" s="91"/>
      <c r="B94" s="95"/>
      <c r="C94" s="152" t="s">
        <v>99</v>
      </c>
      <c r="D94" s="153" t="s">
        <v>25</v>
      </c>
      <c r="E94" s="130" t="s">
        <v>100</v>
      </c>
      <c r="F94" s="154" t="s">
        <v>115</v>
      </c>
      <c r="G94" s="154" t="s">
        <v>115</v>
      </c>
      <c r="H94" s="154" t="s">
        <v>115</v>
      </c>
      <c r="I94" s="154" t="s">
        <v>115</v>
      </c>
      <c r="J94" s="132">
        <v>0.9</v>
      </c>
      <c r="K94" s="133">
        <v>0.947368421052632</v>
      </c>
      <c r="L94" s="133">
        <v>0.938461538461538</v>
      </c>
      <c r="M94" s="134">
        <v>0.940298507462687</v>
      </c>
      <c r="N94" s="133">
        <v>0.941451990632319</v>
      </c>
      <c r="O94" s="135">
        <v>0.9</v>
      </c>
      <c r="P94" s="133">
        <v>0.909905163329821</v>
      </c>
      <c r="Q94" s="133">
        <v>0.821494586744125</v>
      </c>
      <c r="R94" s="133">
        <v>0.8943213649096</v>
      </c>
      <c r="S94" s="133">
        <v>0.917104568076292</v>
      </c>
      <c r="T94" s="135">
        <v>0.9</v>
      </c>
      <c r="U94" s="133">
        <v>0.902528977871444</v>
      </c>
      <c r="V94" s="133">
        <v>0.927119091629258</v>
      </c>
      <c r="W94" s="133">
        <v>0.920295390883626</v>
      </c>
      <c r="X94" s="133">
        <v>0.917243584396808</v>
      </c>
      <c r="Y94" s="135">
        <v>0.92</v>
      </c>
      <c r="Z94" s="135">
        <v>0.938125568698817</v>
      </c>
      <c r="AA94" s="135">
        <v>0.915456874466268</v>
      </c>
      <c r="AB94" s="135">
        <v>0.956888888888889</v>
      </c>
      <c r="AC94" s="135">
        <v>0.951762672347952</v>
      </c>
      <c r="AD94" s="135">
        <v>0.92</v>
      </c>
      <c r="AE94" s="133">
        <v>0.982558139534884</v>
      </c>
      <c r="AF94" s="133">
        <v>0.954128440366973</v>
      </c>
      <c r="AG94" s="133">
        <v>0.968152866242038</v>
      </c>
      <c r="AH94" s="133">
        <v>0.961088263207846</v>
      </c>
      <c r="AI94" s="135">
        <v>0.92</v>
      </c>
      <c r="AJ94" s="133">
        <v>0.960973982655103</v>
      </c>
      <c r="AK94" s="133">
        <v>0.962903225806452</v>
      </c>
      <c r="AL94" s="133">
        <v>0.975068803626356</v>
      </c>
      <c r="AM94" s="133">
        <v>0.972753118272502</v>
      </c>
      <c r="AN94" s="132">
        <v>0.99</v>
      </c>
      <c r="AO94" s="137">
        <v>1</v>
      </c>
      <c r="AP94" s="137">
        <v>1</v>
      </c>
      <c r="AQ94" s="137">
        <v>1</v>
      </c>
      <c r="AR94" s="137">
        <v>1</v>
      </c>
      <c r="AS94" s="139">
        <v>0.105261498981944</v>
      </c>
      <c r="AT94" s="141">
        <v>0.0666666666666667</v>
      </c>
      <c r="AU94" s="141">
        <v>0</v>
      </c>
      <c r="AV94" s="141">
        <v>0.0666666666666667</v>
      </c>
      <c r="AW94" s="141">
        <v>0.0782918149466192</v>
      </c>
      <c r="AX94" s="95"/>
      <c r="AY94" s="93"/>
    </row>
    <row r="95" ht="14.5" spans="1:51">
      <c r="A95" s="91"/>
      <c r="B95" s="95"/>
      <c r="C95" s="152" t="s">
        <v>99</v>
      </c>
      <c r="D95" s="153" t="s">
        <v>25</v>
      </c>
      <c r="E95" s="130" t="s">
        <v>100</v>
      </c>
      <c r="F95" s="154" t="s">
        <v>116</v>
      </c>
      <c r="G95" s="154" t="s">
        <v>116</v>
      </c>
      <c r="H95" s="154" t="s">
        <v>116</v>
      </c>
      <c r="I95" s="154" t="s">
        <v>116</v>
      </c>
      <c r="J95" s="132">
        <v>0.9</v>
      </c>
      <c r="K95" s="133">
        <v>0.95</v>
      </c>
      <c r="L95" s="133">
        <v>0.849056603773585</v>
      </c>
      <c r="M95" s="134">
        <v>0.952380952380952</v>
      </c>
      <c r="N95" s="133">
        <v>0.92237061769616</v>
      </c>
      <c r="O95" s="135">
        <v>0.9</v>
      </c>
      <c r="P95" s="133">
        <v>0.941281138790036</v>
      </c>
      <c r="Q95" s="133">
        <v>0.934619929105947</v>
      </c>
      <c r="R95" s="133">
        <v>0.92823233733594</v>
      </c>
      <c r="S95" s="133">
        <v>0.958257838518749</v>
      </c>
      <c r="T95" s="135">
        <v>0.9</v>
      </c>
      <c r="U95" s="133">
        <v>0.865361803084223</v>
      </c>
      <c r="V95" s="133">
        <v>0.879480110279638</v>
      </c>
      <c r="W95" s="133">
        <v>0.889137112538397</v>
      </c>
      <c r="X95" s="133">
        <v>0.909596038032131</v>
      </c>
      <c r="Y95" s="135">
        <v>0.92</v>
      </c>
      <c r="Z95" s="135">
        <v>0.903547671840355</v>
      </c>
      <c r="AA95" s="135">
        <v>0.879714576962283</v>
      </c>
      <c r="AB95" s="135">
        <v>0.936461388074291</v>
      </c>
      <c r="AC95" s="135">
        <v>0.949837777552469</v>
      </c>
      <c r="AD95" s="135">
        <v>0.92</v>
      </c>
      <c r="AE95" s="133">
        <v>0.950798722044728</v>
      </c>
      <c r="AF95" s="133">
        <v>0.986959505833905</v>
      </c>
      <c r="AG95" s="133">
        <v>0.990414110429448</v>
      </c>
      <c r="AH95" s="133">
        <v>0.986877407358215</v>
      </c>
      <c r="AI95" s="135">
        <v>0.92</v>
      </c>
      <c r="AJ95" s="133">
        <v>0.94090382387022</v>
      </c>
      <c r="AK95" s="133">
        <v>0.930721181147075</v>
      </c>
      <c r="AL95" s="133">
        <v>0.963568508974587</v>
      </c>
      <c r="AM95" s="133">
        <v>0.97054717174828</v>
      </c>
      <c r="AN95" s="132">
        <v>0.99</v>
      </c>
      <c r="AO95" s="137">
        <v>1</v>
      </c>
      <c r="AP95" s="137">
        <v>1</v>
      </c>
      <c r="AQ95" s="137">
        <v>1</v>
      </c>
      <c r="AR95" s="137">
        <v>1</v>
      </c>
      <c r="AS95" s="139">
        <v>0.105261498981944</v>
      </c>
      <c r="AT95" s="141">
        <v>0.3</v>
      </c>
      <c r="AU95" s="141">
        <v>0.1</v>
      </c>
      <c r="AV95" s="141">
        <v>0</v>
      </c>
      <c r="AW95" s="141">
        <v>0.107438016528926</v>
      </c>
      <c r="AX95" s="95"/>
      <c r="AY95" s="93"/>
    </row>
    <row r="96" ht="14.5" spans="1:51">
      <c r="A96" s="91"/>
      <c r="B96" s="95"/>
      <c r="C96" s="152" t="s">
        <v>99</v>
      </c>
      <c r="D96" s="153" t="s">
        <v>25</v>
      </c>
      <c r="E96" s="130" t="s">
        <v>100</v>
      </c>
      <c r="F96" s="154" t="s">
        <v>117</v>
      </c>
      <c r="G96" s="154" t="s">
        <v>117</v>
      </c>
      <c r="H96" s="154" t="s">
        <v>117</v>
      </c>
      <c r="I96" s="154" t="s">
        <v>117</v>
      </c>
      <c r="J96" s="132">
        <v>0.9</v>
      </c>
      <c r="K96" s="133">
        <v>0.895522388059702</v>
      </c>
      <c r="L96" s="133">
        <v>0.847457627118644</v>
      </c>
      <c r="M96" s="134">
        <v>0.9</v>
      </c>
      <c r="N96" s="133">
        <v>0.902272727272727</v>
      </c>
      <c r="O96" s="135">
        <v>0.9</v>
      </c>
      <c r="P96" s="133">
        <v>0.936183395291202</v>
      </c>
      <c r="Q96" s="133">
        <v>0.767969451931716</v>
      </c>
      <c r="R96" s="133">
        <v>0.848500340831629</v>
      </c>
      <c r="S96" s="133">
        <v>0.874627501064283</v>
      </c>
      <c r="T96" s="135">
        <v>0.9</v>
      </c>
      <c r="U96" s="133">
        <v>0.894671623296159</v>
      </c>
      <c r="V96" s="133">
        <v>0.737646001796945</v>
      </c>
      <c r="W96" s="133">
        <v>0.803340149965917</v>
      </c>
      <c r="X96" s="133">
        <v>0.856090473281878</v>
      </c>
      <c r="Y96" s="135">
        <v>0.92</v>
      </c>
      <c r="Z96" s="135">
        <v>0.908315565031983</v>
      </c>
      <c r="AA96" s="135">
        <v>0.832388663967611</v>
      </c>
      <c r="AB96" s="135">
        <v>0.888693201831631</v>
      </c>
      <c r="AC96" s="135">
        <v>0.927887342743685</v>
      </c>
      <c r="AD96" s="135">
        <v>0.92</v>
      </c>
      <c r="AE96" s="133">
        <v>0.989092996555683</v>
      </c>
      <c r="AF96" s="133">
        <v>0.950502152080344</v>
      </c>
      <c r="AG96" s="133">
        <v>0.941018766756032</v>
      </c>
      <c r="AH96" s="133">
        <v>0.942898719441211</v>
      </c>
      <c r="AI96" s="135">
        <v>0.92</v>
      </c>
      <c r="AJ96" s="133">
        <v>0.951887810140237</v>
      </c>
      <c r="AK96" s="133">
        <v>0.901898734177215</v>
      </c>
      <c r="AL96" s="133">
        <v>0.922140560404226</v>
      </c>
      <c r="AM96" s="133">
        <v>0.954512446280401</v>
      </c>
      <c r="AN96" s="132">
        <v>0.99</v>
      </c>
      <c r="AO96" s="137">
        <v>1</v>
      </c>
      <c r="AP96" s="137">
        <v>1</v>
      </c>
      <c r="AQ96" s="137">
        <v>1</v>
      </c>
      <c r="AR96" s="137">
        <v>1</v>
      </c>
      <c r="AS96" s="139">
        <v>0.105261498981944</v>
      </c>
      <c r="AT96" s="141">
        <v>0.1</v>
      </c>
      <c r="AU96" s="141">
        <v>0</v>
      </c>
      <c r="AV96" s="141">
        <v>0.0384615384615385</v>
      </c>
      <c r="AW96" s="141">
        <v>0.0767386091127098</v>
      </c>
      <c r="AX96" s="95"/>
      <c r="AY96" s="93"/>
    </row>
    <row r="97" ht="14.5" spans="1:51">
      <c r="A97" s="91"/>
      <c r="B97" s="95"/>
      <c r="C97" s="152" t="s">
        <v>99</v>
      </c>
      <c r="D97" s="153" t="s">
        <v>25</v>
      </c>
      <c r="E97" s="130" t="s">
        <v>100</v>
      </c>
      <c r="F97" s="154" t="s">
        <v>118</v>
      </c>
      <c r="G97" s="154" t="s">
        <v>118</v>
      </c>
      <c r="H97" s="154" t="s">
        <v>118</v>
      </c>
      <c r="I97" s="154" t="s">
        <v>118</v>
      </c>
      <c r="J97" s="132">
        <v>0.9</v>
      </c>
      <c r="K97" s="133">
        <v>0.833333333333333</v>
      </c>
      <c r="L97" s="133">
        <v>0.911764705882353</v>
      </c>
      <c r="M97" s="134">
        <v>0.858974358974359</v>
      </c>
      <c r="N97" s="133">
        <v>0.893617021276596</v>
      </c>
      <c r="O97" s="135">
        <v>0.9</v>
      </c>
      <c r="P97" s="133">
        <v>0.935652709359606</v>
      </c>
      <c r="Q97" s="133">
        <v>0.914299355454762</v>
      </c>
      <c r="R97" s="133">
        <v>0.922336433349649</v>
      </c>
      <c r="S97" s="133">
        <v>0.911395252577969</v>
      </c>
      <c r="T97" s="135">
        <v>0.9</v>
      </c>
      <c r="U97" s="133">
        <v>0.883004926108374</v>
      </c>
      <c r="V97" s="133">
        <v>0.838147529243256</v>
      </c>
      <c r="W97" s="133">
        <v>0.811714798498939</v>
      </c>
      <c r="X97" s="133">
        <v>0.842712401245343</v>
      </c>
      <c r="Y97" s="135">
        <v>0.92</v>
      </c>
      <c r="Z97" s="135">
        <v>0.929856115107914</v>
      </c>
      <c r="AA97" s="135">
        <v>0.888663967611336</v>
      </c>
      <c r="AB97" s="135">
        <v>0.850165562913907</v>
      </c>
      <c r="AC97" s="135">
        <v>0.928992168650339</v>
      </c>
      <c r="AD97" s="135">
        <v>0.92</v>
      </c>
      <c r="AE97" s="133">
        <v>0.942934117070781</v>
      </c>
      <c r="AF97" s="133">
        <v>0.96360153256705</v>
      </c>
      <c r="AG97" s="133">
        <v>0.992040751353072</v>
      </c>
      <c r="AH97" s="133">
        <v>0.917245444801715</v>
      </c>
      <c r="AI97" s="135">
        <v>0.92</v>
      </c>
      <c r="AJ97" s="133">
        <v>0.958706265256306</v>
      </c>
      <c r="AK97" s="133">
        <v>0.936552696510398</v>
      </c>
      <c r="AL97" s="133">
        <v>0.917980749539218</v>
      </c>
      <c r="AM97" s="133">
        <v>0.959838187702265</v>
      </c>
      <c r="AN97" s="132">
        <v>0.99</v>
      </c>
      <c r="AO97" s="137">
        <v>1</v>
      </c>
      <c r="AP97" s="137">
        <v>1</v>
      </c>
      <c r="AQ97" s="137">
        <v>1</v>
      </c>
      <c r="AR97" s="137">
        <v>1</v>
      </c>
      <c r="AS97" s="139">
        <v>0.105261498981944</v>
      </c>
      <c r="AT97" s="141">
        <v>0</v>
      </c>
      <c r="AU97" s="141">
        <v>0.176470588235294</v>
      </c>
      <c r="AV97" s="141">
        <v>0.0285714285714286</v>
      </c>
      <c r="AW97" s="141">
        <v>0.0782208588957055</v>
      </c>
      <c r="AX97" s="95"/>
      <c r="AY97" s="93"/>
    </row>
    <row r="98" ht="14.5" spans="1:51">
      <c r="A98" s="91"/>
      <c r="B98" s="95"/>
      <c r="C98" s="152" t="s">
        <v>99</v>
      </c>
      <c r="D98" s="153" t="s">
        <v>25</v>
      </c>
      <c r="E98" s="130" t="s">
        <v>100</v>
      </c>
      <c r="F98" s="154" t="s">
        <v>119</v>
      </c>
      <c r="G98" s="154" t="s">
        <v>119</v>
      </c>
      <c r="H98" s="154" t="s">
        <v>119</v>
      </c>
      <c r="I98" s="154" t="s">
        <v>119</v>
      </c>
      <c r="J98" s="132">
        <v>0.9</v>
      </c>
      <c r="K98" s="133">
        <v>0.971428571428571</v>
      </c>
      <c r="L98" s="133">
        <v>0.961538461538462</v>
      </c>
      <c r="M98" s="134">
        <v>0.972222222222222</v>
      </c>
      <c r="N98" s="133">
        <v>0.940652818991098</v>
      </c>
      <c r="O98" s="135">
        <v>0.9</v>
      </c>
      <c r="P98" s="133">
        <v>0.921667719519899</v>
      </c>
      <c r="Q98" s="133">
        <v>0.930930930930931</v>
      </c>
      <c r="R98" s="133">
        <v>0.893639207507821</v>
      </c>
      <c r="S98" s="133">
        <v>0.898856100214043</v>
      </c>
      <c r="T98" s="135">
        <v>0.9</v>
      </c>
      <c r="U98" s="133">
        <v>0.873657612128869</v>
      </c>
      <c r="V98" s="133">
        <v>0.802802802802803</v>
      </c>
      <c r="W98" s="133">
        <v>0.822732012513034</v>
      </c>
      <c r="X98" s="133">
        <v>0.800940383873118</v>
      </c>
      <c r="Y98" s="135">
        <v>0.92</v>
      </c>
      <c r="Z98" s="135">
        <v>0.929625425652667</v>
      </c>
      <c r="AA98" s="135">
        <v>0.906344410876133</v>
      </c>
      <c r="AB98" s="135">
        <v>0.906352324819908</v>
      </c>
      <c r="AC98" s="135">
        <v>0.943319235122416</v>
      </c>
      <c r="AD98" s="135">
        <v>0.92</v>
      </c>
      <c r="AE98" s="133">
        <v>0.99504132231405</v>
      </c>
      <c r="AF98" s="133">
        <v>0.96551724137931</v>
      </c>
      <c r="AG98" s="133">
        <v>0.997666277712952</v>
      </c>
      <c r="AH98" s="133">
        <v>0.987532309563631</v>
      </c>
      <c r="AI98" s="135">
        <v>0.92</v>
      </c>
      <c r="AJ98" s="133">
        <v>0.941964285714286</v>
      </c>
      <c r="AK98" s="133">
        <v>0.943984962406015</v>
      </c>
      <c r="AL98" s="133">
        <v>0.938692098092643</v>
      </c>
      <c r="AM98" s="133">
        <v>0.96303615788021</v>
      </c>
      <c r="AN98" s="132">
        <v>0.99</v>
      </c>
      <c r="AO98" s="137">
        <v>1</v>
      </c>
      <c r="AP98" s="137">
        <v>1</v>
      </c>
      <c r="AQ98" s="137">
        <v>1</v>
      </c>
      <c r="AR98" s="137">
        <v>1</v>
      </c>
      <c r="AS98" s="139">
        <v>0.105261498981944</v>
      </c>
      <c r="AT98" s="141">
        <v>0.0731707317073171</v>
      </c>
      <c r="AU98" s="141">
        <v>0</v>
      </c>
      <c r="AV98" s="141">
        <v>0.0416666666666667</v>
      </c>
      <c r="AW98" s="141">
        <v>0.0565693430656934</v>
      </c>
      <c r="AX98" s="95"/>
      <c r="AY98" s="93"/>
    </row>
    <row r="99" ht="14.5" spans="1:51">
      <c r="A99" s="91"/>
      <c r="B99" s="95"/>
      <c r="C99" s="152" t="s">
        <v>99</v>
      </c>
      <c r="D99" s="153" t="s">
        <v>25</v>
      </c>
      <c r="E99" s="130" t="s">
        <v>100</v>
      </c>
      <c r="F99" s="154" t="s">
        <v>120</v>
      </c>
      <c r="G99" s="154" t="s">
        <v>120</v>
      </c>
      <c r="H99" s="154" t="s">
        <v>120</v>
      </c>
      <c r="I99" s="154" t="s">
        <v>120</v>
      </c>
      <c r="J99" s="132">
        <v>0.9</v>
      </c>
      <c r="K99" s="133">
        <v>0.934782608695652</v>
      </c>
      <c r="L99" s="133">
        <v>0.828571428571429</v>
      </c>
      <c r="M99" s="134">
        <v>0.9</v>
      </c>
      <c r="N99" s="133">
        <v>0.906698564593301</v>
      </c>
      <c r="O99" s="135">
        <v>0.9</v>
      </c>
      <c r="P99" s="133">
        <v>0.945652173913043</v>
      </c>
      <c r="Q99" s="133">
        <v>0.888101454681089</v>
      </c>
      <c r="R99" s="133">
        <v>0.88074369189907</v>
      </c>
      <c r="S99" s="133">
        <v>0.90362494100991</v>
      </c>
      <c r="T99" s="135">
        <v>0.9</v>
      </c>
      <c r="U99" s="133">
        <v>0.893280632411067</v>
      </c>
      <c r="V99" s="133">
        <v>0.831779186870571</v>
      </c>
      <c r="W99" s="133">
        <v>0.832403718459495</v>
      </c>
      <c r="X99" s="133">
        <v>0.859721566776781</v>
      </c>
      <c r="Y99" s="135">
        <v>0.92</v>
      </c>
      <c r="Z99" s="135">
        <v>0.894150417827298</v>
      </c>
      <c r="AA99" s="135">
        <v>0.887909319899244</v>
      </c>
      <c r="AB99" s="135">
        <v>0.913451511991658</v>
      </c>
      <c r="AC99" s="135">
        <v>0.93843134216575</v>
      </c>
      <c r="AD99" s="135">
        <v>0.92</v>
      </c>
      <c r="AE99" s="133">
        <v>0.993567251461988</v>
      </c>
      <c r="AF99" s="133">
        <v>0.996664813785436</v>
      </c>
      <c r="AG99" s="133">
        <v>0.995196813495783</v>
      </c>
      <c r="AH99" s="133">
        <v>0.989770959940256</v>
      </c>
      <c r="AI99" s="135">
        <v>0.92</v>
      </c>
      <c r="AJ99" s="133">
        <v>0.942617666021921</v>
      </c>
      <c r="AK99" s="133">
        <v>0.940161104718067</v>
      </c>
      <c r="AL99" s="133">
        <v>0.939303307529909</v>
      </c>
      <c r="AM99" s="133">
        <v>0.963492689152918</v>
      </c>
      <c r="AN99" s="132">
        <v>0.99</v>
      </c>
      <c r="AO99" s="137">
        <v>1</v>
      </c>
      <c r="AP99" s="137">
        <v>1</v>
      </c>
      <c r="AQ99" s="137">
        <v>1</v>
      </c>
      <c r="AR99" s="137">
        <v>1</v>
      </c>
      <c r="AS99" s="139">
        <v>0.105261498981944</v>
      </c>
      <c r="AT99" s="141">
        <v>0.357142857142857</v>
      </c>
      <c r="AU99" s="141">
        <v>0</v>
      </c>
      <c r="AV99" s="141">
        <v>0</v>
      </c>
      <c r="AW99" s="141">
        <v>0.108179419525066</v>
      </c>
      <c r="AX99" s="95"/>
      <c r="AY99" s="93"/>
    </row>
    <row r="100" ht="14.5" spans="1:51">
      <c r="A100" s="91"/>
      <c r="B100" s="95"/>
      <c r="C100" s="152" t="s">
        <v>99</v>
      </c>
      <c r="D100" s="153" t="s">
        <v>25</v>
      </c>
      <c r="E100" s="130" t="s">
        <v>100</v>
      </c>
      <c r="F100" s="154" t="s">
        <v>121</v>
      </c>
      <c r="G100" s="154" t="s">
        <v>121</v>
      </c>
      <c r="H100" s="154" t="s">
        <v>121</v>
      </c>
      <c r="I100" s="154" t="s">
        <v>121</v>
      </c>
      <c r="J100" s="132">
        <v>0.9</v>
      </c>
      <c r="K100" s="133">
        <v>0.967741935483871</v>
      </c>
      <c r="L100" s="133">
        <v>0.931034482758621</v>
      </c>
      <c r="M100" s="134">
        <v>0.931034482758621</v>
      </c>
      <c r="N100" s="133">
        <v>0.96875</v>
      </c>
      <c r="O100" s="135">
        <v>0.9</v>
      </c>
      <c r="P100" s="133">
        <v>0.957038391224863</v>
      </c>
      <c r="Q100" s="133">
        <v>0.946441672780631</v>
      </c>
      <c r="R100" s="133">
        <v>0.965317919075145</v>
      </c>
      <c r="S100" s="133">
        <v>0.957320477036285</v>
      </c>
      <c r="T100" s="135">
        <v>0.9</v>
      </c>
      <c r="U100" s="133">
        <v>0.923217550274223</v>
      </c>
      <c r="V100" s="133">
        <v>0.884079236977256</v>
      </c>
      <c r="W100" s="133">
        <v>0.907032755298651</v>
      </c>
      <c r="X100" s="133">
        <v>0.923902562801319</v>
      </c>
      <c r="Y100" s="135">
        <v>0.92</v>
      </c>
      <c r="Z100" s="135">
        <v>0.911149825783972</v>
      </c>
      <c r="AA100" s="135">
        <v>0.90280777537797</v>
      </c>
      <c r="AB100" s="135">
        <v>0.948924731182796</v>
      </c>
      <c r="AC100" s="135">
        <v>0.966607933301818</v>
      </c>
      <c r="AD100" s="135">
        <v>0.92</v>
      </c>
      <c r="AE100" s="133">
        <v>0.998281786941581</v>
      </c>
      <c r="AF100" s="133">
        <v>0.993227990970655</v>
      </c>
      <c r="AG100" s="133">
        <v>0.997515527950311</v>
      </c>
      <c r="AH100" s="133">
        <v>0.988657378868204</v>
      </c>
      <c r="AI100" s="135">
        <v>0.92</v>
      </c>
      <c r="AJ100" s="133">
        <v>0.954436450839328</v>
      </c>
      <c r="AK100" s="133">
        <v>0.946330777656079</v>
      </c>
      <c r="AL100" s="133">
        <v>0.969298245614035</v>
      </c>
      <c r="AM100" s="133">
        <v>0.978350350989151</v>
      </c>
      <c r="AN100" s="132">
        <v>0.99</v>
      </c>
      <c r="AO100" s="137">
        <v>1</v>
      </c>
      <c r="AP100" s="137">
        <v>1</v>
      </c>
      <c r="AQ100" s="137">
        <v>1</v>
      </c>
      <c r="AR100" s="137">
        <v>1</v>
      </c>
      <c r="AS100" s="139">
        <v>0.105261498981944</v>
      </c>
      <c r="AT100" s="141">
        <v>0.111111111111111</v>
      </c>
      <c r="AU100" s="141">
        <v>0</v>
      </c>
      <c r="AV100" s="141">
        <v>0</v>
      </c>
      <c r="AW100" s="141">
        <v>0.0566037735849057</v>
      </c>
      <c r="AX100" s="95"/>
      <c r="AY100" s="93"/>
    </row>
    <row r="101" ht="14.5" spans="1:51">
      <c r="A101" s="91"/>
      <c r="B101" s="95"/>
      <c r="C101" s="152" t="s">
        <v>99</v>
      </c>
      <c r="D101" s="153" t="s">
        <v>25</v>
      </c>
      <c r="E101" s="130" t="s">
        <v>100</v>
      </c>
      <c r="F101" s="154" t="s">
        <v>122</v>
      </c>
      <c r="G101" s="154" t="s">
        <v>122</v>
      </c>
      <c r="H101" s="154" t="s">
        <v>122</v>
      </c>
      <c r="I101" s="154" t="s">
        <v>122</v>
      </c>
      <c r="J101" s="132">
        <v>0.9</v>
      </c>
      <c r="K101" s="133">
        <v>0.983870967741935</v>
      </c>
      <c r="L101" s="133">
        <v>0.94</v>
      </c>
      <c r="M101" s="134">
        <v>0.942307692307692</v>
      </c>
      <c r="N101" s="133">
        <v>0.943060498220641</v>
      </c>
      <c r="O101" s="135">
        <v>0.9</v>
      </c>
      <c r="P101" s="133">
        <v>0.950024987506247</v>
      </c>
      <c r="Q101" s="133">
        <v>0.948936170212766</v>
      </c>
      <c r="R101" s="133">
        <v>0.946103038309115</v>
      </c>
      <c r="S101" s="133">
        <v>0.956018829858776</v>
      </c>
      <c r="T101" s="135">
        <v>0.9</v>
      </c>
      <c r="U101" s="133">
        <v>0.913543228385807</v>
      </c>
      <c r="V101" s="133">
        <v>0.890522243713733</v>
      </c>
      <c r="W101" s="133">
        <v>0.911492734478203</v>
      </c>
      <c r="X101" s="133">
        <v>0.911338264963013</v>
      </c>
      <c r="Y101" s="135">
        <v>0.92</v>
      </c>
      <c r="Z101" s="135">
        <v>0.912612612612613</v>
      </c>
      <c r="AA101" s="135">
        <v>0.883720930232558</v>
      </c>
      <c r="AB101" s="135">
        <v>0.920845624385447</v>
      </c>
      <c r="AC101" s="135">
        <v>0.951008645533141</v>
      </c>
      <c r="AD101" s="135">
        <v>0.92</v>
      </c>
      <c r="AE101" s="133">
        <v>0.98974358974359</v>
      </c>
      <c r="AF101" s="133">
        <v>0.992916174734357</v>
      </c>
      <c r="AG101" s="133">
        <v>0.98811013767209</v>
      </c>
      <c r="AH101" s="133">
        <v>0.989810082655057</v>
      </c>
      <c r="AI101" s="135">
        <v>0.92</v>
      </c>
      <c r="AJ101" s="133">
        <v>0.943747990999679</v>
      </c>
      <c r="AK101" s="133">
        <v>0.930045871559633</v>
      </c>
      <c r="AL101" s="133">
        <v>0.95377212579481</v>
      </c>
      <c r="AM101" s="133">
        <v>0.970090269626677</v>
      </c>
      <c r="AN101" s="132">
        <v>0.99</v>
      </c>
      <c r="AO101" s="137">
        <v>1</v>
      </c>
      <c r="AP101" s="137">
        <v>1</v>
      </c>
      <c r="AQ101" s="137">
        <v>1</v>
      </c>
      <c r="AR101" s="137">
        <v>1</v>
      </c>
      <c r="AS101" s="139">
        <v>0.105261498981944</v>
      </c>
      <c r="AT101" s="141">
        <v>0.0714285714285714</v>
      </c>
      <c r="AU101" s="141">
        <v>0.0769230769230769</v>
      </c>
      <c r="AV101" s="141">
        <v>0.0645161290322581</v>
      </c>
      <c r="AW101" s="141">
        <v>0.103896103896104</v>
      </c>
      <c r="AX101" s="95"/>
      <c r="AY101" s="93"/>
    </row>
    <row r="102" ht="14.5" spans="1:51">
      <c r="A102" s="91"/>
      <c r="B102" s="95"/>
      <c r="C102" s="152" t="s">
        <v>99</v>
      </c>
      <c r="D102" s="153" t="s">
        <v>25</v>
      </c>
      <c r="E102" s="130" t="s">
        <v>100</v>
      </c>
      <c r="F102" s="154" t="s">
        <v>123</v>
      </c>
      <c r="G102" s="154" t="s">
        <v>123</v>
      </c>
      <c r="H102" s="154" t="s">
        <v>123</v>
      </c>
      <c r="I102" s="154" t="s">
        <v>123</v>
      </c>
      <c r="J102" s="132">
        <v>0.9</v>
      </c>
      <c r="K102" s="133" t="s">
        <v>35</v>
      </c>
      <c r="L102" s="133" t="s">
        <v>35</v>
      </c>
      <c r="M102" s="134" t="s">
        <v>35</v>
      </c>
      <c r="N102" s="133" t="s">
        <v>35</v>
      </c>
      <c r="O102" s="135">
        <v>0.9</v>
      </c>
      <c r="P102" s="133">
        <v>0</v>
      </c>
      <c r="Q102" s="133">
        <v>0</v>
      </c>
      <c r="R102" s="133">
        <v>0</v>
      </c>
      <c r="S102" s="133">
        <v>0.352801894238358</v>
      </c>
      <c r="T102" s="135">
        <v>0.9</v>
      </c>
      <c r="U102" s="133">
        <v>1</v>
      </c>
      <c r="V102" s="133">
        <v>0.916666666666667</v>
      </c>
      <c r="W102" s="133">
        <v>1</v>
      </c>
      <c r="X102" s="133">
        <v>0.977111286503552</v>
      </c>
      <c r="Y102" s="135">
        <v>0.92</v>
      </c>
      <c r="Z102" s="135">
        <v>1</v>
      </c>
      <c r="AA102" s="135">
        <v>1</v>
      </c>
      <c r="AB102" s="135">
        <v>1</v>
      </c>
      <c r="AC102" s="135">
        <v>0.971238938053097</v>
      </c>
      <c r="AD102" s="135">
        <v>0.92</v>
      </c>
      <c r="AE102" s="133" t="s">
        <v>35</v>
      </c>
      <c r="AF102" s="133" t="s">
        <v>35</v>
      </c>
      <c r="AG102" s="133" t="s">
        <v>35</v>
      </c>
      <c r="AH102" s="133">
        <v>0.731947483588621</v>
      </c>
      <c r="AI102" s="135">
        <v>0.92</v>
      </c>
      <c r="AJ102" s="133">
        <v>1</v>
      </c>
      <c r="AK102" s="133">
        <v>0.857142857142857</v>
      </c>
      <c r="AL102" s="133">
        <v>1</v>
      </c>
      <c r="AM102" s="133">
        <v>0.969942196531792</v>
      </c>
      <c r="AN102" s="132">
        <v>0.99</v>
      </c>
      <c r="AO102" s="137" t="s">
        <v>35</v>
      </c>
      <c r="AP102" s="137" t="s">
        <v>35</v>
      </c>
      <c r="AQ102" s="137" t="s">
        <v>35</v>
      </c>
      <c r="AR102" s="137">
        <v>1</v>
      </c>
      <c r="AS102" s="139">
        <v>0.105261498981944</v>
      </c>
      <c r="AT102" s="141" t="s">
        <v>35</v>
      </c>
      <c r="AU102" s="141" t="s">
        <v>35</v>
      </c>
      <c r="AV102" s="141" t="s">
        <v>35</v>
      </c>
      <c r="AW102" s="141">
        <v>0</v>
      </c>
      <c r="AX102" s="95"/>
      <c r="AY102" s="93"/>
    </row>
    <row r="103" ht="14.5" spans="1:51">
      <c r="A103" s="91"/>
      <c r="B103" s="95"/>
      <c r="C103" s="152" t="s">
        <v>99</v>
      </c>
      <c r="D103" s="153" t="s">
        <v>25</v>
      </c>
      <c r="E103" s="130" t="s">
        <v>100</v>
      </c>
      <c r="F103" s="154" t="s">
        <v>124</v>
      </c>
      <c r="G103" s="154" t="s">
        <v>124</v>
      </c>
      <c r="H103" s="154" t="s">
        <v>124</v>
      </c>
      <c r="I103" s="154" t="s">
        <v>124</v>
      </c>
      <c r="J103" s="132">
        <v>0.9</v>
      </c>
      <c r="K103" s="133">
        <v>0.952941176470588</v>
      </c>
      <c r="L103" s="133">
        <v>0.988095238095238</v>
      </c>
      <c r="M103" s="134">
        <v>0.941860465116279</v>
      </c>
      <c r="N103" s="133">
        <v>0.945806451612903</v>
      </c>
      <c r="O103" s="135">
        <v>0.9</v>
      </c>
      <c r="P103" s="133">
        <v>0.942046362909672</v>
      </c>
      <c r="Q103" s="133">
        <v>0.955367913148372</v>
      </c>
      <c r="R103" s="133">
        <v>0.943646132700237</v>
      </c>
      <c r="S103" s="133">
        <v>0.92426101679119</v>
      </c>
      <c r="T103" s="135">
        <v>0.9</v>
      </c>
      <c r="U103" s="133">
        <v>0.923061550759392</v>
      </c>
      <c r="V103" s="133">
        <v>0.900913320696192</v>
      </c>
      <c r="W103" s="133">
        <v>0.912407847057353</v>
      </c>
      <c r="X103" s="133">
        <v>0.880807406141754</v>
      </c>
      <c r="Y103" s="135">
        <v>0.92</v>
      </c>
      <c r="Z103" s="135">
        <v>0.887693027608797</v>
      </c>
      <c r="AA103" s="135">
        <v>0.871708683473389</v>
      </c>
      <c r="AB103" s="135">
        <v>0.903628117913832</v>
      </c>
      <c r="AC103" s="135">
        <v>0.917301851962127</v>
      </c>
      <c r="AD103" s="135">
        <v>0.92</v>
      </c>
      <c r="AE103" s="133">
        <v>0.989012411605741</v>
      </c>
      <c r="AF103" s="133">
        <v>0.974657338663621</v>
      </c>
      <c r="AG103" s="133">
        <v>0.984238118820335</v>
      </c>
      <c r="AH103" s="133">
        <v>0.907355917517507</v>
      </c>
      <c r="AI103" s="135">
        <v>0.92</v>
      </c>
      <c r="AJ103" s="133">
        <v>0.944008958566629</v>
      </c>
      <c r="AK103" s="133">
        <v>0.943252139565504</v>
      </c>
      <c r="AL103" s="133">
        <v>0.949297971918877</v>
      </c>
      <c r="AM103" s="133">
        <v>0.952174312113733</v>
      </c>
      <c r="AN103" s="132">
        <v>0.99</v>
      </c>
      <c r="AO103" s="137">
        <v>1</v>
      </c>
      <c r="AP103" s="137">
        <v>1</v>
      </c>
      <c r="AQ103" s="137">
        <v>1</v>
      </c>
      <c r="AR103" s="137">
        <v>1</v>
      </c>
      <c r="AS103" s="139">
        <v>0.105261498981944</v>
      </c>
      <c r="AT103" s="141">
        <v>0.0833333333333333</v>
      </c>
      <c r="AU103" s="141">
        <v>0.0909090909090909</v>
      </c>
      <c r="AV103" s="141">
        <v>0</v>
      </c>
      <c r="AW103" s="141">
        <v>0.0721311475409836</v>
      </c>
      <c r="AX103" s="95"/>
      <c r="AY103" s="93"/>
    </row>
    <row r="104" ht="14.5" spans="1:51">
      <c r="A104" s="91"/>
      <c r="B104" s="95"/>
      <c r="C104" s="152" t="s">
        <v>99</v>
      </c>
      <c r="D104" s="153" t="s">
        <v>125</v>
      </c>
      <c r="E104" s="130" t="s">
        <v>100</v>
      </c>
      <c r="F104" s="154" t="s">
        <v>126</v>
      </c>
      <c r="G104" s="154" t="s">
        <v>126</v>
      </c>
      <c r="H104" s="154" t="s">
        <v>126</v>
      </c>
      <c r="I104" s="154" t="s">
        <v>126</v>
      </c>
      <c r="J104" s="132">
        <v>0.9</v>
      </c>
      <c r="K104" s="133" t="s">
        <v>35</v>
      </c>
      <c r="L104" s="133" t="s">
        <v>35</v>
      </c>
      <c r="M104" s="134" t="s">
        <v>35</v>
      </c>
      <c r="N104" s="133" t="s">
        <v>35</v>
      </c>
      <c r="O104" s="135">
        <v>0.9</v>
      </c>
      <c r="P104" s="133" t="s">
        <v>35</v>
      </c>
      <c r="Q104" s="133" t="s">
        <v>35</v>
      </c>
      <c r="R104" s="133" t="s">
        <v>35</v>
      </c>
      <c r="S104" s="133" t="s">
        <v>35</v>
      </c>
      <c r="T104" s="135">
        <v>0.9</v>
      </c>
      <c r="U104" s="133" t="s">
        <v>35</v>
      </c>
      <c r="V104" s="133" t="s">
        <v>35</v>
      </c>
      <c r="W104" s="133" t="s">
        <v>35</v>
      </c>
      <c r="X104" s="133" t="s">
        <v>35</v>
      </c>
      <c r="Y104" s="135">
        <v>0.92</v>
      </c>
      <c r="Z104" s="135" t="s">
        <v>35</v>
      </c>
      <c r="AA104" s="135" t="s">
        <v>35</v>
      </c>
      <c r="AB104" s="135" t="s">
        <v>35</v>
      </c>
      <c r="AC104" s="135" t="s">
        <v>35</v>
      </c>
      <c r="AD104" s="135">
        <v>0.92</v>
      </c>
      <c r="AE104" s="133">
        <v>0.998</v>
      </c>
      <c r="AF104" s="133">
        <v>1</v>
      </c>
      <c r="AG104" s="133">
        <v>0.966666666666667</v>
      </c>
      <c r="AH104" s="133">
        <v>0.774987407354105</v>
      </c>
      <c r="AI104" s="135">
        <v>0.92</v>
      </c>
      <c r="AJ104" s="133" t="s">
        <v>35</v>
      </c>
      <c r="AK104" s="133" t="s">
        <v>35</v>
      </c>
      <c r="AL104" s="133" t="s">
        <v>35</v>
      </c>
      <c r="AM104" s="133" t="s">
        <v>35</v>
      </c>
      <c r="AN104" s="132">
        <v>0.99</v>
      </c>
      <c r="AO104" s="137" t="s">
        <v>35</v>
      </c>
      <c r="AP104" s="137" t="s">
        <v>35</v>
      </c>
      <c r="AQ104" s="137">
        <v>1</v>
      </c>
      <c r="AR104" s="137">
        <v>1</v>
      </c>
      <c r="AS104" s="139">
        <v>0.105261498981944</v>
      </c>
      <c r="AT104" s="141" t="s">
        <v>35</v>
      </c>
      <c r="AU104" s="141" t="s">
        <v>35</v>
      </c>
      <c r="AV104" s="141" t="s">
        <v>35</v>
      </c>
      <c r="AW104" s="141" t="s">
        <v>35</v>
      </c>
      <c r="AX104" s="95"/>
      <c r="AY104" s="93"/>
    </row>
    <row r="105" ht="14.5" spans="1:51">
      <c r="A105" s="91"/>
      <c r="B105" s="95"/>
      <c r="C105" s="152" t="s">
        <v>99</v>
      </c>
      <c r="D105" s="153" t="s">
        <v>25</v>
      </c>
      <c r="E105" s="130" t="s">
        <v>100</v>
      </c>
      <c r="F105" s="154" t="s">
        <v>127</v>
      </c>
      <c r="G105" s="154" t="s">
        <v>127</v>
      </c>
      <c r="H105" s="154" t="s">
        <v>127</v>
      </c>
      <c r="I105" s="154" t="s">
        <v>127</v>
      </c>
      <c r="J105" s="132">
        <v>0.9</v>
      </c>
      <c r="K105" s="133">
        <v>0.965116279069767</v>
      </c>
      <c r="L105" s="133">
        <v>0.943661971830986</v>
      </c>
      <c r="M105" s="134">
        <v>0.9</v>
      </c>
      <c r="N105" s="133">
        <v>0.90891472868217</v>
      </c>
      <c r="O105" s="135">
        <v>0.9</v>
      </c>
      <c r="P105" s="133">
        <v>0.957768052516411</v>
      </c>
      <c r="Q105" s="133">
        <v>0.957698512278186</v>
      </c>
      <c r="R105" s="133">
        <v>0.883028987357936</v>
      </c>
      <c r="S105" s="133">
        <v>0.942303681518992</v>
      </c>
      <c r="T105" s="135">
        <v>0.9</v>
      </c>
      <c r="U105" s="133">
        <v>0.926039387308534</v>
      </c>
      <c r="V105" s="133">
        <v>0.865208818784728</v>
      </c>
      <c r="W105" s="133">
        <v>0.867194483463159</v>
      </c>
      <c r="X105" s="133">
        <v>0.864985942987762</v>
      </c>
      <c r="Y105" s="135">
        <v>0.92</v>
      </c>
      <c r="Z105" s="135">
        <v>0.924068767908309</v>
      </c>
      <c r="AA105" s="135">
        <v>0.900341685649203</v>
      </c>
      <c r="AB105" s="135">
        <v>0.876578645235362</v>
      </c>
      <c r="AC105" s="135">
        <v>0.928361603335544</v>
      </c>
      <c r="AD105" s="135">
        <v>0.92</v>
      </c>
      <c r="AE105" s="133">
        <v>0.986362917974306</v>
      </c>
      <c r="AF105" s="133">
        <v>0.996277475774049</v>
      </c>
      <c r="AG105" s="133">
        <v>0.986788525925256</v>
      </c>
      <c r="AH105" s="133">
        <v>0.982304772928815</v>
      </c>
      <c r="AI105" s="135">
        <v>0.92</v>
      </c>
      <c r="AJ105" s="133">
        <v>0.956547797422835</v>
      </c>
      <c r="AK105" s="133">
        <v>0.944565513484064</v>
      </c>
      <c r="AL105" s="133">
        <v>0.933945602260685</v>
      </c>
      <c r="AM105" s="133">
        <v>0.958609217343878</v>
      </c>
      <c r="AN105" s="132">
        <v>0.99</v>
      </c>
      <c r="AO105" s="137">
        <v>1</v>
      </c>
      <c r="AP105" s="137">
        <v>1</v>
      </c>
      <c r="AQ105" s="137">
        <v>1</v>
      </c>
      <c r="AR105" s="137">
        <v>1</v>
      </c>
      <c r="AS105" s="139">
        <v>0.105261498981944</v>
      </c>
      <c r="AT105" s="141">
        <v>0.114285714285714</v>
      </c>
      <c r="AU105" s="141">
        <v>0.0909090909090909</v>
      </c>
      <c r="AV105" s="141">
        <v>0.0357142857142857</v>
      </c>
      <c r="AW105" s="141">
        <v>0.0556464811783961</v>
      </c>
      <c r="AX105" s="95"/>
      <c r="AY105" s="93"/>
    </row>
    <row r="106" ht="14.5" spans="1:51">
      <c r="A106" s="91"/>
      <c r="B106" s="95"/>
      <c r="C106" s="152" t="s">
        <v>99</v>
      </c>
      <c r="D106" s="153" t="s">
        <v>25</v>
      </c>
      <c r="E106" s="130" t="s">
        <v>100</v>
      </c>
      <c r="F106" s="154" t="s">
        <v>128</v>
      </c>
      <c r="G106" s="154" t="s">
        <v>128</v>
      </c>
      <c r="H106" s="154" t="s">
        <v>128</v>
      </c>
      <c r="I106" s="154" t="s">
        <v>128</v>
      </c>
      <c r="J106" s="132">
        <v>0.9</v>
      </c>
      <c r="K106" s="133">
        <v>0.971014492753623</v>
      </c>
      <c r="L106" s="133">
        <v>0.964285714285714</v>
      </c>
      <c r="M106" s="134">
        <v>0.96969696969697</v>
      </c>
      <c r="N106" s="133">
        <v>0.964788732394366</v>
      </c>
      <c r="O106" s="135">
        <v>0.9</v>
      </c>
      <c r="P106" s="133">
        <v>0.960625946491671</v>
      </c>
      <c r="Q106" s="133">
        <v>0.836480228001425</v>
      </c>
      <c r="R106" s="133">
        <v>0.893305439330544</v>
      </c>
      <c r="S106" s="133">
        <v>0.922081155090864</v>
      </c>
      <c r="T106" s="135">
        <v>0.9</v>
      </c>
      <c r="U106" s="133">
        <v>0.895507319535588</v>
      </c>
      <c r="V106" s="133">
        <v>0.845030281439259</v>
      </c>
      <c r="W106" s="133">
        <v>0.847803347280335</v>
      </c>
      <c r="X106" s="133">
        <v>0.888080919251078</v>
      </c>
      <c r="Y106" s="135">
        <v>0.92</v>
      </c>
      <c r="Z106" s="135">
        <v>0.923774954627949</v>
      </c>
      <c r="AA106" s="135">
        <v>0.904819277108434</v>
      </c>
      <c r="AB106" s="135">
        <v>0.914953271028037</v>
      </c>
      <c r="AC106" s="135">
        <v>0.943874364236638</v>
      </c>
      <c r="AD106" s="135">
        <v>0.92</v>
      </c>
      <c r="AE106" s="133">
        <v>0.992627483104649</v>
      </c>
      <c r="AF106" s="133">
        <v>0.972989564149785</v>
      </c>
      <c r="AG106" s="133">
        <v>0.870775347912525</v>
      </c>
      <c r="AH106" s="133">
        <v>0.963351557360314</v>
      </c>
      <c r="AI106" s="135">
        <v>0.92</v>
      </c>
      <c r="AJ106" s="133">
        <v>0.944534544275057</v>
      </c>
      <c r="AK106" s="133">
        <v>0.91806433874072</v>
      </c>
      <c r="AL106" s="133">
        <v>0.938967136150235</v>
      </c>
      <c r="AM106" s="133">
        <v>0.962917120506981</v>
      </c>
      <c r="AN106" s="132">
        <v>0.99</v>
      </c>
      <c r="AO106" s="137">
        <v>1</v>
      </c>
      <c r="AP106" s="137">
        <v>1</v>
      </c>
      <c r="AQ106" s="137">
        <v>1</v>
      </c>
      <c r="AR106" s="137">
        <v>1</v>
      </c>
      <c r="AS106" s="139">
        <v>0.105261498981944</v>
      </c>
      <c r="AT106" s="141">
        <v>0.121212121212121</v>
      </c>
      <c r="AU106" s="141">
        <v>0.0769230769230769</v>
      </c>
      <c r="AV106" s="141">
        <v>0.166666666666667</v>
      </c>
      <c r="AW106" s="141">
        <v>0.0936329588014981</v>
      </c>
      <c r="AX106" s="95"/>
      <c r="AY106" s="93"/>
    </row>
    <row r="107" ht="14.5" spans="1:51">
      <c r="A107" s="91"/>
      <c r="B107" s="95"/>
      <c r="C107" s="152" t="s">
        <v>99</v>
      </c>
      <c r="D107" s="153" t="s">
        <v>25</v>
      </c>
      <c r="E107" s="130" t="s">
        <v>100</v>
      </c>
      <c r="F107" s="154" t="s">
        <v>129</v>
      </c>
      <c r="G107" s="154" t="s">
        <v>129</v>
      </c>
      <c r="H107" s="154" t="s">
        <v>129</v>
      </c>
      <c r="I107" s="154" t="s">
        <v>129</v>
      </c>
      <c r="J107" s="132">
        <v>0.9</v>
      </c>
      <c r="K107" s="133">
        <v>1</v>
      </c>
      <c r="L107" s="133">
        <v>1</v>
      </c>
      <c r="M107" s="134">
        <v>0.979591836734694</v>
      </c>
      <c r="N107" s="133">
        <v>0.996963562753036</v>
      </c>
      <c r="O107" s="135">
        <v>0.9</v>
      </c>
      <c r="P107" s="133">
        <v>0.962515114873035</v>
      </c>
      <c r="Q107" s="133">
        <v>0.974346324617662</v>
      </c>
      <c r="R107" s="133">
        <v>0.979941766418635</v>
      </c>
      <c r="S107" s="133">
        <v>0.979486031210169</v>
      </c>
      <c r="T107" s="135">
        <v>0.9</v>
      </c>
      <c r="U107" s="133">
        <v>0.847037484885127</v>
      </c>
      <c r="V107" s="133">
        <v>0.807597434632462</v>
      </c>
      <c r="W107" s="133">
        <v>0.831122614040763</v>
      </c>
      <c r="X107" s="133">
        <v>0.876365014296049</v>
      </c>
      <c r="Y107" s="135">
        <v>0.92</v>
      </c>
      <c r="Z107" s="135">
        <v>0.901699029126214</v>
      </c>
      <c r="AA107" s="135">
        <v>0.893805309734513</v>
      </c>
      <c r="AB107" s="135">
        <v>0.943775100401606</v>
      </c>
      <c r="AC107" s="135">
        <v>0.954012079378775</v>
      </c>
      <c r="AD107" s="135">
        <v>0.92</v>
      </c>
      <c r="AE107" s="133">
        <v>0.997463538363982</v>
      </c>
      <c r="AF107" s="133">
        <v>0.972173913043478</v>
      </c>
      <c r="AG107" s="133">
        <v>0.991304347826087</v>
      </c>
      <c r="AH107" s="133">
        <v>0.990171931985033</v>
      </c>
      <c r="AI107" s="135">
        <v>0.92</v>
      </c>
      <c r="AJ107" s="133">
        <v>0.931396287328491</v>
      </c>
      <c r="AK107" s="133">
        <v>0.940480591497227</v>
      </c>
      <c r="AL107" s="133">
        <v>0.964004964832437</v>
      </c>
      <c r="AM107" s="133">
        <v>0.971380253775394</v>
      </c>
      <c r="AN107" s="132">
        <v>0.99</v>
      </c>
      <c r="AO107" s="137">
        <v>1</v>
      </c>
      <c r="AP107" s="137">
        <v>1</v>
      </c>
      <c r="AQ107" s="137">
        <v>1</v>
      </c>
      <c r="AR107" s="137">
        <v>1</v>
      </c>
      <c r="AS107" s="139">
        <v>0.105261498981944</v>
      </c>
      <c r="AT107" s="141">
        <v>0.111111111111111</v>
      </c>
      <c r="AU107" s="141">
        <v>0</v>
      </c>
      <c r="AV107" s="141">
        <v>0.210526315789474</v>
      </c>
      <c r="AW107" s="141">
        <v>0.0761904761904762</v>
      </c>
      <c r="AX107" s="95"/>
      <c r="AY107" s="93"/>
    </row>
    <row r="108" ht="14.5" spans="1:51">
      <c r="A108" s="91"/>
      <c r="B108" s="95"/>
      <c r="C108" s="152" t="s">
        <v>99</v>
      </c>
      <c r="D108" s="153" t="s">
        <v>25</v>
      </c>
      <c r="E108" s="130" t="s">
        <v>100</v>
      </c>
      <c r="F108" s="154" t="s">
        <v>130</v>
      </c>
      <c r="G108" s="154" t="s">
        <v>130</v>
      </c>
      <c r="H108" s="154" t="s">
        <v>130</v>
      </c>
      <c r="I108" s="154" t="s">
        <v>130</v>
      </c>
      <c r="J108" s="132">
        <v>0.9</v>
      </c>
      <c r="K108" s="133">
        <v>0.906976744186046</v>
      </c>
      <c r="L108" s="133">
        <v>0.9375</v>
      </c>
      <c r="M108" s="134">
        <v>0.942857142857143</v>
      </c>
      <c r="N108" s="133">
        <v>0.940554821664465</v>
      </c>
      <c r="O108" s="135">
        <v>0.9</v>
      </c>
      <c r="P108" s="133">
        <v>0.957986111111111</v>
      </c>
      <c r="Q108" s="133">
        <v>0.933113377324535</v>
      </c>
      <c r="R108" s="133">
        <v>0.943044458102848</v>
      </c>
      <c r="S108" s="133">
        <v>0.938449827365903</v>
      </c>
      <c r="T108" s="135">
        <v>0.9</v>
      </c>
      <c r="U108" s="133">
        <v>0.926388888888889</v>
      </c>
      <c r="V108" s="133">
        <v>0.893821235752849</v>
      </c>
      <c r="W108" s="133">
        <v>0.878508502356075</v>
      </c>
      <c r="X108" s="133">
        <v>0.887747057064405</v>
      </c>
      <c r="Y108" s="135">
        <v>0.92</v>
      </c>
      <c r="Z108" s="135">
        <v>0.923556942277691</v>
      </c>
      <c r="AA108" s="135">
        <v>0.87857847976308</v>
      </c>
      <c r="AB108" s="135">
        <v>0.905044510385757</v>
      </c>
      <c r="AC108" s="135">
        <v>0.913641435503542</v>
      </c>
      <c r="AD108" s="135">
        <v>0.92</v>
      </c>
      <c r="AE108" s="133">
        <v>0.998164045055327</v>
      </c>
      <c r="AF108" s="133">
        <v>0.995320630404672</v>
      </c>
      <c r="AG108" s="133">
        <v>0.993232960104359</v>
      </c>
      <c r="AH108" s="133">
        <v>0.987019620482915</v>
      </c>
      <c r="AI108" s="135">
        <v>0.92</v>
      </c>
      <c r="AJ108" s="133">
        <v>0.954370797310279</v>
      </c>
      <c r="AK108" s="133">
        <v>0.923165401426271</v>
      </c>
      <c r="AL108" s="133">
        <v>0.941491672700941</v>
      </c>
      <c r="AM108" s="133">
        <v>0.946917411231787</v>
      </c>
      <c r="AN108" s="132">
        <v>0.99</v>
      </c>
      <c r="AO108" s="137">
        <v>1</v>
      </c>
      <c r="AP108" s="137">
        <v>1</v>
      </c>
      <c r="AQ108" s="137">
        <v>1</v>
      </c>
      <c r="AR108" s="137">
        <v>0.998810535259133</v>
      </c>
      <c r="AS108" s="139">
        <v>0.105261498981944</v>
      </c>
      <c r="AT108" s="141">
        <v>0.153846153846154</v>
      </c>
      <c r="AU108" s="141">
        <v>0.166666666666667</v>
      </c>
      <c r="AV108" s="141">
        <v>0</v>
      </c>
      <c r="AW108" s="141">
        <v>0.109848484848485</v>
      </c>
      <c r="AX108" s="95"/>
      <c r="AY108" s="93"/>
    </row>
    <row r="109" ht="14.5" spans="1:51">
      <c r="A109" s="91"/>
      <c r="B109" s="95"/>
      <c r="C109" s="152" t="s">
        <v>99</v>
      </c>
      <c r="D109" s="153" t="s">
        <v>25</v>
      </c>
      <c r="E109" s="130" t="s">
        <v>100</v>
      </c>
      <c r="F109" s="154" t="s">
        <v>131</v>
      </c>
      <c r="G109" s="154" t="s">
        <v>131</v>
      </c>
      <c r="H109" s="154" t="s">
        <v>131</v>
      </c>
      <c r="I109" s="154" t="s">
        <v>131</v>
      </c>
      <c r="J109" s="132">
        <v>0.9</v>
      </c>
      <c r="K109" s="133">
        <v>1</v>
      </c>
      <c r="L109" s="133">
        <v>1</v>
      </c>
      <c r="M109" s="134">
        <v>0.964912280701754</v>
      </c>
      <c r="N109" s="133">
        <v>0.984601449275362</v>
      </c>
      <c r="O109" s="135">
        <v>0.9</v>
      </c>
      <c r="P109" s="133">
        <v>0.968106995884774</v>
      </c>
      <c r="Q109" s="133">
        <v>0.889033264033264</v>
      </c>
      <c r="R109" s="133">
        <v>0.937558951141294</v>
      </c>
      <c r="S109" s="133">
        <v>0.92136567105278</v>
      </c>
      <c r="T109" s="135">
        <v>0.9</v>
      </c>
      <c r="U109" s="133">
        <v>0.928326474622771</v>
      </c>
      <c r="V109" s="133">
        <v>0.807952182952183</v>
      </c>
      <c r="W109" s="133">
        <v>0.900396151669496</v>
      </c>
      <c r="X109" s="133">
        <v>0.883345172456562</v>
      </c>
      <c r="Y109" s="135">
        <v>0.92</v>
      </c>
      <c r="Z109" s="135">
        <v>0.888814913448735</v>
      </c>
      <c r="AA109" s="135">
        <v>0.824247355573637</v>
      </c>
      <c r="AB109" s="135">
        <v>0.871191669880447</v>
      </c>
      <c r="AC109" s="135">
        <v>0.910119330755072</v>
      </c>
      <c r="AD109" s="135">
        <v>0.92</v>
      </c>
      <c r="AE109" s="133">
        <v>0.995857413184678</v>
      </c>
      <c r="AF109" s="133">
        <v>0.993182155031866</v>
      </c>
      <c r="AG109" s="133">
        <v>0.9898971116896</v>
      </c>
      <c r="AH109" s="133">
        <v>0.946910027264465</v>
      </c>
      <c r="AI109" s="135">
        <v>0.92</v>
      </c>
      <c r="AJ109" s="133">
        <v>0.935294117647059</v>
      </c>
      <c r="AK109" s="133">
        <v>0.89641591177629</v>
      </c>
      <c r="AL109" s="133">
        <v>0.924762507916403</v>
      </c>
      <c r="AM109" s="133">
        <v>0.942880281330483</v>
      </c>
      <c r="AN109" s="132">
        <v>0.99</v>
      </c>
      <c r="AO109" s="137">
        <v>1</v>
      </c>
      <c r="AP109" s="137">
        <v>1</v>
      </c>
      <c r="AQ109" s="137">
        <v>1</v>
      </c>
      <c r="AR109" s="137">
        <v>0.999619482496195</v>
      </c>
      <c r="AS109" s="139">
        <v>0.105261498981944</v>
      </c>
      <c r="AT109" s="141">
        <v>0.125</v>
      </c>
      <c r="AU109" s="141">
        <v>0.0833333333333333</v>
      </c>
      <c r="AV109" s="141">
        <v>0</v>
      </c>
      <c r="AW109" s="141">
        <v>0.0530451866404715</v>
      </c>
      <c r="AX109" s="95"/>
      <c r="AY109" s="93"/>
    </row>
    <row r="110" ht="14.5" spans="1:51">
      <c r="A110" s="91"/>
      <c r="B110" s="95"/>
      <c r="C110" s="152" t="s">
        <v>99</v>
      </c>
      <c r="D110" s="153" t="s">
        <v>25</v>
      </c>
      <c r="E110" s="130" t="s">
        <v>100</v>
      </c>
      <c r="F110" s="154" t="s">
        <v>132</v>
      </c>
      <c r="G110" s="154" t="s">
        <v>132</v>
      </c>
      <c r="H110" s="154" t="s">
        <v>132</v>
      </c>
      <c r="I110" s="154" t="s">
        <v>132</v>
      </c>
      <c r="J110" s="132">
        <v>0.9</v>
      </c>
      <c r="K110" s="133" t="s">
        <v>35</v>
      </c>
      <c r="L110" s="133" t="s">
        <v>35</v>
      </c>
      <c r="M110" s="134" t="s">
        <v>35</v>
      </c>
      <c r="N110" s="133" t="s">
        <v>35</v>
      </c>
      <c r="O110" s="135">
        <v>0.9</v>
      </c>
      <c r="P110" s="133" t="s">
        <v>35</v>
      </c>
      <c r="Q110" s="133" t="s">
        <v>35</v>
      </c>
      <c r="R110" s="133" t="s">
        <v>35</v>
      </c>
      <c r="S110" s="133" t="s">
        <v>35</v>
      </c>
      <c r="T110" s="135">
        <v>0.9</v>
      </c>
      <c r="U110" s="133" t="s">
        <v>35</v>
      </c>
      <c r="V110" s="133" t="s">
        <v>35</v>
      </c>
      <c r="W110" s="133" t="s">
        <v>35</v>
      </c>
      <c r="X110" s="133" t="s">
        <v>35</v>
      </c>
      <c r="Y110" s="135">
        <v>0.92</v>
      </c>
      <c r="Z110" s="135" t="s">
        <v>35</v>
      </c>
      <c r="AA110" s="135" t="s">
        <v>35</v>
      </c>
      <c r="AB110" s="135" t="s">
        <v>35</v>
      </c>
      <c r="AC110" s="135">
        <v>1</v>
      </c>
      <c r="AD110" s="135">
        <v>0.92</v>
      </c>
      <c r="AE110" s="133">
        <v>0.993421052631579</v>
      </c>
      <c r="AF110" s="133">
        <v>0.992125984251969</v>
      </c>
      <c r="AG110" s="133">
        <v>0.987623762376238</v>
      </c>
      <c r="AH110" s="133">
        <v>0.924517430135408</v>
      </c>
      <c r="AI110" s="135">
        <v>0.92</v>
      </c>
      <c r="AJ110" s="133" t="s">
        <v>35</v>
      </c>
      <c r="AK110" s="133" t="s">
        <v>35</v>
      </c>
      <c r="AL110" s="133" t="s">
        <v>35</v>
      </c>
      <c r="AM110" s="133">
        <v>1</v>
      </c>
      <c r="AN110" s="132">
        <v>0.99</v>
      </c>
      <c r="AO110" s="137">
        <v>1</v>
      </c>
      <c r="AP110" s="137">
        <v>1</v>
      </c>
      <c r="AQ110" s="137">
        <v>1</v>
      </c>
      <c r="AR110" s="137">
        <v>1</v>
      </c>
      <c r="AS110" s="139">
        <v>0.105261498981944</v>
      </c>
      <c r="AT110" s="141" t="s">
        <v>35</v>
      </c>
      <c r="AU110" s="141" t="s">
        <v>35</v>
      </c>
      <c r="AV110" s="141" t="s">
        <v>35</v>
      </c>
      <c r="AW110" s="141" t="s">
        <v>35</v>
      </c>
      <c r="AX110" s="95"/>
      <c r="AY110" s="93"/>
    </row>
    <row r="111" ht="14.5" spans="1:51">
      <c r="A111" s="91"/>
      <c r="B111" s="95"/>
      <c r="C111" s="152" t="s">
        <v>99</v>
      </c>
      <c r="D111" s="153" t="s">
        <v>25</v>
      </c>
      <c r="E111" s="130" t="s">
        <v>100</v>
      </c>
      <c r="F111" s="154" t="s">
        <v>133</v>
      </c>
      <c r="G111" s="154" t="s">
        <v>133</v>
      </c>
      <c r="H111" s="154" t="s">
        <v>133</v>
      </c>
      <c r="I111" s="154" t="s">
        <v>133</v>
      </c>
      <c r="J111" s="132">
        <v>0.9</v>
      </c>
      <c r="K111" s="133">
        <v>0.882978723404255</v>
      </c>
      <c r="L111" s="133">
        <v>0.837837837837838</v>
      </c>
      <c r="M111" s="134">
        <v>0.883720930232558</v>
      </c>
      <c r="N111" s="133">
        <v>0.877777777777778</v>
      </c>
      <c r="O111" s="135">
        <v>0.9</v>
      </c>
      <c r="P111" s="133">
        <v>0.872911787665886</v>
      </c>
      <c r="Q111" s="133">
        <v>0.84025006650705</v>
      </c>
      <c r="R111" s="133">
        <v>0.876429511183079</v>
      </c>
      <c r="S111" s="133">
        <v>0.869395304252717</v>
      </c>
      <c r="T111" s="135">
        <v>0.9</v>
      </c>
      <c r="U111" s="133">
        <v>0.889305230288837</v>
      </c>
      <c r="V111" s="133">
        <v>0.820696993881351</v>
      </c>
      <c r="W111" s="133">
        <v>0.83534055257565</v>
      </c>
      <c r="X111" s="133">
        <v>0.844521730581346</v>
      </c>
      <c r="Y111" s="135">
        <v>0.92</v>
      </c>
      <c r="Z111" s="135">
        <v>0.886861313868613</v>
      </c>
      <c r="AA111" s="135">
        <v>0.822980105562322</v>
      </c>
      <c r="AB111" s="135">
        <v>0.820952380952381</v>
      </c>
      <c r="AC111" s="135">
        <v>0.887214412258703</v>
      </c>
      <c r="AD111" s="135">
        <v>0.92</v>
      </c>
      <c r="AE111" s="133">
        <v>0.982345264727815</v>
      </c>
      <c r="AF111" s="133">
        <v>0.986469472376572</v>
      </c>
      <c r="AG111" s="133">
        <v>0.963512109343778</v>
      </c>
      <c r="AH111" s="133">
        <v>0.980311095729739</v>
      </c>
      <c r="AI111" s="135">
        <v>0.92</v>
      </c>
      <c r="AJ111" s="133">
        <v>0.934454883111208</v>
      </c>
      <c r="AK111" s="133">
        <v>0.87941559091364</v>
      </c>
      <c r="AL111" s="133">
        <v>0.877721484321512</v>
      </c>
      <c r="AM111" s="133">
        <v>0.929144042413467</v>
      </c>
      <c r="AN111" s="132">
        <v>0.99</v>
      </c>
      <c r="AO111" s="137">
        <v>1</v>
      </c>
      <c r="AP111" s="137">
        <v>1</v>
      </c>
      <c r="AQ111" s="137">
        <v>1</v>
      </c>
      <c r="AR111" s="137">
        <v>0.999936612576065</v>
      </c>
      <c r="AS111" s="139">
        <v>0.105261498981944</v>
      </c>
      <c r="AT111" s="141">
        <v>0.00909090909090909</v>
      </c>
      <c r="AU111" s="141">
        <v>0.0102040816326531</v>
      </c>
      <c r="AV111" s="141">
        <v>0.0087719298245614</v>
      </c>
      <c r="AW111" s="141">
        <v>0.0161290322580645</v>
      </c>
      <c r="AX111" s="95"/>
      <c r="AY111" s="93"/>
    </row>
    <row r="112" ht="14.5" spans="1:51">
      <c r="A112" s="91"/>
      <c r="B112" s="95"/>
      <c r="C112" s="152" t="s">
        <v>99</v>
      </c>
      <c r="D112" s="153" t="s">
        <v>125</v>
      </c>
      <c r="E112" s="130" t="s">
        <v>100</v>
      </c>
      <c r="F112" s="154" t="s">
        <v>134</v>
      </c>
      <c r="G112" s="154" t="s">
        <v>134</v>
      </c>
      <c r="H112" s="154" t="s">
        <v>134</v>
      </c>
      <c r="I112" s="154" t="s">
        <v>134</v>
      </c>
      <c r="J112" s="132">
        <v>0.9</v>
      </c>
      <c r="K112" s="133" t="s">
        <v>35</v>
      </c>
      <c r="L112" s="133" t="s">
        <v>35</v>
      </c>
      <c r="M112" s="134" t="s">
        <v>35</v>
      </c>
      <c r="N112" s="133" t="s">
        <v>35</v>
      </c>
      <c r="O112" s="135">
        <v>0.9</v>
      </c>
      <c r="P112" s="133">
        <v>0</v>
      </c>
      <c r="Q112" s="133">
        <v>0</v>
      </c>
      <c r="R112" s="133" t="s">
        <v>35</v>
      </c>
      <c r="S112" s="133">
        <v>0.25</v>
      </c>
      <c r="T112" s="135">
        <v>0.9</v>
      </c>
      <c r="U112" s="133">
        <v>1</v>
      </c>
      <c r="V112" s="133">
        <v>0</v>
      </c>
      <c r="W112" s="133" t="s">
        <v>35</v>
      </c>
      <c r="X112" s="133">
        <v>0.95</v>
      </c>
      <c r="Y112" s="135">
        <v>0.92</v>
      </c>
      <c r="Z112" s="135" t="s">
        <v>35</v>
      </c>
      <c r="AA112" s="135" t="s">
        <v>35</v>
      </c>
      <c r="AB112" s="135">
        <v>1</v>
      </c>
      <c r="AC112" s="135">
        <v>1</v>
      </c>
      <c r="AD112" s="135">
        <v>0.92</v>
      </c>
      <c r="AE112" s="133">
        <v>0.998597999813067</v>
      </c>
      <c r="AF112" s="133">
        <v>0.996537069101212</v>
      </c>
      <c r="AG112" s="133">
        <v>0.996689785624212</v>
      </c>
      <c r="AH112" s="133">
        <v>0.960646017219906</v>
      </c>
      <c r="AI112" s="135">
        <v>0.92</v>
      </c>
      <c r="AJ112" s="133">
        <v>1</v>
      </c>
      <c r="AK112" s="133">
        <v>0</v>
      </c>
      <c r="AL112" s="133">
        <v>1</v>
      </c>
      <c r="AM112" s="133">
        <v>0.961538461538462</v>
      </c>
      <c r="AN112" s="132">
        <v>0.99</v>
      </c>
      <c r="AO112" s="137">
        <v>1</v>
      </c>
      <c r="AP112" s="137">
        <v>1</v>
      </c>
      <c r="AQ112" s="137">
        <v>1</v>
      </c>
      <c r="AR112" s="137">
        <v>1</v>
      </c>
      <c r="AS112" s="139">
        <v>0.105261498981944</v>
      </c>
      <c r="AT112" s="141" t="s">
        <v>35</v>
      </c>
      <c r="AU112" s="141" t="s">
        <v>35</v>
      </c>
      <c r="AV112" s="141" t="s">
        <v>35</v>
      </c>
      <c r="AW112" s="141" t="s">
        <v>35</v>
      </c>
      <c r="AX112" s="95"/>
      <c r="AY112" s="93"/>
    </row>
    <row r="113" ht="14.5" spans="1:51">
      <c r="A113" s="91"/>
      <c r="B113" s="95"/>
      <c r="C113" s="152" t="s">
        <v>99</v>
      </c>
      <c r="D113" s="153" t="s">
        <v>25</v>
      </c>
      <c r="E113" s="130" t="s">
        <v>100</v>
      </c>
      <c r="F113" s="154" t="s">
        <v>135</v>
      </c>
      <c r="G113" s="154" t="s">
        <v>135</v>
      </c>
      <c r="H113" s="154" t="s">
        <v>135</v>
      </c>
      <c r="I113" s="154" t="s">
        <v>135</v>
      </c>
      <c r="J113" s="132">
        <v>0.9</v>
      </c>
      <c r="K113" s="133">
        <v>0.955882352941177</v>
      </c>
      <c r="L113" s="133">
        <v>0.931034482758621</v>
      </c>
      <c r="M113" s="134">
        <v>0.878787878787879</v>
      </c>
      <c r="N113" s="133">
        <v>0.907481898632341</v>
      </c>
      <c r="O113" s="135">
        <v>0.9</v>
      </c>
      <c r="P113" s="133">
        <v>0.955825368121932</v>
      </c>
      <c r="Q113" s="133">
        <v>0.859465737514518</v>
      </c>
      <c r="R113" s="133">
        <v>0.869191653515693</v>
      </c>
      <c r="S113" s="133">
        <v>0.928056068979106</v>
      </c>
      <c r="T113" s="135">
        <v>0.9</v>
      </c>
      <c r="U113" s="133">
        <v>0.892017566520279</v>
      </c>
      <c r="V113" s="133">
        <v>0.796283391405343</v>
      </c>
      <c r="W113" s="133">
        <v>0.813782219884271</v>
      </c>
      <c r="X113" s="133">
        <v>0.868956587823574</v>
      </c>
      <c r="Y113" s="135">
        <v>0.92</v>
      </c>
      <c r="Z113" s="135">
        <v>0.88638985005767</v>
      </c>
      <c r="AA113" s="135">
        <v>0.81739879414298</v>
      </c>
      <c r="AB113" s="135">
        <v>0.862005277044855</v>
      </c>
      <c r="AC113" s="135">
        <v>0.899695680479644</v>
      </c>
      <c r="AD113" s="135">
        <v>0.92</v>
      </c>
      <c r="AE113" s="133">
        <v>0.97743331566861</v>
      </c>
      <c r="AF113" s="133">
        <v>0.992421052631579</v>
      </c>
      <c r="AG113" s="133">
        <v>0.985867768595041</v>
      </c>
      <c r="AH113" s="133">
        <v>0.943610136544662</v>
      </c>
      <c r="AI113" s="135">
        <v>0.92</v>
      </c>
      <c r="AJ113" s="133">
        <v>0.935449358059914</v>
      </c>
      <c r="AK113" s="133">
        <v>0.849321266968326</v>
      </c>
      <c r="AL113" s="133">
        <v>0.890679304897314</v>
      </c>
      <c r="AM113" s="133">
        <v>0.933470789581897</v>
      </c>
      <c r="AN113" s="132">
        <v>0.99</v>
      </c>
      <c r="AO113" s="137">
        <v>1</v>
      </c>
      <c r="AP113" s="137">
        <v>1</v>
      </c>
      <c r="AQ113" s="137">
        <v>1</v>
      </c>
      <c r="AR113" s="137">
        <v>1</v>
      </c>
      <c r="AS113" s="139">
        <v>0.105261498981944</v>
      </c>
      <c r="AT113" s="141">
        <v>0.05</v>
      </c>
      <c r="AU113" s="141">
        <v>0.111111111111111</v>
      </c>
      <c r="AV113" s="141">
        <v>0.117647058823529</v>
      </c>
      <c r="AW113" s="141">
        <v>0.0866666666666667</v>
      </c>
      <c r="AX113" s="95"/>
      <c r="AY113" s="93"/>
    </row>
    <row r="114" ht="14.5" spans="1:51">
      <c r="A114" s="91"/>
      <c r="B114" s="95"/>
      <c r="C114" s="152" t="s">
        <v>99</v>
      </c>
      <c r="D114" s="153" t="s">
        <v>25</v>
      </c>
      <c r="E114" s="130" t="s">
        <v>100</v>
      </c>
      <c r="F114" s="154" t="s">
        <v>136</v>
      </c>
      <c r="G114" s="154" t="s">
        <v>136</v>
      </c>
      <c r="H114" s="154" t="s">
        <v>136</v>
      </c>
      <c r="I114" s="154" t="s">
        <v>136</v>
      </c>
      <c r="J114" s="132">
        <v>0.9</v>
      </c>
      <c r="K114" s="133">
        <v>0.946236559139785</v>
      </c>
      <c r="L114" s="133">
        <v>0.933333333333333</v>
      </c>
      <c r="M114" s="134">
        <v>0.96875</v>
      </c>
      <c r="N114" s="133">
        <v>0.909143855562027</v>
      </c>
      <c r="O114" s="135">
        <v>0.9</v>
      </c>
      <c r="P114" s="133">
        <v>0.600112296462661</v>
      </c>
      <c r="Q114" s="133">
        <v>0.67742551566081</v>
      </c>
      <c r="R114" s="133">
        <v>0.659178244161986</v>
      </c>
      <c r="S114" s="133">
        <v>0.769365617956562</v>
      </c>
      <c r="T114" s="135">
        <v>0.9</v>
      </c>
      <c r="U114" s="133">
        <v>0.974957888826502</v>
      </c>
      <c r="V114" s="133">
        <v>0.957123758594347</v>
      </c>
      <c r="W114" s="133">
        <v>0.956473544191546</v>
      </c>
      <c r="X114" s="133">
        <v>0.939719220022883</v>
      </c>
      <c r="Y114" s="135">
        <v>0.92</v>
      </c>
      <c r="Z114" s="135">
        <v>0.974328710534081</v>
      </c>
      <c r="AA114" s="135">
        <v>0.953730480046269</v>
      </c>
      <c r="AB114" s="135">
        <v>0.966888577435179</v>
      </c>
      <c r="AC114" s="135">
        <v>0.9733595723433</v>
      </c>
      <c r="AD114" s="135">
        <v>0.92</v>
      </c>
      <c r="AE114" s="133">
        <v>0.970538030402817</v>
      </c>
      <c r="AF114" s="133">
        <v>0.955706888788834</v>
      </c>
      <c r="AG114" s="133">
        <v>0.978313548664151</v>
      </c>
      <c r="AH114" s="133">
        <v>0.964689875005014</v>
      </c>
      <c r="AI114" s="135">
        <v>0.92</v>
      </c>
      <c r="AJ114" s="133">
        <v>0.984967904444625</v>
      </c>
      <c r="AK114" s="133">
        <v>0.971106968741038</v>
      </c>
      <c r="AL114" s="133">
        <v>0.979580172503377</v>
      </c>
      <c r="AM114" s="133">
        <v>0.982134045313577</v>
      </c>
      <c r="AN114" s="132">
        <v>0.99</v>
      </c>
      <c r="AO114" s="137">
        <v>1</v>
      </c>
      <c r="AP114" s="137">
        <v>1</v>
      </c>
      <c r="AQ114" s="137">
        <v>0.977777777777778</v>
      </c>
      <c r="AR114" s="137">
        <v>0.999905015197568</v>
      </c>
      <c r="AS114" s="139">
        <v>0.105261498981944</v>
      </c>
      <c r="AT114" s="141">
        <v>0.181818181818182</v>
      </c>
      <c r="AU114" s="141">
        <v>0.133333333333333</v>
      </c>
      <c r="AV114" s="141">
        <v>0.0454545454545455</v>
      </c>
      <c r="AW114" s="141">
        <v>0.0884210526315789</v>
      </c>
      <c r="AX114" s="95"/>
      <c r="AY114" s="93"/>
    </row>
    <row r="115" ht="14.5" spans="1:51">
      <c r="A115" s="91"/>
      <c r="B115" s="95"/>
      <c r="C115" s="152" t="s">
        <v>99</v>
      </c>
      <c r="D115" s="153" t="s">
        <v>25</v>
      </c>
      <c r="E115" s="130" t="s">
        <v>100</v>
      </c>
      <c r="F115" s="154" t="s">
        <v>137</v>
      </c>
      <c r="G115" s="154" t="s">
        <v>137</v>
      </c>
      <c r="H115" s="154" t="s">
        <v>137</v>
      </c>
      <c r="I115" s="154" t="s">
        <v>137</v>
      </c>
      <c r="J115" s="132">
        <v>0.9</v>
      </c>
      <c r="K115" s="133">
        <v>0.89873417721519</v>
      </c>
      <c r="L115" s="133">
        <v>0.810344827586207</v>
      </c>
      <c r="M115" s="134">
        <v>0.898550724637681</v>
      </c>
      <c r="N115" s="133">
        <v>0.86932215234102</v>
      </c>
      <c r="O115" s="135">
        <v>0.9</v>
      </c>
      <c r="P115" s="133">
        <v>0.941264496820052</v>
      </c>
      <c r="Q115" s="133">
        <v>0.859553620032662</v>
      </c>
      <c r="R115" s="133">
        <v>0.905216037368626</v>
      </c>
      <c r="S115" s="133">
        <v>0.921120451616862</v>
      </c>
      <c r="T115" s="135">
        <v>0.9</v>
      </c>
      <c r="U115" s="133">
        <v>0.870183314627759</v>
      </c>
      <c r="V115" s="133">
        <v>0.692977681001633</v>
      </c>
      <c r="W115" s="133">
        <v>0.826196963799144</v>
      </c>
      <c r="X115" s="133">
        <v>0.836820682743245</v>
      </c>
      <c r="Y115" s="135">
        <v>0.92</v>
      </c>
      <c r="Z115" s="135">
        <v>0.927205882352941</v>
      </c>
      <c r="AA115" s="135">
        <v>0.843351548269581</v>
      </c>
      <c r="AB115" s="135">
        <v>0.90744920993228</v>
      </c>
      <c r="AC115" s="135">
        <v>0.934271710443635</v>
      </c>
      <c r="AD115" s="135">
        <v>0.92</v>
      </c>
      <c r="AE115" s="133">
        <v>0.998319327731092</v>
      </c>
      <c r="AF115" s="133">
        <v>0.974508375819374</v>
      </c>
      <c r="AG115" s="133">
        <v>0.987947269303202</v>
      </c>
      <c r="AH115" s="133">
        <v>0.975459163735834</v>
      </c>
      <c r="AI115" s="135">
        <v>0.92</v>
      </c>
      <c r="AJ115" s="133">
        <v>0.939266236985622</v>
      </c>
      <c r="AK115" s="133">
        <v>0.86402681751519</v>
      </c>
      <c r="AL115" s="133">
        <v>0.927279722970373</v>
      </c>
      <c r="AM115" s="133">
        <v>0.956020403510029</v>
      </c>
      <c r="AN115" s="132">
        <v>0.99</v>
      </c>
      <c r="AO115" s="137">
        <v>1</v>
      </c>
      <c r="AP115" s="137">
        <v>1</v>
      </c>
      <c r="AQ115" s="137">
        <v>1</v>
      </c>
      <c r="AR115" s="137">
        <v>1</v>
      </c>
      <c r="AS115" s="139">
        <v>0.105261498981944</v>
      </c>
      <c r="AT115" s="141">
        <v>0.25</v>
      </c>
      <c r="AU115" s="141">
        <v>0.0555555555555556</v>
      </c>
      <c r="AV115" s="141">
        <v>0.117647058823529</v>
      </c>
      <c r="AW115" s="141">
        <v>0.0916334661354582</v>
      </c>
      <c r="AX115" s="95"/>
      <c r="AY115" s="93"/>
    </row>
    <row r="116" ht="14.5" spans="1:51">
      <c r="A116" s="91"/>
      <c r="B116" s="95"/>
      <c r="C116" s="152" t="s">
        <v>99</v>
      </c>
      <c r="D116" s="153" t="s">
        <v>25</v>
      </c>
      <c r="E116" s="130" t="s">
        <v>100</v>
      </c>
      <c r="F116" s="154" t="s">
        <v>138</v>
      </c>
      <c r="G116" s="154" t="s">
        <v>138</v>
      </c>
      <c r="H116" s="154" t="s">
        <v>138</v>
      </c>
      <c r="I116" s="154" t="s">
        <v>138</v>
      </c>
      <c r="J116" s="132">
        <v>0.9</v>
      </c>
      <c r="K116" s="133">
        <v>0.950617283950617</v>
      </c>
      <c r="L116" s="133">
        <v>0.974025974025974</v>
      </c>
      <c r="M116" s="134">
        <v>0.949367088607595</v>
      </c>
      <c r="N116" s="133">
        <v>0.977040816326531</v>
      </c>
      <c r="O116" s="135">
        <v>0.9</v>
      </c>
      <c r="P116" s="133">
        <v>0</v>
      </c>
      <c r="Q116" s="133">
        <v>0</v>
      </c>
      <c r="R116" s="133" t="s">
        <v>35</v>
      </c>
      <c r="S116" s="133">
        <v>0.2</v>
      </c>
      <c r="T116" s="135">
        <v>0.9</v>
      </c>
      <c r="U116" s="133">
        <v>0</v>
      </c>
      <c r="V116" s="133">
        <v>0</v>
      </c>
      <c r="W116" s="133" t="s">
        <v>35</v>
      </c>
      <c r="X116" s="133">
        <v>0.2</v>
      </c>
      <c r="Y116" s="135">
        <v>0.92</v>
      </c>
      <c r="Z116" s="135" t="s">
        <v>35</v>
      </c>
      <c r="AA116" s="135" t="s">
        <v>35</v>
      </c>
      <c r="AB116" s="135" t="s">
        <v>35</v>
      </c>
      <c r="AC116" s="135">
        <v>0</v>
      </c>
      <c r="AD116" s="135">
        <v>0.92</v>
      </c>
      <c r="AE116" s="133">
        <v>1</v>
      </c>
      <c r="AF116" s="133">
        <v>0.99591280653951</v>
      </c>
      <c r="AG116" s="133">
        <v>0.990419161676647</v>
      </c>
      <c r="AH116" s="133">
        <v>0.99550207141448</v>
      </c>
      <c r="AI116" s="135">
        <v>0.92</v>
      </c>
      <c r="AJ116" s="133">
        <v>0.949267782426778</v>
      </c>
      <c r="AK116" s="133">
        <v>0.950812780269058</v>
      </c>
      <c r="AL116" s="133">
        <v>0.964777233496618</v>
      </c>
      <c r="AM116" s="133">
        <v>0.977583390061266</v>
      </c>
      <c r="AN116" s="132">
        <v>0.99</v>
      </c>
      <c r="AO116" s="137">
        <v>1</v>
      </c>
      <c r="AP116" s="137">
        <v>1</v>
      </c>
      <c r="AQ116" s="137">
        <v>1</v>
      </c>
      <c r="AR116" s="137">
        <v>1</v>
      </c>
      <c r="AS116" s="139">
        <v>0.105261498981944</v>
      </c>
      <c r="AT116" s="141">
        <v>0.0526315789473684</v>
      </c>
      <c r="AU116" s="141">
        <v>0</v>
      </c>
      <c r="AV116" s="141">
        <v>0.0416666666666667</v>
      </c>
      <c r="AW116" s="141">
        <v>0.0810055865921788</v>
      </c>
      <c r="AX116" s="95"/>
      <c r="AY116" s="93"/>
    </row>
    <row r="117" ht="14.5" spans="1:51">
      <c r="A117" s="91"/>
      <c r="B117" s="95"/>
      <c r="C117" s="152" t="s">
        <v>99</v>
      </c>
      <c r="D117" s="153" t="s">
        <v>25</v>
      </c>
      <c r="E117" s="130" t="s">
        <v>100</v>
      </c>
      <c r="F117" s="154" t="s">
        <v>139</v>
      </c>
      <c r="G117" s="154" t="s">
        <v>139</v>
      </c>
      <c r="H117" s="154" t="s">
        <v>139</v>
      </c>
      <c r="I117" s="154" t="s">
        <v>139</v>
      </c>
      <c r="J117" s="132">
        <v>0.9</v>
      </c>
      <c r="K117" s="133">
        <v>0.974025974025974</v>
      </c>
      <c r="L117" s="133">
        <v>0.923913043478261</v>
      </c>
      <c r="M117" s="134">
        <v>0.876404494382023</v>
      </c>
      <c r="N117" s="133">
        <v>0.925423728813559</v>
      </c>
      <c r="O117" s="135">
        <v>0.9</v>
      </c>
      <c r="P117" s="133">
        <v>1</v>
      </c>
      <c r="Q117" s="133" t="s">
        <v>35</v>
      </c>
      <c r="R117" s="133" t="s">
        <v>35</v>
      </c>
      <c r="S117" s="133">
        <v>0.4</v>
      </c>
      <c r="T117" s="135">
        <v>0.9</v>
      </c>
      <c r="U117" s="133">
        <v>0</v>
      </c>
      <c r="V117" s="133" t="s">
        <v>35</v>
      </c>
      <c r="W117" s="133" t="s">
        <v>35</v>
      </c>
      <c r="X117" s="133">
        <v>0</v>
      </c>
      <c r="Y117" s="135">
        <v>0.92</v>
      </c>
      <c r="Z117" s="135" t="s">
        <v>35</v>
      </c>
      <c r="AA117" s="135" t="s">
        <v>35</v>
      </c>
      <c r="AB117" s="135" t="s">
        <v>35</v>
      </c>
      <c r="AC117" s="135">
        <v>0</v>
      </c>
      <c r="AD117" s="135">
        <v>0.92</v>
      </c>
      <c r="AE117" s="133">
        <v>1</v>
      </c>
      <c r="AF117" s="133">
        <v>0.982758620689655</v>
      </c>
      <c r="AG117" s="133">
        <v>0.923076923076923</v>
      </c>
      <c r="AH117" s="133">
        <v>0.870490037695207</v>
      </c>
      <c r="AI117" s="135">
        <v>0.92</v>
      </c>
      <c r="AJ117" s="133">
        <v>0.938149556400507</v>
      </c>
      <c r="AK117" s="133">
        <v>0.949979938477999</v>
      </c>
      <c r="AL117" s="133">
        <v>0.950106753567817</v>
      </c>
      <c r="AM117" s="133">
        <v>0.971280902972153</v>
      </c>
      <c r="AN117" s="132">
        <v>0.99</v>
      </c>
      <c r="AO117" s="137">
        <v>1</v>
      </c>
      <c r="AP117" s="137">
        <v>1</v>
      </c>
      <c r="AQ117" s="137">
        <v>1</v>
      </c>
      <c r="AR117" s="137">
        <v>1</v>
      </c>
      <c r="AS117" s="139">
        <v>0.105261498981944</v>
      </c>
      <c r="AT117" s="141">
        <v>0</v>
      </c>
      <c r="AU117" s="141">
        <v>0.111111111111111</v>
      </c>
      <c r="AV117" s="141">
        <v>0.111111111111111</v>
      </c>
      <c r="AW117" s="141">
        <v>0.076530612244898</v>
      </c>
      <c r="AX117" s="95"/>
      <c r="AY117" s="93"/>
    </row>
    <row r="118" ht="14.5" spans="1:51">
      <c r="A118" s="91"/>
      <c r="B118" s="95"/>
      <c r="C118" s="152" t="s">
        <v>99</v>
      </c>
      <c r="D118" s="153" t="s">
        <v>25</v>
      </c>
      <c r="E118" s="130" t="s">
        <v>100</v>
      </c>
      <c r="F118" s="154" t="s">
        <v>140</v>
      </c>
      <c r="G118" s="154" t="s">
        <v>140</v>
      </c>
      <c r="H118" s="154" t="s">
        <v>140</v>
      </c>
      <c r="I118" s="154" t="s">
        <v>140</v>
      </c>
      <c r="J118" s="132">
        <v>0.9</v>
      </c>
      <c r="K118" s="133">
        <v>1</v>
      </c>
      <c r="L118" s="133">
        <v>1</v>
      </c>
      <c r="M118" s="134">
        <v>0.974683544303797</v>
      </c>
      <c r="N118" s="133">
        <v>0.975326560232221</v>
      </c>
      <c r="O118" s="135">
        <v>0.9</v>
      </c>
      <c r="P118" s="133" t="s">
        <v>35</v>
      </c>
      <c r="Q118" s="133" t="s">
        <v>35</v>
      </c>
      <c r="R118" s="133" t="s">
        <v>35</v>
      </c>
      <c r="S118" s="133" t="s">
        <v>35</v>
      </c>
      <c r="T118" s="135">
        <v>0.9</v>
      </c>
      <c r="U118" s="133" t="s">
        <v>35</v>
      </c>
      <c r="V118" s="133" t="s">
        <v>35</v>
      </c>
      <c r="W118" s="133" t="s">
        <v>35</v>
      </c>
      <c r="X118" s="133" t="s">
        <v>35</v>
      </c>
      <c r="Y118" s="135">
        <v>0.92</v>
      </c>
      <c r="Z118" s="135" t="s">
        <v>35</v>
      </c>
      <c r="AA118" s="135" t="s">
        <v>35</v>
      </c>
      <c r="AB118" s="135">
        <v>0</v>
      </c>
      <c r="AC118" s="135">
        <v>0</v>
      </c>
      <c r="AD118" s="135">
        <v>0.92</v>
      </c>
      <c r="AE118" s="133">
        <v>1</v>
      </c>
      <c r="AF118" s="133">
        <v>0.99236641221374</v>
      </c>
      <c r="AG118" s="133">
        <v>0.986486486486487</v>
      </c>
      <c r="AH118" s="133">
        <v>0.995782073813708</v>
      </c>
      <c r="AI118" s="135">
        <v>0.92</v>
      </c>
      <c r="AJ118" s="133">
        <v>0.953174245835209</v>
      </c>
      <c r="AK118" s="133">
        <v>0.958176291793313</v>
      </c>
      <c r="AL118" s="133">
        <v>0.976166498825109</v>
      </c>
      <c r="AM118" s="133">
        <v>0.974185169150844</v>
      </c>
      <c r="AN118" s="132">
        <v>0.99</v>
      </c>
      <c r="AO118" s="137">
        <v>1</v>
      </c>
      <c r="AP118" s="137">
        <v>1</v>
      </c>
      <c r="AQ118" s="137">
        <v>1</v>
      </c>
      <c r="AR118" s="137">
        <v>1</v>
      </c>
      <c r="AS118" s="139">
        <v>0.105261498981944</v>
      </c>
      <c r="AT118" s="141">
        <v>0.1</v>
      </c>
      <c r="AU118" s="141">
        <v>0.2</v>
      </c>
      <c r="AV118" s="141">
        <v>0.181818181818182</v>
      </c>
      <c r="AW118" s="141">
        <v>0.101639344262295</v>
      </c>
      <c r="AX118" s="95"/>
      <c r="AY118" s="93"/>
    </row>
    <row r="119" ht="14.5" spans="1:51">
      <c r="A119" s="91"/>
      <c r="B119" s="95"/>
      <c r="C119" s="152" t="s">
        <v>99</v>
      </c>
      <c r="D119" s="153" t="s">
        <v>25</v>
      </c>
      <c r="E119" s="130" t="s">
        <v>100</v>
      </c>
      <c r="F119" s="154" t="s">
        <v>141</v>
      </c>
      <c r="G119" s="154" t="s">
        <v>141</v>
      </c>
      <c r="H119" s="154" t="s">
        <v>141</v>
      </c>
      <c r="I119" s="154" t="s">
        <v>141</v>
      </c>
      <c r="J119" s="132">
        <v>0.9</v>
      </c>
      <c r="K119" s="133">
        <v>0.975308641975309</v>
      </c>
      <c r="L119" s="133">
        <v>0.96551724137931</v>
      </c>
      <c r="M119" s="134">
        <v>0.923076923076923</v>
      </c>
      <c r="N119" s="133">
        <v>0.938851142680667</v>
      </c>
      <c r="O119" s="135">
        <v>0.9</v>
      </c>
      <c r="P119" s="133">
        <v>0</v>
      </c>
      <c r="Q119" s="133" t="s">
        <v>35</v>
      </c>
      <c r="R119" s="133">
        <v>0</v>
      </c>
      <c r="S119" s="133">
        <v>0</v>
      </c>
      <c r="T119" s="135">
        <v>0.9</v>
      </c>
      <c r="U119" s="133">
        <v>0</v>
      </c>
      <c r="V119" s="133" t="s">
        <v>35</v>
      </c>
      <c r="W119" s="133">
        <v>0</v>
      </c>
      <c r="X119" s="133">
        <v>0</v>
      </c>
      <c r="Y119" s="135">
        <v>0.92</v>
      </c>
      <c r="Z119" s="135">
        <v>0</v>
      </c>
      <c r="AA119" s="135">
        <v>0</v>
      </c>
      <c r="AB119" s="135" t="s">
        <v>35</v>
      </c>
      <c r="AC119" s="135">
        <v>0</v>
      </c>
      <c r="AD119" s="135">
        <v>0.92</v>
      </c>
      <c r="AE119" s="133">
        <v>1</v>
      </c>
      <c r="AF119" s="133">
        <v>0.872727272727273</v>
      </c>
      <c r="AG119" s="133">
        <v>0.947368421052632</v>
      </c>
      <c r="AH119" s="133">
        <v>0.948313622426632</v>
      </c>
      <c r="AI119" s="135">
        <v>0.92</v>
      </c>
      <c r="AJ119" s="133">
        <v>0.945718050065876</v>
      </c>
      <c r="AK119" s="133">
        <v>0.970974808324206</v>
      </c>
      <c r="AL119" s="133">
        <v>0.976226547022492</v>
      </c>
      <c r="AM119" s="133">
        <v>0.974586504557593</v>
      </c>
      <c r="AN119" s="132">
        <v>0.99</v>
      </c>
      <c r="AO119" s="137">
        <v>1</v>
      </c>
      <c r="AP119" s="137">
        <v>1</v>
      </c>
      <c r="AQ119" s="137">
        <v>1</v>
      </c>
      <c r="AR119" s="137">
        <v>1</v>
      </c>
      <c r="AS119" s="139">
        <v>0.105261498981944</v>
      </c>
      <c r="AT119" s="141">
        <v>0</v>
      </c>
      <c r="AU119" s="141">
        <v>0.142857142857143</v>
      </c>
      <c r="AV119" s="141">
        <v>0.2</v>
      </c>
      <c r="AW119" s="141">
        <v>0.08</v>
      </c>
      <c r="AX119" s="95"/>
      <c r="AY119" s="93"/>
    </row>
    <row r="120" ht="14.5" spans="1:51">
      <c r="A120" s="91"/>
      <c r="B120" s="95"/>
      <c r="C120" s="152" t="s">
        <v>99</v>
      </c>
      <c r="D120" s="153" t="s">
        <v>25</v>
      </c>
      <c r="E120" s="130" t="s">
        <v>100</v>
      </c>
      <c r="F120" s="154" t="s">
        <v>142</v>
      </c>
      <c r="G120" s="154" t="s">
        <v>142</v>
      </c>
      <c r="H120" s="154" t="s">
        <v>142</v>
      </c>
      <c r="I120" s="154" t="s">
        <v>142</v>
      </c>
      <c r="J120" s="132">
        <v>0.9</v>
      </c>
      <c r="K120" s="133">
        <v>0.887323943661972</v>
      </c>
      <c r="L120" s="133">
        <v>0.91304347826087</v>
      </c>
      <c r="M120" s="134">
        <v>0.901098901098901</v>
      </c>
      <c r="N120" s="133">
        <v>0.923973022685469</v>
      </c>
      <c r="O120" s="135">
        <v>0.9</v>
      </c>
      <c r="P120" s="133">
        <v>0</v>
      </c>
      <c r="Q120" s="133" t="s">
        <v>35</v>
      </c>
      <c r="R120" s="133">
        <v>0.5</v>
      </c>
      <c r="S120" s="133">
        <v>0.4</v>
      </c>
      <c r="T120" s="135">
        <v>0.9</v>
      </c>
      <c r="U120" s="133">
        <v>0</v>
      </c>
      <c r="V120" s="133" t="s">
        <v>35</v>
      </c>
      <c r="W120" s="133">
        <v>0</v>
      </c>
      <c r="X120" s="133">
        <v>0</v>
      </c>
      <c r="Y120" s="135">
        <v>0.92</v>
      </c>
      <c r="Z120" s="135">
        <v>0</v>
      </c>
      <c r="AA120" s="135" t="s">
        <v>35</v>
      </c>
      <c r="AB120" s="135">
        <v>0</v>
      </c>
      <c r="AC120" s="135">
        <v>0</v>
      </c>
      <c r="AD120" s="135">
        <v>0.92</v>
      </c>
      <c r="AE120" s="133">
        <v>1</v>
      </c>
      <c r="AF120" s="133">
        <v>0.857142857142857</v>
      </c>
      <c r="AG120" s="133">
        <v>0.984615384615385</v>
      </c>
      <c r="AH120" s="133">
        <v>0.949895615866388</v>
      </c>
      <c r="AI120" s="135">
        <v>0.92</v>
      </c>
      <c r="AJ120" s="133">
        <v>0.885116784356328</v>
      </c>
      <c r="AK120" s="133">
        <v>0.902022471910112</v>
      </c>
      <c r="AL120" s="133">
        <v>0.945861072729557</v>
      </c>
      <c r="AM120" s="133">
        <v>0.947035074088462</v>
      </c>
      <c r="AN120" s="132">
        <v>0.99</v>
      </c>
      <c r="AO120" s="137">
        <v>1</v>
      </c>
      <c r="AP120" s="137">
        <v>1</v>
      </c>
      <c r="AQ120" s="137">
        <v>1</v>
      </c>
      <c r="AR120" s="137">
        <v>1</v>
      </c>
      <c r="AS120" s="139">
        <v>0.105261498981944</v>
      </c>
      <c r="AT120" s="141">
        <v>0</v>
      </c>
      <c r="AU120" s="141">
        <v>0.555555555555556</v>
      </c>
      <c r="AV120" s="141">
        <v>0</v>
      </c>
      <c r="AW120" s="141">
        <v>0.0948905109489051</v>
      </c>
      <c r="AX120" s="95"/>
      <c r="AY120" s="93"/>
    </row>
    <row r="121" ht="14.5" spans="1:51">
      <c r="A121" s="91"/>
      <c r="B121" s="95"/>
      <c r="C121" s="152" t="s">
        <v>99</v>
      </c>
      <c r="D121" s="153" t="s">
        <v>25</v>
      </c>
      <c r="E121" s="130" t="s">
        <v>100</v>
      </c>
      <c r="F121" s="154" t="s">
        <v>143</v>
      </c>
      <c r="G121" s="154" t="s">
        <v>143</v>
      </c>
      <c r="H121" s="154" t="s">
        <v>143</v>
      </c>
      <c r="I121" s="154" t="s">
        <v>143</v>
      </c>
      <c r="J121" s="132">
        <v>0.9</v>
      </c>
      <c r="K121" s="133">
        <v>0.962962962962963</v>
      </c>
      <c r="L121" s="133">
        <v>0.96969696969697</v>
      </c>
      <c r="M121" s="134">
        <v>0.96875</v>
      </c>
      <c r="N121" s="133">
        <v>0.982078853046595</v>
      </c>
      <c r="O121" s="135">
        <v>0.9</v>
      </c>
      <c r="P121" s="133">
        <v>0.5</v>
      </c>
      <c r="Q121" s="133" t="s">
        <v>35</v>
      </c>
      <c r="R121" s="133" t="s">
        <v>35</v>
      </c>
      <c r="S121" s="133">
        <v>0.333333333333333</v>
      </c>
      <c r="T121" s="135">
        <v>0.9</v>
      </c>
      <c r="U121" s="133">
        <v>0.5</v>
      </c>
      <c r="V121" s="133" t="s">
        <v>35</v>
      </c>
      <c r="W121" s="133" t="s">
        <v>35</v>
      </c>
      <c r="X121" s="133">
        <v>0.333333333333333</v>
      </c>
      <c r="Y121" s="135">
        <v>0.92</v>
      </c>
      <c r="Z121" s="135" t="s">
        <v>35</v>
      </c>
      <c r="AA121" s="135" t="s">
        <v>35</v>
      </c>
      <c r="AB121" s="135" t="s">
        <v>35</v>
      </c>
      <c r="AC121" s="135" t="s">
        <v>35</v>
      </c>
      <c r="AD121" s="135">
        <v>0.92</v>
      </c>
      <c r="AE121" s="133">
        <v>1</v>
      </c>
      <c r="AF121" s="133">
        <v>0.996515679442509</v>
      </c>
      <c r="AG121" s="133">
        <v>1</v>
      </c>
      <c r="AH121" s="133">
        <v>0.996114618746964</v>
      </c>
      <c r="AI121" s="135">
        <v>0.92</v>
      </c>
      <c r="AJ121" s="133">
        <v>0.900225056264066</v>
      </c>
      <c r="AK121" s="133">
        <v>0.96844262295082</v>
      </c>
      <c r="AL121" s="133">
        <v>0.975527991954408</v>
      </c>
      <c r="AM121" s="133">
        <v>0.976540375047838</v>
      </c>
      <c r="AN121" s="132">
        <v>0.99</v>
      </c>
      <c r="AO121" s="137">
        <v>1</v>
      </c>
      <c r="AP121" s="137">
        <v>1</v>
      </c>
      <c r="AQ121" s="137">
        <v>1</v>
      </c>
      <c r="AR121" s="137">
        <v>1</v>
      </c>
      <c r="AS121" s="139">
        <v>0.105261498981944</v>
      </c>
      <c r="AT121" s="141">
        <v>0</v>
      </c>
      <c r="AU121" s="141">
        <v>0</v>
      </c>
      <c r="AV121" s="141">
        <v>0.333333333333333</v>
      </c>
      <c r="AW121" s="141">
        <v>0.114285714285714</v>
      </c>
      <c r="AX121" s="95"/>
      <c r="AY121" s="93"/>
    </row>
    <row r="122" ht="14.5" spans="1:51">
      <c r="A122" s="91"/>
      <c r="B122" s="95"/>
      <c r="C122" s="152" t="s">
        <v>99</v>
      </c>
      <c r="D122" s="153" t="s">
        <v>25</v>
      </c>
      <c r="E122" s="130" t="s">
        <v>100</v>
      </c>
      <c r="F122" s="154" t="s">
        <v>144</v>
      </c>
      <c r="G122" s="154" t="s">
        <v>144</v>
      </c>
      <c r="H122" s="154" t="s">
        <v>144</v>
      </c>
      <c r="I122" s="154" t="s">
        <v>144</v>
      </c>
      <c r="J122" s="132">
        <v>0.9</v>
      </c>
      <c r="K122" s="133">
        <v>1</v>
      </c>
      <c r="L122" s="133">
        <v>1</v>
      </c>
      <c r="M122" s="134">
        <v>0.985294117647059</v>
      </c>
      <c r="N122" s="133">
        <v>0.990931574608409</v>
      </c>
      <c r="O122" s="135">
        <v>0.9</v>
      </c>
      <c r="P122" s="133" t="s">
        <v>35</v>
      </c>
      <c r="Q122" s="133" t="s">
        <v>35</v>
      </c>
      <c r="R122" s="133" t="s">
        <v>35</v>
      </c>
      <c r="S122" s="133">
        <v>0</v>
      </c>
      <c r="T122" s="135">
        <v>0.9</v>
      </c>
      <c r="U122" s="133" t="s">
        <v>35</v>
      </c>
      <c r="V122" s="133" t="s">
        <v>35</v>
      </c>
      <c r="W122" s="133" t="s">
        <v>35</v>
      </c>
      <c r="X122" s="133">
        <v>0.666666666666667</v>
      </c>
      <c r="Y122" s="135">
        <v>0.92</v>
      </c>
      <c r="Z122" s="135" t="s">
        <v>35</v>
      </c>
      <c r="AA122" s="135" t="s">
        <v>35</v>
      </c>
      <c r="AB122" s="135" t="s">
        <v>35</v>
      </c>
      <c r="AC122" s="135">
        <v>1</v>
      </c>
      <c r="AD122" s="135">
        <v>0.92</v>
      </c>
      <c r="AE122" s="133">
        <v>0.997150997150997</v>
      </c>
      <c r="AF122" s="133">
        <v>0.985915492957746</v>
      </c>
      <c r="AG122" s="133">
        <v>0.967567567567568</v>
      </c>
      <c r="AH122" s="133">
        <v>0.983620689655172</v>
      </c>
      <c r="AI122" s="135">
        <v>0.92</v>
      </c>
      <c r="AJ122" s="133">
        <v>0.965943339361061</v>
      </c>
      <c r="AK122" s="133">
        <v>0.985441604658686</v>
      </c>
      <c r="AL122" s="133">
        <v>0.991415157612341</v>
      </c>
      <c r="AM122" s="133">
        <v>0.990031942727813</v>
      </c>
      <c r="AN122" s="132">
        <v>0.99</v>
      </c>
      <c r="AO122" s="137">
        <v>1</v>
      </c>
      <c r="AP122" s="137">
        <v>1</v>
      </c>
      <c r="AQ122" s="137">
        <v>1</v>
      </c>
      <c r="AR122" s="137">
        <v>1</v>
      </c>
      <c r="AS122" s="139">
        <v>0.105261498981944</v>
      </c>
      <c r="AT122" s="141">
        <v>0.333333333333333</v>
      </c>
      <c r="AU122" s="141">
        <v>0.0909090909090909</v>
      </c>
      <c r="AV122" s="141">
        <v>0.2</v>
      </c>
      <c r="AW122" s="141">
        <v>0.207547169811321</v>
      </c>
      <c r="AX122" s="95"/>
      <c r="AY122" s="93"/>
    </row>
    <row r="123" ht="14.5" spans="1:51">
      <c r="A123" s="91"/>
      <c r="B123" s="95"/>
      <c r="C123" s="152" t="s">
        <v>99</v>
      </c>
      <c r="D123" s="153" t="s">
        <v>25</v>
      </c>
      <c r="E123" s="130" t="s">
        <v>100</v>
      </c>
      <c r="F123" s="154" t="s">
        <v>145</v>
      </c>
      <c r="G123" s="154" t="s">
        <v>145</v>
      </c>
      <c r="H123" s="154" t="s">
        <v>145</v>
      </c>
      <c r="I123" s="154" t="s">
        <v>145</v>
      </c>
      <c r="J123" s="132">
        <v>0.9</v>
      </c>
      <c r="K123" s="133">
        <v>0.971428571428571</v>
      </c>
      <c r="L123" s="133">
        <v>1</v>
      </c>
      <c r="M123" s="134">
        <v>1</v>
      </c>
      <c r="N123" s="133">
        <v>0.982817869415808</v>
      </c>
      <c r="O123" s="135">
        <v>0.9</v>
      </c>
      <c r="P123" s="133" t="s">
        <v>35</v>
      </c>
      <c r="Q123" s="133">
        <v>0</v>
      </c>
      <c r="R123" s="133" t="s">
        <v>35</v>
      </c>
      <c r="S123" s="133">
        <v>0</v>
      </c>
      <c r="T123" s="135">
        <v>0.9</v>
      </c>
      <c r="U123" s="133" t="s">
        <v>35</v>
      </c>
      <c r="V123" s="133">
        <v>0</v>
      </c>
      <c r="W123" s="133" t="s">
        <v>35</v>
      </c>
      <c r="X123" s="133">
        <v>0</v>
      </c>
      <c r="Y123" s="135">
        <v>0.92</v>
      </c>
      <c r="Z123" s="135" t="s">
        <v>35</v>
      </c>
      <c r="AA123" s="135" t="s">
        <v>35</v>
      </c>
      <c r="AB123" s="135" t="s">
        <v>35</v>
      </c>
      <c r="AC123" s="135" t="s">
        <v>35</v>
      </c>
      <c r="AD123" s="135">
        <v>0.92</v>
      </c>
      <c r="AE123" s="133">
        <v>0.994778067885117</v>
      </c>
      <c r="AF123" s="133">
        <v>1</v>
      </c>
      <c r="AG123" s="133">
        <v>0.988888888888889</v>
      </c>
      <c r="AH123" s="133">
        <v>0.992519926425506</v>
      </c>
      <c r="AI123" s="135">
        <v>0.92</v>
      </c>
      <c r="AJ123" s="133">
        <v>0.945283652232293</v>
      </c>
      <c r="AK123" s="133">
        <v>0.977566867989646</v>
      </c>
      <c r="AL123" s="133">
        <v>0.984610831606984</v>
      </c>
      <c r="AM123" s="133">
        <v>0.982458890746934</v>
      </c>
      <c r="AN123" s="132">
        <v>0.99</v>
      </c>
      <c r="AO123" s="137">
        <v>1</v>
      </c>
      <c r="AP123" s="137">
        <v>1</v>
      </c>
      <c r="AQ123" s="137">
        <v>1</v>
      </c>
      <c r="AR123" s="137">
        <v>1</v>
      </c>
      <c r="AS123" s="139">
        <v>0.105261498981944</v>
      </c>
      <c r="AT123" s="141">
        <v>0</v>
      </c>
      <c r="AU123" s="141">
        <v>0</v>
      </c>
      <c r="AV123" s="141">
        <v>0.4</v>
      </c>
      <c r="AW123" s="141">
        <v>0.161016949152542</v>
      </c>
      <c r="AX123" s="95"/>
      <c r="AY123" s="93"/>
    </row>
    <row r="124" ht="14.5" spans="1:51">
      <c r="A124" s="91"/>
      <c r="B124" s="95"/>
      <c r="C124" s="152" t="s">
        <v>99</v>
      </c>
      <c r="D124" s="153" t="s">
        <v>25</v>
      </c>
      <c r="E124" s="130" t="s">
        <v>100</v>
      </c>
      <c r="F124" s="154" t="s">
        <v>146</v>
      </c>
      <c r="G124" s="154" t="s">
        <v>146</v>
      </c>
      <c r="H124" s="154" t="s">
        <v>146</v>
      </c>
      <c r="I124" s="154" t="s">
        <v>146</v>
      </c>
      <c r="J124" s="132">
        <v>0.9</v>
      </c>
      <c r="K124" s="133">
        <v>1</v>
      </c>
      <c r="L124" s="133">
        <v>0.984126984126984</v>
      </c>
      <c r="M124" s="134">
        <v>1</v>
      </c>
      <c r="N124" s="133">
        <v>0.991496598639456</v>
      </c>
      <c r="O124" s="135">
        <v>0.9</v>
      </c>
      <c r="P124" s="133" t="s">
        <v>35</v>
      </c>
      <c r="Q124" s="133">
        <v>1</v>
      </c>
      <c r="R124" s="133" t="s">
        <v>35</v>
      </c>
      <c r="S124" s="133">
        <v>0.333333333333333</v>
      </c>
      <c r="T124" s="135">
        <v>0.9</v>
      </c>
      <c r="U124" s="133" t="s">
        <v>35</v>
      </c>
      <c r="V124" s="133">
        <v>0</v>
      </c>
      <c r="W124" s="133" t="s">
        <v>35</v>
      </c>
      <c r="X124" s="133">
        <v>0.333333333333333</v>
      </c>
      <c r="Y124" s="135">
        <v>0.92</v>
      </c>
      <c r="Z124" s="135">
        <v>0</v>
      </c>
      <c r="AA124" s="135" t="s">
        <v>35</v>
      </c>
      <c r="AB124" s="135">
        <v>0</v>
      </c>
      <c r="AC124" s="135">
        <v>0.333333333333333</v>
      </c>
      <c r="AD124" s="135">
        <v>0.92</v>
      </c>
      <c r="AE124" s="133">
        <v>0.992125984251969</v>
      </c>
      <c r="AF124" s="133">
        <v>0.0316742081447964</v>
      </c>
      <c r="AG124" s="133">
        <v>0.995652173913044</v>
      </c>
      <c r="AH124" s="133">
        <v>0.895165574641403</v>
      </c>
      <c r="AI124" s="135">
        <v>0.92</v>
      </c>
      <c r="AJ124" s="133">
        <v>0.91710758377425</v>
      </c>
      <c r="AK124" s="133">
        <v>0.936926087611019</v>
      </c>
      <c r="AL124" s="133">
        <v>0.946463462289957</v>
      </c>
      <c r="AM124" s="133">
        <v>0.952324841514859</v>
      </c>
      <c r="AN124" s="132">
        <v>0.99</v>
      </c>
      <c r="AO124" s="137">
        <v>1</v>
      </c>
      <c r="AP124" s="137">
        <v>1</v>
      </c>
      <c r="AQ124" s="137">
        <v>1</v>
      </c>
      <c r="AR124" s="137">
        <v>1</v>
      </c>
      <c r="AS124" s="139">
        <v>0.105261498981944</v>
      </c>
      <c r="AT124" s="141">
        <v>0.0909090909090909</v>
      </c>
      <c r="AU124" s="141">
        <v>0.142857142857143</v>
      </c>
      <c r="AV124" s="141">
        <v>0.0666666666666667</v>
      </c>
      <c r="AW124" s="141">
        <v>0.087378640776699</v>
      </c>
      <c r="AX124" s="95"/>
      <c r="AY124" s="93"/>
    </row>
    <row r="125" ht="14.5" spans="1:51">
      <c r="A125" s="91"/>
      <c r="B125" s="95"/>
      <c r="C125" s="152" t="s">
        <v>99</v>
      </c>
      <c r="D125" s="153" t="s">
        <v>25</v>
      </c>
      <c r="E125" s="130" t="s">
        <v>100</v>
      </c>
      <c r="F125" s="154" t="s">
        <v>147</v>
      </c>
      <c r="G125" s="154" t="s">
        <v>147</v>
      </c>
      <c r="H125" s="154" t="s">
        <v>147</v>
      </c>
      <c r="I125" s="154" t="s">
        <v>147</v>
      </c>
      <c r="J125" s="132">
        <v>0.9</v>
      </c>
      <c r="K125" s="133">
        <v>1</v>
      </c>
      <c r="L125" s="133">
        <v>0.962264150943396</v>
      </c>
      <c r="M125" s="134">
        <v>0.909090909090909</v>
      </c>
      <c r="N125" s="133">
        <v>0.975466143277723</v>
      </c>
      <c r="O125" s="135">
        <v>0.9</v>
      </c>
      <c r="P125" s="133">
        <v>0</v>
      </c>
      <c r="Q125" s="133" t="s">
        <v>35</v>
      </c>
      <c r="R125" s="133" t="s">
        <v>35</v>
      </c>
      <c r="S125" s="133">
        <v>0</v>
      </c>
      <c r="T125" s="135">
        <v>0.9</v>
      </c>
      <c r="U125" s="133">
        <v>0</v>
      </c>
      <c r="V125" s="133" t="s">
        <v>35</v>
      </c>
      <c r="W125" s="133" t="s">
        <v>35</v>
      </c>
      <c r="X125" s="133">
        <v>0</v>
      </c>
      <c r="Y125" s="135">
        <v>0.92</v>
      </c>
      <c r="Z125" s="135" t="s">
        <v>35</v>
      </c>
      <c r="AA125" s="135" t="s">
        <v>35</v>
      </c>
      <c r="AB125" s="135" t="s">
        <v>35</v>
      </c>
      <c r="AC125" s="135" t="s">
        <v>35</v>
      </c>
      <c r="AD125" s="135">
        <v>0.92</v>
      </c>
      <c r="AE125" s="133">
        <v>1</v>
      </c>
      <c r="AF125" s="133">
        <v>0.993006993006993</v>
      </c>
      <c r="AG125" s="133">
        <v>0.993939393939394</v>
      </c>
      <c r="AH125" s="133">
        <v>0.987691466083151</v>
      </c>
      <c r="AI125" s="135">
        <v>0.92</v>
      </c>
      <c r="AJ125" s="133">
        <v>0.951332560834299</v>
      </c>
      <c r="AK125" s="133">
        <v>0.972015990862364</v>
      </c>
      <c r="AL125" s="133">
        <v>0.9777924000658</v>
      </c>
      <c r="AM125" s="133">
        <v>0.981082584850171</v>
      </c>
      <c r="AN125" s="132">
        <v>0.99</v>
      </c>
      <c r="AO125" s="137">
        <v>1</v>
      </c>
      <c r="AP125" s="137">
        <v>1</v>
      </c>
      <c r="AQ125" s="137">
        <v>1</v>
      </c>
      <c r="AR125" s="137">
        <v>1</v>
      </c>
      <c r="AS125" s="139">
        <v>0.105261498981944</v>
      </c>
      <c r="AT125" s="141">
        <v>0</v>
      </c>
      <c r="AU125" s="141">
        <v>0.333333333333333</v>
      </c>
      <c r="AV125" s="141">
        <v>0</v>
      </c>
      <c r="AW125" s="141">
        <v>0.0617283950617284</v>
      </c>
      <c r="AX125" s="95"/>
      <c r="AY125" s="93"/>
    </row>
    <row r="126" ht="14.5" spans="1:51">
      <c r="A126" s="91"/>
      <c r="B126" s="95"/>
      <c r="C126" s="152" t="s">
        <v>99</v>
      </c>
      <c r="D126" s="153" t="s">
        <v>25</v>
      </c>
      <c r="E126" s="130" t="s">
        <v>100</v>
      </c>
      <c r="F126" s="154" t="s">
        <v>148</v>
      </c>
      <c r="G126" s="154" t="s">
        <v>148</v>
      </c>
      <c r="H126" s="154" t="s">
        <v>148</v>
      </c>
      <c r="I126" s="154" t="s">
        <v>148</v>
      </c>
      <c r="J126" s="132">
        <v>0.9</v>
      </c>
      <c r="K126" s="133">
        <v>1</v>
      </c>
      <c r="L126" s="133">
        <v>1</v>
      </c>
      <c r="M126" s="134">
        <v>0.972972972972973</v>
      </c>
      <c r="N126" s="133">
        <v>0.986175115207373</v>
      </c>
      <c r="O126" s="135">
        <v>0.9</v>
      </c>
      <c r="P126" s="133" t="s">
        <v>35</v>
      </c>
      <c r="Q126" s="133" t="s">
        <v>35</v>
      </c>
      <c r="R126" s="133" t="s">
        <v>35</v>
      </c>
      <c r="S126" s="133">
        <v>1</v>
      </c>
      <c r="T126" s="135">
        <v>0.9</v>
      </c>
      <c r="U126" s="133" t="s">
        <v>35</v>
      </c>
      <c r="V126" s="133" t="s">
        <v>35</v>
      </c>
      <c r="W126" s="133" t="s">
        <v>35</v>
      </c>
      <c r="X126" s="133">
        <v>0</v>
      </c>
      <c r="Y126" s="135">
        <v>0.92</v>
      </c>
      <c r="Z126" s="135" t="s">
        <v>35</v>
      </c>
      <c r="AA126" s="135" t="s">
        <v>35</v>
      </c>
      <c r="AB126" s="135" t="s">
        <v>35</v>
      </c>
      <c r="AC126" s="135">
        <v>1</v>
      </c>
      <c r="AD126" s="135">
        <v>0.92</v>
      </c>
      <c r="AE126" s="133">
        <v>1</v>
      </c>
      <c r="AF126" s="133">
        <v>1</v>
      </c>
      <c r="AG126" s="133">
        <v>1</v>
      </c>
      <c r="AH126" s="133">
        <v>0.998942917547569</v>
      </c>
      <c r="AI126" s="135">
        <v>0.92</v>
      </c>
      <c r="AJ126" s="133">
        <v>0.972488038277512</v>
      </c>
      <c r="AK126" s="133">
        <v>0.981740718198418</v>
      </c>
      <c r="AL126" s="133">
        <v>0.990056436441817</v>
      </c>
      <c r="AM126" s="133">
        <v>0.987359479547638</v>
      </c>
      <c r="AN126" s="132">
        <v>0.99</v>
      </c>
      <c r="AO126" s="137">
        <v>1</v>
      </c>
      <c r="AP126" s="137">
        <v>1</v>
      </c>
      <c r="AQ126" s="137">
        <v>1</v>
      </c>
      <c r="AR126" s="137">
        <v>1</v>
      </c>
      <c r="AS126" s="139">
        <v>0.105261498981944</v>
      </c>
      <c r="AT126" s="141">
        <v>0</v>
      </c>
      <c r="AU126" s="141">
        <v>0</v>
      </c>
      <c r="AV126" s="141">
        <v>0.25</v>
      </c>
      <c r="AW126" s="141">
        <v>0.0533333333333333</v>
      </c>
      <c r="AX126" s="95"/>
      <c r="AY126" s="93"/>
    </row>
    <row r="127" ht="14.5" spans="1:51">
      <c r="A127" s="91"/>
      <c r="B127" s="95"/>
      <c r="C127" s="152" t="s">
        <v>99</v>
      </c>
      <c r="D127" s="153" t="s">
        <v>25</v>
      </c>
      <c r="E127" s="130" t="s">
        <v>100</v>
      </c>
      <c r="F127" s="154" t="s">
        <v>149</v>
      </c>
      <c r="G127" s="154" t="s">
        <v>149</v>
      </c>
      <c r="H127" s="154" t="s">
        <v>149</v>
      </c>
      <c r="I127" s="154" t="s">
        <v>149</v>
      </c>
      <c r="J127" s="132">
        <v>0.9</v>
      </c>
      <c r="K127" s="133">
        <v>0.967391304347826</v>
      </c>
      <c r="L127" s="133">
        <v>1</v>
      </c>
      <c r="M127" s="134">
        <v>0.959183673469388</v>
      </c>
      <c r="N127" s="133">
        <v>0.983279395900755</v>
      </c>
      <c r="O127" s="135">
        <v>0.9</v>
      </c>
      <c r="P127" s="133">
        <v>1</v>
      </c>
      <c r="Q127" s="133" t="s">
        <v>35</v>
      </c>
      <c r="R127" s="133" t="s">
        <v>35</v>
      </c>
      <c r="S127" s="133">
        <v>0.75</v>
      </c>
      <c r="T127" s="135">
        <v>0.9</v>
      </c>
      <c r="U127" s="133">
        <v>0.333333333333333</v>
      </c>
      <c r="V127" s="133" t="s">
        <v>35</v>
      </c>
      <c r="W127" s="133" t="s">
        <v>35</v>
      </c>
      <c r="X127" s="133">
        <v>0.25</v>
      </c>
      <c r="Y127" s="135">
        <v>0.92</v>
      </c>
      <c r="Z127" s="135" t="s">
        <v>35</v>
      </c>
      <c r="AA127" s="135" t="s">
        <v>35</v>
      </c>
      <c r="AB127" s="135">
        <v>0</v>
      </c>
      <c r="AC127" s="135">
        <v>0.4</v>
      </c>
      <c r="AD127" s="135">
        <v>0.92</v>
      </c>
      <c r="AE127" s="133">
        <v>0.998390989541432</v>
      </c>
      <c r="AF127" s="133">
        <v>0.979310344827586</v>
      </c>
      <c r="AG127" s="133">
        <v>0.964523281596452</v>
      </c>
      <c r="AH127" s="133">
        <v>0.984554236264842</v>
      </c>
      <c r="AI127" s="135">
        <v>0.92</v>
      </c>
      <c r="AJ127" s="133">
        <v>0.94602948169282</v>
      </c>
      <c r="AK127" s="133">
        <v>0.96160760143811</v>
      </c>
      <c r="AL127" s="133">
        <v>0.97732135216089</v>
      </c>
      <c r="AM127" s="133">
        <v>0.983499818784137</v>
      </c>
      <c r="AN127" s="132">
        <v>0.99</v>
      </c>
      <c r="AO127" s="137">
        <v>1</v>
      </c>
      <c r="AP127" s="137">
        <v>1</v>
      </c>
      <c r="AQ127" s="137">
        <v>1</v>
      </c>
      <c r="AR127" s="137">
        <v>1</v>
      </c>
      <c r="AS127" s="139">
        <v>0.105261498981944</v>
      </c>
      <c r="AT127" s="141">
        <v>0.166666666666667</v>
      </c>
      <c r="AU127" s="141">
        <v>0.142857142857143</v>
      </c>
      <c r="AV127" s="141">
        <v>0.142857142857143</v>
      </c>
      <c r="AW127" s="141">
        <v>0.0622222222222222</v>
      </c>
      <c r="AX127" s="95"/>
      <c r="AY127" s="93"/>
    </row>
    <row r="128" ht="14.5" spans="1:51">
      <c r="A128" s="91"/>
      <c r="B128" s="95"/>
      <c r="C128" s="152" t="s">
        <v>99</v>
      </c>
      <c r="D128" s="153" t="s">
        <v>25</v>
      </c>
      <c r="E128" s="130" t="s">
        <v>100</v>
      </c>
      <c r="F128" s="154" t="s">
        <v>150</v>
      </c>
      <c r="G128" s="154" t="s">
        <v>150</v>
      </c>
      <c r="H128" s="154" t="s">
        <v>150</v>
      </c>
      <c r="I128" s="154" t="s">
        <v>150</v>
      </c>
      <c r="J128" s="132">
        <v>0.9</v>
      </c>
      <c r="K128" s="133">
        <v>0.977272727272727</v>
      </c>
      <c r="L128" s="133">
        <v>0.980392156862745</v>
      </c>
      <c r="M128" s="134">
        <v>1</v>
      </c>
      <c r="N128" s="133">
        <v>0.976769911504425</v>
      </c>
      <c r="O128" s="135">
        <v>0.9</v>
      </c>
      <c r="P128" s="133" t="s">
        <v>35</v>
      </c>
      <c r="Q128" s="133" t="s">
        <v>35</v>
      </c>
      <c r="R128" s="133" t="s">
        <v>35</v>
      </c>
      <c r="S128" s="133">
        <v>0.333333333333333</v>
      </c>
      <c r="T128" s="135">
        <v>0.9</v>
      </c>
      <c r="U128" s="133" t="s">
        <v>35</v>
      </c>
      <c r="V128" s="133" t="s">
        <v>35</v>
      </c>
      <c r="W128" s="133" t="s">
        <v>35</v>
      </c>
      <c r="X128" s="133">
        <v>0.333333333333333</v>
      </c>
      <c r="Y128" s="135">
        <v>0.92</v>
      </c>
      <c r="Z128" s="135" t="s">
        <v>35</v>
      </c>
      <c r="AA128" s="135" t="s">
        <v>35</v>
      </c>
      <c r="AB128" s="135" t="s">
        <v>35</v>
      </c>
      <c r="AC128" s="135" t="s">
        <v>35</v>
      </c>
      <c r="AD128" s="135">
        <v>0.92</v>
      </c>
      <c r="AE128" s="133">
        <v>1</v>
      </c>
      <c r="AF128" s="133">
        <v>0.95</v>
      </c>
      <c r="AG128" s="133">
        <v>0.996688741721854</v>
      </c>
      <c r="AH128" s="133">
        <v>0.978880157170923</v>
      </c>
      <c r="AI128" s="135">
        <v>0.92</v>
      </c>
      <c r="AJ128" s="133">
        <v>0.928063943161634</v>
      </c>
      <c r="AK128" s="133">
        <v>0.952325581395349</v>
      </c>
      <c r="AL128" s="133">
        <v>0.954916439953362</v>
      </c>
      <c r="AM128" s="133">
        <v>0.966684097379583</v>
      </c>
      <c r="AN128" s="132">
        <v>0.99</v>
      </c>
      <c r="AO128" s="137">
        <v>1</v>
      </c>
      <c r="AP128" s="137">
        <v>1</v>
      </c>
      <c r="AQ128" s="137">
        <v>1</v>
      </c>
      <c r="AR128" s="137">
        <v>1</v>
      </c>
      <c r="AS128" s="139">
        <v>0.105261498981944</v>
      </c>
      <c r="AT128" s="141">
        <v>0</v>
      </c>
      <c r="AU128" s="141">
        <v>0</v>
      </c>
      <c r="AV128" s="141">
        <v>0</v>
      </c>
      <c r="AW128" s="141">
        <v>0.0446428571428571</v>
      </c>
      <c r="AX128" s="95"/>
      <c r="AY128" s="93"/>
    </row>
    <row r="129" ht="14.5" spans="1:51">
      <c r="A129" s="91"/>
      <c r="B129" s="95"/>
      <c r="C129" s="152" t="s">
        <v>99</v>
      </c>
      <c r="D129" s="153" t="s">
        <v>25</v>
      </c>
      <c r="E129" s="130" t="s">
        <v>100</v>
      </c>
      <c r="F129" s="154" t="s">
        <v>151</v>
      </c>
      <c r="G129" s="154" t="s">
        <v>151</v>
      </c>
      <c r="H129" s="154" t="s">
        <v>151</v>
      </c>
      <c r="I129" s="154" t="s">
        <v>151</v>
      </c>
      <c r="J129" s="132">
        <v>0.9</v>
      </c>
      <c r="K129" s="133">
        <v>0.981481481481482</v>
      </c>
      <c r="L129" s="133">
        <v>1</v>
      </c>
      <c r="M129" s="134">
        <v>0.981132075471698</v>
      </c>
      <c r="N129" s="133">
        <v>0.991967871485944</v>
      </c>
      <c r="O129" s="135">
        <v>0.9</v>
      </c>
      <c r="P129" s="133" t="s">
        <v>35</v>
      </c>
      <c r="Q129" s="133" t="s">
        <v>35</v>
      </c>
      <c r="R129" s="133" t="s">
        <v>35</v>
      </c>
      <c r="S129" s="133">
        <v>0</v>
      </c>
      <c r="T129" s="135">
        <v>0.9</v>
      </c>
      <c r="U129" s="133" t="s">
        <v>35</v>
      </c>
      <c r="V129" s="133" t="s">
        <v>35</v>
      </c>
      <c r="W129" s="133" t="s">
        <v>35</v>
      </c>
      <c r="X129" s="133">
        <v>0</v>
      </c>
      <c r="Y129" s="135">
        <v>0.92</v>
      </c>
      <c r="Z129" s="135" t="s">
        <v>35</v>
      </c>
      <c r="AA129" s="135" t="s">
        <v>35</v>
      </c>
      <c r="AB129" s="135" t="s">
        <v>35</v>
      </c>
      <c r="AC129" s="135" t="s">
        <v>35</v>
      </c>
      <c r="AD129" s="135">
        <v>0.92</v>
      </c>
      <c r="AE129" s="133">
        <v>0.995502248875562</v>
      </c>
      <c r="AF129" s="133">
        <v>0.995648389904265</v>
      </c>
      <c r="AG129" s="133">
        <v>0.99375</v>
      </c>
      <c r="AH129" s="133">
        <v>0.995002301571645</v>
      </c>
      <c r="AI129" s="135">
        <v>0.92</v>
      </c>
      <c r="AJ129" s="133">
        <v>0.967972871137905</v>
      </c>
      <c r="AK129" s="133">
        <v>0.974604966139955</v>
      </c>
      <c r="AL129" s="133">
        <v>0.979891724671307</v>
      </c>
      <c r="AM129" s="133">
        <v>0.984417973773385</v>
      </c>
      <c r="AN129" s="132">
        <v>0.99</v>
      </c>
      <c r="AO129" s="137">
        <v>1</v>
      </c>
      <c r="AP129" s="137">
        <v>1</v>
      </c>
      <c r="AQ129" s="137">
        <v>1</v>
      </c>
      <c r="AR129" s="137">
        <v>1</v>
      </c>
      <c r="AS129" s="139">
        <v>0.105261498981944</v>
      </c>
      <c r="AT129" s="141">
        <v>0</v>
      </c>
      <c r="AU129" s="141">
        <v>0</v>
      </c>
      <c r="AV129" s="141">
        <v>0</v>
      </c>
      <c r="AW129" s="141">
        <v>0.0506329113924051</v>
      </c>
      <c r="AX129" s="95"/>
      <c r="AY129" s="93"/>
    </row>
    <row r="130" ht="14.5" spans="1:51">
      <c r="A130" s="91"/>
      <c r="B130" s="95"/>
      <c r="C130" s="152" t="s">
        <v>99</v>
      </c>
      <c r="D130" s="153" t="s">
        <v>25</v>
      </c>
      <c r="E130" s="130" t="s">
        <v>100</v>
      </c>
      <c r="F130" s="154" t="s">
        <v>152</v>
      </c>
      <c r="G130" s="154" t="s">
        <v>152</v>
      </c>
      <c r="H130" s="154" t="s">
        <v>152</v>
      </c>
      <c r="I130" s="154" t="s">
        <v>152</v>
      </c>
      <c r="J130" s="132">
        <v>0.9</v>
      </c>
      <c r="K130" s="133">
        <v>1</v>
      </c>
      <c r="L130" s="133">
        <v>1</v>
      </c>
      <c r="M130" s="134">
        <v>1</v>
      </c>
      <c r="N130" s="133">
        <v>0.994301994301994</v>
      </c>
      <c r="O130" s="135">
        <v>0.9</v>
      </c>
      <c r="P130" s="133">
        <v>0</v>
      </c>
      <c r="Q130" s="133">
        <v>0</v>
      </c>
      <c r="R130" s="133">
        <v>0</v>
      </c>
      <c r="S130" s="133">
        <v>0</v>
      </c>
      <c r="T130" s="135">
        <v>0.9</v>
      </c>
      <c r="U130" s="133">
        <v>0</v>
      </c>
      <c r="V130" s="133">
        <v>0</v>
      </c>
      <c r="W130" s="133">
        <v>0</v>
      </c>
      <c r="X130" s="133">
        <v>0.2</v>
      </c>
      <c r="Y130" s="135">
        <v>0.92</v>
      </c>
      <c r="Z130" s="135" t="s">
        <v>35</v>
      </c>
      <c r="AA130" s="135" t="s">
        <v>35</v>
      </c>
      <c r="AB130" s="135" t="s">
        <v>35</v>
      </c>
      <c r="AC130" s="135">
        <v>0</v>
      </c>
      <c r="AD130" s="135">
        <v>0.92</v>
      </c>
      <c r="AE130" s="133">
        <v>0.995963673057518</v>
      </c>
      <c r="AF130" s="133">
        <v>0.996219281663516</v>
      </c>
      <c r="AG130" s="133">
        <v>0.995283018867924</v>
      </c>
      <c r="AH130" s="133">
        <v>0.991797722342733</v>
      </c>
      <c r="AI130" s="135">
        <v>0.92</v>
      </c>
      <c r="AJ130" s="133">
        <v>0.956299212598425</v>
      </c>
      <c r="AK130" s="133">
        <v>0.963640275387263</v>
      </c>
      <c r="AL130" s="133">
        <v>0.974099698421146</v>
      </c>
      <c r="AM130" s="133">
        <v>0.981119695205842</v>
      </c>
      <c r="AN130" s="132">
        <v>0.99</v>
      </c>
      <c r="AO130" s="137">
        <v>1</v>
      </c>
      <c r="AP130" s="137">
        <v>1</v>
      </c>
      <c r="AQ130" s="137">
        <v>1</v>
      </c>
      <c r="AR130" s="137">
        <v>1</v>
      </c>
      <c r="AS130" s="139">
        <v>0.105261498981944</v>
      </c>
      <c r="AT130" s="141">
        <v>0.4</v>
      </c>
      <c r="AU130" s="141">
        <v>0.153846153846154</v>
      </c>
      <c r="AV130" s="141">
        <v>0</v>
      </c>
      <c r="AW130" s="141">
        <v>0.0538922155688623</v>
      </c>
      <c r="AX130" s="95"/>
      <c r="AY130" s="93"/>
    </row>
    <row r="131" ht="14.5" spans="1:51">
      <c r="A131" s="91"/>
      <c r="B131" s="95"/>
      <c r="C131" s="152" t="s">
        <v>99</v>
      </c>
      <c r="D131" s="153" t="s">
        <v>25</v>
      </c>
      <c r="E131" s="130" t="s">
        <v>100</v>
      </c>
      <c r="F131" s="154" t="s">
        <v>153</v>
      </c>
      <c r="G131" s="154" t="s">
        <v>153</v>
      </c>
      <c r="H131" s="154" t="s">
        <v>153</v>
      </c>
      <c r="I131" s="154" t="s">
        <v>153</v>
      </c>
      <c r="J131" s="132">
        <v>0.9</v>
      </c>
      <c r="K131" s="133">
        <v>0.980769230769231</v>
      </c>
      <c r="L131" s="133">
        <v>0.981132075471698</v>
      </c>
      <c r="M131" s="134">
        <v>1</v>
      </c>
      <c r="N131" s="133">
        <v>0.987378640776699</v>
      </c>
      <c r="O131" s="135">
        <v>0.9</v>
      </c>
      <c r="P131" s="133" t="s">
        <v>35</v>
      </c>
      <c r="Q131" s="133" t="s">
        <v>35</v>
      </c>
      <c r="R131" s="133" t="s">
        <v>35</v>
      </c>
      <c r="S131" s="133">
        <v>1</v>
      </c>
      <c r="T131" s="135">
        <v>0.9</v>
      </c>
      <c r="U131" s="133" t="s">
        <v>35</v>
      </c>
      <c r="V131" s="133" t="s">
        <v>35</v>
      </c>
      <c r="W131" s="133" t="s">
        <v>35</v>
      </c>
      <c r="X131" s="133">
        <v>1</v>
      </c>
      <c r="Y131" s="135">
        <v>0.92</v>
      </c>
      <c r="Z131" s="135" t="s">
        <v>35</v>
      </c>
      <c r="AA131" s="135" t="s">
        <v>35</v>
      </c>
      <c r="AB131" s="135" t="s">
        <v>35</v>
      </c>
      <c r="AC131" s="135" t="s">
        <v>35</v>
      </c>
      <c r="AD131" s="135">
        <v>0.92</v>
      </c>
      <c r="AE131" s="133">
        <v>1</v>
      </c>
      <c r="AF131" s="133">
        <v>0.995215311004785</v>
      </c>
      <c r="AG131" s="133">
        <v>0.989637305699482</v>
      </c>
      <c r="AH131" s="133">
        <v>0.98542665388303</v>
      </c>
      <c r="AI131" s="135">
        <v>0.92</v>
      </c>
      <c r="AJ131" s="133">
        <v>0.955845248107653</v>
      </c>
      <c r="AK131" s="133">
        <v>0.964657906660625</v>
      </c>
      <c r="AL131" s="133">
        <v>0.960280805468317</v>
      </c>
      <c r="AM131" s="133">
        <v>0.969840798971621</v>
      </c>
      <c r="AN131" s="132">
        <v>0.99</v>
      </c>
      <c r="AO131" s="137">
        <v>1</v>
      </c>
      <c r="AP131" s="137">
        <v>1</v>
      </c>
      <c r="AQ131" s="137">
        <v>1</v>
      </c>
      <c r="AR131" s="137">
        <v>1</v>
      </c>
      <c r="AS131" s="139">
        <v>0.105261498981944</v>
      </c>
      <c r="AT131" s="141">
        <v>0</v>
      </c>
      <c r="AU131" s="141">
        <v>0</v>
      </c>
      <c r="AV131" s="141">
        <v>0</v>
      </c>
      <c r="AW131" s="141">
        <v>0.0919540229885057</v>
      </c>
      <c r="AX131" s="95"/>
      <c r="AY131" s="93"/>
    </row>
    <row r="132" ht="14.5" spans="1:51">
      <c r="A132" s="91"/>
      <c r="B132" s="95"/>
      <c r="C132" s="152" t="s">
        <v>99</v>
      </c>
      <c r="D132" s="153" t="s">
        <v>25</v>
      </c>
      <c r="E132" s="130" t="s">
        <v>100</v>
      </c>
      <c r="F132" s="154" t="s">
        <v>154</v>
      </c>
      <c r="G132" s="154" t="s">
        <v>154</v>
      </c>
      <c r="H132" s="154" t="s">
        <v>154</v>
      </c>
      <c r="I132" s="154" t="s">
        <v>154</v>
      </c>
      <c r="J132" s="132">
        <v>0.9</v>
      </c>
      <c r="K132" s="133">
        <v>1</v>
      </c>
      <c r="L132" s="133">
        <v>0.9375</v>
      </c>
      <c r="M132" s="134">
        <v>1</v>
      </c>
      <c r="N132" s="133">
        <v>0.967128027681661</v>
      </c>
      <c r="O132" s="135">
        <v>0.9</v>
      </c>
      <c r="P132" s="133" t="s">
        <v>35</v>
      </c>
      <c r="Q132" s="133" t="s">
        <v>35</v>
      </c>
      <c r="R132" s="133" t="s">
        <v>35</v>
      </c>
      <c r="S132" s="133" t="s">
        <v>35</v>
      </c>
      <c r="T132" s="135">
        <v>0.9</v>
      </c>
      <c r="U132" s="133" t="s">
        <v>35</v>
      </c>
      <c r="V132" s="133" t="s">
        <v>35</v>
      </c>
      <c r="W132" s="133" t="s">
        <v>35</v>
      </c>
      <c r="X132" s="133" t="s">
        <v>35</v>
      </c>
      <c r="Y132" s="135">
        <v>0.92</v>
      </c>
      <c r="Z132" s="135" t="s">
        <v>35</v>
      </c>
      <c r="AA132" s="135" t="s">
        <v>35</v>
      </c>
      <c r="AB132" s="135" t="s">
        <v>35</v>
      </c>
      <c r="AC132" s="135" t="s">
        <v>35</v>
      </c>
      <c r="AD132" s="135">
        <v>0.92</v>
      </c>
      <c r="AE132" s="133">
        <v>1</v>
      </c>
      <c r="AF132" s="133">
        <v>1</v>
      </c>
      <c r="AG132" s="133">
        <v>0.78125</v>
      </c>
      <c r="AH132" s="133">
        <v>0.974424552429668</v>
      </c>
      <c r="AI132" s="135">
        <v>0.92</v>
      </c>
      <c r="AJ132" s="133">
        <v>0.959411764705882</v>
      </c>
      <c r="AK132" s="133">
        <v>0.9728125</v>
      </c>
      <c r="AL132" s="133">
        <v>0.98568281938326</v>
      </c>
      <c r="AM132" s="133">
        <v>0.983150747371234</v>
      </c>
      <c r="AN132" s="132">
        <v>0.99</v>
      </c>
      <c r="AO132" s="137">
        <v>1</v>
      </c>
      <c r="AP132" s="137">
        <v>1</v>
      </c>
      <c r="AQ132" s="137">
        <v>1</v>
      </c>
      <c r="AR132" s="137">
        <v>1</v>
      </c>
      <c r="AS132" s="139">
        <v>0.105261498981944</v>
      </c>
      <c r="AT132" s="141">
        <v>0.5</v>
      </c>
      <c r="AU132" s="141">
        <v>0</v>
      </c>
      <c r="AV132" s="141">
        <v>0</v>
      </c>
      <c r="AW132" s="141">
        <v>0.0423728813559322</v>
      </c>
      <c r="AX132" s="95"/>
      <c r="AY132" s="93"/>
    </row>
    <row r="133" ht="14.5" spans="1:51">
      <c r="A133" s="91"/>
      <c r="B133" s="95"/>
      <c r="C133" s="152" t="s">
        <v>99</v>
      </c>
      <c r="D133" s="153" t="s">
        <v>25</v>
      </c>
      <c r="E133" s="130" t="s">
        <v>100</v>
      </c>
      <c r="F133" s="154" t="s">
        <v>155</v>
      </c>
      <c r="G133" s="154" t="s">
        <v>155</v>
      </c>
      <c r="H133" s="154" t="s">
        <v>155</v>
      </c>
      <c r="I133" s="154" t="s">
        <v>155</v>
      </c>
      <c r="J133" s="132">
        <v>0.9</v>
      </c>
      <c r="K133" s="133">
        <v>1</v>
      </c>
      <c r="L133" s="133">
        <v>0.952380952380952</v>
      </c>
      <c r="M133" s="134">
        <v>1</v>
      </c>
      <c r="N133" s="133">
        <v>0.980716253443526</v>
      </c>
      <c r="O133" s="135">
        <v>0.9</v>
      </c>
      <c r="P133" s="133" t="s">
        <v>35</v>
      </c>
      <c r="Q133" s="133" t="s">
        <v>35</v>
      </c>
      <c r="R133" s="133" t="s">
        <v>35</v>
      </c>
      <c r="S133" s="133" t="s">
        <v>35</v>
      </c>
      <c r="T133" s="135">
        <v>0.9</v>
      </c>
      <c r="U133" s="133" t="s">
        <v>35</v>
      </c>
      <c r="V133" s="133" t="s">
        <v>35</v>
      </c>
      <c r="W133" s="133" t="s">
        <v>35</v>
      </c>
      <c r="X133" s="133" t="s">
        <v>35</v>
      </c>
      <c r="Y133" s="135">
        <v>0.92</v>
      </c>
      <c r="Z133" s="135" t="s">
        <v>35</v>
      </c>
      <c r="AA133" s="135" t="s">
        <v>35</v>
      </c>
      <c r="AB133" s="135" t="s">
        <v>35</v>
      </c>
      <c r="AC133" s="135" t="s">
        <v>35</v>
      </c>
      <c r="AD133" s="135">
        <v>0.92</v>
      </c>
      <c r="AE133" s="133">
        <v>0.990476190476191</v>
      </c>
      <c r="AF133" s="133">
        <v>1</v>
      </c>
      <c r="AG133" s="133">
        <v>0.964912280701754</v>
      </c>
      <c r="AH133" s="133">
        <v>0.982788296041308</v>
      </c>
      <c r="AI133" s="135">
        <v>0.92</v>
      </c>
      <c r="AJ133" s="133">
        <v>0.977619532044761</v>
      </c>
      <c r="AK133" s="133">
        <v>0.982116244411326</v>
      </c>
      <c r="AL133" s="133">
        <v>0.990837151187005</v>
      </c>
      <c r="AM133" s="133">
        <v>0.991526258744704</v>
      </c>
      <c r="AN133" s="132">
        <v>0.99</v>
      </c>
      <c r="AO133" s="137">
        <v>1</v>
      </c>
      <c r="AP133" s="137">
        <v>1</v>
      </c>
      <c r="AQ133" s="137">
        <v>1</v>
      </c>
      <c r="AR133" s="137">
        <v>1</v>
      </c>
      <c r="AS133" s="139">
        <v>0.105261498981944</v>
      </c>
      <c r="AT133" s="141">
        <v>0</v>
      </c>
      <c r="AU133" s="141">
        <v>0</v>
      </c>
      <c r="AV133" s="141">
        <v>0</v>
      </c>
      <c r="AW133" s="141">
        <v>0.0232558139534884</v>
      </c>
      <c r="AX133" s="95"/>
      <c r="AY133" s="93"/>
    </row>
    <row r="134" ht="14.5" spans="1:51">
      <c r="A134" s="91"/>
      <c r="B134" s="95"/>
      <c r="C134" s="152" t="s">
        <v>99</v>
      </c>
      <c r="D134" s="153" t="s">
        <v>25</v>
      </c>
      <c r="E134" s="130" t="s">
        <v>100</v>
      </c>
      <c r="F134" s="154" t="s">
        <v>156</v>
      </c>
      <c r="G134" s="154" t="s">
        <v>156</v>
      </c>
      <c r="H134" s="154" t="s">
        <v>156</v>
      </c>
      <c r="I134" s="154" t="s">
        <v>156</v>
      </c>
      <c r="J134" s="132">
        <v>0.9</v>
      </c>
      <c r="K134" s="133">
        <v>1</v>
      </c>
      <c r="L134" s="133">
        <v>1</v>
      </c>
      <c r="M134" s="134">
        <v>0.957142857142857</v>
      </c>
      <c r="N134" s="133">
        <v>0.984078847611827</v>
      </c>
      <c r="O134" s="135">
        <v>0.9</v>
      </c>
      <c r="P134" s="133">
        <v>0</v>
      </c>
      <c r="Q134" s="133">
        <v>1</v>
      </c>
      <c r="R134" s="133" t="s">
        <v>35</v>
      </c>
      <c r="S134" s="133">
        <v>0.4</v>
      </c>
      <c r="T134" s="135">
        <v>0.9</v>
      </c>
      <c r="U134" s="133">
        <v>0</v>
      </c>
      <c r="V134" s="133">
        <v>1</v>
      </c>
      <c r="W134" s="133" t="s">
        <v>35</v>
      </c>
      <c r="X134" s="133">
        <v>0.6</v>
      </c>
      <c r="Y134" s="135">
        <v>0.92</v>
      </c>
      <c r="Z134" s="135">
        <v>0</v>
      </c>
      <c r="AA134" s="135">
        <v>0</v>
      </c>
      <c r="AB134" s="135" t="s">
        <v>35</v>
      </c>
      <c r="AC134" s="135">
        <v>0</v>
      </c>
      <c r="AD134" s="135">
        <v>0.92</v>
      </c>
      <c r="AE134" s="133">
        <v>0.999627282892285</v>
      </c>
      <c r="AF134" s="133">
        <v>0.995283018867924</v>
      </c>
      <c r="AG134" s="133">
        <v>0.99813258636788</v>
      </c>
      <c r="AH134" s="133">
        <v>0.99669295344696</v>
      </c>
      <c r="AI134" s="135">
        <v>0.92</v>
      </c>
      <c r="AJ134" s="133">
        <v>0.961374695863747</v>
      </c>
      <c r="AK134" s="133">
        <v>0.981365435356201</v>
      </c>
      <c r="AL134" s="133">
        <v>0.981937832539905</v>
      </c>
      <c r="AM134" s="133">
        <v>0.987588273057993</v>
      </c>
      <c r="AN134" s="132">
        <v>0.99</v>
      </c>
      <c r="AO134" s="137">
        <v>1</v>
      </c>
      <c r="AP134" s="137">
        <v>1</v>
      </c>
      <c r="AQ134" s="137">
        <v>1</v>
      </c>
      <c r="AR134" s="137">
        <v>1</v>
      </c>
      <c r="AS134" s="139">
        <v>0.105261498981944</v>
      </c>
      <c r="AT134" s="141">
        <v>1.33333333333333</v>
      </c>
      <c r="AU134" s="141">
        <v>0.181818181818182</v>
      </c>
      <c r="AV134" s="141">
        <v>0</v>
      </c>
      <c r="AW134" s="141">
        <v>0.0552995391705069</v>
      </c>
      <c r="AX134" s="95"/>
      <c r="AY134" s="93"/>
    </row>
    <row r="135" ht="14.5" spans="1:51">
      <c r="A135" s="91"/>
      <c r="B135" s="95"/>
      <c r="C135" s="152" t="s">
        <v>99</v>
      </c>
      <c r="D135" s="153" t="s">
        <v>25</v>
      </c>
      <c r="E135" s="130" t="s">
        <v>100</v>
      </c>
      <c r="F135" s="154" t="s">
        <v>157</v>
      </c>
      <c r="G135" s="154" t="s">
        <v>157</v>
      </c>
      <c r="H135" s="154" t="s">
        <v>157</v>
      </c>
      <c r="I135" s="154" t="s">
        <v>157</v>
      </c>
      <c r="J135" s="132">
        <v>0.9</v>
      </c>
      <c r="K135" s="133">
        <v>0.9375</v>
      </c>
      <c r="L135" s="133">
        <v>0.950819672131147</v>
      </c>
      <c r="M135" s="134">
        <v>0.967213114754098</v>
      </c>
      <c r="N135" s="133">
        <v>0.967068273092369</v>
      </c>
      <c r="O135" s="135">
        <v>0.9</v>
      </c>
      <c r="P135" s="133" t="s">
        <v>35</v>
      </c>
      <c r="Q135" s="133" t="s">
        <v>35</v>
      </c>
      <c r="R135" s="133">
        <v>0</v>
      </c>
      <c r="S135" s="133">
        <v>0</v>
      </c>
      <c r="T135" s="135">
        <v>0.9</v>
      </c>
      <c r="U135" s="133" t="s">
        <v>35</v>
      </c>
      <c r="V135" s="133" t="s">
        <v>35</v>
      </c>
      <c r="W135" s="133">
        <v>1</v>
      </c>
      <c r="X135" s="133">
        <v>0.666666666666667</v>
      </c>
      <c r="Y135" s="135">
        <v>0.92</v>
      </c>
      <c r="Z135" s="135">
        <v>0</v>
      </c>
      <c r="AA135" s="135" t="s">
        <v>35</v>
      </c>
      <c r="AB135" s="135" t="s">
        <v>35</v>
      </c>
      <c r="AC135" s="135">
        <v>0</v>
      </c>
      <c r="AD135" s="135">
        <v>0.92</v>
      </c>
      <c r="AE135" s="133">
        <v>0.997167138810198</v>
      </c>
      <c r="AF135" s="133">
        <v>0.995515695067265</v>
      </c>
      <c r="AG135" s="133">
        <v>0.995238095238095</v>
      </c>
      <c r="AH135" s="133">
        <v>0.993915630070308</v>
      </c>
      <c r="AI135" s="135">
        <v>0.92</v>
      </c>
      <c r="AJ135" s="133">
        <v>0.965112262521589</v>
      </c>
      <c r="AK135" s="133">
        <v>0.973838272960117</v>
      </c>
      <c r="AL135" s="133">
        <v>0.982148401117665</v>
      </c>
      <c r="AM135" s="133">
        <v>0.988137712877478</v>
      </c>
      <c r="AN135" s="132">
        <v>0.99</v>
      </c>
      <c r="AO135" s="137">
        <v>1</v>
      </c>
      <c r="AP135" s="137">
        <v>1</v>
      </c>
      <c r="AQ135" s="137">
        <v>1</v>
      </c>
      <c r="AR135" s="137">
        <v>1</v>
      </c>
      <c r="AS135" s="139">
        <v>0.105261498981944</v>
      </c>
      <c r="AT135" s="141">
        <v>0.0909090909090909</v>
      </c>
      <c r="AU135" s="141">
        <v>0</v>
      </c>
      <c r="AV135" s="141">
        <v>0.0625</v>
      </c>
      <c r="AW135" s="141">
        <v>0.0337837837837838</v>
      </c>
      <c r="AX135" s="95"/>
      <c r="AY135" s="93"/>
    </row>
    <row r="136" ht="14.5" spans="1:51">
      <c r="A136" s="91"/>
      <c r="B136" s="95"/>
      <c r="C136" s="152" t="s">
        <v>99</v>
      </c>
      <c r="D136" s="153" t="s">
        <v>25</v>
      </c>
      <c r="E136" s="130" t="s">
        <v>100</v>
      </c>
      <c r="F136" s="154" t="s">
        <v>158</v>
      </c>
      <c r="G136" s="154" t="s">
        <v>158</v>
      </c>
      <c r="H136" s="154" t="s">
        <v>158</v>
      </c>
      <c r="I136" s="154" t="s">
        <v>158</v>
      </c>
      <c r="J136" s="132">
        <v>0.9</v>
      </c>
      <c r="K136" s="133">
        <v>0.976190476190476</v>
      </c>
      <c r="L136" s="133">
        <v>0.974358974358974</v>
      </c>
      <c r="M136" s="134">
        <v>0.977272727272727</v>
      </c>
      <c r="N136" s="133">
        <v>0.985401459854015</v>
      </c>
      <c r="O136" s="135">
        <v>0.9</v>
      </c>
      <c r="P136" s="133">
        <v>0</v>
      </c>
      <c r="Q136" s="133" t="s">
        <v>35</v>
      </c>
      <c r="R136" s="133" t="s">
        <v>35</v>
      </c>
      <c r="S136" s="133">
        <v>0</v>
      </c>
      <c r="T136" s="135">
        <v>0.9</v>
      </c>
      <c r="U136" s="133">
        <v>0</v>
      </c>
      <c r="V136" s="133" t="s">
        <v>35</v>
      </c>
      <c r="W136" s="133" t="s">
        <v>35</v>
      </c>
      <c r="X136" s="133">
        <v>0</v>
      </c>
      <c r="Y136" s="135">
        <v>0.92</v>
      </c>
      <c r="Z136" s="135" t="s">
        <v>35</v>
      </c>
      <c r="AA136" s="135" t="s">
        <v>35</v>
      </c>
      <c r="AB136" s="135">
        <v>1</v>
      </c>
      <c r="AC136" s="135">
        <v>1</v>
      </c>
      <c r="AD136" s="135">
        <v>0.92</v>
      </c>
      <c r="AE136" s="133">
        <v>0.995850622406639</v>
      </c>
      <c r="AF136" s="133">
        <v>0.99644128113879</v>
      </c>
      <c r="AG136" s="133">
        <v>0.986013986013986</v>
      </c>
      <c r="AH136" s="133">
        <v>0.995520062329568</v>
      </c>
      <c r="AI136" s="135">
        <v>0.92</v>
      </c>
      <c r="AJ136" s="133">
        <v>0.983641160949868</v>
      </c>
      <c r="AK136" s="133">
        <v>0.982838463633887</v>
      </c>
      <c r="AL136" s="133">
        <v>0.993047230879885</v>
      </c>
      <c r="AM136" s="133">
        <v>0.992322732762091</v>
      </c>
      <c r="AN136" s="132">
        <v>0.99</v>
      </c>
      <c r="AO136" s="137">
        <v>1</v>
      </c>
      <c r="AP136" s="137">
        <v>1</v>
      </c>
      <c r="AQ136" s="137">
        <v>1</v>
      </c>
      <c r="AR136" s="137">
        <v>1</v>
      </c>
      <c r="AS136" s="139">
        <v>0.105261498981944</v>
      </c>
      <c r="AT136" s="141">
        <v>0.333333333333333</v>
      </c>
      <c r="AU136" s="141">
        <v>0</v>
      </c>
      <c r="AV136" s="141">
        <v>0</v>
      </c>
      <c r="AW136" s="141">
        <v>0.0909090909090909</v>
      </c>
      <c r="AX136" s="95"/>
      <c r="AY136" s="93"/>
    </row>
    <row r="137" ht="14.5" spans="1:51">
      <c r="A137" s="91"/>
      <c r="B137" s="95"/>
      <c r="C137" s="152" t="s">
        <v>99</v>
      </c>
      <c r="D137" s="153" t="s">
        <v>25</v>
      </c>
      <c r="E137" s="130" t="s">
        <v>100</v>
      </c>
      <c r="F137" s="154" t="s">
        <v>159</v>
      </c>
      <c r="G137" s="154" t="s">
        <v>159</v>
      </c>
      <c r="H137" s="154" t="s">
        <v>159</v>
      </c>
      <c r="I137" s="154" t="s">
        <v>159</v>
      </c>
      <c r="J137" s="132">
        <v>0.9</v>
      </c>
      <c r="K137" s="133">
        <v>0.961538461538462</v>
      </c>
      <c r="L137" s="133">
        <v>1</v>
      </c>
      <c r="M137" s="134">
        <v>0.962962962962963</v>
      </c>
      <c r="N137" s="133">
        <v>0.990842490842491</v>
      </c>
      <c r="O137" s="135">
        <v>0.9</v>
      </c>
      <c r="P137" s="133" t="s">
        <v>35</v>
      </c>
      <c r="Q137" s="133" t="s">
        <v>35</v>
      </c>
      <c r="R137" s="133" t="s">
        <v>35</v>
      </c>
      <c r="S137" s="133">
        <v>0</v>
      </c>
      <c r="T137" s="135">
        <v>0.9</v>
      </c>
      <c r="U137" s="133" t="s">
        <v>35</v>
      </c>
      <c r="V137" s="133" t="s">
        <v>35</v>
      </c>
      <c r="W137" s="133" t="s">
        <v>35</v>
      </c>
      <c r="X137" s="133">
        <v>0</v>
      </c>
      <c r="Y137" s="135">
        <v>0.92</v>
      </c>
      <c r="Z137" s="135" t="s">
        <v>35</v>
      </c>
      <c r="AA137" s="135" t="s">
        <v>35</v>
      </c>
      <c r="AB137" s="135" t="s">
        <v>35</v>
      </c>
      <c r="AC137" s="135" t="s">
        <v>35</v>
      </c>
      <c r="AD137" s="135">
        <v>0.92</v>
      </c>
      <c r="AE137" s="133">
        <v>1</v>
      </c>
      <c r="AF137" s="133">
        <v>1</v>
      </c>
      <c r="AG137" s="133">
        <v>0.986301369863014</v>
      </c>
      <c r="AH137" s="133">
        <v>0.982902235861464</v>
      </c>
      <c r="AI137" s="135">
        <v>0.92</v>
      </c>
      <c r="AJ137" s="133">
        <v>0.969240426867546</v>
      </c>
      <c r="AK137" s="133">
        <v>0.988676574663836</v>
      </c>
      <c r="AL137" s="133">
        <v>0.988558352402746</v>
      </c>
      <c r="AM137" s="133">
        <v>0.991250560286867</v>
      </c>
      <c r="AN137" s="132">
        <v>0.99</v>
      </c>
      <c r="AO137" s="137">
        <v>1</v>
      </c>
      <c r="AP137" s="137">
        <v>1</v>
      </c>
      <c r="AQ137" s="137">
        <v>1</v>
      </c>
      <c r="AR137" s="137">
        <v>1</v>
      </c>
      <c r="AS137" s="139">
        <v>0.105261498981944</v>
      </c>
      <c r="AT137" s="141" t="s">
        <v>35</v>
      </c>
      <c r="AU137" s="141" t="s">
        <v>35</v>
      </c>
      <c r="AV137" s="141">
        <v>0</v>
      </c>
      <c r="AW137" s="141">
        <v>0.159090909090909</v>
      </c>
      <c r="AX137" s="95"/>
      <c r="AY137" s="93"/>
    </row>
    <row r="138" ht="14.5" spans="1:51">
      <c r="A138" s="91"/>
      <c r="B138" s="95"/>
      <c r="C138" s="152" t="s">
        <v>99</v>
      </c>
      <c r="D138" s="153" t="s">
        <v>25</v>
      </c>
      <c r="E138" s="130" t="s">
        <v>100</v>
      </c>
      <c r="F138" s="154" t="s">
        <v>160</v>
      </c>
      <c r="G138" s="154" t="s">
        <v>160</v>
      </c>
      <c r="H138" s="154" t="s">
        <v>160</v>
      </c>
      <c r="I138" s="154" t="s">
        <v>160</v>
      </c>
      <c r="J138" s="132">
        <v>0.9</v>
      </c>
      <c r="K138" s="133">
        <v>0.949152542372881</v>
      </c>
      <c r="L138" s="133">
        <v>0.985507246376812</v>
      </c>
      <c r="M138" s="134">
        <v>0.985714285714286</v>
      </c>
      <c r="N138" s="133">
        <v>0.981949458483754</v>
      </c>
      <c r="O138" s="135">
        <v>0.9</v>
      </c>
      <c r="P138" s="133">
        <v>0.142857142857143</v>
      </c>
      <c r="Q138" s="133">
        <v>1</v>
      </c>
      <c r="R138" s="133">
        <v>0</v>
      </c>
      <c r="S138" s="133">
        <v>0.272727272727273</v>
      </c>
      <c r="T138" s="135">
        <v>0.9</v>
      </c>
      <c r="U138" s="133">
        <v>0.142857142857143</v>
      </c>
      <c r="V138" s="133">
        <v>0</v>
      </c>
      <c r="W138" s="133">
        <v>0</v>
      </c>
      <c r="X138" s="133">
        <v>0.0909090909090909</v>
      </c>
      <c r="Y138" s="135">
        <v>0.92</v>
      </c>
      <c r="Z138" s="135">
        <v>0</v>
      </c>
      <c r="AA138" s="135" t="s">
        <v>35</v>
      </c>
      <c r="AB138" s="135" t="s">
        <v>35</v>
      </c>
      <c r="AC138" s="135">
        <v>0</v>
      </c>
      <c r="AD138" s="135">
        <v>0.92</v>
      </c>
      <c r="AE138" s="133">
        <v>1</v>
      </c>
      <c r="AF138" s="133">
        <v>0.996545768566494</v>
      </c>
      <c r="AG138" s="133">
        <v>0.99496644295302</v>
      </c>
      <c r="AH138" s="133">
        <v>0.997487256802355</v>
      </c>
      <c r="AI138" s="135">
        <v>0.92</v>
      </c>
      <c r="AJ138" s="133">
        <v>0.966355140186916</v>
      </c>
      <c r="AK138" s="133">
        <v>0.974500203998368</v>
      </c>
      <c r="AL138" s="133">
        <v>0.986178299930891</v>
      </c>
      <c r="AM138" s="133">
        <v>0.986065170749151</v>
      </c>
      <c r="AN138" s="132">
        <v>0.99</v>
      </c>
      <c r="AO138" s="137">
        <v>1</v>
      </c>
      <c r="AP138" s="137">
        <v>1</v>
      </c>
      <c r="AQ138" s="137">
        <v>1</v>
      </c>
      <c r="AR138" s="137">
        <v>1</v>
      </c>
      <c r="AS138" s="139">
        <v>0.105261498981944</v>
      </c>
      <c r="AT138" s="141">
        <v>0</v>
      </c>
      <c r="AU138" s="141">
        <v>0</v>
      </c>
      <c r="AV138" s="141">
        <v>0</v>
      </c>
      <c r="AW138" s="141">
        <v>0.0566037735849057</v>
      </c>
      <c r="AX138" s="95"/>
      <c r="AY138" s="93"/>
    </row>
    <row r="139" ht="14.5" spans="1:51">
      <c r="A139" s="91"/>
      <c r="B139" s="95"/>
      <c r="C139" s="152" t="s">
        <v>99</v>
      </c>
      <c r="D139" s="153" t="s">
        <v>25</v>
      </c>
      <c r="E139" s="130" t="s">
        <v>100</v>
      </c>
      <c r="F139" s="154" t="s">
        <v>161</v>
      </c>
      <c r="G139" s="154" t="s">
        <v>161</v>
      </c>
      <c r="H139" s="154" t="s">
        <v>161</v>
      </c>
      <c r="I139" s="154" t="s">
        <v>161</v>
      </c>
      <c r="J139" s="132">
        <v>0.9</v>
      </c>
      <c r="K139" s="133">
        <v>0.94047619047619</v>
      </c>
      <c r="L139" s="133">
        <v>0.977272727272727</v>
      </c>
      <c r="M139" s="134">
        <v>0.954022988505747</v>
      </c>
      <c r="N139" s="133">
        <v>0.959856201318155</v>
      </c>
      <c r="O139" s="135">
        <v>0.9</v>
      </c>
      <c r="P139" s="133">
        <v>0.987548638132296</v>
      </c>
      <c r="Q139" s="133">
        <v>0.944702676711011</v>
      </c>
      <c r="R139" s="133">
        <v>0.925260273972603</v>
      </c>
      <c r="S139" s="133">
        <v>0.944843657702219</v>
      </c>
      <c r="T139" s="135">
        <v>0.9</v>
      </c>
      <c r="U139" s="133">
        <v>0.959533073929961</v>
      </c>
      <c r="V139" s="133">
        <v>0.911043436448149</v>
      </c>
      <c r="W139" s="133">
        <v>0.923068493150685</v>
      </c>
      <c r="X139" s="133">
        <v>0.925428261702141</v>
      </c>
      <c r="Y139" s="135">
        <v>0.92</v>
      </c>
      <c r="Z139" s="135">
        <v>0.955071174377224</v>
      </c>
      <c r="AA139" s="135">
        <v>0.933482392397988</v>
      </c>
      <c r="AB139" s="135">
        <v>0.958470976875885</v>
      </c>
      <c r="AC139" s="135">
        <v>0.964907761750564</v>
      </c>
      <c r="AD139" s="135">
        <v>0.92</v>
      </c>
      <c r="AE139" s="133">
        <v>0.977333928324126</v>
      </c>
      <c r="AF139" s="133">
        <v>0.940746604957067</v>
      </c>
      <c r="AG139" s="133">
        <v>0.993746622404076</v>
      </c>
      <c r="AH139" s="133">
        <v>0.982320144143189</v>
      </c>
      <c r="AI139" s="135">
        <v>0.92</v>
      </c>
      <c r="AJ139" s="133">
        <v>0.97754329004329</v>
      </c>
      <c r="AK139" s="133">
        <v>0.969108121574489</v>
      </c>
      <c r="AL139" s="133">
        <v>0.974334031727028</v>
      </c>
      <c r="AM139" s="133">
        <v>0.97942077699405</v>
      </c>
      <c r="AN139" s="132">
        <v>0.99</v>
      </c>
      <c r="AO139" s="137">
        <v>1</v>
      </c>
      <c r="AP139" s="137">
        <v>1</v>
      </c>
      <c r="AQ139" s="137">
        <v>1</v>
      </c>
      <c r="AR139" s="137">
        <v>1</v>
      </c>
      <c r="AS139" s="139">
        <v>0.105261498981944</v>
      </c>
      <c r="AT139" s="141">
        <v>0.111111111111111</v>
      </c>
      <c r="AU139" s="141">
        <v>0.0714285714285714</v>
      </c>
      <c r="AV139" s="141">
        <v>0.1</v>
      </c>
      <c r="AW139" s="141">
        <v>0.0766961651917404</v>
      </c>
      <c r="AX139" s="95"/>
      <c r="AY139" s="93"/>
    </row>
    <row r="140" ht="14.5" spans="1:51">
      <c r="A140" s="91"/>
      <c r="B140" s="95"/>
      <c r="C140" s="152" t="s">
        <v>99</v>
      </c>
      <c r="D140" s="153" t="s">
        <v>25</v>
      </c>
      <c r="E140" s="130" t="s">
        <v>100</v>
      </c>
      <c r="F140" s="154" t="s">
        <v>162</v>
      </c>
      <c r="G140" s="154" t="s">
        <v>162</v>
      </c>
      <c r="H140" s="154" t="s">
        <v>162</v>
      </c>
      <c r="I140" s="154" t="s">
        <v>162</v>
      </c>
      <c r="J140" s="132">
        <v>0.9</v>
      </c>
      <c r="K140" s="133">
        <v>0.973684210526316</v>
      </c>
      <c r="L140" s="133">
        <v>1</v>
      </c>
      <c r="M140" s="134">
        <v>0.972602739726027</v>
      </c>
      <c r="N140" s="133">
        <v>0.97780959198282</v>
      </c>
      <c r="O140" s="135">
        <v>0.9</v>
      </c>
      <c r="P140" s="133">
        <v>0.979672897196262</v>
      </c>
      <c r="Q140" s="133">
        <v>0.97327261928331</v>
      </c>
      <c r="R140" s="133">
        <v>0.979189336235038</v>
      </c>
      <c r="S140" s="133">
        <v>0.972057809080147</v>
      </c>
      <c r="T140" s="135">
        <v>0.9</v>
      </c>
      <c r="U140" s="133">
        <v>0.948831775700935</v>
      </c>
      <c r="V140" s="133">
        <v>0.931498713126114</v>
      </c>
      <c r="W140" s="133">
        <v>0.938928182807399</v>
      </c>
      <c r="X140" s="133">
        <v>0.939031348736597</v>
      </c>
      <c r="Y140" s="135">
        <v>0.92</v>
      </c>
      <c r="Z140" s="135">
        <v>0.949343339587242</v>
      </c>
      <c r="AA140" s="135">
        <v>0.93046357615894</v>
      </c>
      <c r="AB140" s="135">
        <v>0.954112038140644</v>
      </c>
      <c r="AC140" s="135">
        <v>0.963681380202173</v>
      </c>
      <c r="AD140" s="135">
        <v>0.92</v>
      </c>
      <c r="AE140" s="133">
        <v>0.968032734479893</v>
      </c>
      <c r="AF140" s="133">
        <v>0.983274647887324</v>
      </c>
      <c r="AG140" s="133">
        <v>0.999221789883268</v>
      </c>
      <c r="AH140" s="133">
        <v>0.98355118316321</v>
      </c>
      <c r="AI140" s="135">
        <v>0.92</v>
      </c>
      <c r="AJ140" s="133">
        <v>0.977210884353741</v>
      </c>
      <c r="AK140" s="133">
        <v>0.969212010364274</v>
      </c>
      <c r="AL140" s="133">
        <v>0.977026522226373</v>
      </c>
      <c r="AM140" s="133">
        <v>0.980741052026254</v>
      </c>
      <c r="AN140" s="132">
        <v>0.99</v>
      </c>
      <c r="AO140" s="137">
        <v>1</v>
      </c>
      <c r="AP140" s="137">
        <v>1</v>
      </c>
      <c r="AQ140" s="137">
        <v>1</v>
      </c>
      <c r="AR140" s="137">
        <v>1</v>
      </c>
      <c r="AS140" s="139">
        <v>0.105261498981944</v>
      </c>
      <c r="AT140" s="141">
        <v>0.111111111111111</v>
      </c>
      <c r="AU140" s="141">
        <v>0.0666666666666667</v>
      </c>
      <c r="AV140" s="141">
        <v>0</v>
      </c>
      <c r="AW140" s="141">
        <v>0.0955414012738854</v>
      </c>
      <c r="AX140" s="95"/>
      <c r="AY140" s="93"/>
    </row>
    <row r="141" ht="14.5" spans="1:51">
      <c r="A141" s="91"/>
      <c r="B141" s="95"/>
      <c r="C141" s="152" t="s">
        <v>99</v>
      </c>
      <c r="D141" s="153" t="s">
        <v>25</v>
      </c>
      <c r="E141" s="130" t="s">
        <v>100</v>
      </c>
      <c r="F141" s="154" t="s">
        <v>163</v>
      </c>
      <c r="G141" s="154" t="s">
        <v>163</v>
      </c>
      <c r="H141" s="154" t="s">
        <v>163</v>
      </c>
      <c r="I141" s="154" t="s">
        <v>163</v>
      </c>
      <c r="J141" s="132">
        <v>0.9</v>
      </c>
      <c r="K141" s="133">
        <v>0.958762886597938</v>
      </c>
      <c r="L141" s="133">
        <v>0.931818181818182</v>
      </c>
      <c r="M141" s="134">
        <v>0.978723404255319</v>
      </c>
      <c r="N141" s="133">
        <v>0.962087912087912</v>
      </c>
      <c r="O141" s="135">
        <v>0.9</v>
      </c>
      <c r="P141" s="133">
        <v>0.914541238820802</v>
      </c>
      <c r="Q141" s="133">
        <v>0.891160325572591</v>
      </c>
      <c r="R141" s="133">
        <v>0.887986439720319</v>
      </c>
      <c r="S141" s="133">
        <v>0.912418274637025</v>
      </c>
      <c r="T141" s="135">
        <v>0.9</v>
      </c>
      <c r="U141" s="133">
        <v>0.937838136248206</v>
      </c>
      <c r="V141" s="133">
        <v>0.893904978232065</v>
      </c>
      <c r="W141" s="133">
        <v>0.906137439084681</v>
      </c>
      <c r="X141" s="133">
        <v>0.903959637373245</v>
      </c>
      <c r="Y141" s="135">
        <v>0.92</v>
      </c>
      <c r="Z141" s="135">
        <v>0.921510048886475</v>
      </c>
      <c r="AA141" s="135">
        <v>0.864734299516908</v>
      </c>
      <c r="AB141" s="135">
        <v>0.896850121149187</v>
      </c>
      <c r="AC141" s="135">
        <v>0.905750234590199</v>
      </c>
      <c r="AD141" s="135">
        <v>0.92</v>
      </c>
      <c r="AE141" s="133">
        <v>0.988568960806607</v>
      </c>
      <c r="AF141" s="133">
        <v>0.96521343384601</v>
      </c>
      <c r="AG141" s="133">
        <v>0.983169735463313</v>
      </c>
      <c r="AH141" s="133">
        <v>0.987639204811893</v>
      </c>
      <c r="AI141" s="135">
        <v>0.92</v>
      </c>
      <c r="AJ141" s="133">
        <v>0.953918495297806</v>
      </c>
      <c r="AK141" s="133">
        <v>0.92782977478795</v>
      </c>
      <c r="AL141" s="133">
        <v>0.947001604492579</v>
      </c>
      <c r="AM141" s="133">
        <v>0.945157841089648</v>
      </c>
      <c r="AN141" s="132">
        <v>0.99</v>
      </c>
      <c r="AO141" s="137">
        <v>1</v>
      </c>
      <c r="AP141" s="137">
        <v>1</v>
      </c>
      <c r="AQ141" s="137">
        <v>1</v>
      </c>
      <c r="AR141" s="137">
        <v>1</v>
      </c>
      <c r="AS141" s="139">
        <v>0.105261498981944</v>
      </c>
      <c r="AT141" s="141">
        <v>0.05</v>
      </c>
      <c r="AU141" s="141">
        <v>0.166666666666667</v>
      </c>
      <c r="AV141" s="141">
        <v>0</v>
      </c>
      <c r="AW141" s="141">
        <v>0.114143920595533</v>
      </c>
      <c r="AX141" s="95"/>
      <c r="AY141" s="93"/>
    </row>
    <row r="142" ht="14.5" spans="1:51">
      <c r="A142" s="91"/>
      <c r="B142" s="95"/>
      <c r="C142" s="152" t="s">
        <v>99</v>
      </c>
      <c r="D142" s="153" t="s">
        <v>81</v>
      </c>
      <c r="E142" s="130" t="s">
        <v>100</v>
      </c>
      <c r="F142" s="154" t="s">
        <v>164</v>
      </c>
      <c r="G142" s="154" t="s">
        <v>164</v>
      </c>
      <c r="H142" s="154" t="s">
        <v>164</v>
      </c>
      <c r="I142" s="154" t="s">
        <v>164</v>
      </c>
      <c r="J142" s="132">
        <v>0.9</v>
      </c>
      <c r="K142" s="133">
        <v>0.989010989010989</v>
      </c>
      <c r="L142" s="133">
        <v>0.988888888888889</v>
      </c>
      <c r="M142" s="134">
        <v>0.976470588235294</v>
      </c>
      <c r="N142" s="133">
        <v>0.915580384854128</v>
      </c>
      <c r="O142" s="135">
        <v>0.9</v>
      </c>
      <c r="P142" s="133">
        <v>0.953952797491335</v>
      </c>
      <c r="Q142" s="133">
        <v>0.907714778913823</v>
      </c>
      <c r="R142" s="133">
        <v>0.926527084133692</v>
      </c>
      <c r="S142" s="133">
        <v>0.947783453489355</v>
      </c>
      <c r="T142" s="135">
        <v>0.9</v>
      </c>
      <c r="U142" s="133">
        <v>0.947186004291137</v>
      </c>
      <c r="V142" s="133">
        <v>0.892311777984331</v>
      </c>
      <c r="W142" s="133">
        <v>0.938436419515943</v>
      </c>
      <c r="X142" s="133">
        <v>0.933304350976343</v>
      </c>
      <c r="Y142" s="135">
        <v>0.92</v>
      </c>
      <c r="Z142" s="135">
        <v>0.946564885496183</v>
      </c>
      <c r="AA142" s="135">
        <v>0.369271060672196</v>
      </c>
      <c r="AB142" s="135">
        <v>0.936625688851208</v>
      </c>
      <c r="AC142" s="135">
        <v>0.932861347545939</v>
      </c>
      <c r="AD142" s="135">
        <v>0.92</v>
      </c>
      <c r="AE142" s="133">
        <v>0.990429729153338</v>
      </c>
      <c r="AF142" s="133">
        <v>0.989897343979143</v>
      </c>
      <c r="AG142" s="133">
        <v>0.988885590844629</v>
      </c>
      <c r="AH142" s="133">
        <v>0.962597839026621</v>
      </c>
      <c r="AI142" s="135">
        <v>0.92</v>
      </c>
      <c r="AJ142" s="133">
        <v>0.970763653373874</v>
      </c>
      <c r="AK142" s="133">
        <v>0.801099348534202</v>
      </c>
      <c r="AL142" s="133">
        <v>0.965574203779569</v>
      </c>
      <c r="AM142" s="133">
        <v>0.966800808794258</v>
      </c>
      <c r="AN142" s="132">
        <v>0.99</v>
      </c>
      <c r="AO142" s="137">
        <v>1</v>
      </c>
      <c r="AP142" s="137">
        <v>1</v>
      </c>
      <c r="AQ142" s="137">
        <v>1</v>
      </c>
      <c r="AR142" s="137">
        <v>1</v>
      </c>
      <c r="AS142" s="139">
        <v>0.105261498981944</v>
      </c>
      <c r="AT142" s="141">
        <v>0.1875</v>
      </c>
      <c r="AU142" s="141">
        <v>0</v>
      </c>
      <c r="AV142" s="141">
        <v>0</v>
      </c>
      <c r="AW142" s="141">
        <v>0.113333333333333</v>
      </c>
      <c r="AX142" s="95"/>
      <c r="AY142" s="93"/>
    </row>
    <row r="143" ht="14.5" spans="1:51">
      <c r="A143" s="91"/>
      <c r="B143" s="95"/>
      <c r="C143" s="152" t="s">
        <v>99</v>
      </c>
      <c r="D143" s="153" t="s">
        <v>25</v>
      </c>
      <c r="E143" s="130" t="s">
        <v>100</v>
      </c>
      <c r="F143" s="154" t="s">
        <v>165</v>
      </c>
      <c r="G143" s="154" t="s">
        <v>165</v>
      </c>
      <c r="H143" s="154" t="s">
        <v>165</v>
      </c>
      <c r="I143" s="154" t="s">
        <v>165</v>
      </c>
      <c r="J143" s="132">
        <v>0.9</v>
      </c>
      <c r="K143" s="133">
        <v>1</v>
      </c>
      <c r="L143" s="133">
        <v>1</v>
      </c>
      <c r="M143" s="134">
        <v>1</v>
      </c>
      <c r="N143" s="133">
        <v>0.998299319727891</v>
      </c>
      <c r="O143" s="135">
        <v>0.9</v>
      </c>
      <c r="P143" s="133">
        <v>0.986451612903226</v>
      </c>
      <c r="Q143" s="133">
        <v>0.976693455797933</v>
      </c>
      <c r="R143" s="133">
        <v>0.983115947827479</v>
      </c>
      <c r="S143" s="133">
        <v>0.973973672846545</v>
      </c>
      <c r="T143" s="135">
        <v>0.9</v>
      </c>
      <c r="U143" s="133">
        <v>0.979741935483871</v>
      </c>
      <c r="V143" s="133">
        <v>0.961653272101033</v>
      </c>
      <c r="W143" s="133">
        <v>0.979515083620069</v>
      </c>
      <c r="X143" s="133">
        <v>0.967355494204242</v>
      </c>
      <c r="Y143" s="135">
        <v>0.92</v>
      </c>
      <c r="Z143" s="135">
        <v>0.976213750407299</v>
      </c>
      <c r="AA143" s="135">
        <v>0.932567049808429</v>
      </c>
      <c r="AB143" s="135">
        <v>0.960897303972011</v>
      </c>
      <c r="AC143" s="135">
        <v>0.950171855641261</v>
      </c>
      <c r="AD143" s="135">
        <v>0.92</v>
      </c>
      <c r="AE143" s="133">
        <v>0.993977797663676</v>
      </c>
      <c r="AF143" s="133">
        <v>0.988414265565182</v>
      </c>
      <c r="AG143" s="133">
        <v>0.989591823248232</v>
      </c>
      <c r="AH143" s="133">
        <v>0.978876635243454</v>
      </c>
      <c r="AI143" s="135">
        <v>0.92</v>
      </c>
      <c r="AJ143" s="133">
        <v>0.986517683996676</v>
      </c>
      <c r="AK143" s="133">
        <v>0.973514611106206</v>
      </c>
      <c r="AL143" s="133">
        <v>0.983065491619146</v>
      </c>
      <c r="AM143" s="133">
        <v>0.978169260046286</v>
      </c>
      <c r="AN143" s="132">
        <v>0.99</v>
      </c>
      <c r="AO143" s="137">
        <v>1</v>
      </c>
      <c r="AP143" s="137">
        <v>1</v>
      </c>
      <c r="AQ143" s="137">
        <v>1</v>
      </c>
      <c r="AR143" s="137">
        <v>1</v>
      </c>
      <c r="AS143" s="139">
        <v>0.105261498981944</v>
      </c>
      <c r="AT143" s="141">
        <v>0.0384615384615385</v>
      </c>
      <c r="AU143" s="141">
        <v>0</v>
      </c>
      <c r="AV143" s="141">
        <v>0</v>
      </c>
      <c r="AW143" s="141">
        <v>0.047244094488189</v>
      </c>
      <c r="AX143" s="95"/>
      <c r="AY143" s="93"/>
    </row>
    <row r="144" ht="14.5" spans="1:51">
      <c r="A144" s="91"/>
      <c r="B144" s="95"/>
      <c r="C144" s="152" t="s">
        <v>99</v>
      </c>
      <c r="D144" s="153" t="s">
        <v>25</v>
      </c>
      <c r="E144" s="130" t="s">
        <v>100</v>
      </c>
      <c r="F144" s="154" t="s">
        <v>166</v>
      </c>
      <c r="G144" s="154" t="s">
        <v>166</v>
      </c>
      <c r="H144" s="154" t="s">
        <v>166</v>
      </c>
      <c r="I144" s="154" t="s">
        <v>166</v>
      </c>
      <c r="J144" s="132">
        <v>0.9</v>
      </c>
      <c r="K144" s="133">
        <v>1</v>
      </c>
      <c r="L144" s="133">
        <v>1</v>
      </c>
      <c r="M144" s="134">
        <v>1</v>
      </c>
      <c r="N144" s="133">
        <v>0.998839907192575</v>
      </c>
      <c r="O144" s="135">
        <v>0.9</v>
      </c>
      <c r="P144" s="133">
        <v>0.93324649951156</v>
      </c>
      <c r="Q144" s="133">
        <v>0.984418475236505</v>
      </c>
      <c r="R144" s="133">
        <v>0.967996915365336</v>
      </c>
      <c r="S144" s="133">
        <v>0.969655190699031</v>
      </c>
      <c r="T144" s="135">
        <v>0.9</v>
      </c>
      <c r="U144" s="133">
        <v>0.968739824161511</v>
      </c>
      <c r="V144" s="133">
        <v>0.925153032832499</v>
      </c>
      <c r="W144" s="133">
        <v>0.95026026604974</v>
      </c>
      <c r="X144" s="133">
        <v>0.962138586560259</v>
      </c>
      <c r="Y144" s="135">
        <v>0.92</v>
      </c>
      <c r="Z144" s="135">
        <v>0.953020134228188</v>
      </c>
      <c r="AA144" s="135">
        <v>0.956483126110124</v>
      </c>
      <c r="AB144" s="135">
        <v>0.96256202074876</v>
      </c>
      <c r="AC144" s="135">
        <v>0.963862110735376</v>
      </c>
      <c r="AD144" s="135">
        <v>0.92</v>
      </c>
      <c r="AE144" s="133">
        <v>0.991468691321741</v>
      </c>
      <c r="AF144" s="133">
        <v>0.988010288748755</v>
      </c>
      <c r="AG144" s="133">
        <v>0.993956122400419</v>
      </c>
      <c r="AH144" s="133">
        <v>0.97960365372788</v>
      </c>
      <c r="AI144" s="135">
        <v>0.92</v>
      </c>
      <c r="AJ144" s="133">
        <v>0.978034420289855</v>
      </c>
      <c r="AK144" s="133">
        <v>0.971634208298052</v>
      </c>
      <c r="AL144" s="133">
        <v>0.98352687010532</v>
      </c>
      <c r="AM144" s="133">
        <v>0.982582029519333</v>
      </c>
      <c r="AN144" s="132">
        <v>0.99</v>
      </c>
      <c r="AO144" s="137">
        <v>1</v>
      </c>
      <c r="AP144" s="137">
        <v>1</v>
      </c>
      <c r="AQ144" s="137">
        <v>1</v>
      </c>
      <c r="AR144" s="137">
        <v>1</v>
      </c>
      <c r="AS144" s="139">
        <v>0.105261498981944</v>
      </c>
      <c r="AT144" s="141">
        <v>0</v>
      </c>
      <c r="AU144" s="141">
        <v>0</v>
      </c>
      <c r="AV144" s="141">
        <v>0.1</v>
      </c>
      <c r="AW144" s="141">
        <v>0.115107913669065</v>
      </c>
      <c r="AX144" s="95"/>
      <c r="AY144" s="93"/>
    </row>
    <row r="145" ht="14.5" spans="1:51">
      <c r="A145" s="91"/>
      <c r="B145" s="95"/>
      <c r="C145" s="152" t="s">
        <v>99</v>
      </c>
      <c r="D145" s="153" t="s">
        <v>25</v>
      </c>
      <c r="E145" s="130" t="s">
        <v>100</v>
      </c>
      <c r="F145" s="154" t="s">
        <v>167</v>
      </c>
      <c r="G145" s="154" t="s">
        <v>167</v>
      </c>
      <c r="H145" s="154" t="s">
        <v>167</v>
      </c>
      <c r="I145" s="154" t="s">
        <v>167</v>
      </c>
      <c r="J145" s="132">
        <v>0.9</v>
      </c>
      <c r="K145" s="133">
        <v>0.915966386554622</v>
      </c>
      <c r="L145" s="133">
        <v>0.898148148148148</v>
      </c>
      <c r="M145" s="134">
        <v>0.933333333333333</v>
      </c>
      <c r="N145" s="133">
        <v>0.922657411998017</v>
      </c>
      <c r="O145" s="135">
        <v>0.9</v>
      </c>
      <c r="P145" s="133">
        <v>0.896693060083838</v>
      </c>
      <c r="Q145" s="133">
        <v>0.960673691197212</v>
      </c>
      <c r="R145" s="133">
        <v>0.947064664267097</v>
      </c>
      <c r="S145" s="133">
        <v>0.895962609562984</v>
      </c>
      <c r="T145" s="135">
        <v>0.9</v>
      </c>
      <c r="U145" s="133">
        <v>0.951746623195156</v>
      </c>
      <c r="V145" s="133">
        <v>0.904754003152742</v>
      </c>
      <c r="W145" s="133">
        <v>0.923234454511605</v>
      </c>
      <c r="X145" s="133">
        <v>0.888089080332948</v>
      </c>
      <c r="Y145" s="135">
        <v>0.92</v>
      </c>
      <c r="Z145" s="135">
        <v>0.968317358892439</v>
      </c>
      <c r="AA145" s="135">
        <v>0.502302820955671</v>
      </c>
      <c r="AB145" s="135">
        <v>0.937918340026774</v>
      </c>
      <c r="AC145" s="135">
        <v>0.928346810422282</v>
      </c>
      <c r="AD145" s="135">
        <v>0.92</v>
      </c>
      <c r="AE145" s="133">
        <v>0.988672314482706</v>
      </c>
      <c r="AF145" s="133">
        <v>0.850539291217257</v>
      </c>
      <c r="AG145" s="133">
        <v>0.996287750719605</v>
      </c>
      <c r="AH145" s="133">
        <v>0.985161583680359</v>
      </c>
      <c r="AI145" s="135">
        <v>0.92</v>
      </c>
      <c r="AJ145" s="133">
        <v>0.984410567703663</v>
      </c>
      <c r="AK145" s="133">
        <v>0.842037478266469</v>
      </c>
      <c r="AL145" s="133">
        <v>0.966313501765825</v>
      </c>
      <c r="AM145" s="133">
        <v>0.959202032604335</v>
      </c>
      <c r="AN145" s="132">
        <v>0.99</v>
      </c>
      <c r="AO145" s="137">
        <v>1</v>
      </c>
      <c r="AP145" s="137">
        <v>1</v>
      </c>
      <c r="AQ145" s="137">
        <v>1</v>
      </c>
      <c r="AR145" s="137">
        <v>1</v>
      </c>
      <c r="AS145" s="139">
        <v>0.105261498981944</v>
      </c>
      <c r="AT145" s="141">
        <v>0.136363636363636</v>
      </c>
      <c r="AU145" s="141">
        <v>0.0714285714285714</v>
      </c>
      <c r="AV145" s="141">
        <v>0.129032258064516</v>
      </c>
      <c r="AW145" s="141">
        <v>0.0770877944325482</v>
      </c>
      <c r="AX145" s="95"/>
      <c r="AY145" s="93"/>
    </row>
    <row r="146" ht="14.5" spans="1:51">
      <c r="A146" s="91"/>
      <c r="B146" s="95"/>
      <c r="C146" s="152" t="s">
        <v>99</v>
      </c>
      <c r="D146" s="153" t="s">
        <v>25</v>
      </c>
      <c r="E146" s="130" t="s">
        <v>100</v>
      </c>
      <c r="F146" s="154" t="s">
        <v>168</v>
      </c>
      <c r="G146" s="154" t="s">
        <v>168</v>
      </c>
      <c r="H146" s="154" t="s">
        <v>168</v>
      </c>
      <c r="I146" s="154" t="s">
        <v>168</v>
      </c>
      <c r="J146" s="132">
        <v>0.9</v>
      </c>
      <c r="K146" s="133">
        <v>0.933333333333333</v>
      </c>
      <c r="L146" s="133">
        <v>0.900990099009901</v>
      </c>
      <c r="M146" s="134">
        <v>0.89</v>
      </c>
      <c r="N146" s="133">
        <v>0.930244664237376</v>
      </c>
      <c r="O146" s="135">
        <v>0.9</v>
      </c>
      <c r="P146" s="133">
        <v>0.975349608912064</v>
      </c>
      <c r="Q146" s="133">
        <v>0.974021288111131</v>
      </c>
      <c r="R146" s="133">
        <v>0.965185924631894</v>
      </c>
      <c r="S146" s="133">
        <v>0.975937806626915</v>
      </c>
      <c r="T146" s="135">
        <v>0.9</v>
      </c>
      <c r="U146" s="133">
        <v>0.926996918701114</v>
      </c>
      <c r="V146" s="133">
        <v>0.911419808767815</v>
      </c>
      <c r="W146" s="133">
        <v>0.928874469678063</v>
      </c>
      <c r="X146" s="133">
        <v>0.938629330515511</v>
      </c>
      <c r="Y146" s="135">
        <v>0.92</v>
      </c>
      <c r="Z146" s="135">
        <v>0.911811865312667</v>
      </c>
      <c r="AA146" s="135">
        <v>0.119626168224299</v>
      </c>
      <c r="AB146" s="135">
        <v>0.934344755427675</v>
      </c>
      <c r="AC146" s="135">
        <v>0.931510856413461</v>
      </c>
      <c r="AD146" s="135">
        <v>0.92</v>
      </c>
      <c r="AE146" s="133">
        <v>0.998255940701984</v>
      </c>
      <c r="AF146" s="133">
        <v>0.970955298388927</v>
      </c>
      <c r="AG146" s="133">
        <v>0.944720745441034</v>
      </c>
      <c r="AH146" s="133">
        <v>0.978056124783928</v>
      </c>
      <c r="AI146" s="135">
        <v>0.92</v>
      </c>
      <c r="AJ146" s="133">
        <v>0.951247537754432</v>
      </c>
      <c r="AK146" s="133">
        <v>0.743012856344326</v>
      </c>
      <c r="AL146" s="133">
        <v>0.96468998141578</v>
      </c>
      <c r="AM146" s="133">
        <v>0.965369674155302</v>
      </c>
      <c r="AN146" s="132">
        <v>0.99</v>
      </c>
      <c r="AO146" s="137">
        <v>1</v>
      </c>
      <c r="AP146" s="137">
        <v>1</v>
      </c>
      <c r="AQ146" s="137">
        <v>1</v>
      </c>
      <c r="AR146" s="137">
        <v>1</v>
      </c>
      <c r="AS146" s="139">
        <v>0.105261498981944</v>
      </c>
      <c r="AT146" s="141">
        <v>0</v>
      </c>
      <c r="AU146" s="141">
        <v>0</v>
      </c>
      <c r="AV146" s="141">
        <v>0.25</v>
      </c>
      <c r="AW146" s="141">
        <v>0.134057971014493</v>
      </c>
      <c r="AX146" s="95"/>
      <c r="AY146" s="93"/>
    </row>
    <row r="147" ht="14.5" spans="1:51">
      <c r="A147" s="91"/>
      <c r="B147" s="95"/>
      <c r="C147" s="152" t="s">
        <v>99</v>
      </c>
      <c r="D147" s="153" t="s">
        <v>25</v>
      </c>
      <c r="E147" s="130" t="s">
        <v>100</v>
      </c>
      <c r="F147" s="154" t="s">
        <v>169</v>
      </c>
      <c r="G147" s="154" t="s">
        <v>169</v>
      </c>
      <c r="H147" s="154" t="s">
        <v>169</v>
      </c>
      <c r="I147" s="154" t="s">
        <v>169</v>
      </c>
      <c r="J147" s="132">
        <v>0.9</v>
      </c>
      <c r="K147" s="133">
        <v>0.96551724137931</v>
      </c>
      <c r="L147" s="133">
        <v>0.976470588235294</v>
      </c>
      <c r="M147" s="134">
        <v>0.901234567901235</v>
      </c>
      <c r="N147" s="133">
        <v>0.958904109589041</v>
      </c>
      <c r="O147" s="135">
        <v>0.9</v>
      </c>
      <c r="P147" s="133">
        <v>0.982565379825654</v>
      </c>
      <c r="Q147" s="133">
        <v>0.989348825950133</v>
      </c>
      <c r="R147" s="133">
        <v>0.981444332998997</v>
      </c>
      <c r="S147" s="133">
        <v>0.977907011601067</v>
      </c>
      <c r="T147" s="135">
        <v>0.9</v>
      </c>
      <c r="U147" s="133">
        <v>0.940846824408468</v>
      </c>
      <c r="V147" s="133">
        <v>0.883321229726458</v>
      </c>
      <c r="W147" s="133">
        <v>0.947174857907054</v>
      </c>
      <c r="X147" s="133">
        <v>0.946411263327238</v>
      </c>
      <c r="Y147" s="135">
        <v>0.92</v>
      </c>
      <c r="Z147" s="135">
        <v>0.923976608187134</v>
      </c>
      <c r="AA147" s="135">
        <v>0.0849478390461997</v>
      </c>
      <c r="AB147" s="135">
        <v>0.944248638256969</v>
      </c>
      <c r="AC147" s="135">
        <v>0.929173722525794</v>
      </c>
      <c r="AD147" s="135">
        <v>0.92</v>
      </c>
      <c r="AE147" s="133">
        <v>0.999339933993399</v>
      </c>
      <c r="AF147" s="133">
        <v>0.980482204362801</v>
      </c>
      <c r="AG147" s="133">
        <v>0.992164374020547</v>
      </c>
      <c r="AH147" s="133">
        <v>0.956543544752661</v>
      </c>
      <c r="AI147" s="135">
        <v>0.92</v>
      </c>
      <c r="AJ147" s="133">
        <v>0.958964646464647</v>
      </c>
      <c r="AK147" s="133">
        <v>0.71532980084049</v>
      </c>
      <c r="AL147" s="133">
        <v>0.974626537785589</v>
      </c>
      <c r="AM147" s="133">
        <v>0.966458474969343</v>
      </c>
      <c r="AN147" s="132">
        <v>0.99</v>
      </c>
      <c r="AO147" s="137">
        <v>1</v>
      </c>
      <c r="AP147" s="137">
        <v>1</v>
      </c>
      <c r="AQ147" s="137">
        <v>1</v>
      </c>
      <c r="AR147" s="137">
        <v>1</v>
      </c>
      <c r="AS147" s="139">
        <v>0.105261498981944</v>
      </c>
      <c r="AT147" s="141">
        <v>0.263157894736842</v>
      </c>
      <c r="AU147" s="141">
        <v>0.2</v>
      </c>
      <c r="AV147" s="141">
        <v>0.0476190476190476</v>
      </c>
      <c r="AW147" s="141">
        <v>0.14344262295082</v>
      </c>
      <c r="AX147" s="95"/>
      <c r="AY147" s="93"/>
    </row>
    <row r="148" ht="14.5" spans="1:51">
      <c r="A148" s="91"/>
      <c r="B148" s="95"/>
      <c r="C148" s="152" t="s">
        <v>99</v>
      </c>
      <c r="D148" s="153" t="s">
        <v>25</v>
      </c>
      <c r="E148" s="130" t="s">
        <v>100</v>
      </c>
      <c r="F148" s="154" t="s">
        <v>170</v>
      </c>
      <c r="G148" s="154" t="s">
        <v>170</v>
      </c>
      <c r="H148" s="154" t="s">
        <v>170</v>
      </c>
      <c r="I148" s="154" t="s">
        <v>170</v>
      </c>
      <c r="J148" s="132">
        <v>0.9</v>
      </c>
      <c r="K148" s="133">
        <v>1</v>
      </c>
      <c r="L148" s="133">
        <v>1</v>
      </c>
      <c r="M148" s="134">
        <v>1</v>
      </c>
      <c r="N148" s="133">
        <v>0.99616368286445</v>
      </c>
      <c r="O148" s="135">
        <v>0.9</v>
      </c>
      <c r="P148" s="133">
        <v>0.940277114190158</v>
      </c>
      <c r="Q148" s="133">
        <v>0.96221322537112</v>
      </c>
      <c r="R148" s="133">
        <v>0.955453501722158</v>
      </c>
      <c r="S148" s="133">
        <v>0.948643050613415</v>
      </c>
      <c r="T148" s="135">
        <v>0.9</v>
      </c>
      <c r="U148" s="133">
        <v>0.928810320114668</v>
      </c>
      <c r="V148" s="133">
        <v>0.908569500674764</v>
      </c>
      <c r="W148" s="133">
        <v>0.920321469575201</v>
      </c>
      <c r="X148" s="133">
        <v>0.922035158532052</v>
      </c>
      <c r="Y148" s="135">
        <v>0.92</v>
      </c>
      <c r="Z148" s="135">
        <v>0.932432432432432</v>
      </c>
      <c r="AA148" s="135">
        <v>0.139797068771139</v>
      </c>
      <c r="AB148" s="135">
        <v>0.939705882352941</v>
      </c>
      <c r="AC148" s="135">
        <v>0.936358122042946</v>
      </c>
      <c r="AD148" s="135">
        <v>0.92</v>
      </c>
      <c r="AE148" s="133">
        <v>0.956195244055069</v>
      </c>
      <c r="AF148" s="133">
        <v>0.982864976010966</v>
      </c>
      <c r="AG148" s="133">
        <v>0.990058353144586</v>
      </c>
      <c r="AH148" s="133">
        <v>0.962232482989644</v>
      </c>
      <c r="AI148" s="135">
        <v>0.92</v>
      </c>
      <c r="AJ148" s="133">
        <v>0.960690316395014</v>
      </c>
      <c r="AK148" s="133">
        <v>0.757591487152868</v>
      </c>
      <c r="AL148" s="133">
        <v>0.967943706020328</v>
      </c>
      <c r="AM148" s="133">
        <v>0.96905809972456</v>
      </c>
      <c r="AN148" s="132">
        <v>0.99</v>
      </c>
      <c r="AO148" s="137">
        <v>1</v>
      </c>
      <c r="AP148" s="137">
        <v>1</v>
      </c>
      <c r="AQ148" s="137">
        <v>1</v>
      </c>
      <c r="AR148" s="137">
        <v>1</v>
      </c>
      <c r="AS148" s="139">
        <v>0.105261498981944</v>
      </c>
      <c r="AT148" s="141">
        <v>0.0666666666666667</v>
      </c>
      <c r="AU148" s="141">
        <v>0</v>
      </c>
      <c r="AV148" s="141">
        <v>0.214285714285714</v>
      </c>
      <c r="AW148" s="141">
        <v>0.0904977375565611</v>
      </c>
      <c r="AX148" s="95"/>
      <c r="AY148" s="93"/>
    </row>
    <row r="149" ht="14.5" spans="1:51">
      <c r="A149" s="91"/>
      <c r="B149" s="95"/>
      <c r="C149" s="152" t="s">
        <v>99</v>
      </c>
      <c r="D149" s="153" t="s">
        <v>25</v>
      </c>
      <c r="E149" s="130" t="s">
        <v>100</v>
      </c>
      <c r="F149" s="154" t="s">
        <v>171</v>
      </c>
      <c r="G149" s="154" t="s">
        <v>171</v>
      </c>
      <c r="H149" s="154" t="s">
        <v>171</v>
      </c>
      <c r="I149" s="154" t="s">
        <v>171</v>
      </c>
      <c r="J149" s="132">
        <v>0.9</v>
      </c>
      <c r="K149" s="133">
        <v>0.971428571428571</v>
      </c>
      <c r="L149" s="133">
        <v>0.968253968253968</v>
      </c>
      <c r="M149" s="134">
        <v>0.930555555555556</v>
      </c>
      <c r="N149" s="133">
        <v>0.972612359550562</v>
      </c>
      <c r="O149" s="135">
        <v>0.9</v>
      </c>
      <c r="P149" s="133">
        <v>0.952369888475836</v>
      </c>
      <c r="Q149" s="133">
        <v>0.910281715413601</v>
      </c>
      <c r="R149" s="133">
        <v>0.90271048841168</v>
      </c>
      <c r="S149" s="133">
        <v>0.922406256645323</v>
      </c>
      <c r="T149" s="135">
        <v>0.9</v>
      </c>
      <c r="U149" s="133">
        <v>0.913104089219331</v>
      </c>
      <c r="V149" s="133">
        <v>0.863628207428674</v>
      </c>
      <c r="W149" s="133">
        <v>0.862642398847715</v>
      </c>
      <c r="X149" s="133">
        <v>0.889910135544897</v>
      </c>
      <c r="Y149" s="135">
        <v>0.92</v>
      </c>
      <c r="Z149" s="135">
        <v>0.914419087136929</v>
      </c>
      <c r="AA149" s="135">
        <v>0.882428115015974</v>
      </c>
      <c r="AB149" s="135">
        <v>0.835624284077892</v>
      </c>
      <c r="AC149" s="135">
        <v>0.912414787230848</v>
      </c>
      <c r="AD149" s="135">
        <v>0.92</v>
      </c>
      <c r="AE149" s="133">
        <v>0.973228346456693</v>
      </c>
      <c r="AF149" s="133">
        <v>0.99125584638178</v>
      </c>
      <c r="AG149" s="133">
        <v>0.989408951144517</v>
      </c>
      <c r="AH149" s="133">
        <v>0.987334589669256</v>
      </c>
      <c r="AI149" s="135">
        <v>0.92</v>
      </c>
      <c r="AJ149" s="133">
        <v>0.946794871794872</v>
      </c>
      <c r="AK149" s="133">
        <v>0.924229691876751</v>
      </c>
      <c r="AL149" s="133">
        <v>0.899047961199928</v>
      </c>
      <c r="AM149" s="133">
        <v>0.949977274135901</v>
      </c>
      <c r="AN149" s="132">
        <v>0.99</v>
      </c>
      <c r="AO149" s="137">
        <v>1</v>
      </c>
      <c r="AP149" s="137">
        <v>1</v>
      </c>
      <c r="AQ149" s="137">
        <v>1</v>
      </c>
      <c r="AR149" s="137">
        <v>1</v>
      </c>
      <c r="AS149" s="139">
        <v>0.105261498981944</v>
      </c>
      <c r="AT149" s="141">
        <v>0.0625</v>
      </c>
      <c r="AU149" s="141">
        <v>0.117647058823529</v>
      </c>
      <c r="AV149" s="141">
        <v>0.0714285714285714</v>
      </c>
      <c r="AW149" s="141">
        <v>0.090625</v>
      </c>
      <c r="AX149" s="95"/>
      <c r="AY149" s="93"/>
    </row>
    <row r="150" ht="14.5" spans="1:51">
      <c r="A150" s="91"/>
      <c r="B150" s="95"/>
      <c r="C150" s="152" t="s">
        <v>99</v>
      </c>
      <c r="D150" s="153" t="s">
        <v>25</v>
      </c>
      <c r="E150" s="130" t="s">
        <v>100</v>
      </c>
      <c r="F150" s="154" t="s">
        <v>172</v>
      </c>
      <c r="G150" s="154" t="s">
        <v>172</v>
      </c>
      <c r="H150" s="154" t="s">
        <v>172</v>
      </c>
      <c r="I150" s="154" t="s">
        <v>172</v>
      </c>
      <c r="J150" s="132">
        <v>0.9</v>
      </c>
      <c r="K150" s="133">
        <v>0.909090909090909</v>
      </c>
      <c r="L150" s="133">
        <v>0.888888888888889</v>
      </c>
      <c r="M150" s="134">
        <v>0.6</v>
      </c>
      <c r="N150" s="133">
        <v>0.769230769230769</v>
      </c>
      <c r="O150" s="135">
        <v>0.9</v>
      </c>
      <c r="P150" s="133">
        <v>0.931247036510194</v>
      </c>
      <c r="Q150" s="133">
        <v>0.93310546875</v>
      </c>
      <c r="R150" s="133">
        <v>0.725523295070898</v>
      </c>
      <c r="S150" s="133">
        <v>0.832755031228314</v>
      </c>
      <c r="T150" s="135">
        <v>0.9</v>
      </c>
      <c r="U150" s="133">
        <v>0.890943575154101</v>
      </c>
      <c r="V150" s="133">
        <v>0.80712890625</v>
      </c>
      <c r="W150" s="133">
        <v>0.758609047940581</v>
      </c>
      <c r="X150" s="133">
        <v>0.781002250120918</v>
      </c>
      <c r="Y150" s="135">
        <v>0.92</v>
      </c>
      <c r="Z150" s="135">
        <v>0.874352331606218</v>
      </c>
      <c r="AA150" s="135">
        <v>0.906530089628681</v>
      </c>
      <c r="AB150" s="135">
        <v>0.897048236141109</v>
      </c>
      <c r="AC150" s="135">
        <v>0.937094914310708</v>
      </c>
      <c r="AD150" s="135">
        <v>0.92</v>
      </c>
      <c r="AE150" s="133">
        <v>0.974924481112158</v>
      </c>
      <c r="AF150" s="133">
        <v>0.969058545403977</v>
      </c>
      <c r="AG150" s="133">
        <v>0.985937232035671</v>
      </c>
      <c r="AH150" s="133">
        <v>0.97984009161505</v>
      </c>
      <c r="AI150" s="135">
        <v>0.92</v>
      </c>
      <c r="AJ150" s="133">
        <v>0.927480916030534</v>
      </c>
      <c r="AK150" s="133">
        <v>0.931095406360424</v>
      </c>
      <c r="AL150" s="133">
        <v>0.919540229885057</v>
      </c>
      <c r="AM150" s="133">
        <v>0.951329198355177</v>
      </c>
      <c r="AN150" s="132">
        <v>0.99</v>
      </c>
      <c r="AO150" s="137">
        <v>1</v>
      </c>
      <c r="AP150" s="137">
        <v>1</v>
      </c>
      <c r="AQ150" s="137">
        <v>1</v>
      </c>
      <c r="AR150" s="137">
        <v>1</v>
      </c>
      <c r="AS150" s="139">
        <v>0.105261498981944</v>
      </c>
      <c r="AT150" s="141">
        <v>0</v>
      </c>
      <c r="AU150" s="141">
        <v>0.1</v>
      </c>
      <c r="AV150" s="141">
        <v>0</v>
      </c>
      <c r="AW150" s="141">
        <v>0.0745614035087719</v>
      </c>
      <c r="AX150" s="95"/>
      <c r="AY150" s="93"/>
    </row>
    <row r="151" ht="14.5" spans="1:51">
      <c r="A151" s="91"/>
      <c r="B151" s="95"/>
      <c r="C151" s="152" t="s">
        <v>99</v>
      </c>
      <c r="D151" s="153" t="s">
        <v>25</v>
      </c>
      <c r="E151" s="130" t="s">
        <v>100</v>
      </c>
      <c r="F151" s="154" t="s">
        <v>173</v>
      </c>
      <c r="G151" s="154" t="s">
        <v>173</v>
      </c>
      <c r="H151" s="154" t="s">
        <v>173</v>
      </c>
      <c r="I151" s="154" t="s">
        <v>173</v>
      </c>
      <c r="J151" s="132">
        <v>0.9</v>
      </c>
      <c r="K151" s="133">
        <v>1</v>
      </c>
      <c r="L151" s="133">
        <v>1</v>
      </c>
      <c r="M151" s="134">
        <v>0.982456140350877</v>
      </c>
      <c r="N151" s="133">
        <v>0.995708154506438</v>
      </c>
      <c r="O151" s="135">
        <v>0.9</v>
      </c>
      <c r="P151" s="133">
        <v>0.977609997396511</v>
      </c>
      <c r="Q151" s="133">
        <v>0.862595419847328</v>
      </c>
      <c r="R151" s="133">
        <v>0.988045738045738</v>
      </c>
      <c r="S151" s="133">
        <v>0.962478383976588</v>
      </c>
      <c r="T151" s="135">
        <v>0.9</v>
      </c>
      <c r="U151" s="133">
        <v>0.959385576672741</v>
      </c>
      <c r="V151" s="133">
        <v>0.898945837877136</v>
      </c>
      <c r="W151" s="133">
        <v>0.983541233541234</v>
      </c>
      <c r="X151" s="133">
        <v>0.931218288581039</v>
      </c>
      <c r="Y151" s="135">
        <v>0.92</v>
      </c>
      <c r="Z151" s="135">
        <v>0.905167518455423</v>
      </c>
      <c r="AA151" s="135">
        <v>0.461435278336687</v>
      </c>
      <c r="AB151" s="135">
        <v>0.977693761814745</v>
      </c>
      <c r="AC151" s="135">
        <v>0.916568478931717</v>
      </c>
      <c r="AD151" s="135">
        <v>0.92</v>
      </c>
      <c r="AE151" s="133">
        <v>0.998852283694603</v>
      </c>
      <c r="AF151" s="133">
        <v>0.941414686825054</v>
      </c>
      <c r="AG151" s="133">
        <v>0.993621304358371</v>
      </c>
      <c r="AH151" s="133">
        <v>0.989236883190614</v>
      </c>
      <c r="AI151" s="135">
        <v>0.92</v>
      </c>
      <c r="AJ151" s="133">
        <v>0.955737997501339</v>
      </c>
      <c r="AK151" s="133">
        <v>0.816530816530816</v>
      </c>
      <c r="AL151" s="133">
        <v>0.992041810191234</v>
      </c>
      <c r="AM151" s="133">
        <v>0.95775801249748</v>
      </c>
      <c r="AN151" s="132">
        <v>0.99</v>
      </c>
      <c r="AO151" s="137">
        <v>1</v>
      </c>
      <c r="AP151" s="137">
        <v>1</v>
      </c>
      <c r="AQ151" s="137">
        <v>1</v>
      </c>
      <c r="AR151" s="137">
        <v>1</v>
      </c>
      <c r="AS151" s="139">
        <v>0.105261498981944</v>
      </c>
      <c r="AT151" s="141">
        <v>0.0476190476190476</v>
      </c>
      <c r="AU151" s="141">
        <v>0.0526315789473684</v>
      </c>
      <c r="AV151" s="141">
        <v>0.0384615384615385</v>
      </c>
      <c r="AW151" s="141">
        <v>0.043859649122807</v>
      </c>
      <c r="AX151" s="95"/>
      <c r="AY151" s="93"/>
    </row>
    <row r="152" ht="14.5" spans="1:51">
      <c r="A152" s="91"/>
      <c r="B152" s="95"/>
      <c r="C152" s="152" t="s">
        <v>99</v>
      </c>
      <c r="D152" s="153" t="s">
        <v>25</v>
      </c>
      <c r="E152" s="130" t="s">
        <v>100</v>
      </c>
      <c r="F152" s="154" t="s">
        <v>174</v>
      </c>
      <c r="G152" s="154" t="s">
        <v>174</v>
      </c>
      <c r="H152" s="154" t="s">
        <v>174</v>
      </c>
      <c r="I152" s="154" t="s">
        <v>174</v>
      </c>
      <c r="J152" s="132">
        <v>0.9</v>
      </c>
      <c r="K152" s="133" t="s">
        <v>35</v>
      </c>
      <c r="L152" s="133" t="s">
        <v>35</v>
      </c>
      <c r="M152" s="134" t="s">
        <v>35</v>
      </c>
      <c r="N152" s="133" t="s">
        <v>35</v>
      </c>
      <c r="O152" s="135">
        <v>0.9</v>
      </c>
      <c r="P152" s="133" t="s">
        <v>35</v>
      </c>
      <c r="Q152" s="133" t="s">
        <v>35</v>
      </c>
      <c r="R152" s="133" t="s">
        <v>35</v>
      </c>
      <c r="S152" s="133" t="s">
        <v>35</v>
      </c>
      <c r="T152" s="135">
        <v>0.9</v>
      </c>
      <c r="U152" s="133" t="s">
        <v>35</v>
      </c>
      <c r="V152" s="133" t="s">
        <v>35</v>
      </c>
      <c r="W152" s="133" t="s">
        <v>35</v>
      </c>
      <c r="X152" s="133" t="s">
        <v>35</v>
      </c>
      <c r="Y152" s="135">
        <v>0.92</v>
      </c>
      <c r="Z152" s="135" t="s">
        <v>35</v>
      </c>
      <c r="AA152" s="135" t="s">
        <v>35</v>
      </c>
      <c r="AB152" s="135" t="s">
        <v>35</v>
      </c>
      <c r="AC152" s="135" t="s">
        <v>35</v>
      </c>
      <c r="AD152" s="135">
        <v>0.92</v>
      </c>
      <c r="AE152" s="133" t="s">
        <v>35</v>
      </c>
      <c r="AF152" s="133" t="s">
        <v>35</v>
      </c>
      <c r="AG152" s="133" t="s">
        <v>35</v>
      </c>
      <c r="AH152" s="133" t="s">
        <v>35</v>
      </c>
      <c r="AI152" s="135">
        <v>0.92</v>
      </c>
      <c r="AJ152" s="133" t="s">
        <v>35</v>
      </c>
      <c r="AK152" s="133" t="s">
        <v>35</v>
      </c>
      <c r="AL152" s="133" t="s">
        <v>35</v>
      </c>
      <c r="AM152" s="133" t="s">
        <v>35</v>
      </c>
      <c r="AN152" s="132">
        <v>0.99</v>
      </c>
      <c r="AO152" s="137" t="s">
        <v>35</v>
      </c>
      <c r="AP152" s="137" t="s">
        <v>35</v>
      </c>
      <c r="AQ152" s="137" t="s">
        <v>35</v>
      </c>
      <c r="AR152" s="137" t="s">
        <v>35</v>
      </c>
      <c r="AS152" s="139">
        <v>0.105261498981944</v>
      </c>
      <c r="AT152" s="141" t="s">
        <v>35</v>
      </c>
      <c r="AU152" s="141" t="s">
        <v>35</v>
      </c>
      <c r="AV152" s="141" t="s">
        <v>35</v>
      </c>
      <c r="AW152" s="141" t="s">
        <v>35</v>
      </c>
      <c r="AX152" s="95"/>
      <c r="AY152" s="93"/>
    </row>
    <row r="153" ht="14.5" spans="1:51">
      <c r="A153" s="91"/>
      <c r="B153" s="95"/>
      <c r="C153" s="152" t="s">
        <v>99</v>
      </c>
      <c r="D153" s="153" t="s">
        <v>25</v>
      </c>
      <c r="E153" s="130" t="s">
        <v>100</v>
      </c>
      <c r="F153" s="154" t="s">
        <v>175</v>
      </c>
      <c r="G153" s="154" t="s">
        <v>175</v>
      </c>
      <c r="H153" s="154" t="s">
        <v>175</v>
      </c>
      <c r="I153" s="154" t="s">
        <v>175</v>
      </c>
      <c r="J153" s="132">
        <v>0.9</v>
      </c>
      <c r="K153" s="133">
        <v>0.975</v>
      </c>
      <c r="L153" s="133">
        <v>0.971428571428571</v>
      </c>
      <c r="M153" s="134">
        <v>1</v>
      </c>
      <c r="N153" s="133">
        <v>0.968371467025572</v>
      </c>
      <c r="O153" s="135">
        <v>0.9</v>
      </c>
      <c r="P153" s="133">
        <v>0.980358265241986</v>
      </c>
      <c r="Q153" s="133">
        <v>0.965531561461794</v>
      </c>
      <c r="R153" s="133">
        <v>0.953042457444727</v>
      </c>
      <c r="S153" s="133">
        <v>0.934057438831124</v>
      </c>
      <c r="T153" s="135">
        <v>0.9</v>
      </c>
      <c r="U153" s="133">
        <v>0.956316781898177</v>
      </c>
      <c r="V153" s="133">
        <v>0.953073089700997</v>
      </c>
      <c r="W153" s="133">
        <v>0.955390334572491</v>
      </c>
      <c r="X153" s="133">
        <v>0.932272943965573</v>
      </c>
      <c r="Y153" s="135">
        <v>0.92</v>
      </c>
      <c r="Z153" s="135">
        <v>0.957934990439771</v>
      </c>
      <c r="AA153" s="135">
        <v>0.956944444444444</v>
      </c>
      <c r="AB153" s="135">
        <v>0.964988558352403</v>
      </c>
      <c r="AC153" s="135">
        <v>0.966803989047703</v>
      </c>
      <c r="AD153" s="135">
        <v>0.92</v>
      </c>
      <c r="AE153" s="133">
        <v>0.907034597797015</v>
      </c>
      <c r="AF153" s="133">
        <v>0.994035987624165</v>
      </c>
      <c r="AG153" s="133">
        <v>0.979719774664163</v>
      </c>
      <c r="AH153" s="133">
        <v>0.984149698613015</v>
      </c>
      <c r="AI153" s="135">
        <v>0.92</v>
      </c>
      <c r="AJ153" s="133">
        <v>0.973856936255423</v>
      </c>
      <c r="AK153" s="133">
        <v>0.977098423519386</v>
      </c>
      <c r="AL153" s="133">
        <v>0.984036722389696</v>
      </c>
      <c r="AM153" s="133">
        <v>0.980774632900617</v>
      </c>
      <c r="AN153" s="132">
        <v>0.99</v>
      </c>
      <c r="AO153" s="137">
        <v>1</v>
      </c>
      <c r="AP153" s="137">
        <v>1</v>
      </c>
      <c r="AQ153" s="137">
        <v>1</v>
      </c>
      <c r="AR153" s="137">
        <v>1</v>
      </c>
      <c r="AS153" s="139">
        <v>0.105261498981944</v>
      </c>
      <c r="AT153" s="141">
        <v>0</v>
      </c>
      <c r="AU153" s="141">
        <v>0.0833333333333333</v>
      </c>
      <c r="AV153" s="141">
        <v>0</v>
      </c>
      <c r="AW153" s="141">
        <v>0.0485436893203883</v>
      </c>
      <c r="AX153" s="95"/>
      <c r="AY153" s="93"/>
    </row>
    <row r="154" ht="14.5" spans="1:51">
      <c r="A154" s="91"/>
      <c r="B154" s="95"/>
      <c r="C154" s="152" t="s">
        <v>99</v>
      </c>
      <c r="D154" s="153" t="s">
        <v>25</v>
      </c>
      <c r="E154" s="130" t="s">
        <v>100</v>
      </c>
      <c r="F154" s="154" t="s">
        <v>176</v>
      </c>
      <c r="G154" s="154" t="s">
        <v>176</v>
      </c>
      <c r="H154" s="154" t="s">
        <v>176</v>
      </c>
      <c r="I154" s="154" t="s">
        <v>176</v>
      </c>
      <c r="J154" s="132">
        <v>0.9</v>
      </c>
      <c r="K154" s="133">
        <v>0.991596638655462</v>
      </c>
      <c r="L154" s="133">
        <v>0.981818181818182</v>
      </c>
      <c r="M154" s="134">
        <v>0.984</v>
      </c>
      <c r="N154" s="133">
        <v>0.973321067157314</v>
      </c>
      <c r="O154" s="135">
        <v>0.9</v>
      </c>
      <c r="P154" s="133">
        <v>0.924294319121294</v>
      </c>
      <c r="Q154" s="133">
        <v>0.875686614628505</v>
      </c>
      <c r="R154" s="133">
        <v>0.922849073500034</v>
      </c>
      <c r="S154" s="133">
        <v>0.921256521256521</v>
      </c>
      <c r="T154" s="135">
        <v>0.9</v>
      </c>
      <c r="U154" s="133">
        <v>0.957718200070863</v>
      </c>
      <c r="V154" s="133">
        <v>0.953069287848126</v>
      </c>
      <c r="W154" s="133">
        <v>0.962182269063856</v>
      </c>
      <c r="X154" s="133">
        <v>0.941898101898102</v>
      </c>
      <c r="Y154" s="135">
        <v>0.92</v>
      </c>
      <c r="Z154" s="135">
        <v>0.932619114744855</v>
      </c>
      <c r="AA154" s="135">
        <v>0.912258064516129</v>
      </c>
      <c r="AB154" s="135">
        <v>0.951172502409252</v>
      </c>
      <c r="AC154" s="135">
        <v>0.9470439553665</v>
      </c>
      <c r="AD154" s="135">
        <v>0.92</v>
      </c>
      <c r="AE154" s="133">
        <v>0.896344133099825</v>
      </c>
      <c r="AF154" s="133">
        <v>0.832125440260092</v>
      </c>
      <c r="AG154" s="133">
        <v>0.894097833744276</v>
      </c>
      <c r="AH154" s="133">
        <v>0.924708460600748</v>
      </c>
      <c r="AI154" s="135">
        <v>0.92</v>
      </c>
      <c r="AJ154" s="133">
        <v>0.964547270306258</v>
      </c>
      <c r="AK154" s="133">
        <v>0.964328092554138</v>
      </c>
      <c r="AL154" s="133">
        <v>0.97783025687985</v>
      </c>
      <c r="AM154" s="133">
        <v>0.972782109320128</v>
      </c>
      <c r="AN154" s="132">
        <v>0.99</v>
      </c>
      <c r="AO154" s="137">
        <v>1</v>
      </c>
      <c r="AP154" s="137">
        <v>1</v>
      </c>
      <c r="AQ154" s="137">
        <v>1</v>
      </c>
      <c r="AR154" s="137">
        <v>1</v>
      </c>
      <c r="AS154" s="139">
        <v>0.105261498981944</v>
      </c>
      <c r="AT154" s="141">
        <v>0.00694444444444444</v>
      </c>
      <c r="AU154" s="141">
        <v>0.0158730158730159</v>
      </c>
      <c r="AV154" s="141">
        <v>0.00699300699300699</v>
      </c>
      <c r="AW154" s="141">
        <v>0.0169745381927109</v>
      </c>
      <c r="AX154" s="95"/>
      <c r="AY154" s="93"/>
    </row>
    <row r="155" ht="14.5" spans="1:51">
      <c r="A155" s="91"/>
      <c r="B155" s="95"/>
      <c r="C155" s="152" t="s">
        <v>99</v>
      </c>
      <c r="D155" s="153" t="s">
        <v>25</v>
      </c>
      <c r="E155" s="130" t="s">
        <v>100</v>
      </c>
      <c r="F155" s="154" t="s">
        <v>177</v>
      </c>
      <c r="G155" s="154" t="s">
        <v>177</v>
      </c>
      <c r="H155" s="154" t="s">
        <v>177</v>
      </c>
      <c r="I155" s="154" t="s">
        <v>177</v>
      </c>
      <c r="J155" s="132">
        <v>0.9</v>
      </c>
      <c r="K155" s="133">
        <v>0.96875</v>
      </c>
      <c r="L155" s="133">
        <v>0.949152542372881</v>
      </c>
      <c r="M155" s="134">
        <v>0.953125</v>
      </c>
      <c r="N155" s="133">
        <v>0.954013377926421</v>
      </c>
      <c r="O155" s="135">
        <v>0.9</v>
      </c>
      <c r="P155" s="133">
        <v>0.931922398589065</v>
      </c>
      <c r="Q155" s="133">
        <v>0.898633879781421</v>
      </c>
      <c r="R155" s="133">
        <v>0.871303700948484</v>
      </c>
      <c r="S155" s="133">
        <v>0.892965703583162</v>
      </c>
      <c r="T155" s="135">
        <v>0.9</v>
      </c>
      <c r="U155" s="133">
        <v>0.914638447971781</v>
      </c>
      <c r="V155" s="133">
        <v>0.872950819672131</v>
      </c>
      <c r="W155" s="133">
        <v>0.863678631206993</v>
      </c>
      <c r="X155" s="133">
        <v>0.871800382777078</v>
      </c>
      <c r="Y155" s="135">
        <v>0.92</v>
      </c>
      <c r="Z155" s="135">
        <v>0.935086277732128</v>
      </c>
      <c r="AA155" s="135">
        <v>0.879200726612171</v>
      </c>
      <c r="AB155" s="135">
        <v>0.914068165337201</v>
      </c>
      <c r="AC155" s="135">
        <v>0.93839806000941</v>
      </c>
      <c r="AD155" s="135">
        <v>0.92</v>
      </c>
      <c r="AE155" s="133">
        <v>0.984679665738162</v>
      </c>
      <c r="AF155" s="133">
        <v>0.988304093567251</v>
      </c>
      <c r="AG155" s="133">
        <v>0.996959165942659</v>
      </c>
      <c r="AH155" s="133">
        <v>0.992329321786076</v>
      </c>
      <c r="AI155" s="135">
        <v>0.92</v>
      </c>
      <c r="AJ155" s="133">
        <v>0.951899358658115</v>
      </c>
      <c r="AK155" s="133">
        <v>0.933851322973541</v>
      </c>
      <c r="AL155" s="133">
        <v>0.92626275039941</v>
      </c>
      <c r="AM155" s="133">
        <v>0.960583598070361</v>
      </c>
      <c r="AN155" s="132">
        <v>0.99</v>
      </c>
      <c r="AO155" s="137">
        <v>1</v>
      </c>
      <c r="AP155" s="137">
        <v>1</v>
      </c>
      <c r="AQ155" s="137">
        <v>1</v>
      </c>
      <c r="AR155" s="137">
        <v>1</v>
      </c>
      <c r="AS155" s="139">
        <v>0.105261498981944</v>
      </c>
      <c r="AT155" s="141">
        <v>0</v>
      </c>
      <c r="AU155" s="141">
        <v>0.1</v>
      </c>
      <c r="AV155" s="141">
        <v>0.1</v>
      </c>
      <c r="AW155" s="141">
        <v>0.08</v>
      </c>
      <c r="AX155" s="95"/>
      <c r="AY155" s="93"/>
    </row>
    <row r="156" ht="14.5" spans="1:51">
      <c r="A156" s="91"/>
      <c r="B156" s="95"/>
      <c r="C156" s="152" t="s">
        <v>99</v>
      </c>
      <c r="D156" s="153" t="s">
        <v>25</v>
      </c>
      <c r="E156" s="130" t="s">
        <v>100</v>
      </c>
      <c r="F156" s="154" t="s">
        <v>178</v>
      </c>
      <c r="G156" s="154" t="s">
        <v>178</v>
      </c>
      <c r="H156" s="154" t="s">
        <v>178</v>
      </c>
      <c r="I156" s="154" t="s">
        <v>178</v>
      </c>
      <c r="J156" s="132">
        <v>0.9</v>
      </c>
      <c r="K156" s="133">
        <v>0.981481481481482</v>
      </c>
      <c r="L156" s="133">
        <v>0.979591836734694</v>
      </c>
      <c r="M156" s="134">
        <v>0.962264150943396</v>
      </c>
      <c r="N156" s="133">
        <v>0.970149253731343</v>
      </c>
      <c r="O156" s="135">
        <v>0.9</v>
      </c>
      <c r="P156" s="133">
        <v>0.963805970149254</v>
      </c>
      <c r="Q156" s="133">
        <v>0.9586455731335</v>
      </c>
      <c r="R156" s="133">
        <v>0.95162844478705</v>
      </c>
      <c r="S156" s="133">
        <v>0.941605052704188</v>
      </c>
      <c r="T156" s="135">
        <v>0.9</v>
      </c>
      <c r="U156" s="133">
        <v>0.93544776119403</v>
      </c>
      <c r="V156" s="133">
        <v>0.917291146267</v>
      </c>
      <c r="W156" s="133">
        <v>0.941992676816342</v>
      </c>
      <c r="X156" s="133">
        <v>0.936302300015089</v>
      </c>
      <c r="Y156" s="135">
        <v>0.92</v>
      </c>
      <c r="Z156" s="135">
        <v>0.938823529411765</v>
      </c>
      <c r="AA156" s="135">
        <v>0.951401869158878</v>
      </c>
      <c r="AB156" s="135">
        <v>0.956133540372671</v>
      </c>
      <c r="AC156" s="135">
        <v>0.968483218337037</v>
      </c>
      <c r="AD156" s="135">
        <v>0.92</v>
      </c>
      <c r="AE156" s="133">
        <v>0.996532333645736</v>
      </c>
      <c r="AF156" s="133">
        <v>0.98979057591623</v>
      </c>
      <c r="AG156" s="133">
        <v>0.992935002018571</v>
      </c>
      <c r="AH156" s="133">
        <v>0.988660759521354</v>
      </c>
      <c r="AI156" s="135">
        <v>0.92</v>
      </c>
      <c r="AJ156" s="133">
        <v>0.962579013906448</v>
      </c>
      <c r="AK156" s="133">
        <v>0.968977321352161</v>
      </c>
      <c r="AL156" s="133">
        <v>0.975405614215813</v>
      </c>
      <c r="AM156" s="133">
        <v>0.98015459983069</v>
      </c>
      <c r="AN156" s="132">
        <v>0.99</v>
      </c>
      <c r="AO156" s="137">
        <v>1</v>
      </c>
      <c r="AP156" s="137">
        <v>1</v>
      </c>
      <c r="AQ156" s="137">
        <v>1</v>
      </c>
      <c r="AR156" s="137">
        <v>1</v>
      </c>
      <c r="AS156" s="139">
        <v>0.105261498981944</v>
      </c>
      <c r="AT156" s="141">
        <v>0.0909090909090909</v>
      </c>
      <c r="AU156" s="141">
        <v>0</v>
      </c>
      <c r="AV156" s="141">
        <v>0</v>
      </c>
      <c r="AW156" s="141">
        <v>0.0596491228070175</v>
      </c>
      <c r="AX156" s="95"/>
      <c r="AY156" s="93"/>
    </row>
    <row r="157" ht="14.5" spans="1:51">
      <c r="A157" s="91"/>
      <c r="B157" s="95"/>
      <c r="C157" s="152" t="s">
        <v>99</v>
      </c>
      <c r="D157" s="153" t="s">
        <v>25</v>
      </c>
      <c r="E157" s="130" t="s">
        <v>100</v>
      </c>
      <c r="F157" s="154" t="s">
        <v>179</v>
      </c>
      <c r="G157" s="154" t="s">
        <v>179</v>
      </c>
      <c r="H157" s="154" t="s">
        <v>179</v>
      </c>
      <c r="I157" s="154" t="s">
        <v>179</v>
      </c>
      <c r="J157" s="132">
        <v>0.9</v>
      </c>
      <c r="K157" s="133">
        <v>0.979381443298969</v>
      </c>
      <c r="L157" s="133">
        <v>0.955555555555556</v>
      </c>
      <c r="M157" s="134">
        <v>0.98876404494382</v>
      </c>
      <c r="N157" s="133">
        <v>0.962294211364843</v>
      </c>
      <c r="O157" s="135">
        <v>0.9</v>
      </c>
      <c r="P157" s="133">
        <v>0.962465564738292</v>
      </c>
      <c r="Q157" s="133">
        <v>0.945378151260504</v>
      </c>
      <c r="R157" s="133">
        <v>0.961599768149544</v>
      </c>
      <c r="S157" s="133">
        <v>0.959320684382436</v>
      </c>
      <c r="T157" s="135">
        <v>0.9</v>
      </c>
      <c r="U157" s="133">
        <v>0.877754820936639</v>
      </c>
      <c r="V157" s="133">
        <v>0.852541016406563</v>
      </c>
      <c r="W157" s="133">
        <v>0.892189537748152</v>
      </c>
      <c r="X157" s="133">
        <v>0.890782913963609</v>
      </c>
      <c r="Y157" s="135">
        <v>0.92</v>
      </c>
      <c r="Z157" s="135">
        <v>0.930826057756884</v>
      </c>
      <c r="AA157" s="135">
        <v>0.895266272189349</v>
      </c>
      <c r="AB157" s="135">
        <v>0.924355158730159</v>
      </c>
      <c r="AC157" s="135">
        <v>0.948384368548046</v>
      </c>
      <c r="AD157" s="135">
        <v>0.92</v>
      </c>
      <c r="AE157" s="133">
        <v>0.938242280285036</v>
      </c>
      <c r="AF157" s="133">
        <v>0.961382113821138</v>
      </c>
      <c r="AG157" s="133">
        <v>0.96551724137931</v>
      </c>
      <c r="AH157" s="133">
        <v>0.97461594732992</v>
      </c>
      <c r="AI157" s="135">
        <v>0.92</v>
      </c>
      <c r="AJ157" s="133">
        <v>0.95221843003413</v>
      </c>
      <c r="AK157" s="133">
        <v>0.930524428507396</v>
      </c>
      <c r="AL157" s="133">
        <v>0.954179623193708</v>
      </c>
      <c r="AM157" s="133">
        <v>0.967964597135301</v>
      </c>
      <c r="AN157" s="132">
        <v>0.99</v>
      </c>
      <c r="AO157" s="137">
        <v>1</v>
      </c>
      <c r="AP157" s="137">
        <v>1</v>
      </c>
      <c r="AQ157" s="137">
        <v>1</v>
      </c>
      <c r="AR157" s="137">
        <v>1</v>
      </c>
      <c r="AS157" s="139">
        <v>0.105261498981944</v>
      </c>
      <c r="AT157" s="141">
        <v>0.0769230769230769</v>
      </c>
      <c r="AU157" s="141">
        <v>0.166666666666667</v>
      </c>
      <c r="AV157" s="141">
        <v>0.0555555555555556</v>
      </c>
      <c r="AW157" s="141">
        <v>0.123239436619718</v>
      </c>
      <c r="AX157" s="95"/>
      <c r="AY157" s="93"/>
    </row>
    <row r="158" ht="14.5" spans="1:51">
      <c r="A158" s="91"/>
      <c r="B158" s="95"/>
      <c r="C158" s="152" t="s">
        <v>99</v>
      </c>
      <c r="D158" s="153" t="s">
        <v>25</v>
      </c>
      <c r="E158" s="130" t="s">
        <v>100</v>
      </c>
      <c r="F158" s="154" t="s">
        <v>180</v>
      </c>
      <c r="G158" s="154" t="s">
        <v>180</v>
      </c>
      <c r="H158" s="154" t="s">
        <v>180</v>
      </c>
      <c r="I158" s="154" t="s">
        <v>180</v>
      </c>
      <c r="J158" s="132">
        <v>0.9</v>
      </c>
      <c r="K158" s="133">
        <v>0.98780487804878</v>
      </c>
      <c r="L158" s="133">
        <v>0.962025316455696</v>
      </c>
      <c r="M158" s="134">
        <v>0.987179487179487</v>
      </c>
      <c r="N158" s="133">
        <v>0.97556270096463</v>
      </c>
      <c r="O158" s="135">
        <v>0.9</v>
      </c>
      <c r="P158" s="133">
        <v>0.969426751592357</v>
      </c>
      <c r="Q158" s="133">
        <v>0.955459770114943</v>
      </c>
      <c r="R158" s="133">
        <v>0.950679267572357</v>
      </c>
      <c r="S158" s="133">
        <v>0.942986156827475</v>
      </c>
      <c r="T158" s="135">
        <v>0.9</v>
      </c>
      <c r="U158" s="133">
        <v>0.924203821656051</v>
      </c>
      <c r="V158" s="133">
        <v>0.935139573070608</v>
      </c>
      <c r="W158" s="133">
        <v>0.932516243354991</v>
      </c>
      <c r="X158" s="133">
        <v>0.947214212200165</v>
      </c>
      <c r="Y158" s="135">
        <v>0.92</v>
      </c>
      <c r="Z158" s="135">
        <v>0.934127979924718</v>
      </c>
      <c r="AA158" s="135">
        <v>0.917857142857143</v>
      </c>
      <c r="AB158" s="135">
        <v>0.949070331447049</v>
      </c>
      <c r="AC158" s="135">
        <v>0.963341195693711</v>
      </c>
      <c r="AD158" s="135">
        <v>0.92</v>
      </c>
      <c r="AE158" s="133">
        <v>0.974578048013419</v>
      </c>
      <c r="AF158" s="133">
        <v>0.981450252951096</v>
      </c>
      <c r="AG158" s="133">
        <v>0.990517731841457</v>
      </c>
      <c r="AH158" s="133">
        <v>0.870104084702851</v>
      </c>
      <c r="AI158" s="135">
        <v>0.92</v>
      </c>
      <c r="AJ158" s="133">
        <v>0.952089489235965</v>
      </c>
      <c r="AK158" s="133">
        <v>0.958676425739555</v>
      </c>
      <c r="AL158" s="133">
        <v>0.968902031861108</v>
      </c>
      <c r="AM158" s="133">
        <v>0.976993230742442</v>
      </c>
      <c r="AN158" s="132">
        <v>0.99</v>
      </c>
      <c r="AO158" s="137">
        <v>1</v>
      </c>
      <c r="AP158" s="137">
        <v>1</v>
      </c>
      <c r="AQ158" s="137">
        <v>1</v>
      </c>
      <c r="AR158" s="137">
        <v>1</v>
      </c>
      <c r="AS158" s="139">
        <v>0.105261498981944</v>
      </c>
      <c r="AT158" s="141">
        <v>0</v>
      </c>
      <c r="AU158" s="141">
        <v>0</v>
      </c>
      <c r="AV158" s="141">
        <v>0</v>
      </c>
      <c r="AW158" s="141">
        <v>0.0357142857142857</v>
      </c>
      <c r="AX158" s="95"/>
      <c r="AY158" s="93"/>
    </row>
    <row r="159" ht="14.5" spans="1:51">
      <c r="A159" s="91"/>
      <c r="B159" s="95"/>
      <c r="C159" s="152" t="s">
        <v>99</v>
      </c>
      <c r="D159" s="153" t="s">
        <v>25</v>
      </c>
      <c r="E159" s="130" t="s">
        <v>100</v>
      </c>
      <c r="F159" s="154" t="s">
        <v>181</v>
      </c>
      <c r="G159" s="154" t="s">
        <v>181</v>
      </c>
      <c r="H159" s="154" t="s">
        <v>181</v>
      </c>
      <c r="I159" s="154" t="s">
        <v>181</v>
      </c>
      <c r="J159" s="132">
        <v>0.9</v>
      </c>
      <c r="K159" s="133">
        <v>1</v>
      </c>
      <c r="L159" s="133">
        <v>0.967741935483871</v>
      </c>
      <c r="M159" s="134">
        <v>0.955882352941177</v>
      </c>
      <c r="N159" s="133">
        <v>0.971705739692805</v>
      </c>
      <c r="O159" s="135">
        <v>0.9</v>
      </c>
      <c r="P159" s="133">
        <v>0</v>
      </c>
      <c r="Q159" s="133">
        <v>0</v>
      </c>
      <c r="R159" s="133">
        <v>0</v>
      </c>
      <c r="S159" s="133">
        <v>0.0833333333333333</v>
      </c>
      <c r="T159" s="135">
        <v>0.9</v>
      </c>
      <c r="U159" s="133">
        <v>0</v>
      </c>
      <c r="V159" s="133">
        <v>0</v>
      </c>
      <c r="W159" s="133">
        <v>0</v>
      </c>
      <c r="X159" s="133">
        <v>0.25</v>
      </c>
      <c r="Y159" s="135">
        <v>0.92</v>
      </c>
      <c r="Z159" s="135" t="s">
        <v>35</v>
      </c>
      <c r="AA159" s="135" t="s">
        <v>35</v>
      </c>
      <c r="AB159" s="135">
        <v>1</v>
      </c>
      <c r="AC159" s="135">
        <v>0.333333333333333</v>
      </c>
      <c r="AD159" s="135">
        <v>0.92</v>
      </c>
      <c r="AE159" s="133">
        <v>0.988888888888889</v>
      </c>
      <c r="AF159" s="133">
        <v>0.984496124031008</v>
      </c>
      <c r="AG159" s="133">
        <v>0.994505494505495</v>
      </c>
      <c r="AH159" s="133">
        <v>0.98656255674596</v>
      </c>
      <c r="AI159" s="135">
        <v>0.92</v>
      </c>
      <c r="AJ159" s="133">
        <v>0.984665290474786</v>
      </c>
      <c r="AK159" s="133">
        <v>0.979988052568698</v>
      </c>
      <c r="AL159" s="133">
        <v>0.991617665457275</v>
      </c>
      <c r="AM159" s="133">
        <v>0.991937403093787</v>
      </c>
      <c r="AN159" s="132">
        <v>0.99</v>
      </c>
      <c r="AO159" s="137">
        <v>1</v>
      </c>
      <c r="AP159" s="137">
        <v>1</v>
      </c>
      <c r="AQ159" s="137">
        <v>1</v>
      </c>
      <c r="AR159" s="137">
        <v>1</v>
      </c>
      <c r="AS159" s="139">
        <v>0.105261498981944</v>
      </c>
      <c r="AT159" s="141">
        <v>0.125</v>
      </c>
      <c r="AU159" s="141">
        <v>0</v>
      </c>
      <c r="AV159" s="141">
        <v>0.125</v>
      </c>
      <c r="AW159" s="141">
        <v>0.0823529411764706</v>
      </c>
      <c r="AX159" s="95"/>
      <c r="AY159" s="93"/>
    </row>
    <row r="160" ht="14.5" spans="1:51">
      <c r="A160" s="91"/>
      <c r="B160" s="95"/>
      <c r="C160" s="152" t="s">
        <v>99</v>
      </c>
      <c r="D160" s="153" t="s">
        <v>25</v>
      </c>
      <c r="E160" s="130" t="s">
        <v>100</v>
      </c>
      <c r="F160" s="154" t="s">
        <v>182</v>
      </c>
      <c r="G160" s="154" t="s">
        <v>182</v>
      </c>
      <c r="H160" s="154" t="s">
        <v>182</v>
      </c>
      <c r="I160" s="154" t="s">
        <v>182</v>
      </c>
      <c r="J160" s="132">
        <v>0.9</v>
      </c>
      <c r="K160" s="133">
        <v>0.942857142857143</v>
      </c>
      <c r="L160" s="133">
        <v>0.970588235294118</v>
      </c>
      <c r="M160" s="134">
        <v>0.9375</v>
      </c>
      <c r="N160" s="133">
        <v>0.959083469721768</v>
      </c>
      <c r="O160" s="135">
        <v>0.9</v>
      </c>
      <c r="P160" s="133">
        <v>0.953026196928636</v>
      </c>
      <c r="Q160" s="133">
        <v>0.969715698393078</v>
      </c>
      <c r="R160" s="133">
        <v>0.929753734356076</v>
      </c>
      <c r="S160" s="133">
        <v>0.963267745494667</v>
      </c>
      <c r="T160" s="135">
        <v>0.9</v>
      </c>
      <c r="U160" s="133">
        <v>0.91869918699187</v>
      </c>
      <c r="V160" s="133">
        <v>0.943139678615575</v>
      </c>
      <c r="W160" s="133">
        <v>0.918449737585789</v>
      </c>
      <c r="X160" s="133">
        <v>0.945177454946672</v>
      </c>
      <c r="Y160" s="135">
        <v>0.92</v>
      </c>
      <c r="Z160" s="135">
        <v>0.960431654676259</v>
      </c>
      <c r="AA160" s="135">
        <v>0.961538461538462</v>
      </c>
      <c r="AB160" s="135">
        <v>0.962857142857143</v>
      </c>
      <c r="AC160" s="135">
        <v>0.978367786060094</v>
      </c>
      <c r="AD160" s="135">
        <v>0.92</v>
      </c>
      <c r="AE160" s="133">
        <v>0.995073891625616</v>
      </c>
      <c r="AF160" s="133">
        <v>0.995098039215686</v>
      </c>
      <c r="AG160" s="133">
        <v>0.988416988416988</v>
      </c>
      <c r="AH160" s="133">
        <v>0.987045419072889</v>
      </c>
      <c r="AI160" s="135">
        <v>0.92</v>
      </c>
      <c r="AJ160" s="133">
        <v>0.971153846153846</v>
      </c>
      <c r="AK160" s="133">
        <v>0.982007575757576</v>
      </c>
      <c r="AL160" s="133">
        <v>0.978849625999484</v>
      </c>
      <c r="AM160" s="133">
        <v>0.987286977780974</v>
      </c>
      <c r="AN160" s="132">
        <v>0.99</v>
      </c>
      <c r="AO160" s="137">
        <v>1</v>
      </c>
      <c r="AP160" s="137">
        <v>1</v>
      </c>
      <c r="AQ160" s="137">
        <v>1</v>
      </c>
      <c r="AR160" s="137">
        <v>1</v>
      </c>
      <c r="AS160" s="139">
        <v>0.105261498981944</v>
      </c>
      <c r="AT160" s="141">
        <v>0.142857142857143</v>
      </c>
      <c r="AU160" s="141">
        <v>0</v>
      </c>
      <c r="AV160" s="141">
        <v>0</v>
      </c>
      <c r="AW160" s="141">
        <v>0.092436974789916</v>
      </c>
      <c r="AX160" s="95"/>
      <c r="AY160" s="93"/>
    </row>
    <row r="161" ht="14.5" spans="1:51">
      <c r="A161" s="91"/>
      <c r="B161" s="95"/>
      <c r="C161" s="152" t="s">
        <v>99</v>
      </c>
      <c r="D161" s="153" t="s">
        <v>25</v>
      </c>
      <c r="E161" s="130" t="s">
        <v>100</v>
      </c>
      <c r="F161" s="154" t="s">
        <v>183</v>
      </c>
      <c r="G161" s="154" t="s">
        <v>183</v>
      </c>
      <c r="H161" s="154" t="s">
        <v>183</v>
      </c>
      <c r="I161" s="154" t="s">
        <v>183</v>
      </c>
      <c r="J161" s="132">
        <v>0.9</v>
      </c>
      <c r="K161" s="133">
        <v>0.927835051546392</v>
      </c>
      <c r="L161" s="133">
        <v>0.966666666666667</v>
      </c>
      <c r="M161" s="134">
        <v>0.94949494949495</v>
      </c>
      <c r="N161" s="133">
        <v>0.925213675213675</v>
      </c>
      <c r="O161" s="135">
        <v>0.9</v>
      </c>
      <c r="P161" s="133">
        <v>0.75</v>
      </c>
      <c r="Q161" s="133">
        <v>0.6</v>
      </c>
      <c r="R161" s="133">
        <v>0</v>
      </c>
      <c r="S161" s="133">
        <v>0.238095238095238</v>
      </c>
      <c r="T161" s="135">
        <v>0.9</v>
      </c>
      <c r="U161" s="133">
        <v>0.5</v>
      </c>
      <c r="V161" s="133">
        <v>0.4</v>
      </c>
      <c r="W161" s="133">
        <v>0</v>
      </c>
      <c r="X161" s="133">
        <v>0.547619047619048</v>
      </c>
      <c r="Y161" s="135">
        <v>0.92</v>
      </c>
      <c r="Z161" s="135">
        <v>0.5</v>
      </c>
      <c r="AA161" s="135">
        <v>0.5</v>
      </c>
      <c r="AB161" s="135">
        <v>0.5</v>
      </c>
      <c r="AC161" s="135">
        <v>0.716666666666667</v>
      </c>
      <c r="AD161" s="135">
        <v>0.92</v>
      </c>
      <c r="AE161" s="133">
        <v>0.987664473684211</v>
      </c>
      <c r="AF161" s="133">
        <v>0.967359050445104</v>
      </c>
      <c r="AG161" s="133">
        <v>0.989520958083832</v>
      </c>
      <c r="AH161" s="133">
        <v>0.970548464760397</v>
      </c>
      <c r="AI161" s="135">
        <v>0.92</v>
      </c>
      <c r="AJ161" s="133">
        <v>0.937702466982308</v>
      </c>
      <c r="AK161" s="133">
        <v>0.956135902636917</v>
      </c>
      <c r="AL161" s="133">
        <v>0.965998167565917</v>
      </c>
      <c r="AM161" s="133">
        <v>0.972052428681573</v>
      </c>
      <c r="AN161" s="132">
        <v>0.99</v>
      </c>
      <c r="AO161" s="137">
        <v>1</v>
      </c>
      <c r="AP161" s="137">
        <v>1</v>
      </c>
      <c r="AQ161" s="137">
        <v>1</v>
      </c>
      <c r="AR161" s="137">
        <v>1</v>
      </c>
      <c r="AS161" s="139">
        <v>0.105261498981944</v>
      </c>
      <c r="AT161" s="141">
        <v>0</v>
      </c>
      <c r="AU161" s="141">
        <v>0</v>
      </c>
      <c r="AV161" s="141">
        <v>0</v>
      </c>
      <c r="AW161" s="141">
        <v>0.0723981900452489</v>
      </c>
      <c r="AX161" s="95"/>
      <c r="AY161" s="93"/>
    </row>
    <row r="162" ht="14.5" spans="1:51">
      <c r="A162" s="91"/>
      <c r="B162" s="95"/>
      <c r="C162" s="152" t="s">
        <v>99</v>
      </c>
      <c r="D162" s="153" t="s">
        <v>25</v>
      </c>
      <c r="E162" s="130" t="s">
        <v>100</v>
      </c>
      <c r="F162" s="154" t="s">
        <v>184</v>
      </c>
      <c r="G162" s="154" t="s">
        <v>184</v>
      </c>
      <c r="H162" s="154" t="s">
        <v>184</v>
      </c>
      <c r="I162" s="154" t="s">
        <v>184</v>
      </c>
      <c r="J162" s="132">
        <v>0.9</v>
      </c>
      <c r="K162" s="133">
        <v>0.907407407407407</v>
      </c>
      <c r="L162" s="133">
        <v>0.84</v>
      </c>
      <c r="M162" s="134">
        <v>0.896551724137931</v>
      </c>
      <c r="N162" s="133">
        <v>0.89753320683112</v>
      </c>
      <c r="O162" s="135">
        <v>0.9</v>
      </c>
      <c r="P162" s="133">
        <v>0.983954154727794</v>
      </c>
      <c r="Q162" s="133">
        <v>0.98237445959428</v>
      </c>
      <c r="R162" s="133">
        <v>0.971990171990172</v>
      </c>
      <c r="S162" s="133">
        <v>0.975926656749947</v>
      </c>
      <c r="T162" s="135">
        <v>0.9</v>
      </c>
      <c r="U162" s="133">
        <v>0.918051575931232</v>
      </c>
      <c r="V162" s="133">
        <v>0.848021283671433</v>
      </c>
      <c r="W162" s="133">
        <v>0.867321867321867</v>
      </c>
      <c r="X162" s="133">
        <v>0.89777177377736</v>
      </c>
      <c r="Y162" s="135">
        <v>0.92</v>
      </c>
      <c r="Z162" s="135">
        <v>0.932092004381161</v>
      </c>
      <c r="AA162" s="135">
        <v>0.887351778656126</v>
      </c>
      <c r="AB162" s="135">
        <v>0.940915148822745</v>
      </c>
      <c r="AC162" s="135">
        <v>0.953060236907993</v>
      </c>
      <c r="AD162" s="135">
        <v>0.92</v>
      </c>
      <c r="AE162" s="133">
        <v>0.965073529411765</v>
      </c>
      <c r="AF162" s="133">
        <v>0.924074074074074</v>
      </c>
      <c r="AG162" s="133">
        <v>0.905882352941176</v>
      </c>
      <c r="AH162" s="133">
        <v>0.966958712706866</v>
      </c>
      <c r="AI162" s="135">
        <v>0.92</v>
      </c>
      <c r="AJ162" s="133">
        <v>0.95372460496614</v>
      </c>
      <c r="AK162" s="133">
        <v>0.947800149142431</v>
      </c>
      <c r="AL162" s="133">
        <v>0.965037177661762</v>
      </c>
      <c r="AM162" s="133">
        <v>0.971689546027632</v>
      </c>
      <c r="AN162" s="132">
        <v>0.99</v>
      </c>
      <c r="AO162" s="137">
        <v>1</v>
      </c>
      <c r="AP162" s="137">
        <v>1</v>
      </c>
      <c r="AQ162" s="137">
        <v>1</v>
      </c>
      <c r="AR162" s="137">
        <v>1</v>
      </c>
      <c r="AS162" s="139">
        <v>0.105261498981944</v>
      </c>
      <c r="AT162" s="141">
        <v>0</v>
      </c>
      <c r="AU162" s="141">
        <v>0</v>
      </c>
      <c r="AV162" s="141">
        <v>0.25</v>
      </c>
      <c r="AW162" s="141">
        <v>0.0886075949367089</v>
      </c>
      <c r="AX162" s="95"/>
      <c r="AY162" s="93"/>
    </row>
    <row r="163" ht="14.5" spans="1:51">
      <c r="A163" s="91"/>
      <c r="B163" s="95"/>
      <c r="C163" s="152" t="s">
        <v>99</v>
      </c>
      <c r="D163" s="153" t="s">
        <v>25</v>
      </c>
      <c r="E163" s="130" t="s">
        <v>100</v>
      </c>
      <c r="F163" s="154" t="s">
        <v>185</v>
      </c>
      <c r="G163" s="154" t="s">
        <v>185</v>
      </c>
      <c r="H163" s="154" t="s">
        <v>185</v>
      </c>
      <c r="I163" s="154" t="s">
        <v>185</v>
      </c>
      <c r="J163" s="132">
        <v>0.9</v>
      </c>
      <c r="K163" s="133">
        <v>0.978723404255319</v>
      </c>
      <c r="L163" s="133">
        <v>0.904761904761905</v>
      </c>
      <c r="M163" s="134">
        <v>0.976744186046512</v>
      </c>
      <c r="N163" s="133">
        <v>0.969732246798603</v>
      </c>
      <c r="O163" s="135">
        <v>0.9</v>
      </c>
      <c r="P163" s="133">
        <v>0.959694526941027</v>
      </c>
      <c r="Q163" s="133">
        <v>0.940648723257419</v>
      </c>
      <c r="R163" s="133">
        <v>0.951654541187515</v>
      </c>
      <c r="S163" s="133">
        <v>0.929519093624694</v>
      </c>
      <c r="T163" s="135">
        <v>0.9</v>
      </c>
      <c r="U163" s="133">
        <v>0.937208315655494</v>
      </c>
      <c r="V163" s="133">
        <v>0.898895790200138</v>
      </c>
      <c r="W163" s="133">
        <v>0.887819760619573</v>
      </c>
      <c r="X163" s="133">
        <v>0.909806507171883</v>
      </c>
      <c r="Y163" s="135">
        <v>0.92</v>
      </c>
      <c r="Z163" s="135">
        <v>0.915169660678643</v>
      </c>
      <c r="AA163" s="135">
        <v>0.915234822451317</v>
      </c>
      <c r="AB163" s="135">
        <v>0.951370926021728</v>
      </c>
      <c r="AC163" s="135">
        <v>0.96133482294652</v>
      </c>
      <c r="AD163" s="135">
        <v>0.92</v>
      </c>
      <c r="AE163" s="133">
        <v>0.997033144019666</v>
      </c>
      <c r="AF163" s="133">
        <v>0.994445631275369</v>
      </c>
      <c r="AG163" s="133">
        <v>0.996102355532961</v>
      </c>
      <c r="AH163" s="133">
        <v>0.986869501747916</v>
      </c>
      <c r="AI163" s="135">
        <v>0.92</v>
      </c>
      <c r="AJ163" s="133">
        <v>0.950580529919619</v>
      </c>
      <c r="AK163" s="133">
        <v>0.944621091679915</v>
      </c>
      <c r="AL163" s="133">
        <v>0.966257668711656</v>
      </c>
      <c r="AM163" s="133">
        <v>0.974806721670548</v>
      </c>
      <c r="AN163" s="132">
        <v>0.99</v>
      </c>
      <c r="AO163" s="137">
        <v>1</v>
      </c>
      <c r="AP163" s="137">
        <v>1</v>
      </c>
      <c r="AQ163" s="137">
        <v>1</v>
      </c>
      <c r="AR163" s="137">
        <v>1</v>
      </c>
      <c r="AS163" s="139">
        <v>0.105261498981944</v>
      </c>
      <c r="AT163" s="141">
        <v>0.4</v>
      </c>
      <c r="AU163" s="141">
        <v>0</v>
      </c>
      <c r="AV163" s="141">
        <v>0</v>
      </c>
      <c r="AW163" s="141">
        <v>0.0779220779220779</v>
      </c>
      <c r="AX163" s="95"/>
      <c r="AY163" s="93"/>
    </row>
    <row r="164" ht="14.5" spans="1:51">
      <c r="A164" s="91"/>
      <c r="B164" s="95"/>
      <c r="C164" s="152" t="s">
        <v>99</v>
      </c>
      <c r="D164" s="153" t="s">
        <v>25</v>
      </c>
      <c r="E164" s="130" t="s">
        <v>100</v>
      </c>
      <c r="F164" s="154" t="s">
        <v>186</v>
      </c>
      <c r="G164" s="154" t="s">
        <v>186</v>
      </c>
      <c r="H164" s="154" t="s">
        <v>186</v>
      </c>
      <c r="I164" s="154" t="s">
        <v>186</v>
      </c>
      <c r="J164" s="132">
        <v>0.9</v>
      </c>
      <c r="K164" s="133">
        <v>1</v>
      </c>
      <c r="L164" s="133">
        <v>1</v>
      </c>
      <c r="M164" s="134">
        <v>0.978723404255319</v>
      </c>
      <c r="N164" s="133">
        <v>0.98708288482239</v>
      </c>
      <c r="O164" s="135">
        <v>0.9</v>
      </c>
      <c r="P164" s="133">
        <v>0.979166666666667</v>
      </c>
      <c r="Q164" s="133">
        <v>0.982654600301659</v>
      </c>
      <c r="R164" s="133">
        <v>0.981308411214953</v>
      </c>
      <c r="S164" s="133">
        <v>0.98077817186732</v>
      </c>
      <c r="T164" s="135">
        <v>0.9</v>
      </c>
      <c r="U164" s="133">
        <v>0.957264957264957</v>
      </c>
      <c r="V164" s="133">
        <v>0.957767722473605</v>
      </c>
      <c r="W164" s="133">
        <v>0.951250315736297</v>
      </c>
      <c r="X164" s="133">
        <v>0.956309196455851</v>
      </c>
      <c r="Y164" s="135">
        <v>0.92</v>
      </c>
      <c r="Z164" s="135">
        <v>0.939704209328783</v>
      </c>
      <c r="AA164" s="135">
        <v>0.959610027855153</v>
      </c>
      <c r="AB164" s="135">
        <v>0.962129527991218</v>
      </c>
      <c r="AC164" s="135">
        <v>0.976001167116493</v>
      </c>
      <c r="AD164" s="135">
        <v>0.92</v>
      </c>
      <c r="AE164" s="133">
        <v>0.998188405797101</v>
      </c>
      <c r="AF164" s="133">
        <v>0.992141453831041</v>
      </c>
      <c r="AG164" s="133">
        <v>0.9867197875166</v>
      </c>
      <c r="AH164" s="133">
        <v>0.975937258629909</v>
      </c>
      <c r="AI164" s="135">
        <v>0.92</v>
      </c>
      <c r="AJ164" s="133">
        <v>0.963649581970193</v>
      </c>
      <c r="AK164" s="133">
        <v>0.970631859982201</v>
      </c>
      <c r="AL164" s="133">
        <v>0.978554133517814</v>
      </c>
      <c r="AM164" s="133">
        <v>0.984564640399928</v>
      </c>
      <c r="AN164" s="132">
        <v>0.99</v>
      </c>
      <c r="AO164" s="137">
        <v>1</v>
      </c>
      <c r="AP164" s="137">
        <v>1</v>
      </c>
      <c r="AQ164" s="137">
        <v>1</v>
      </c>
      <c r="AR164" s="137">
        <v>1</v>
      </c>
      <c r="AS164" s="139">
        <v>0.105261498981944</v>
      </c>
      <c r="AT164" s="141">
        <v>0</v>
      </c>
      <c r="AU164" s="141">
        <v>0</v>
      </c>
      <c r="AV164" s="141">
        <v>0</v>
      </c>
      <c r="AW164" s="141">
        <v>0.0418604651162791</v>
      </c>
      <c r="AX164" s="95"/>
      <c r="AY164" s="93"/>
    </row>
    <row r="165" ht="14.5" spans="1:51">
      <c r="A165" s="91"/>
      <c r="B165" s="95"/>
      <c r="C165" s="152" t="s">
        <v>99</v>
      </c>
      <c r="D165" s="153" t="s">
        <v>25</v>
      </c>
      <c r="E165" s="130" t="s">
        <v>100</v>
      </c>
      <c r="F165" s="154" t="s">
        <v>187</v>
      </c>
      <c r="G165" s="154" t="s">
        <v>187</v>
      </c>
      <c r="H165" s="154" t="s">
        <v>187</v>
      </c>
      <c r="I165" s="154" t="s">
        <v>187</v>
      </c>
      <c r="J165" s="132">
        <v>0.9</v>
      </c>
      <c r="K165" s="133">
        <v>0.945054945054945</v>
      </c>
      <c r="L165" s="133">
        <v>0.973684210526316</v>
      </c>
      <c r="M165" s="134">
        <v>0.978494623655914</v>
      </c>
      <c r="N165" s="133">
        <v>0.966648137854364</v>
      </c>
      <c r="O165" s="135">
        <v>0.9</v>
      </c>
      <c r="P165" s="133">
        <v>0.974374495560936</v>
      </c>
      <c r="Q165" s="133">
        <v>0.971653543307087</v>
      </c>
      <c r="R165" s="133">
        <v>0.974554153979991</v>
      </c>
      <c r="S165" s="133">
        <v>0.971946137640913</v>
      </c>
      <c r="T165" s="135">
        <v>0.9</v>
      </c>
      <c r="U165" s="133">
        <v>0.935431799838579</v>
      </c>
      <c r="V165" s="133">
        <v>0.914645669291339</v>
      </c>
      <c r="W165" s="133">
        <v>0.943236189647673</v>
      </c>
      <c r="X165" s="133">
        <v>0.939612872549084</v>
      </c>
      <c r="Y165" s="135">
        <v>0.92</v>
      </c>
      <c r="Z165" s="135">
        <v>0.934274371415968</v>
      </c>
      <c r="AA165" s="135">
        <v>0.872804683342203</v>
      </c>
      <c r="AB165" s="135">
        <v>0.931536259541985</v>
      </c>
      <c r="AC165" s="135">
        <v>0.95177754311862</v>
      </c>
      <c r="AD165" s="135">
        <v>0.92</v>
      </c>
      <c r="AE165" s="133">
        <v>0.993478102455731</v>
      </c>
      <c r="AF165" s="133">
        <v>0.991051985588154</v>
      </c>
      <c r="AG165" s="133">
        <v>0.990984421610872</v>
      </c>
      <c r="AH165" s="133">
        <v>0.993679455911395</v>
      </c>
      <c r="AI165" s="135">
        <v>0.92</v>
      </c>
      <c r="AJ165" s="133">
        <v>0.960963455149502</v>
      </c>
      <c r="AK165" s="133">
        <v>0.940376442015786</v>
      </c>
      <c r="AL165" s="133">
        <v>0.966629339305711</v>
      </c>
      <c r="AM165" s="133">
        <v>0.974014202832871</v>
      </c>
      <c r="AN165" s="132">
        <v>0.99</v>
      </c>
      <c r="AO165" s="137">
        <v>1</v>
      </c>
      <c r="AP165" s="137">
        <v>1</v>
      </c>
      <c r="AQ165" s="137">
        <v>1</v>
      </c>
      <c r="AR165" s="137">
        <v>1</v>
      </c>
      <c r="AS165" s="139">
        <v>0.105261498981944</v>
      </c>
      <c r="AT165" s="141">
        <v>0.0714285714285714</v>
      </c>
      <c r="AU165" s="141">
        <v>0.176470588235294</v>
      </c>
      <c r="AV165" s="141">
        <v>0.0476190476190476</v>
      </c>
      <c r="AW165" s="141">
        <v>0.0785219399538106</v>
      </c>
      <c r="AX165" s="95"/>
      <c r="AY165" s="93"/>
    </row>
    <row r="166" ht="14.5" spans="1:51">
      <c r="A166" s="91"/>
      <c r="B166" s="95"/>
      <c r="C166" s="152" t="s">
        <v>99</v>
      </c>
      <c r="D166" s="153" t="s">
        <v>25</v>
      </c>
      <c r="E166" s="130" t="s">
        <v>100</v>
      </c>
      <c r="F166" s="154" t="s">
        <v>188</v>
      </c>
      <c r="G166" s="154" t="s">
        <v>188</v>
      </c>
      <c r="H166" s="154" t="s">
        <v>188</v>
      </c>
      <c r="I166" s="154" t="s">
        <v>188</v>
      </c>
      <c r="J166" s="132">
        <v>0.9</v>
      </c>
      <c r="K166" s="133">
        <v>0.979591836734694</v>
      </c>
      <c r="L166" s="133">
        <v>0.906976744186046</v>
      </c>
      <c r="M166" s="134">
        <v>0.956521739130435</v>
      </c>
      <c r="N166" s="133">
        <v>0.978982300884956</v>
      </c>
      <c r="O166" s="135">
        <v>0.9</v>
      </c>
      <c r="P166" s="133" t="s">
        <v>35</v>
      </c>
      <c r="Q166" s="133" t="s">
        <v>35</v>
      </c>
      <c r="R166" s="133" t="s">
        <v>35</v>
      </c>
      <c r="S166" s="133">
        <v>1</v>
      </c>
      <c r="T166" s="135">
        <v>0.9</v>
      </c>
      <c r="U166" s="133" t="s">
        <v>35</v>
      </c>
      <c r="V166" s="133" t="s">
        <v>35</v>
      </c>
      <c r="W166" s="133" t="s">
        <v>35</v>
      </c>
      <c r="X166" s="133">
        <v>0.5</v>
      </c>
      <c r="Y166" s="135">
        <v>0.92</v>
      </c>
      <c r="Z166" s="135">
        <v>0</v>
      </c>
      <c r="AA166" s="135">
        <v>0</v>
      </c>
      <c r="AB166" s="135" t="s">
        <v>35</v>
      </c>
      <c r="AC166" s="135">
        <v>0.25</v>
      </c>
      <c r="AD166" s="135">
        <v>0.92</v>
      </c>
      <c r="AE166" s="133">
        <v>0.990783410138249</v>
      </c>
      <c r="AF166" s="133">
        <v>0.973214285714286</v>
      </c>
      <c r="AG166" s="133">
        <v>0.990706319702602</v>
      </c>
      <c r="AH166" s="133">
        <v>0.990155070393797</v>
      </c>
      <c r="AI166" s="135">
        <v>0.92</v>
      </c>
      <c r="AJ166" s="133">
        <v>0.976835664335664</v>
      </c>
      <c r="AK166" s="133">
        <v>0.983043284248103</v>
      </c>
      <c r="AL166" s="133">
        <v>0.985765765765766</v>
      </c>
      <c r="AM166" s="133">
        <v>0.990692166367842</v>
      </c>
      <c r="AN166" s="132">
        <v>0.99</v>
      </c>
      <c r="AO166" s="137">
        <v>1</v>
      </c>
      <c r="AP166" s="137">
        <v>1</v>
      </c>
      <c r="AQ166" s="137">
        <v>1</v>
      </c>
      <c r="AR166" s="137">
        <v>1</v>
      </c>
      <c r="AS166" s="139">
        <v>0.105261498981944</v>
      </c>
      <c r="AT166" s="141">
        <v>0</v>
      </c>
      <c r="AU166" s="141">
        <v>0.125</v>
      </c>
      <c r="AV166" s="141">
        <v>0.285714285714286</v>
      </c>
      <c r="AW166" s="141">
        <v>0.121739130434783</v>
      </c>
      <c r="AX166" s="95"/>
      <c r="AY166" s="93"/>
    </row>
    <row r="167" ht="14.5" spans="1:51">
      <c r="A167" s="91"/>
      <c r="B167" s="95"/>
      <c r="C167" s="152" t="s">
        <v>99</v>
      </c>
      <c r="D167" s="153" t="s">
        <v>25</v>
      </c>
      <c r="E167" s="130" t="s">
        <v>100</v>
      </c>
      <c r="F167" s="154" t="s">
        <v>189</v>
      </c>
      <c r="G167" s="154" t="s">
        <v>189</v>
      </c>
      <c r="H167" s="154" t="s">
        <v>189</v>
      </c>
      <c r="I167" s="154" t="s">
        <v>189</v>
      </c>
      <c r="J167" s="132">
        <v>0.9</v>
      </c>
      <c r="K167" s="133">
        <v>1</v>
      </c>
      <c r="L167" s="133">
        <v>1</v>
      </c>
      <c r="M167" s="134">
        <v>1</v>
      </c>
      <c r="N167" s="133">
        <v>0.982456140350877</v>
      </c>
      <c r="O167" s="135">
        <v>0.9</v>
      </c>
      <c r="P167" s="133">
        <v>0.967420814479638</v>
      </c>
      <c r="Q167" s="133">
        <v>0.968010663112296</v>
      </c>
      <c r="R167" s="133">
        <v>0.957670772676372</v>
      </c>
      <c r="S167" s="133">
        <v>0.958775978704179</v>
      </c>
      <c r="T167" s="135">
        <v>0.9</v>
      </c>
      <c r="U167" s="133">
        <v>0.938461538461538</v>
      </c>
      <c r="V167" s="133">
        <v>0.950349883372209</v>
      </c>
      <c r="W167" s="133">
        <v>0.921836506159015</v>
      </c>
      <c r="X167" s="133">
        <v>0.94365887610814</v>
      </c>
      <c r="Y167" s="135">
        <v>0.92</v>
      </c>
      <c r="Z167" s="135">
        <v>0.958105646630237</v>
      </c>
      <c r="AA167" s="135">
        <v>0.948775055679287</v>
      </c>
      <c r="AB167" s="135">
        <v>0.95969884853853</v>
      </c>
      <c r="AC167" s="135">
        <v>0.970730688935282</v>
      </c>
      <c r="AD167" s="135">
        <v>0.92</v>
      </c>
      <c r="AE167" s="133">
        <v>0.991396426207809</v>
      </c>
      <c r="AF167" s="133">
        <v>0.994073275862069</v>
      </c>
      <c r="AG167" s="133">
        <v>0.99828897338403</v>
      </c>
      <c r="AH167" s="133">
        <v>0.987408470665189</v>
      </c>
      <c r="AI167" s="135">
        <v>0.92</v>
      </c>
      <c r="AJ167" s="133">
        <v>0.968863361547763</v>
      </c>
      <c r="AK167" s="133">
        <v>0.974352398050782</v>
      </c>
      <c r="AL167" s="133">
        <v>0.979473449352967</v>
      </c>
      <c r="AM167" s="133">
        <v>0.983737269463661</v>
      </c>
      <c r="AN167" s="132">
        <v>0.99</v>
      </c>
      <c r="AO167" s="137">
        <v>1</v>
      </c>
      <c r="AP167" s="137">
        <v>1</v>
      </c>
      <c r="AQ167" s="137">
        <v>1</v>
      </c>
      <c r="AR167" s="137">
        <v>1</v>
      </c>
      <c r="AS167" s="139">
        <v>0.105261498981944</v>
      </c>
      <c r="AT167" s="141">
        <v>0.2</v>
      </c>
      <c r="AU167" s="141">
        <v>0.2</v>
      </c>
      <c r="AV167" s="141">
        <v>0</v>
      </c>
      <c r="AW167" s="141">
        <v>0.092896174863388</v>
      </c>
      <c r="AX167" s="95"/>
      <c r="AY167" s="93"/>
    </row>
    <row r="168" ht="14.5" spans="1:51">
      <c r="A168" s="91"/>
      <c r="B168" s="95"/>
      <c r="C168" s="152" t="s">
        <v>99</v>
      </c>
      <c r="D168" s="153" t="s">
        <v>25</v>
      </c>
      <c r="E168" s="130" t="s">
        <v>100</v>
      </c>
      <c r="F168" s="154" t="s">
        <v>190</v>
      </c>
      <c r="G168" s="154" t="s">
        <v>190</v>
      </c>
      <c r="H168" s="154" t="s">
        <v>190</v>
      </c>
      <c r="I168" s="154" t="s">
        <v>190</v>
      </c>
      <c r="J168" s="132">
        <v>0.9</v>
      </c>
      <c r="K168" s="133">
        <v>0.934782608695652</v>
      </c>
      <c r="L168" s="133">
        <v>0.918918918918919</v>
      </c>
      <c r="M168" s="134">
        <v>0.926829268292683</v>
      </c>
      <c r="N168" s="133">
        <v>0.949152542372881</v>
      </c>
      <c r="O168" s="135">
        <v>0.9</v>
      </c>
      <c r="P168" s="133">
        <v>0.960268948655257</v>
      </c>
      <c r="Q168" s="133">
        <v>0.94301392992824</v>
      </c>
      <c r="R168" s="133">
        <v>0.92303273980471</v>
      </c>
      <c r="S168" s="133">
        <v>0.948172246350102</v>
      </c>
      <c r="T168" s="135">
        <v>0.9</v>
      </c>
      <c r="U168" s="133">
        <v>0.920537897310513</v>
      </c>
      <c r="V168" s="133">
        <v>0.91304347826087</v>
      </c>
      <c r="W168" s="133">
        <v>0.908673176335439</v>
      </c>
      <c r="X168" s="133">
        <v>0.922194265933749</v>
      </c>
      <c r="Y168" s="135">
        <v>0.92</v>
      </c>
      <c r="Z168" s="135">
        <v>0.910669975186104</v>
      </c>
      <c r="AA168" s="135">
        <v>0.904696132596685</v>
      </c>
      <c r="AB168" s="135">
        <v>0.941558441558442</v>
      </c>
      <c r="AC168" s="135">
        <v>0.953790353840191</v>
      </c>
      <c r="AD168" s="135">
        <v>0.92</v>
      </c>
      <c r="AE168" s="133">
        <v>0.997624703087886</v>
      </c>
      <c r="AF168" s="133">
        <v>0.93127147766323</v>
      </c>
      <c r="AG168" s="133">
        <v>0.972222222222222</v>
      </c>
      <c r="AH168" s="133">
        <v>0.951411561359708</v>
      </c>
      <c r="AI168" s="135">
        <v>0.92</v>
      </c>
      <c r="AJ168" s="133">
        <v>0.940622440622441</v>
      </c>
      <c r="AK168" s="133">
        <v>0.955059812479793</v>
      </c>
      <c r="AL168" s="133">
        <v>0.963039399624765</v>
      </c>
      <c r="AM168" s="133">
        <v>0.970434500187766</v>
      </c>
      <c r="AN168" s="132">
        <v>0.99</v>
      </c>
      <c r="AO168" s="137">
        <v>1</v>
      </c>
      <c r="AP168" s="137">
        <v>1</v>
      </c>
      <c r="AQ168" s="137">
        <v>1</v>
      </c>
      <c r="AR168" s="137">
        <v>1</v>
      </c>
      <c r="AS168" s="139">
        <v>0.105261498981944</v>
      </c>
      <c r="AT168" s="141">
        <v>0.166666666666667</v>
      </c>
      <c r="AU168" s="141">
        <v>0</v>
      </c>
      <c r="AV168" s="141">
        <v>0.25</v>
      </c>
      <c r="AW168" s="141">
        <v>0.0621761658031088</v>
      </c>
      <c r="AX168" s="95"/>
      <c r="AY168" s="93"/>
    </row>
    <row r="169" ht="14.5" spans="1:51">
      <c r="A169" s="91"/>
      <c r="B169" s="95"/>
      <c r="C169" s="152" t="s">
        <v>99</v>
      </c>
      <c r="D169" s="153" t="s">
        <v>25</v>
      </c>
      <c r="E169" s="130" t="s">
        <v>100</v>
      </c>
      <c r="F169" s="154" t="s">
        <v>191</v>
      </c>
      <c r="G169" s="154" t="s">
        <v>191</v>
      </c>
      <c r="H169" s="154" t="s">
        <v>191</v>
      </c>
      <c r="I169" s="154" t="s">
        <v>191</v>
      </c>
      <c r="J169" s="132">
        <v>0.9</v>
      </c>
      <c r="K169" s="133">
        <v>0.955882352941177</v>
      </c>
      <c r="L169" s="133">
        <v>0.96875</v>
      </c>
      <c r="M169" s="134">
        <v>0.938461538461538</v>
      </c>
      <c r="N169" s="133">
        <v>0.961630695443645</v>
      </c>
      <c r="O169" s="135">
        <v>0.9</v>
      </c>
      <c r="P169" s="133">
        <v>0.912424503882658</v>
      </c>
      <c r="Q169" s="133">
        <v>0.949441891004596</v>
      </c>
      <c r="R169" s="133">
        <v>0.95481515289822</v>
      </c>
      <c r="S169" s="133">
        <v>0.936322545229447</v>
      </c>
      <c r="T169" s="135">
        <v>0.9</v>
      </c>
      <c r="U169" s="133">
        <v>0.852459016393443</v>
      </c>
      <c r="V169" s="133">
        <v>0.88575180564675</v>
      </c>
      <c r="W169" s="133">
        <v>0.885212231857599</v>
      </c>
      <c r="X169" s="133">
        <v>0.896319742113316</v>
      </c>
      <c r="Y169" s="135">
        <v>0.92</v>
      </c>
      <c r="Z169" s="135">
        <v>0.934010152284264</v>
      </c>
      <c r="AA169" s="135">
        <v>0.824578790882061</v>
      </c>
      <c r="AB169" s="135">
        <v>0.916496111338518</v>
      </c>
      <c r="AC169" s="135">
        <v>0.932241515390687</v>
      </c>
      <c r="AD169" s="135">
        <v>0.92</v>
      </c>
      <c r="AE169" s="133">
        <v>0.992383512544803</v>
      </c>
      <c r="AF169" s="133">
        <v>0.986377708978328</v>
      </c>
      <c r="AG169" s="133">
        <v>0.981322375793799</v>
      </c>
      <c r="AH169" s="133">
        <v>0.983828388055455</v>
      </c>
      <c r="AI169" s="135">
        <v>0.92</v>
      </c>
      <c r="AJ169" s="133">
        <v>0.937714285714286</v>
      </c>
      <c r="AK169" s="133">
        <v>0.927268244575937</v>
      </c>
      <c r="AL169" s="133">
        <v>0.955457875457875</v>
      </c>
      <c r="AM169" s="133">
        <v>0.962151335964668</v>
      </c>
      <c r="AN169" s="132">
        <v>0.99</v>
      </c>
      <c r="AO169" s="137">
        <v>1</v>
      </c>
      <c r="AP169" s="137">
        <v>1</v>
      </c>
      <c r="AQ169" s="137">
        <v>1</v>
      </c>
      <c r="AR169" s="137">
        <v>1</v>
      </c>
      <c r="AS169" s="139">
        <v>0.105261498981944</v>
      </c>
      <c r="AT169" s="141">
        <v>0.125</v>
      </c>
      <c r="AU169" s="141">
        <v>0.15</v>
      </c>
      <c r="AV169" s="141">
        <v>0.0612244897959184</v>
      </c>
      <c r="AW169" s="141">
        <v>0.0880503144654088</v>
      </c>
      <c r="AX169" s="95"/>
      <c r="AY169" s="93"/>
    </row>
    <row r="170" ht="14.5" spans="1:51">
      <c r="A170" s="91"/>
      <c r="B170" s="95"/>
      <c r="C170" s="152" t="s">
        <v>99</v>
      </c>
      <c r="D170" s="153" t="s">
        <v>25</v>
      </c>
      <c r="E170" s="130" t="s">
        <v>100</v>
      </c>
      <c r="F170" s="154" t="s">
        <v>192</v>
      </c>
      <c r="G170" s="154" t="s">
        <v>192</v>
      </c>
      <c r="H170" s="154" t="s">
        <v>192</v>
      </c>
      <c r="I170" s="154" t="s">
        <v>192</v>
      </c>
      <c r="J170" s="132">
        <v>0.9</v>
      </c>
      <c r="K170" s="133">
        <v>0.939024390243902</v>
      </c>
      <c r="L170" s="133">
        <v>0.859154929577465</v>
      </c>
      <c r="M170" s="134">
        <v>0.930555555555556</v>
      </c>
      <c r="N170" s="133">
        <v>0.930894308943089</v>
      </c>
      <c r="O170" s="135">
        <v>0.9</v>
      </c>
      <c r="P170" s="133">
        <v>0.953206938281565</v>
      </c>
      <c r="Q170" s="133">
        <v>0.964026689875254</v>
      </c>
      <c r="R170" s="133">
        <v>0.950127626153544</v>
      </c>
      <c r="S170" s="133">
        <v>0.944412384979383</v>
      </c>
      <c r="T170" s="135">
        <v>0.9</v>
      </c>
      <c r="U170" s="133">
        <v>0.919322307382009</v>
      </c>
      <c r="V170" s="133">
        <v>0.911517261386713</v>
      </c>
      <c r="W170" s="133">
        <v>0.902022383663852</v>
      </c>
      <c r="X170" s="133">
        <v>0.907658248434041</v>
      </c>
      <c r="Y170" s="135">
        <v>0.92</v>
      </c>
      <c r="Z170" s="135">
        <v>0.90694626474443</v>
      </c>
      <c r="AA170" s="135">
        <v>0.900343642611684</v>
      </c>
      <c r="AB170" s="135">
        <v>0.926701570680628</v>
      </c>
      <c r="AC170" s="135">
        <v>0.939749554024275</v>
      </c>
      <c r="AD170" s="135">
        <v>0.92</v>
      </c>
      <c r="AE170" s="133">
        <v>0.998906904718528</v>
      </c>
      <c r="AF170" s="133">
        <v>0.996837444655281</v>
      </c>
      <c r="AG170" s="133">
        <v>0.99782645042635</v>
      </c>
      <c r="AH170" s="133">
        <v>0.96670635083542</v>
      </c>
      <c r="AI170" s="135">
        <v>0.92</v>
      </c>
      <c r="AJ170" s="133">
        <v>0.946121227238713</v>
      </c>
      <c r="AK170" s="133">
        <v>0.952071134244199</v>
      </c>
      <c r="AL170" s="133">
        <v>0.954391255182812</v>
      </c>
      <c r="AM170" s="133">
        <v>0.964496226699624</v>
      </c>
      <c r="AN170" s="132">
        <v>0.99</v>
      </c>
      <c r="AO170" s="137">
        <v>1</v>
      </c>
      <c r="AP170" s="137">
        <v>1</v>
      </c>
      <c r="AQ170" s="137">
        <v>1</v>
      </c>
      <c r="AR170" s="137">
        <v>1</v>
      </c>
      <c r="AS170" s="139">
        <v>0.105261498981944</v>
      </c>
      <c r="AT170" s="141">
        <v>0.222222222222222</v>
      </c>
      <c r="AU170" s="141">
        <v>0.0681818181818182</v>
      </c>
      <c r="AV170" s="141">
        <v>0.0327868852459016</v>
      </c>
      <c r="AW170" s="141">
        <v>0.0550996483001172</v>
      </c>
      <c r="AX170" s="95"/>
      <c r="AY170" s="93"/>
    </row>
    <row r="171" ht="14.5" spans="1:51">
      <c r="A171" s="91"/>
      <c r="B171" s="95"/>
      <c r="C171" s="152" t="s">
        <v>99</v>
      </c>
      <c r="D171" s="153" t="s">
        <v>25</v>
      </c>
      <c r="E171" s="130" t="s">
        <v>100</v>
      </c>
      <c r="F171" s="154" t="s">
        <v>193</v>
      </c>
      <c r="G171" s="154" t="s">
        <v>193</v>
      </c>
      <c r="H171" s="154" t="s">
        <v>193</v>
      </c>
      <c r="I171" s="154" t="s">
        <v>193</v>
      </c>
      <c r="J171" s="132">
        <v>0.9</v>
      </c>
      <c r="K171" s="133">
        <v>0.96</v>
      </c>
      <c r="L171" s="133">
        <v>1</v>
      </c>
      <c r="M171" s="134">
        <v>0.954545454545455</v>
      </c>
      <c r="N171" s="133">
        <v>0.948601662887377</v>
      </c>
      <c r="O171" s="135">
        <v>0.9</v>
      </c>
      <c r="P171" s="133">
        <v>0.970731707317073</v>
      </c>
      <c r="Q171" s="133">
        <v>0.940907938118184</v>
      </c>
      <c r="R171" s="133">
        <v>0.936463606213999</v>
      </c>
      <c r="S171" s="133">
        <v>0.936680325998668</v>
      </c>
      <c r="T171" s="135">
        <v>0.9</v>
      </c>
      <c r="U171" s="133">
        <v>0.942508710801394</v>
      </c>
      <c r="V171" s="133">
        <v>0.907684504184631</v>
      </c>
      <c r="W171" s="133">
        <v>0.879211031593646</v>
      </c>
      <c r="X171" s="133">
        <v>0.886092122915735</v>
      </c>
      <c r="Y171" s="135">
        <v>0.92</v>
      </c>
      <c r="Z171" s="135">
        <v>0.929351316634554</v>
      </c>
      <c r="AA171" s="135">
        <v>0.885873902633679</v>
      </c>
      <c r="AB171" s="135">
        <v>0.904470890961724</v>
      </c>
      <c r="AC171" s="135">
        <v>0.926556427646117</v>
      </c>
      <c r="AD171" s="135">
        <v>0.92</v>
      </c>
      <c r="AE171" s="133">
        <v>0.979235880398671</v>
      </c>
      <c r="AF171" s="133">
        <v>0.987841945288754</v>
      </c>
      <c r="AG171" s="133">
        <v>0.991391280199944</v>
      </c>
      <c r="AH171" s="133">
        <v>0.98915731135427</v>
      </c>
      <c r="AI171" s="135">
        <v>0.92</v>
      </c>
      <c r="AJ171" s="133">
        <v>0.960469844138243</v>
      </c>
      <c r="AK171" s="133">
        <v>0.9364896073903</v>
      </c>
      <c r="AL171" s="133">
        <v>0.937316134872143</v>
      </c>
      <c r="AM171" s="133">
        <v>0.953874780960861</v>
      </c>
      <c r="AN171" s="132">
        <v>0.99</v>
      </c>
      <c r="AO171" s="137">
        <v>1</v>
      </c>
      <c r="AP171" s="137">
        <v>1</v>
      </c>
      <c r="AQ171" s="137">
        <v>1</v>
      </c>
      <c r="AR171" s="137">
        <v>1</v>
      </c>
      <c r="AS171" s="139">
        <v>0.105261498981944</v>
      </c>
      <c r="AT171" s="141">
        <v>0.0666666666666667</v>
      </c>
      <c r="AU171" s="141">
        <v>0.0909090909090909</v>
      </c>
      <c r="AV171" s="141">
        <v>0.166666666666667</v>
      </c>
      <c r="AW171" s="141">
        <v>0.0882708585247884</v>
      </c>
      <c r="AX171" s="95"/>
      <c r="AY171" s="93"/>
    </row>
    <row r="172" ht="14.5" spans="1:51">
      <c r="A172" s="91"/>
      <c r="B172" s="95"/>
      <c r="C172" s="152" t="s">
        <v>99</v>
      </c>
      <c r="D172" s="153" t="s">
        <v>25</v>
      </c>
      <c r="E172" s="130" t="s">
        <v>100</v>
      </c>
      <c r="F172" s="154" t="s">
        <v>194</v>
      </c>
      <c r="G172" s="154" t="s">
        <v>194</v>
      </c>
      <c r="H172" s="154" t="s">
        <v>194</v>
      </c>
      <c r="I172" s="154" t="s">
        <v>194</v>
      </c>
      <c r="J172" s="132">
        <v>0.9</v>
      </c>
      <c r="K172" s="133">
        <v>0.98</v>
      </c>
      <c r="L172" s="133">
        <v>0.926829268292683</v>
      </c>
      <c r="M172" s="134">
        <v>1</v>
      </c>
      <c r="N172" s="133">
        <v>0.963713980789755</v>
      </c>
      <c r="O172" s="135">
        <v>0.9</v>
      </c>
      <c r="P172" s="133">
        <v>0.972405518896221</v>
      </c>
      <c r="Q172" s="133">
        <v>0.934860736747529</v>
      </c>
      <c r="R172" s="133">
        <v>0.960405156537753</v>
      </c>
      <c r="S172" s="133">
        <v>0.956310599700397</v>
      </c>
      <c r="T172" s="135">
        <v>0.9</v>
      </c>
      <c r="U172" s="133">
        <v>0.914817036592681</v>
      </c>
      <c r="V172" s="133">
        <v>0.907457322551662</v>
      </c>
      <c r="W172" s="133">
        <v>0.910681399631676</v>
      </c>
      <c r="X172" s="133">
        <v>0.914481373565773</v>
      </c>
      <c r="Y172" s="135">
        <v>0.92</v>
      </c>
      <c r="Z172" s="135">
        <v>0.934252386002121</v>
      </c>
      <c r="AA172" s="135">
        <v>0.946175637393768</v>
      </c>
      <c r="AB172" s="135">
        <v>0.957674943566591</v>
      </c>
      <c r="AC172" s="135">
        <v>0.958204291174911</v>
      </c>
      <c r="AD172" s="135">
        <v>0.92</v>
      </c>
      <c r="AE172" s="133">
        <v>0.997446373850868</v>
      </c>
      <c r="AF172" s="133">
        <v>0.961690885072655</v>
      </c>
      <c r="AG172" s="133">
        <v>0.9921875</v>
      </c>
      <c r="AH172" s="133">
        <v>0.963460075047889</v>
      </c>
      <c r="AI172" s="135">
        <v>0.92</v>
      </c>
      <c r="AJ172" s="133">
        <v>0.957854406130268</v>
      </c>
      <c r="AK172" s="133">
        <v>0.96043656207367</v>
      </c>
      <c r="AL172" s="133">
        <v>0.969781312127237</v>
      </c>
      <c r="AM172" s="133">
        <v>0.974532316006336</v>
      </c>
      <c r="AN172" s="132">
        <v>0.99</v>
      </c>
      <c r="AO172" s="137">
        <v>1</v>
      </c>
      <c r="AP172" s="137">
        <v>1</v>
      </c>
      <c r="AQ172" s="137">
        <v>1</v>
      </c>
      <c r="AR172" s="137">
        <v>1</v>
      </c>
      <c r="AS172" s="139">
        <v>0.105261498981944</v>
      </c>
      <c r="AT172" s="141">
        <v>0.111111111111111</v>
      </c>
      <c r="AU172" s="141">
        <v>0</v>
      </c>
      <c r="AV172" s="141">
        <v>0.0769230769230769</v>
      </c>
      <c r="AW172" s="141">
        <v>0.0737100737100737</v>
      </c>
      <c r="AX172" s="95"/>
      <c r="AY172" s="93"/>
    </row>
    <row r="173" ht="14.5" spans="1:51">
      <c r="A173" s="91"/>
      <c r="B173" s="95"/>
      <c r="C173" s="152" t="s">
        <v>99</v>
      </c>
      <c r="D173" s="153" t="s">
        <v>25</v>
      </c>
      <c r="E173" s="130" t="s">
        <v>100</v>
      </c>
      <c r="F173" s="154" t="s">
        <v>195</v>
      </c>
      <c r="G173" s="154" t="s">
        <v>195</v>
      </c>
      <c r="H173" s="154" t="s">
        <v>195</v>
      </c>
      <c r="I173" s="154" t="s">
        <v>195</v>
      </c>
      <c r="J173" s="132">
        <v>0.9</v>
      </c>
      <c r="K173" s="133">
        <v>0.932432432432432</v>
      </c>
      <c r="L173" s="133">
        <v>0.931034482758621</v>
      </c>
      <c r="M173" s="134">
        <v>0.907692307692308</v>
      </c>
      <c r="N173" s="133">
        <v>0.936472346786248</v>
      </c>
      <c r="O173" s="135">
        <v>0.9</v>
      </c>
      <c r="P173" s="133">
        <v>0.981730769230769</v>
      </c>
      <c r="Q173" s="133">
        <v>0.987235471951629</v>
      </c>
      <c r="R173" s="133">
        <v>0.975350410826486</v>
      </c>
      <c r="S173" s="133">
        <v>0.971379653690167</v>
      </c>
      <c r="T173" s="135">
        <v>0.9</v>
      </c>
      <c r="U173" s="133">
        <v>0.920192307692308</v>
      </c>
      <c r="V173" s="133">
        <v>0.879744709439033</v>
      </c>
      <c r="W173" s="133">
        <v>0.88714354760754</v>
      </c>
      <c r="X173" s="133">
        <v>0.905299074726182</v>
      </c>
      <c r="Y173" s="135">
        <v>0.92</v>
      </c>
      <c r="Z173" s="135">
        <v>0.916734693877551</v>
      </c>
      <c r="AA173" s="135">
        <v>0.878850102669405</v>
      </c>
      <c r="AB173" s="135">
        <v>0.901793339026473</v>
      </c>
      <c r="AC173" s="135">
        <v>0.936243865686534</v>
      </c>
      <c r="AD173" s="135">
        <v>0.92</v>
      </c>
      <c r="AE173" s="133">
        <v>0.99106847502481</v>
      </c>
      <c r="AF173" s="133">
        <v>0.965429403202329</v>
      </c>
      <c r="AG173" s="133">
        <v>0.848830409356725</v>
      </c>
      <c r="AH173" s="133">
        <v>0.778324678709626</v>
      </c>
      <c r="AI173" s="135">
        <v>0.92</v>
      </c>
      <c r="AJ173" s="133">
        <v>0.953143893591294</v>
      </c>
      <c r="AK173" s="133">
        <v>0.930397367754999</v>
      </c>
      <c r="AL173" s="133">
        <v>0.939361209689863</v>
      </c>
      <c r="AM173" s="133">
        <v>0.96143491619262</v>
      </c>
      <c r="AN173" s="132">
        <v>0.99</v>
      </c>
      <c r="AO173" s="137">
        <v>1</v>
      </c>
      <c r="AP173" s="137">
        <v>1</v>
      </c>
      <c r="AQ173" s="137">
        <v>1</v>
      </c>
      <c r="AR173" s="137">
        <v>1</v>
      </c>
      <c r="AS173" s="139">
        <v>0.105261498981944</v>
      </c>
      <c r="AT173" s="141">
        <v>0.272727272727273</v>
      </c>
      <c r="AU173" s="141">
        <v>0.285714285714286</v>
      </c>
      <c r="AV173" s="141">
        <v>0</v>
      </c>
      <c r="AW173" s="141">
        <v>0.104536489151874</v>
      </c>
      <c r="AX173" s="95"/>
      <c r="AY173" s="93"/>
    </row>
    <row r="174" ht="14.5" spans="1:51">
      <c r="A174" s="91"/>
      <c r="B174" s="95"/>
      <c r="C174" s="152" t="s">
        <v>99</v>
      </c>
      <c r="D174" s="153" t="s">
        <v>25</v>
      </c>
      <c r="E174" s="130" t="s">
        <v>100</v>
      </c>
      <c r="F174" s="154" t="s">
        <v>196</v>
      </c>
      <c r="G174" s="154" t="s">
        <v>196</v>
      </c>
      <c r="H174" s="154" t="s">
        <v>196</v>
      </c>
      <c r="I174" s="154" t="s">
        <v>196</v>
      </c>
      <c r="J174" s="132">
        <v>0.9</v>
      </c>
      <c r="K174" s="133">
        <v>0.945945945945946</v>
      </c>
      <c r="L174" s="133">
        <v>0.936507936507937</v>
      </c>
      <c r="M174" s="134">
        <v>0.918032786885246</v>
      </c>
      <c r="N174" s="133">
        <v>0.922322158626329</v>
      </c>
      <c r="O174" s="135">
        <v>0.9</v>
      </c>
      <c r="P174" s="133">
        <v>0.958520900321543</v>
      </c>
      <c r="Q174" s="133">
        <v>0.942809083263246</v>
      </c>
      <c r="R174" s="133">
        <v>0.941989488028032</v>
      </c>
      <c r="S174" s="133">
        <v>0.910303056245184</v>
      </c>
      <c r="T174" s="135">
        <v>0.9</v>
      </c>
      <c r="U174" s="133">
        <v>0.897749196141479</v>
      </c>
      <c r="V174" s="133">
        <v>0.870479394449117</v>
      </c>
      <c r="W174" s="133">
        <v>0.85049639867627</v>
      </c>
      <c r="X174" s="133">
        <v>0.867530605256399</v>
      </c>
      <c r="Y174" s="135">
        <v>0.92</v>
      </c>
      <c r="Z174" s="135">
        <v>0.854261548471048</v>
      </c>
      <c r="AA174" s="135">
        <v>0.823851953392735</v>
      </c>
      <c r="AB174" s="135">
        <v>0.893888263967004</v>
      </c>
      <c r="AC174" s="135">
        <v>0.901614302417682</v>
      </c>
      <c r="AD174" s="135">
        <v>0.92</v>
      </c>
      <c r="AE174" s="133">
        <v>0.999174576970697</v>
      </c>
      <c r="AF174" s="133">
        <v>0.996592844974446</v>
      </c>
      <c r="AG174" s="133">
        <v>0.967615777173654</v>
      </c>
      <c r="AH174" s="133">
        <v>0.977493164302633</v>
      </c>
      <c r="AI174" s="135">
        <v>0.92</v>
      </c>
      <c r="AJ174" s="133">
        <v>0.913062190660641</v>
      </c>
      <c r="AK174" s="133">
        <v>0.895344210107441</v>
      </c>
      <c r="AL174" s="133">
        <v>0.92516658124039</v>
      </c>
      <c r="AM174" s="133">
        <v>0.939026138481388</v>
      </c>
      <c r="AN174" s="132">
        <v>0.99</v>
      </c>
      <c r="AO174" s="137">
        <v>1</v>
      </c>
      <c r="AP174" s="137">
        <v>1</v>
      </c>
      <c r="AQ174" s="137">
        <v>1</v>
      </c>
      <c r="AR174" s="137">
        <v>1</v>
      </c>
      <c r="AS174" s="139">
        <v>0.105261498981944</v>
      </c>
      <c r="AT174" s="141">
        <v>0.25</v>
      </c>
      <c r="AU174" s="141">
        <v>0.0384615384615385</v>
      </c>
      <c r="AV174" s="141">
        <v>0.0333333333333333</v>
      </c>
      <c r="AW174" s="141">
        <v>0.0797872340425532</v>
      </c>
      <c r="AX174" s="95"/>
      <c r="AY174" s="93"/>
    </row>
    <row r="175" ht="14.5" spans="1:51">
      <c r="A175" s="91"/>
      <c r="B175" s="95"/>
      <c r="C175" s="152" t="s">
        <v>99</v>
      </c>
      <c r="D175" s="153" t="s">
        <v>25</v>
      </c>
      <c r="E175" s="130" t="s">
        <v>100</v>
      </c>
      <c r="F175" s="154" t="s">
        <v>197</v>
      </c>
      <c r="G175" s="154" t="s">
        <v>197</v>
      </c>
      <c r="H175" s="154" t="s">
        <v>197</v>
      </c>
      <c r="I175" s="154" t="s">
        <v>197</v>
      </c>
      <c r="J175" s="132">
        <v>0.9</v>
      </c>
      <c r="K175" s="133">
        <v>0.974683544303797</v>
      </c>
      <c r="L175" s="133">
        <v>0.946666666666667</v>
      </c>
      <c r="M175" s="134">
        <v>0.936708860759494</v>
      </c>
      <c r="N175" s="133">
        <v>0.943498978897209</v>
      </c>
      <c r="O175" s="135">
        <v>0.9</v>
      </c>
      <c r="P175" s="133">
        <v>0.904643191025241</v>
      </c>
      <c r="Q175" s="133">
        <v>0.908165797964755</v>
      </c>
      <c r="R175" s="133">
        <v>0.922053588158141</v>
      </c>
      <c r="S175" s="133">
        <v>0.924777487608591</v>
      </c>
      <c r="T175" s="135">
        <v>0.9</v>
      </c>
      <c r="U175" s="133">
        <v>0.894047990028046</v>
      </c>
      <c r="V175" s="133">
        <v>0.881608339538347</v>
      </c>
      <c r="W175" s="133">
        <v>0.930485291362188</v>
      </c>
      <c r="X175" s="133">
        <v>0.899291158130363</v>
      </c>
      <c r="Y175" s="135">
        <v>0.92</v>
      </c>
      <c r="Z175" s="135">
        <v>0.963806970509383</v>
      </c>
      <c r="AA175" s="135">
        <v>0.941355674028941</v>
      </c>
      <c r="AB175" s="135">
        <v>0.952032520325203</v>
      </c>
      <c r="AC175" s="135">
        <v>0.953381623799194</v>
      </c>
      <c r="AD175" s="135">
        <v>0.92</v>
      </c>
      <c r="AE175" s="133">
        <v>0.997839558815169</v>
      </c>
      <c r="AF175" s="133">
        <v>0.99066974595843</v>
      </c>
      <c r="AG175" s="133">
        <v>0.972955417773841</v>
      </c>
      <c r="AH175" s="133">
        <v>0.959310441094361</v>
      </c>
      <c r="AI175" s="135">
        <v>0.92</v>
      </c>
      <c r="AJ175" s="133">
        <v>0.981288539230279</v>
      </c>
      <c r="AK175" s="133">
        <v>0.967989517034818</v>
      </c>
      <c r="AL175" s="133">
        <v>0.973582969992306</v>
      </c>
      <c r="AM175" s="133">
        <v>0.973567888249569</v>
      </c>
      <c r="AN175" s="132">
        <v>0.99</v>
      </c>
      <c r="AO175" s="137">
        <v>1</v>
      </c>
      <c r="AP175" s="137">
        <v>1</v>
      </c>
      <c r="AQ175" s="137">
        <v>1</v>
      </c>
      <c r="AR175" s="137">
        <v>0.999713549126325</v>
      </c>
      <c r="AS175" s="139">
        <v>0.105261498981944</v>
      </c>
      <c r="AT175" s="141">
        <v>0.2</v>
      </c>
      <c r="AU175" s="141">
        <v>0.0833333333333333</v>
      </c>
      <c r="AV175" s="141">
        <v>0.037037037037037</v>
      </c>
      <c r="AW175" s="141">
        <v>0.0971428571428571</v>
      </c>
      <c r="AX175" s="95"/>
      <c r="AY175" s="93"/>
    </row>
    <row r="176" ht="14.5" spans="1:51">
      <c r="A176" s="91"/>
      <c r="B176" s="95"/>
      <c r="C176" s="152" t="s">
        <v>99</v>
      </c>
      <c r="D176" s="153" t="s">
        <v>25</v>
      </c>
      <c r="E176" s="130" t="s">
        <v>100</v>
      </c>
      <c r="F176" s="154" t="s">
        <v>198</v>
      </c>
      <c r="G176" s="154" t="s">
        <v>198</v>
      </c>
      <c r="H176" s="154" t="s">
        <v>198</v>
      </c>
      <c r="I176" s="154" t="s">
        <v>198</v>
      </c>
      <c r="J176" s="132">
        <v>0.9</v>
      </c>
      <c r="K176" s="133">
        <v>0.91304347826087</v>
      </c>
      <c r="L176" s="133">
        <v>0.861111111111111</v>
      </c>
      <c r="M176" s="134">
        <v>0.9</v>
      </c>
      <c r="N176" s="133">
        <v>0.942542787286064</v>
      </c>
      <c r="O176" s="135">
        <v>0.9</v>
      </c>
      <c r="P176" s="133">
        <v>0.948511665325825</v>
      </c>
      <c r="Q176" s="133">
        <v>0.959547888161808</v>
      </c>
      <c r="R176" s="133">
        <v>0.957861880608662</v>
      </c>
      <c r="S176" s="133">
        <v>0.959243203824495</v>
      </c>
      <c r="T176" s="135">
        <v>0.9</v>
      </c>
      <c r="U176" s="133">
        <v>0.904263877715205</v>
      </c>
      <c r="V176" s="133">
        <v>0.873884592504462</v>
      </c>
      <c r="W176" s="133">
        <v>0.908700741318767</v>
      </c>
      <c r="X176" s="133">
        <v>0.914050155977798</v>
      </c>
      <c r="Y176" s="135">
        <v>0.92</v>
      </c>
      <c r="Z176" s="135">
        <v>0.937098844672657</v>
      </c>
      <c r="AA176" s="135">
        <v>0.918300653594771</v>
      </c>
      <c r="AB176" s="135">
        <v>0.948215535339398</v>
      </c>
      <c r="AC176" s="135">
        <v>0.960914650358947</v>
      </c>
      <c r="AD176" s="135">
        <v>0.92</v>
      </c>
      <c r="AE176" s="133">
        <v>0.995835068721366</v>
      </c>
      <c r="AF176" s="133">
        <v>0.990274599542334</v>
      </c>
      <c r="AG176" s="133">
        <v>0.985289702791954</v>
      </c>
      <c r="AH176" s="133">
        <v>0.97568736232357</v>
      </c>
      <c r="AI176" s="135">
        <v>0.92</v>
      </c>
      <c r="AJ176" s="133">
        <v>0.946119624320316</v>
      </c>
      <c r="AK176" s="133">
        <v>0.942433493240297</v>
      </c>
      <c r="AL176" s="133">
        <v>0.964679358717435</v>
      </c>
      <c r="AM176" s="133">
        <v>0.975698464636295</v>
      </c>
      <c r="AN176" s="132">
        <v>0.99</v>
      </c>
      <c r="AO176" s="137">
        <v>1</v>
      </c>
      <c r="AP176" s="137">
        <v>1</v>
      </c>
      <c r="AQ176" s="137">
        <v>1</v>
      </c>
      <c r="AR176" s="137">
        <v>1</v>
      </c>
      <c r="AS176" s="139">
        <v>0.105261498981944</v>
      </c>
      <c r="AT176" s="141">
        <v>0.133333333333333</v>
      </c>
      <c r="AU176" s="141">
        <v>0.230769230769231</v>
      </c>
      <c r="AV176" s="141">
        <v>0.0454545454545455</v>
      </c>
      <c r="AW176" s="141">
        <v>0.0986394557823129</v>
      </c>
      <c r="AX176" s="95"/>
      <c r="AY176" s="93"/>
    </row>
    <row r="177" ht="14.5" spans="1:51">
      <c r="A177" s="91"/>
      <c r="B177" s="95"/>
      <c r="C177" s="152" t="s">
        <v>99</v>
      </c>
      <c r="D177" s="153" t="s">
        <v>25</v>
      </c>
      <c r="E177" s="130" t="s">
        <v>100</v>
      </c>
      <c r="F177" s="154" t="s">
        <v>199</v>
      </c>
      <c r="G177" s="154" t="s">
        <v>199</v>
      </c>
      <c r="H177" s="154" t="s">
        <v>199</v>
      </c>
      <c r="I177" s="154" t="s">
        <v>199</v>
      </c>
      <c r="J177" s="132">
        <v>0.9</v>
      </c>
      <c r="K177" s="133">
        <v>0.972222222222222</v>
      </c>
      <c r="L177" s="133">
        <v>1</v>
      </c>
      <c r="M177" s="134">
        <v>1</v>
      </c>
      <c r="N177" s="133">
        <v>0.976029962546817</v>
      </c>
      <c r="O177" s="135">
        <v>0.9</v>
      </c>
      <c r="P177" s="133">
        <v>0.883457526080477</v>
      </c>
      <c r="Q177" s="133">
        <v>0.906288532675709</v>
      </c>
      <c r="R177" s="133">
        <v>0.886013986013986</v>
      </c>
      <c r="S177" s="133">
        <v>0.91850887287263</v>
      </c>
      <c r="T177" s="135">
        <v>0.9</v>
      </c>
      <c r="U177" s="133">
        <v>0.929955290611028</v>
      </c>
      <c r="V177" s="133">
        <v>0.938840937114673</v>
      </c>
      <c r="W177" s="133">
        <v>0.905594405594406</v>
      </c>
      <c r="X177" s="133">
        <v>0.927290896977772</v>
      </c>
      <c r="Y177" s="135">
        <v>0.92</v>
      </c>
      <c r="Z177" s="135">
        <v>0.908932714617169</v>
      </c>
      <c r="AA177" s="135">
        <v>0.972568578553616</v>
      </c>
      <c r="AB177" s="135">
        <v>0.985870717061109</v>
      </c>
      <c r="AC177" s="135">
        <v>0.985268615670269</v>
      </c>
      <c r="AD177" s="135">
        <v>0.92</v>
      </c>
      <c r="AE177" s="133">
        <v>0.99200696828406</v>
      </c>
      <c r="AF177" s="133">
        <v>0.987824724248086</v>
      </c>
      <c r="AG177" s="133">
        <v>0.990533376609326</v>
      </c>
      <c r="AH177" s="133">
        <v>0.94255289264367</v>
      </c>
      <c r="AI177" s="135">
        <v>0.92</v>
      </c>
      <c r="AJ177" s="133">
        <v>0.947047244094488</v>
      </c>
      <c r="AK177" s="133">
        <v>0.98972993533663</v>
      </c>
      <c r="AL177" s="133">
        <v>0.990762394761459</v>
      </c>
      <c r="AM177" s="133">
        <v>0.991504481434059</v>
      </c>
      <c r="AN177" s="132">
        <v>0.99</v>
      </c>
      <c r="AO177" s="137">
        <v>1</v>
      </c>
      <c r="AP177" s="137">
        <v>1</v>
      </c>
      <c r="AQ177" s="137">
        <v>1</v>
      </c>
      <c r="AR177" s="137">
        <v>1</v>
      </c>
      <c r="AS177" s="139">
        <v>0.105261498981944</v>
      </c>
      <c r="AT177" s="141">
        <v>0.307692307692308</v>
      </c>
      <c r="AU177" s="141">
        <v>0.12</v>
      </c>
      <c r="AV177" s="141">
        <v>0.166666666666667</v>
      </c>
      <c r="AW177" s="141">
        <v>0.152804642166344</v>
      </c>
      <c r="AX177" s="95"/>
      <c r="AY177" s="93"/>
    </row>
    <row r="178" ht="14.5" spans="1:51">
      <c r="A178" s="91"/>
      <c r="B178" s="95"/>
      <c r="C178" s="152" t="s">
        <v>99</v>
      </c>
      <c r="D178" s="153" t="s">
        <v>25</v>
      </c>
      <c r="E178" s="130" t="s">
        <v>100</v>
      </c>
      <c r="F178" s="154" t="s">
        <v>200</v>
      </c>
      <c r="G178" s="154" t="s">
        <v>200</v>
      </c>
      <c r="H178" s="154" t="s">
        <v>200</v>
      </c>
      <c r="I178" s="154" t="s">
        <v>200</v>
      </c>
      <c r="J178" s="132">
        <v>0.9</v>
      </c>
      <c r="K178" s="133">
        <v>0.946428571428571</v>
      </c>
      <c r="L178" s="133">
        <v>0.86</v>
      </c>
      <c r="M178" s="134">
        <v>0.944444444444444</v>
      </c>
      <c r="N178" s="133">
        <v>0.943025540275049</v>
      </c>
      <c r="O178" s="135">
        <v>0.9</v>
      </c>
      <c r="P178" s="133">
        <v>0.923918212077984</v>
      </c>
      <c r="Q178" s="133">
        <v>0.949946751863685</v>
      </c>
      <c r="R178" s="133">
        <v>0.964664310954064</v>
      </c>
      <c r="S178" s="133">
        <v>0.947715225122459</v>
      </c>
      <c r="T178" s="135">
        <v>0.9</v>
      </c>
      <c r="U178" s="133">
        <v>0.903471231573942</v>
      </c>
      <c r="V178" s="133">
        <v>0.920837770678026</v>
      </c>
      <c r="W178" s="133">
        <v>0.917970721857648</v>
      </c>
      <c r="X178" s="133">
        <v>0.931705025833725</v>
      </c>
      <c r="Y178" s="135">
        <v>0.92</v>
      </c>
      <c r="Z178" s="135">
        <v>0.948689956331878</v>
      </c>
      <c r="AA178" s="135">
        <v>0.9375</v>
      </c>
      <c r="AB178" s="135">
        <v>0.953511874684184</v>
      </c>
      <c r="AC178" s="135">
        <v>0.959585121602289</v>
      </c>
      <c r="AD178" s="135">
        <v>0.92</v>
      </c>
      <c r="AE178" s="133">
        <v>0.97265400115141</v>
      </c>
      <c r="AF178" s="133">
        <v>0.991396426207809</v>
      </c>
      <c r="AG178" s="133">
        <v>0.953761467889908</v>
      </c>
      <c r="AH178" s="133">
        <v>0.973747233208752</v>
      </c>
      <c r="AI178" s="135">
        <v>0.92</v>
      </c>
      <c r="AJ178" s="133">
        <v>0.941371315004969</v>
      </c>
      <c r="AK178" s="133">
        <v>0.966823334254907</v>
      </c>
      <c r="AL178" s="133">
        <v>0.976266621780845</v>
      </c>
      <c r="AM178" s="133">
        <v>0.975702523331588</v>
      </c>
      <c r="AN178" s="132">
        <v>0.99</v>
      </c>
      <c r="AO178" s="137">
        <v>1</v>
      </c>
      <c r="AP178" s="137">
        <v>1</v>
      </c>
      <c r="AQ178" s="137">
        <v>1</v>
      </c>
      <c r="AR178" s="137">
        <v>1</v>
      </c>
      <c r="AS178" s="139">
        <v>0.105261498981944</v>
      </c>
      <c r="AT178" s="141">
        <v>0</v>
      </c>
      <c r="AU178" s="141">
        <v>0.166666666666667</v>
      </c>
      <c r="AV178" s="141">
        <v>0.0909090909090909</v>
      </c>
      <c r="AW178" s="141">
        <v>0.100877192982456</v>
      </c>
      <c r="AX178" s="95"/>
      <c r="AY178" s="93"/>
    </row>
    <row r="179" ht="14.5" spans="1:51">
      <c r="A179" s="91"/>
      <c r="B179" s="95"/>
      <c r="C179" s="152" t="s">
        <v>99</v>
      </c>
      <c r="D179" s="153" t="s">
        <v>25</v>
      </c>
      <c r="E179" s="130" t="s">
        <v>100</v>
      </c>
      <c r="F179" s="154" t="s">
        <v>201</v>
      </c>
      <c r="G179" s="154" t="s">
        <v>201</v>
      </c>
      <c r="H179" s="154" t="s">
        <v>201</v>
      </c>
      <c r="I179" s="154" t="s">
        <v>201</v>
      </c>
      <c r="J179" s="132">
        <v>0.9</v>
      </c>
      <c r="K179" s="133">
        <v>0.904109589041096</v>
      </c>
      <c r="L179" s="133">
        <v>0.893939393939394</v>
      </c>
      <c r="M179" s="134">
        <v>0.881578947368421</v>
      </c>
      <c r="N179" s="133">
        <v>0.922038980509745</v>
      </c>
      <c r="O179" s="135">
        <v>0.9</v>
      </c>
      <c r="P179" s="133">
        <v>0.829335332333833</v>
      </c>
      <c r="Q179" s="133">
        <v>0.936164988951633</v>
      </c>
      <c r="R179" s="133">
        <v>0.9716796875</v>
      </c>
      <c r="S179" s="133">
        <v>0.929148381352159</v>
      </c>
      <c r="T179" s="135">
        <v>0.9</v>
      </c>
      <c r="U179" s="133">
        <v>0.847326336831584</v>
      </c>
      <c r="V179" s="133">
        <v>0.898109501595875</v>
      </c>
      <c r="W179" s="133">
        <v>0.93310546875</v>
      </c>
      <c r="X179" s="133">
        <v>0.9039350905407</v>
      </c>
      <c r="Y179" s="135">
        <v>0.92</v>
      </c>
      <c r="Z179" s="135">
        <v>0.888144675150703</v>
      </c>
      <c r="AA179" s="135">
        <v>0.865054602184087</v>
      </c>
      <c r="AB179" s="135">
        <v>0.925490196078431</v>
      </c>
      <c r="AC179" s="135">
        <v>0.92264336315218</v>
      </c>
      <c r="AD179" s="135">
        <v>0.92</v>
      </c>
      <c r="AE179" s="133">
        <v>0.994946382349316</v>
      </c>
      <c r="AF179" s="133">
        <v>0.997684154270954</v>
      </c>
      <c r="AG179" s="133">
        <v>0.995561384041158</v>
      </c>
      <c r="AH179" s="133">
        <v>0.983438089678672</v>
      </c>
      <c r="AI179" s="135">
        <v>0.92</v>
      </c>
      <c r="AJ179" s="133">
        <v>0.950509461426492</v>
      </c>
      <c r="AK179" s="133">
        <v>0.937826736370426</v>
      </c>
      <c r="AL179" s="133">
        <v>0.959995530226841</v>
      </c>
      <c r="AM179" s="133">
        <v>0.959923141901941</v>
      </c>
      <c r="AN179" s="132">
        <v>0.99</v>
      </c>
      <c r="AO179" s="137">
        <v>1</v>
      </c>
      <c r="AP179" s="137">
        <v>1</v>
      </c>
      <c r="AQ179" s="137">
        <v>1</v>
      </c>
      <c r="AR179" s="137">
        <v>1</v>
      </c>
      <c r="AS179" s="139">
        <v>0.105261498981944</v>
      </c>
      <c r="AT179" s="141">
        <v>0.0588235294117647</v>
      </c>
      <c r="AU179" s="141">
        <v>0</v>
      </c>
      <c r="AV179" s="141">
        <v>0.0869565217391304</v>
      </c>
      <c r="AW179" s="141">
        <v>0.118712273641851</v>
      </c>
      <c r="AX179" s="95"/>
      <c r="AY179" s="93"/>
    </row>
    <row r="180" ht="14.5" spans="1:51">
      <c r="A180" s="91"/>
      <c r="B180" s="95"/>
      <c r="C180" s="152" t="s">
        <v>99</v>
      </c>
      <c r="D180" s="153" t="s">
        <v>25</v>
      </c>
      <c r="E180" s="130" t="s">
        <v>100</v>
      </c>
      <c r="F180" s="154" t="s">
        <v>202</v>
      </c>
      <c r="G180" s="154" t="s">
        <v>202</v>
      </c>
      <c r="H180" s="154" t="s">
        <v>202</v>
      </c>
      <c r="I180" s="154" t="s">
        <v>202</v>
      </c>
      <c r="J180" s="132">
        <v>0.9</v>
      </c>
      <c r="K180" s="133" t="s">
        <v>35</v>
      </c>
      <c r="L180" s="133" t="s">
        <v>35</v>
      </c>
      <c r="M180" s="134" t="s">
        <v>35</v>
      </c>
      <c r="N180" s="133">
        <v>0.833040421792619</v>
      </c>
      <c r="O180" s="135">
        <v>0.9</v>
      </c>
      <c r="P180" s="133">
        <v>0.02</v>
      </c>
      <c r="Q180" s="133">
        <v>0.0615384615384615</v>
      </c>
      <c r="R180" s="133">
        <v>0.0099009900990099</v>
      </c>
      <c r="S180" s="133">
        <v>0.763103880801247</v>
      </c>
      <c r="T180" s="135">
        <v>0.9</v>
      </c>
      <c r="U180" s="133">
        <v>1</v>
      </c>
      <c r="V180" s="133">
        <v>1</v>
      </c>
      <c r="W180" s="133">
        <v>0.99009900990099</v>
      </c>
      <c r="X180" s="133">
        <v>0.837489072180623</v>
      </c>
      <c r="Y180" s="135">
        <v>0.92</v>
      </c>
      <c r="Z180" s="135">
        <v>1</v>
      </c>
      <c r="AA180" s="135">
        <v>0.952380952380952</v>
      </c>
      <c r="AB180" s="135">
        <v>1</v>
      </c>
      <c r="AC180" s="135">
        <v>0.948570331990021</v>
      </c>
      <c r="AD180" s="135">
        <v>0.92</v>
      </c>
      <c r="AE180" s="133" t="s">
        <v>35</v>
      </c>
      <c r="AF180" s="133" t="s">
        <v>35</v>
      </c>
      <c r="AG180" s="133" t="s">
        <v>35</v>
      </c>
      <c r="AH180" s="133">
        <v>0.913131459131315</v>
      </c>
      <c r="AI180" s="135">
        <v>0.92</v>
      </c>
      <c r="AJ180" s="133">
        <v>1</v>
      </c>
      <c r="AK180" s="133">
        <v>0.988372093023256</v>
      </c>
      <c r="AL180" s="133">
        <v>0.992063492063492</v>
      </c>
      <c r="AM180" s="133">
        <v>0.964246326799246</v>
      </c>
      <c r="AN180" s="132">
        <v>0.99</v>
      </c>
      <c r="AO180" s="137" t="s">
        <v>35</v>
      </c>
      <c r="AP180" s="137" t="s">
        <v>35</v>
      </c>
      <c r="AQ180" s="137" t="s">
        <v>35</v>
      </c>
      <c r="AR180" s="137">
        <v>1</v>
      </c>
      <c r="AS180" s="139">
        <v>0.105261498981944</v>
      </c>
      <c r="AT180" s="141" t="s">
        <v>35</v>
      </c>
      <c r="AU180" s="141">
        <v>0</v>
      </c>
      <c r="AV180" s="141" t="s">
        <v>35</v>
      </c>
      <c r="AW180" s="141">
        <v>0.0864661654135338</v>
      </c>
      <c r="AX180" s="95"/>
      <c r="AY180" s="93"/>
    </row>
    <row r="181" ht="14.5" spans="1:51">
      <c r="A181" s="91"/>
      <c r="B181" s="95"/>
      <c r="C181" s="152" t="s">
        <v>99</v>
      </c>
      <c r="D181" s="153" t="s">
        <v>25</v>
      </c>
      <c r="E181" s="130" t="s">
        <v>100</v>
      </c>
      <c r="F181" s="154" t="s">
        <v>203</v>
      </c>
      <c r="G181" s="154" t="s">
        <v>203</v>
      </c>
      <c r="H181" s="154" t="s">
        <v>203</v>
      </c>
      <c r="I181" s="154" t="s">
        <v>203</v>
      </c>
      <c r="J181" s="132">
        <v>0.9</v>
      </c>
      <c r="K181" s="133">
        <v>0.963636363636364</v>
      </c>
      <c r="L181" s="133">
        <v>1</v>
      </c>
      <c r="M181" s="134">
        <v>1</v>
      </c>
      <c r="N181" s="133">
        <v>0.956650246305419</v>
      </c>
      <c r="O181" s="135">
        <v>0.9</v>
      </c>
      <c r="P181" s="133">
        <v>0.949645563431924</v>
      </c>
      <c r="Q181" s="133">
        <v>0.919773774612484</v>
      </c>
      <c r="R181" s="133">
        <v>0.936816150408383</v>
      </c>
      <c r="S181" s="133">
        <v>0.851368260703988</v>
      </c>
      <c r="T181" s="135">
        <v>0.9</v>
      </c>
      <c r="U181" s="133">
        <v>0.94720117330726</v>
      </c>
      <c r="V181" s="133">
        <v>0.924801005446167</v>
      </c>
      <c r="W181" s="133">
        <v>0.909076899368161</v>
      </c>
      <c r="X181" s="133">
        <v>0.905110349455053</v>
      </c>
      <c r="Y181" s="135">
        <v>0.92</v>
      </c>
      <c r="Z181" s="135">
        <v>0.925218340611354</v>
      </c>
      <c r="AA181" s="135">
        <v>0.902483343428225</v>
      </c>
      <c r="AB181" s="135">
        <v>0.930296756383713</v>
      </c>
      <c r="AC181" s="135">
        <v>0.94130963931301</v>
      </c>
      <c r="AD181" s="135">
        <v>0.92</v>
      </c>
      <c r="AE181" s="133">
        <v>0.996236764893481</v>
      </c>
      <c r="AF181" s="133">
        <v>0.996791523653186</v>
      </c>
      <c r="AG181" s="133">
        <v>0.986233993837804</v>
      </c>
      <c r="AH181" s="133">
        <v>0.976588679273779</v>
      </c>
      <c r="AI181" s="135">
        <v>0.92</v>
      </c>
      <c r="AJ181" s="133">
        <v>0.959001181035937</v>
      </c>
      <c r="AK181" s="133">
        <v>0.942914916783326</v>
      </c>
      <c r="AL181" s="133">
        <v>0.95412453432677</v>
      </c>
      <c r="AM181" s="133">
        <v>0.9643820065276</v>
      </c>
      <c r="AN181" s="132">
        <v>0.99</v>
      </c>
      <c r="AO181" s="137">
        <v>1</v>
      </c>
      <c r="AP181" s="137">
        <v>1</v>
      </c>
      <c r="AQ181" s="137">
        <v>1</v>
      </c>
      <c r="AR181" s="137">
        <v>1</v>
      </c>
      <c r="AS181" s="139">
        <v>0.105261498981944</v>
      </c>
      <c r="AT181" s="141">
        <v>0</v>
      </c>
      <c r="AU181" s="141">
        <v>0.0555555555555556</v>
      </c>
      <c r="AV181" s="141">
        <v>0.025</v>
      </c>
      <c r="AW181" s="141">
        <v>0.062200956937799</v>
      </c>
      <c r="AX181" s="95"/>
      <c r="AY181" s="93"/>
    </row>
    <row r="182" ht="14.5" spans="1:51">
      <c r="A182" s="91"/>
      <c r="B182" s="95"/>
      <c r="C182" s="152" t="s">
        <v>99</v>
      </c>
      <c r="D182" s="153" t="s">
        <v>25</v>
      </c>
      <c r="E182" s="130" t="s">
        <v>100</v>
      </c>
      <c r="F182" s="154" t="s">
        <v>204</v>
      </c>
      <c r="G182" s="154" t="s">
        <v>204</v>
      </c>
      <c r="H182" s="154" t="s">
        <v>204</v>
      </c>
      <c r="I182" s="154" t="s">
        <v>204</v>
      </c>
      <c r="J182" s="132">
        <v>0.9</v>
      </c>
      <c r="K182" s="133">
        <v>0.979591836734694</v>
      </c>
      <c r="L182" s="133">
        <v>0.930232558139535</v>
      </c>
      <c r="M182" s="134">
        <v>0.938775510204082</v>
      </c>
      <c r="N182" s="133">
        <v>0.930258717660292</v>
      </c>
      <c r="O182" s="135">
        <v>0.9</v>
      </c>
      <c r="P182" s="133">
        <v>0.95</v>
      </c>
      <c r="Q182" s="133">
        <v>0.899526857779015</v>
      </c>
      <c r="R182" s="133">
        <v>0.948439878234399</v>
      </c>
      <c r="S182" s="133">
        <v>0.926337352959811</v>
      </c>
      <c r="T182" s="135">
        <v>0.9</v>
      </c>
      <c r="U182" s="133">
        <v>0.916785714285714</v>
      </c>
      <c r="V182" s="133">
        <v>0.869468410798775</v>
      </c>
      <c r="W182" s="133">
        <v>0.918569254185693</v>
      </c>
      <c r="X182" s="133">
        <v>0.919853857363097</v>
      </c>
      <c r="Y182" s="135">
        <v>0.92</v>
      </c>
      <c r="Z182" s="135">
        <v>0.904798172124905</v>
      </c>
      <c r="AA182" s="135">
        <v>0.810810810810811</v>
      </c>
      <c r="AB182" s="135">
        <v>0.928196853569988</v>
      </c>
      <c r="AC182" s="135">
        <v>0.94613172877354</v>
      </c>
      <c r="AD182" s="135">
        <v>0.92</v>
      </c>
      <c r="AE182" s="133">
        <v>0.985952133194589</v>
      </c>
      <c r="AF182" s="133">
        <v>0.982030742584975</v>
      </c>
      <c r="AG182" s="133">
        <v>0.989205103042198</v>
      </c>
      <c r="AH182" s="133">
        <v>0.972025611035414</v>
      </c>
      <c r="AI182" s="135">
        <v>0.92</v>
      </c>
      <c r="AJ182" s="133">
        <v>0.937773456490034</v>
      </c>
      <c r="AK182" s="133">
        <v>0.903557651093013</v>
      </c>
      <c r="AL182" s="133">
        <v>0.954239917269907</v>
      </c>
      <c r="AM182" s="133">
        <v>0.967203428392907</v>
      </c>
      <c r="AN182" s="132">
        <v>0.99</v>
      </c>
      <c r="AO182" s="137">
        <v>1</v>
      </c>
      <c r="AP182" s="137">
        <v>1</v>
      </c>
      <c r="AQ182" s="137">
        <v>1</v>
      </c>
      <c r="AR182" s="137">
        <v>1</v>
      </c>
      <c r="AS182" s="139">
        <v>0.105261498981944</v>
      </c>
      <c r="AT182" s="141">
        <v>0</v>
      </c>
      <c r="AU182" s="141">
        <v>0.0625</v>
      </c>
      <c r="AV182" s="141">
        <v>0.05</v>
      </c>
      <c r="AW182" s="141">
        <v>0.0662824207492795</v>
      </c>
      <c r="AX182" s="95"/>
      <c r="AY182" s="93"/>
    </row>
    <row r="183" ht="14.5" spans="1:51">
      <c r="A183" s="91"/>
      <c r="B183" s="95"/>
      <c r="C183" s="152" t="s">
        <v>99</v>
      </c>
      <c r="D183" s="153" t="s">
        <v>25</v>
      </c>
      <c r="E183" s="130" t="s">
        <v>100</v>
      </c>
      <c r="F183" s="154" t="s">
        <v>205</v>
      </c>
      <c r="G183" s="154" t="s">
        <v>205</v>
      </c>
      <c r="H183" s="154" t="s">
        <v>205</v>
      </c>
      <c r="I183" s="154" t="s">
        <v>205</v>
      </c>
      <c r="J183" s="132">
        <v>0.9</v>
      </c>
      <c r="K183" s="133">
        <v>0.977777777777778</v>
      </c>
      <c r="L183" s="133">
        <v>0.921052631578947</v>
      </c>
      <c r="M183" s="134">
        <v>0.926829268292683</v>
      </c>
      <c r="N183" s="133">
        <v>0.974424552429668</v>
      </c>
      <c r="O183" s="135">
        <v>0.9</v>
      </c>
      <c r="P183" s="133">
        <v>0.924154987633965</v>
      </c>
      <c r="Q183" s="133">
        <v>0.90738255033557</v>
      </c>
      <c r="R183" s="133">
        <v>0.879423033581249</v>
      </c>
      <c r="S183" s="133">
        <v>0.912838619043475</v>
      </c>
      <c r="T183" s="135">
        <v>0.9</v>
      </c>
      <c r="U183" s="133">
        <v>0.922093981863149</v>
      </c>
      <c r="V183" s="133">
        <v>0.903355704697987</v>
      </c>
      <c r="W183" s="133">
        <v>0.890691908947487</v>
      </c>
      <c r="X183" s="133">
        <v>0.918482787771797</v>
      </c>
      <c r="Y183" s="135">
        <v>0.92</v>
      </c>
      <c r="Z183" s="135">
        <v>0.933518005540166</v>
      </c>
      <c r="AA183" s="135">
        <v>0.850104821802935</v>
      </c>
      <c r="AB183" s="135">
        <v>0.927099044746104</v>
      </c>
      <c r="AC183" s="135">
        <v>0.955328974441041</v>
      </c>
      <c r="AD183" s="135">
        <v>0.92</v>
      </c>
      <c r="AE183" s="133">
        <v>0.988208269525268</v>
      </c>
      <c r="AF183" s="133">
        <v>0.982770046388337</v>
      </c>
      <c r="AG183" s="133">
        <v>0.980429864253394</v>
      </c>
      <c r="AH183" s="133">
        <v>0.972917843699785</v>
      </c>
      <c r="AI183" s="135">
        <v>0.92</v>
      </c>
      <c r="AJ183" s="133">
        <v>0.952136752136752</v>
      </c>
      <c r="AK183" s="133">
        <v>0.926067073170732</v>
      </c>
      <c r="AL183" s="133">
        <v>0.946311858076564</v>
      </c>
      <c r="AM183" s="133">
        <v>0.971143084887962</v>
      </c>
      <c r="AN183" s="132">
        <v>0.99</v>
      </c>
      <c r="AO183" s="137">
        <v>1</v>
      </c>
      <c r="AP183" s="137">
        <v>1</v>
      </c>
      <c r="AQ183" s="137">
        <v>1</v>
      </c>
      <c r="AR183" s="137">
        <v>1</v>
      </c>
      <c r="AS183" s="139">
        <v>0.105261498981944</v>
      </c>
      <c r="AT183" s="141">
        <v>0.125</v>
      </c>
      <c r="AU183" s="141">
        <v>0.0588235294117647</v>
      </c>
      <c r="AV183" s="141">
        <v>0.0526315789473684</v>
      </c>
      <c r="AW183" s="141">
        <v>0.0813953488372093</v>
      </c>
      <c r="AX183" s="95"/>
      <c r="AY183" s="93"/>
    </row>
    <row r="184" ht="14.5" spans="1:51">
      <c r="A184" s="91"/>
      <c r="B184" s="95"/>
      <c r="C184" s="152" t="s">
        <v>99</v>
      </c>
      <c r="D184" s="153" t="s">
        <v>25</v>
      </c>
      <c r="E184" s="130" t="s">
        <v>100</v>
      </c>
      <c r="F184" s="154" t="s">
        <v>206</v>
      </c>
      <c r="G184" s="154" t="s">
        <v>206</v>
      </c>
      <c r="H184" s="154" t="s">
        <v>206</v>
      </c>
      <c r="I184" s="154" t="s">
        <v>206</v>
      </c>
      <c r="J184" s="132">
        <v>0.9</v>
      </c>
      <c r="K184" s="133">
        <v>0.940298507462687</v>
      </c>
      <c r="L184" s="133">
        <v>0.898305084745763</v>
      </c>
      <c r="M184" s="134">
        <v>0.984615384615385</v>
      </c>
      <c r="N184" s="133">
        <v>0.935483870967742</v>
      </c>
      <c r="O184" s="135">
        <v>0.9</v>
      </c>
      <c r="P184" s="133">
        <v>0.924128948225334</v>
      </c>
      <c r="Q184" s="133">
        <v>0.886156872387509</v>
      </c>
      <c r="R184" s="133">
        <v>0.897740784780024</v>
      </c>
      <c r="S184" s="133">
        <v>0.900172389529975</v>
      </c>
      <c r="T184" s="135">
        <v>0.9</v>
      </c>
      <c r="U184" s="133">
        <v>0.900683816346467</v>
      </c>
      <c r="V184" s="133">
        <v>0.863044012785837</v>
      </c>
      <c r="W184" s="133">
        <v>0.880074740954646</v>
      </c>
      <c r="X184" s="133">
        <v>0.895106248240923</v>
      </c>
      <c r="Y184" s="135">
        <v>0.92</v>
      </c>
      <c r="Z184" s="135">
        <v>0.862482369534556</v>
      </c>
      <c r="AA184" s="135">
        <v>0.778464254192409</v>
      </c>
      <c r="AB184" s="135">
        <v>0.897463379778492</v>
      </c>
      <c r="AC184" s="135">
        <v>0.923576472112457</v>
      </c>
      <c r="AD184" s="135">
        <v>0.92</v>
      </c>
      <c r="AE184" s="133">
        <v>0.987951807228916</v>
      </c>
      <c r="AF184" s="133">
        <v>0.978406552494415</v>
      </c>
      <c r="AG184" s="133">
        <v>0.960584588131089</v>
      </c>
      <c r="AH184" s="133">
        <v>0.965134092187167</v>
      </c>
      <c r="AI184" s="135">
        <v>0.92</v>
      </c>
      <c r="AJ184" s="133">
        <v>0.915794163510804</v>
      </c>
      <c r="AK184" s="133">
        <v>0.883099403960777</v>
      </c>
      <c r="AL184" s="133">
        <v>0.934952797605342</v>
      </c>
      <c r="AM184" s="133">
        <v>0.952114442038071</v>
      </c>
      <c r="AN184" s="132">
        <v>0.99</v>
      </c>
      <c r="AO184" s="137">
        <v>1</v>
      </c>
      <c r="AP184" s="137">
        <v>1</v>
      </c>
      <c r="AQ184" s="137">
        <v>1</v>
      </c>
      <c r="AR184" s="137">
        <v>1</v>
      </c>
      <c r="AS184" s="139">
        <v>0.105261498981944</v>
      </c>
      <c r="AT184" s="141">
        <v>0</v>
      </c>
      <c r="AU184" s="141">
        <v>0.0555555555555556</v>
      </c>
      <c r="AV184" s="141">
        <v>0.25</v>
      </c>
      <c r="AW184" s="141">
        <v>0.106334841628959</v>
      </c>
      <c r="AX184" s="95"/>
      <c r="AY184" s="93"/>
    </row>
    <row r="185" ht="14.5" spans="1:51">
      <c r="A185" s="91"/>
      <c r="B185" s="95"/>
      <c r="C185" s="152" t="s">
        <v>99</v>
      </c>
      <c r="D185" s="153" t="s">
        <v>25</v>
      </c>
      <c r="E185" s="130" t="s">
        <v>100</v>
      </c>
      <c r="F185" s="154" t="s">
        <v>207</v>
      </c>
      <c r="G185" s="154" t="s">
        <v>207</v>
      </c>
      <c r="H185" s="154" t="s">
        <v>207</v>
      </c>
      <c r="I185" s="154" t="s">
        <v>207</v>
      </c>
      <c r="J185" s="132">
        <v>0.9</v>
      </c>
      <c r="K185" s="133">
        <v>0.9375</v>
      </c>
      <c r="L185" s="133">
        <v>0.855421686746988</v>
      </c>
      <c r="M185" s="134">
        <v>0.914893617021277</v>
      </c>
      <c r="N185" s="133">
        <v>0.946535733769776</v>
      </c>
      <c r="O185" s="135">
        <v>0.9</v>
      </c>
      <c r="P185" s="133">
        <v>0.900716750730024</v>
      </c>
      <c r="Q185" s="133">
        <v>0.890155236785223</v>
      </c>
      <c r="R185" s="133">
        <v>0.892043895747599</v>
      </c>
      <c r="S185" s="133">
        <v>0.918295813953488</v>
      </c>
      <c r="T185" s="135">
        <v>0.9</v>
      </c>
      <c r="U185" s="133">
        <v>0.880276081762676</v>
      </c>
      <c r="V185" s="133">
        <v>0.821772450383179</v>
      </c>
      <c r="W185" s="133">
        <v>0.89039780521262</v>
      </c>
      <c r="X185" s="133">
        <v>0.908524651162791</v>
      </c>
      <c r="Y185" s="135">
        <v>0.92</v>
      </c>
      <c r="Z185" s="135">
        <v>0.881833241303147</v>
      </c>
      <c r="AA185" s="135">
        <v>0.870804306523116</v>
      </c>
      <c r="AB185" s="135">
        <v>0.931596948171534</v>
      </c>
      <c r="AC185" s="135">
        <v>0.942418777281163</v>
      </c>
      <c r="AD185" s="135">
        <v>0.92</v>
      </c>
      <c r="AE185" s="133">
        <v>0.998880429914913</v>
      </c>
      <c r="AF185" s="133">
        <v>0.851184834123223</v>
      </c>
      <c r="AG185" s="133">
        <v>0.996389324960753</v>
      </c>
      <c r="AH185" s="133">
        <v>0.985579597096927</v>
      </c>
      <c r="AI185" s="135">
        <v>0.92</v>
      </c>
      <c r="AJ185" s="133">
        <v>0.919534050179211</v>
      </c>
      <c r="AK185" s="133">
        <v>0.920815836832633</v>
      </c>
      <c r="AL185" s="133">
        <v>0.951221711297448</v>
      </c>
      <c r="AM185" s="133">
        <v>0.964197999146555</v>
      </c>
      <c r="AN185" s="132">
        <v>0.99</v>
      </c>
      <c r="AO185" s="137">
        <v>1</v>
      </c>
      <c r="AP185" s="137">
        <v>1</v>
      </c>
      <c r="AQ185" s="137">
        <v>1</v>
      </c>
      <c r="AR185" s="137">
        <v>1</v>
      </c>
      <c r="AS185" s="139">
        <v>0.105261498981944</v>
      </c>
      <c r="AT185" s="141">
        <v>0</v>
      </c>
      <c r="AU185" s="141">
        <v>0.0769230769230769</v>
      </c>
      <c r="AV185" s="141">
        <v>0.0526315789473684</v>
      </c>
      <c r="AW185" s="141">
        <v>0.0756880733944954</v>
      </c>
      <c r="AX185" s="95"/>
      <c r="AY185" s="93"/>
    </row>
    <row r="186" ht="14.5" spans="1:51">
      <c r="A186" s="91"/>
      <c r="B186" s="95"/>
      <c r="C186" s="152" t="s">
        <v>99</v>
      </c>
      <c r="D186" s="153" t="s">
        <v>25</v>
      </c>
      <c r="E186" s="130" t="s">
        <v>100</v>
      </c>
      <c r="F186" s="154" t="s">
        <v>208</v>
      </c>
      <c r="G186" s="154" t="s">
        <v>208</v>
      </c>
      <c r="H186" s="154" t="s">
        <v>208</v>
      </c>
      <c r="I186" s="154" t="s">
        <v>208</v>
      </c>
      <c r="J186" s="132">
        <v>0.9</v>
      </c>
      <c r="K186" s="133" t="s">
        <v>35</v>
      </c>
      <c r="L186" s="133" t="s">
        <v>35</v>
      </c>
      <c r="M186" s="134" t="s">
        <v>35</v>
      </c>
      <c r="N186" s="133">
        <v>0.862745098039216</v>
      </c>
      <c r="O186" s="135">
        <v>0.9</v>
      </c>
      <c r="P186" s="133" t="s">
        <v>35</v>
      </c>
      <c r="Q186" s="133" t="s">
        <v>35</v>
      </c>
      <c r="R186" s="133">
        <v>0</v>
      </c>
      <c r="S186" s="133">
        <v>0.664670658682635</v>
      </c>
      <c r="T186" s="135">
        <v>0.9</v>
      </c>
      <c r="U186" s="133" t="s">
        <v>35</v>
      </c>
      <c r="V186" s="133" t="s">
        <v>35</v>
      </c>
      <c r="W186" s="133">
        <v>1</v>
      </c>
      <c r="X186" s="133">
        <v>0.854842040057815</v>
      </c>
      <c r="Y186" s="135">
        <v>0.92</v>
      </c>
      <c r="Z186" s="135">
        <v>1</v>
      </c>
      <c r="AA186" s="135">
        <v>1</v>
      </c>
      <c r="AB186" s="135">
        <v>1</v>
      </c>
      <c r="AC186" s="135">
        <v>0.972192127121705</v>
      </c>
      <c r="AD186" s="135">
        <v>0.92</v>
      </c>
      <c r="AE186" s="133" t="s">
        <v>35</v>
      </c>
      <c r="AF186" s="133" t="s">
        <v>35</v>
      </c>
      <c r="AG186" s="133" t="s">
        <v>35</v>
      </c>
      <c r="AH186" s="133">
        <v>0.960739030023095</v>
      </c>
      <c r="AI186" s="135">
        <v>0.92</v>
      </c>
      <c r="AJ186" s="133">
        <v>1</v>
      </c>
      <c r="AK186" s="133">
        <v>1</v>
      </c>
      <c r="AL186" s="133">
        <v>1</v>
      </c>
      <c r="AM186" s="133">
        <v>0.98414554905783</v>
      </c>
      <c r="AN186" s="132">
        <v>0.99</v>
      </c>
      <c r="AO186" s="137" t="s">
        <v>35</v>
      </c>
      <c r="AP186" s="137" t="s">
        <v>35</v>
      </c>
      <c r="AQ186" s="137" t="s">
        <v>35</v>
      </c>
      <c r="AR186" s="137">
        <v>1</v>
      </c>
      <c r="AS186" s="139">
        <v>0.105261498981944</v>
      </c>
      <c r="AT186" s="141" t="s">
        <v>35</v>
      </c>
      <c r="AU186" s="141" t="s">
        <v>35</v>
      </c>
      <c r="AV186" s="141" t="s">
        <v>35</v>
      </c>
      <c r="AW186" s="141">
        <v>0.391304347826087</v>
      </c>
      <c r="AX186" s="95"/>
      <c r="AY186" s="93"/>
    </row>
    <row r="187" ht="14.5" spans="1:51">
      <c r="A187" s="91"/>
      <c r="B187" s="95"/>
      <c r="C187" s="152" t="s">
        <v>99</v>
      </c>
      <c r="D187" s="153" t="s">
        <v>25</v>
      </c>
      <c r="E187" s="130" t="s">
        <v>100</v>
      </c>
      <c r="F187" s="154" t="s">
        <v>209</v>
      </c>
      <c r="G187" s="154" t="s">
        <v>209</v>
      </c>
      <c r="H187" s="154" t="s">
        <v>209</v>
      </c>
      <c r="I187" s="154" t="s">
        <v>209</v>
      </c>
      <c r="J187" s="132">
        <v>0.9</v>
      </c>
      <c r="K187" s="133" t="s">
        <v>35</v>
      </c>
      <c r="L187" s="133" t="s">
        <v>35</v>
      </c>
      <c r="M187" s="134" t="s">
        <v>35</v>
      </c>
      <c r="N187" s="133" t="s">
        <v>35</v>
      </c>
      <c r="O187" s="135">
        <v>0.9</v>
      </c>
      <c r="P187" s="133" t="s">
        <v>35</v>
      </c>
      <c r="Q187" s="133" t="s">
        <v>35</v>
      </c>
      <c r="R187" s="133" t="s">
        <v>35</v>
      </c>
      <c r="S187" s="133" t="s">
        <v>35</v>
      </c>
      <c r="T187" s="135">
        <v>0.9</v>
      </c>
      <c r="U187" s="133" t="s">
        <v>35</v>
      </c>
      <c r="V187" s="133" t="s">
        <v>35</v>
      </c>
      <c r="W187" s="133" t="s">
        <v>35</v>
      </c>
      <c r="X187" s="133" t="s">
        <v>35</v>
      </c>
      <c r="Y187" s="135">
        <v>0.92</v>
      </c>
      <c r="Z187" s="135" t="s">
        <v>35</v>
      </c>
      <c r="AA187" s="135" t="s">
        <v>35</v>
      </c>
      <c r="AB187" s="135" t="s">
        <v>35</v>
      </c>
      <c r="AC187" s="135" t="s">
        <v>35</v>
      </c>
      <c r="AD187" s="135">
        <v>0.92</v>
      </c>
      <c r="AE187" s="133">
        <v>0.828947368421053</v>
      </c>
      <c r="AF187" s="133">
        <v>1</v>
      </c>
      <c r="AG187" s="133">
        <v>0.5</v>
      </c>
      <c r="AH187" s="133">
        <v>0.76056338028169</v>
      </c>
      <c r="AI187" s="135">
        <v>0.92</v>
      </c>
      <c r="AJ187" s="133" t="s">
        <v>35</v>
      </c>
      <c r="AK187" s="133" t="s">
        <v>35</v>
      </c>
      <c r="AL187" s="133" t="s">
        <v>35</v>
      </c>
      <c r="AM187" s="133" t="s">
        <v>35</v>
      </c>
      <c r="AN187" s="132">
        <v>0.99</v>
      </c>
      <c r="AO187" s="137" t="s">
        <v>35</v>
      </c>
      <c r="AP187" s="137" t="s">
        <v>35</v>
      </c>
      <c r="AQ187" s="137" t="s">
        <v>35</v>
      </c>
      <c r="AR187" s="137" t="s">
        <v>35</v>
      </c>
      <c r="AS187" s="139">
        <v>0.105261498981944</v>
      </c>
      <c r="AT187" s="141" t="s">
        <v>35</v>
      </c>
      <c r="AU187" s="141" t="s">
        <v>35</v>
      </c>
      <c r="AV187" s="141" t="s">
        <v>35</v>
      </c>
      <c r="AW187" s="141" t="s">
        <v>35</v>
      </c>
      <c r="AX187" s="95"/>
      <c r="AY187" s="93"/>
    </row>
    <row r="188" ht="14.5" spans="1:51">
      <c r="A188" s="91"/>
      <c r="B188" s="95"/>
      <c r="C188" s="155"/>
      <c r="D188" s="153"/>
      <c r="E188" s="156"/>
      <c r="F188" s="156"/>
      <c r="G188" s="156"/>
      <c r="H188" s="156"/>
      <c r="I188" s="156"/>
      <c r="J188" s="146"/>
      <c r="K188" s="147"/>
      <c r="L188" s="147"/>
      <c r="M188" s="134"/>
      <c r="N188" s="147"/>
      <c r="O188" s="150"/>
      <c r="P188" s="147"/>
      <c r="Q188" s="147"/>
      <c r="R188" s="133"/>
      <c r="S188" s="147"/>
      <c r="T188" s="150"/>
      <c r="U188" s="147"/>
      <c r="V188" s="147"/>
      <c r="W188" s="133"/>
      <c r="X188" s="147"/>
      <c r="Y188" s="150"/>
      <c r="Z188" s="150"/>
      <c r="AA188" s="150"/>
      <c r="AB188" s="135"/>
      <c r="AC188" s="150"/>
      <c r="AD188" s="150"/>
      <c r="AE188" s="147"/>
      <c r="AF188" s="147"/>
      <c r="AG188" s="133"/>
      <c r="AH188" s="147"/>
      <c r="AI188" s="150"/>
      <c r="AJ188" s="147"/>
      <c r="AK188" s="147"/>
      <c r="AL188" s="133"/>
      <c r="AM188" s="147"/>
      <c r="AN188" s="146"/>
      <c r="AO188" s="146"/>
      <c r="AP188" s="146"/>
      <c r="AQ188" s="137"/>
      <c r="AR188" s="146"/>
      <c r="AS188" s="147"/>
      <c r="AT188" s="146"/>
      <c r="AU188" s="146"/>
      <c r="AV188" s="141"/>
      <c r="AW188" s="146"/>
      <c r="AX188" s="95"/>
      <c r="AY188" s="93"/>
    </row>
    <row r="189" ht="14.5" spans="1:51">
      <c r="A189" s="91"/>
      <c r="B189" s="95"/>
      <c r="C189" s="152" t="s">
        <v>210</v>
      </c>
      <c r="D189" s="153" t="s">
        <v>125</v>
      </c>
      <c r="E189" s="130" t="s">
        <v>211</v>
      </c>
      <c r="F189" s="157" t="s">
        <v>212</v>
      </c>
      <c r="G189" s="157" t="s">
        <v>212</v>
      </c>
      <c r="H189" s="157" t="s">
        <v>212</v>
      </c>
      <c r="I189" s="157" t="s">
        <v>212</v>
      </c>
      <c r="J189" s="132">
        <v>0.9</v>
      </c>
      <c r="K189" s="133" t="s">
        <v>35</v>
      </c>
      <c r="L189" s="133" t="s">
        <v>35</v>
      </c>
      <c r="M189" s="134" t="s">
        <v>35</v>
      </c>
      <c r="N189" s="133" t="s">
        <v>35</v>
      </c>
      <c r="O189" s="135">
        <v>0.9</v>
      </c>
      <c r="P189" s="133" t="s">
        <v>35</v>
      </c>
      <c r="Q189" s="133">
        <v>0</v>
      </c>
      <c r="R189" s="133" t="s">
        <v>35</v>
      </c>
      <c r="S189" s="133">
        <v>0</v>
      </c>
      <c r="T189" s="135">
        <v>0.9</v>
      </c>
      <c r="U189" s="133" t="s">
        <v>35</v>
      </c>
      <c r="V189" s="133">
        <v>0</v>
      </c>
      <c r="W189" s="133" t="s">
        <v>35</v>
      </c>
      <c r="X189" s="133">
        <v>0.75</v>
      </c>
      <c r="Y189" s="135">
        <v>0.92</v>
      </c>
      <c r="Z189" s="135" t="s">
        <v>35</v>
      </c>
      <c r="AA189" s="135" t="s">
        <v>35</v>
      </c>
      <c r="AB189" s="135" t="s">
        <v>35</v>
      </c>
      <c r="AC189" s="135">
        <v>0.333333333333333</v>
      </c>
      <c r="AD189" s="135">
        <v>0.92</v>
      </c>
      <c r="AE189" s="133">
        <v>1</v>
      </c>
      <c r="AF189" s="133">
        <v>1</v>
      </c>
      <c r="AG189" s="133">
        <v>0.997389033942559</v>
      </c>
      <c r="AH189" s="133">
        <v>0.996216897856242</v>
      </c>
      <c r="AI189" s="135">
        <v>0.92</v>
      </c>
      <c r="AJ189" s="133">
        <v>0</v>
      </c>
      <c r="AK189" s="133">
        <v>0</v>
      </c>
      <c r="AL189" s="133" t="s">
        <v>35</v>
      </c>
      <c r="AM189" s="133">
        <v>0.555555555555556</v>
      </c>
      <c r="AN189" s="132">
        <v>0.99</v>
      </c>
      <c r="AO189" s="137">
        <v>1</v>
      </c>
      <c r="AP189" s="137">
        <v>1</v>
      </c>
      <c r="AQ189" s="137">
        <v>1</v>
      </c>
      <c r="AR189" s="137">
        <v>1</v>
      </c>
      <c r="AS189" s="158">
        <v>0.0719793575775068</v>
      </c>
      <c r="AT189" s="141" t="s">
        <v>35</v>
      </c>
      <c r="AU189" s="141" t="s">
        <v>35</v>
      </c>
      <c r="AV189" s="141" t="s">
        <v>35</v>
      </c>
      <c r="AW189" s="141" t="s">
        <v>35</v>
      </c>
      <c r="AX189" s="95"/>
      <c r="AY189" s="93"/>
    </row>
    <row r="190" ht="14.5" spans="1:51">
      <c r="A190" s="91"/>
      <c r="B190" s="95"/>
      <c r="C190" s="152" t="s">
        <v>210</v>
      </c>
      <c r="D190" s="153" t="s">
        <v>25</v>
      </c>
      <c r="E190" s="130" t="s">
        <v>211</v>
      </c>
      <c r="F190" s="157" t="s">
        <v>213</v>
      </c>
      <c r="G190" s="157" t="s">
        <v>213</v>
      </c>
      <c r="H190" s="157" t="s">
        <v>213</v>
      </c>
      <c r="I190" s="157" t="s">
        <v>213</v>
      </c>
      <c r="J190" s="132">
        <v>0.9</v>
      </c>
      <c r="K190" s="133">
        <v>1</v>
      </c>
      <c r="L190" s="133">
        <v>1</v>
      </c>
      <c r="M190" s="134">
        <v>0.981132075471698</v>
      </c>
      <c r="N190" s="133">
        <v>0.965645311049211</v>
      </c>
      <c r="O190" s="135">
        <v>0.9</v>
      </c>
      <c r="P190" s="133">
        <v>0.965148698884758</v>
      </c>
      <c r="Q190" s="133">
        <v>0.950917797286512</v>
      </c>
      <c r="R190" s="133">
        <v>0.964519650655022</v>
      </c>
      <c r="S190" s="133">
        <v>0.95955332805768</v>
      </c>
      <c r="T190" s="135">
        <v>0.9</v>
      </c>
      <c r="U190" s="133">
        <v>0.91449814126394</v>
      </c>
      <c r="V190" s="133">
        <v>0.89146049481245</v>
      </c>
      <c r="W190" s="133">
        <v>0.916757641921397</v>
      </c>
      <c r="X190" s="133">
        <v>0.914124095078988</v>
      </c>
      <c r="Y190" s="135">
        <v>0.92</v>
      </c>
      <c r="Z190" s="135">
        <v>0.922112802148612</v>
      </c>
      <c r="AA190" s="135">
        <v>0.908325537885875</v>
      </c>
      <c r="AB190" s="135">
        <v>0.941692240245506</v>
      </c>
      <c r="AC190" s="135">
        <v>0.950240636116342</v>
      </c>
      <c r="AD190" s="135">
        <v>0.92</v>
      </c>
      <c r="AE190" s="133">
        <v>0.998758535071384</v>
      </c>
      <c r="AF190" s="133">
        <v>0.996940024479804</v>
      </c>
      <c r="AG190" s="133">
        <v>0.995721684305337</v>
      </c>
      <c r="AH190" s="133">
        <v>0.99485572593479</v>
      </c>
      <c r="AI190" s="135">
        <v>0.92</v>
      </c>
      <c r="AJ190" s="133">
        <v>0.95018337408313</v>
      </c>
      <c r="AK190" s="133">
        <v>0.942114093959732</v>
      </c>
      <c r="AL190" s="133">
        <v>0.962489486963835</v>
      </c>
      <c r="AM190" s="133">
        <v>0.967692453529356</v>
      </c>
      <c r="AN190" s="132">
        <v>0.99</v>
      </c>
      <c r="AO190" s="137">
        <v>1</v>
      </c>
      <c r="AP190" s="137">
        <v>1</v>
      </c>
      <c r="AQ190" s="137">
        <v>1</v>
      </c>
      <c r="AR190" s="137">
        <v>1</v>
      </c>
      <c r="AS190" s="158">
        <v>0.0719793575775068</v>
      </c>
      <c r="AT190" s="141">
        <v>0.147058823529412</v>
      </c>
      <c r="AU190" s="141">
        <v>0.0769230769230769</v>
      </c>
      <c r="AV190" s="141">
        <v>0.0277777777777778</v>
      </c>
      <c r="AW190" s="141">
        <v>0.0756533700137552</v>
      </c>
      <c r="AX190" s="95"/>
      <c r="AY190" s="93"/>
    </row>
    <row r="191" ht="14.5" spans="1:51">
      <c r="A191" s="91"/>
      <c r="B191" s="95"/>
      <c r="C191" s="152" t="s">
        <v>210</v>
      </c>
      <c r="D191" s="153" t="s">
        <v>25</v>
      </c>
      <c r="E191" s="130" t="s">
        <v>211</v>
      </c>
      <c r="F191" s="157" t="s">
        <v>214</v>
      </c>
      <c r="G191" s="157" t="s">
        <v>214</v>
      </c>
      <c r="H191" s="157" t="s">
        <v>214</v>
      </c>
      <c r="I191" s="157" t="s">
        <v>214</v>
      </c>
      <c r="J191" s="132">
        <v>0.9</v>
      </c>
      <c r="K191" s="133">
        <v>0.985915492957746</v>
      </c>
      <c r="L191" s="133">
        <v>0.983333333333333</v>
      </c>
      <c r="M191" s="134">
        <v>0.985294117647059</v>
      </c>
      <c r="N191" s="133">
        <v>0.985086342229199</v>
      </c>
      <c r="O191" s="135">
        <v>0.9</v>
      </c>
      <c r="P191" s="133">
        <v>0.949019607843137</v>
      </c>
      <c r="Q191" s="133">
        <v>0.964501510574018</v>
      </c>
      <c r="R191" s="133">
        <v>0.96229379418696</v>
      </c>
      <c r="S191" s="133">
        <v>0.957081082537416</v>
      </c>
      <c r="T191" s="135">
        <v>0.9</v>
      </c>
      <c r="U191" s="133">
        <v>0.918627450980392</v>
      </c>
      <c r="V191" s="133">
        <v>0.920694864048338</v>
      </c>
      <c r="W191" s="133">
        <v>0.9337522911757</v>
      </c>
      <c r="X191" s="133">
        <v>0.932644511201218</v>
      </c>
      <c r="Y191" s="135">
        <v>0.92</v>
      </c>
      <c r="Z191" s="135">
        <v>0.924668874172185</v>
      </c>
      <c r="AA191" s="135">
        <v>0.91955098222638</v>
      </c>
      <c r="AB191" s="135">
        <v>0.965356991972962</v>
      </c>
      <c r="AC191" s="135">
        <v>0.962201884149734</v>
      </c>
      <c r="AD191" s="135">
        <v>0.92</v>
      </c>
      <c r="AE191" s="133">
        <v>0.997137404580153</v>
      </c>
      <c r="AF191" s="133">
        <v>0.99746835443038</v>
      </c>
      <c r="AG191" s="133">
        <v>0.997385620915033</v>
      </c>
      <c r="AH191" s="133">
        <v>0.998344669836875</v>
      </c>
      <c r="AI191" s="135">
        <v>0.92</v>
      </c>
      <c r="AJ191" s="133">
        <v>0.954741379310345</v>
      </c>
      <c r="AK191" s="133">
        <v>0.956708792686206</v>
      </c>
      <c r="AL191" s="133">
        <v>0.976721629485936</v>
      </c>
      <c r="AM191" s="133">
        <v>0.976837490503925</v>
      </c>
      <c r="AN191" s="132">
        <v>0.99</v>
      </c>
      <c r="AO191" s="137">
        <v>1</v>
      </c>
      <c r="AP191" s="137">
        <v>1</v>
      </c>
      <c r="AQ191" s="137">
        <v>1</v>
      </c>
      <c r="AR191" s="137">
        <v>1</v>
      </c>
      <c r="AS191" s="158">
        <v>0.0719793575775068</v>
      </c>
      <c r="AT191" s="141">
        <v>0.0555555555555556</v>
      </c>
      <c r="AU191" s="141">
        <v>0</v>
      </c>
      <c r="AV191" s="141">
        <v>0.0188679245283019</v>
      </c>
      <c r="AW191" s="141">
        <v>0.0521821631878558</v>
      </c>
      <c r="AX191" s="95"/>
      <c r="AY191" s="93"/>
    </row>
    <row r="192" ht="14.5" spans="1:51">
      <c r="A192" s="91"/>
      <c r="B192" s="95"/>
      <c r="C192" s="152" t="s">
        <v>210</v>
      </c>
      <c r="D192" s="153" t="s">
        <v>125</v>
      </c>
      <c r="E192" s="130" t="s">
        <v>211</v>
      </c>
      <c r="F192" s="157" t="s">
        <v>215</v>
      </c>
      <c r="G192" s="157" t="s">
        <v>215</v>
      </c>
      <c r="H192" s="157" t="s">
        <v>215</v>
      </c>
      <c r="I192" s="157" t="s">
        <v>215</v>
      </c>
      <c r="J192" s="132">
        <v>0.9</v>
      </c>
      <c r="K192" s="133" t="s">
        <v>35</v>
      </c>
      <c r="L192" s="133" t="s">
        <v>35</v>
      </c>
      <c r="M192" s="134" t="s">
        <v>35</v>
      </c>
      <c r="N192" s="133" t="s">
        <v>35</v>
      </c>
      <c r="O192" s="135">
        <v>0.9</v>
      </c>
      <c r="P192" s="133">
        <v>0</v>
      </c>
      <c r="Q192" s="133">
        <v>0</v>
      </c>
      <c r="R192" s="133">
        <v>0</v>
      </c>
      <c r="S192" s="133">
        <v>0</v>
      </c>
      <c r="T192" s="135">
        <v>0.9</v>
      </c>
      <c r="U192" s="133">
        <v>0.5</v>
      </c>
      <c r="V192" s="133">
        <v>0.833333333333333</v>
      </c>
      <c r="W192" s="133">
        <v>1</v>
      </c>
      <c r="X192" s="133">
        <v>0.859598853868195</v>
      </c>
      <c r="Y192" s="135">
        <v>0.92</v>
      </c>
      <c r="Z192" s="135">
        <v>0.666666666666667</v>
      </c>
      <c r="AA192" s="135">
        <v>0</v>
      </c>
      <c r="AB192" s="135" t="s">
        <v>35</v>
      </c>
      <c r="AC192" s="135">
        <v>0.651162790697674</v>
      </c>
      <c r="AD192" s="135">
        <v>0.92</v>
      </c>
      <c r="AE192" s="133">
        <v>0.996881449208897</v>
      </c>
      <c r="AF192" s="133">
        <v>0.998157314737869</v>
      </c>
      <c r="AG192" s="133">
        <v>0.996978494986665</v>
      </c>
      <c r="AH192" s="133">
        <v>0.995776695960043</v>
      </c>
      <c r="AI192" s="135">
        <v>0.92</v>
      </c>
      <c r="AJ192" s="133">
        <v>0.642857142857143</v>
      </c>
      <c r="AK192" s="133">
        <v>0.555555555555556</v>
      </c>
      <c r="AL192" s="133">
        <v>1</v>
      </c>
      <c r="AM192" s="133">
        <v>0.911007025761124</v>
      </c>
      <c r="AN192" s="132">
        <v>0.99</v>
      </c>
      <c r="AO192" s="137">
        <v>1</v>
      </c>
      <c r="AP192" s="137">
        <v>1</v>
      </c>
      <c r="AQ192" s="137">
        <v>1</v>
      </c>
      <c r="AR192" s="137">
        <v>1</v>
      </c>
      <c r="AS192" s="158">
        <v>0.0719793575775068</v>
      </c>
      <c r="AT192" s="141" t="s">
        <v>35</v>
      </c>
      <c r="AU192" s="141" t="s">
        <v>35</v>
      </c>
      <c r="AV192" s="141" t="s">
        <v>35</v>
      </c>
      <c r="AW192" s="141" t="s">
        <v>35</v>
      </c>
      <c r="AX192" s="95"/>
      <c r="AY192" s="93"/>
    </row>
    <row r="193" s="85" customFormat="1" ht="14.5" spans="1:51">
      <c r="A193" s="91"/>
      <c r="C193" s="152" t="s">
        <v>210</v>
      </c>
      <c r="D193" s="153" t="s">
        <v>25</v>
      </c>
      <c r="E193" s="130" t="s">
        <v>211</v>
      </c>
      <c r="F193" s="157" t="s">
        <v>216</v>
      </c>
      <c r="G193" s="157" t="s">
        <v>216</v>
      </c>
      <c r="H193" s="157" t="s">
        <v>216</v>
      </c>
      <c r="I193" s="157" t="s">
        <v>216</v>
      </c>
      <c r="J193" s="132">
        <v>0.9</v>
      </c>
      <c r="K193" s="133">
        <v>0.972972972972973</v>
      </c>
      <c r="L193" s="133">
        <v>0.944444444444444</v>
      </c>
      <c r="M193" s="134">
        <v>0.941747572815534</v>
      </c>
      <c r="N193" s="133">
        <v>0.940394088669951</v>
      </c>
      <c r="O193" s="135">
        <v>0.9</v>
      </c>
      <c r="P193" s="133">
        <v>0.987182587666264</v>
      </c>
      <c r="Q193" s="133">
        <v>0.990932096161957</v>
      </c>
      <c r="R193" s="133">
        <v>0.987157287157287</v>
      </c>
      <c r="S193" s="133">
        <v>0.98933873462242</v>
      </c>
      <c r="T193" s="135">
        <v>0.9</v>
      </c>
      <c r="U193" s="133">
        <v>0.936154776299879</v>
      </c>
      <c r="V193" s="133">
        <v>0.911008013496415</v>
      </c>
      <c r="W193" s="133">
        <v>0.924386724386724</v>
      </c>
      <c r="X193" s="133">
        <v>0.929422109171986</v>
      </c>
      <c r="Y193" s="135">
        <v>0.92</v>
      </c>
      <c r="Z193" s="135">
        <v>0.949397590361446</v>
      </c>
      <c r="AA193" s="135">
        <v>0.934895833333333</v>
      </c>
      <c r="AB193" s="135">
        <v>0.959788602941177</v>
      </c>
      <c r="AC193" s="135">
        <v>0.967559853454886</v>
      </c>
      <c r="AD193" s="135">
        <v>0.92</v>
      </c>
      <c r="AE193" s="133">
        <v>0.99239883746926</v>
      </c>
      <c r="AF193" s="133">
        <v>0.993612264452252</v>
      </c>
      <c r="AG193" s="133">
        <v>0.981253347616497</v>
      </c>
      <c r="AH193" s="133">
        <v>0.977369294040126</v>
      </c>
      <c r="AI193" s="135">
        <v>0.92</v>
      </c>
      <c r="AJ193" s="133">
        <v>0.97198518757044</v>
      </c>
      <c r="AK193" s="133">
        <v>0.960234093637455</v>
      </c>
      <c r="AL193" s="133">
        <v>0.976336080829567</v>
      </c>
      <c r="AM193" s="133">
        <v>0.979755621430121</v>
      </c>
      <c r="AN193" s="132">
        <v>0.99</v>
      </c>
      <c r="AO193" s="137">
        <v>1</v>
      </c>
      <c r="AP193" s="137">
        <v>1</v>
      </c>
      <c r="AQ193" s="137">
        <v>1</v>
      </c>
      <c r="AR193" s="137">
        <v>1</v>
      </c>
      <c r="AS193" s="158">
        <v>0.0719793575775068</v>
      </c>
      <c r="AT193" s="141">
        <v>0.0285714285714286</v>
      </c>
      <c r="AU193" s="141">
        <v>0.0294117647058824</v>
      </c>
      <c r="AV193" s="141">
        <v>0.0222222222222222</v>
      </c>
      <c r="AW193" s="141">
        <v>0.0624249699879952</v>
      </c>
      <c r="AX193" s="88"/>
      <c r="AY193" s="93"/>
    </row>
    <row r="194" ht="14.5" spans="1:51">
      <c r="A194" s="91"/>
      <c r="B194" s="95"/>
      <c r="C194" s="152" t="s">
        <v>210</v>
      </c>
      <c r="D194" s="153" t="s">
        <v>25</v>
      </c>
      <c r="E194" s="130" t="s">
        <v>211</v>
      </c>
      <c r="F194" s="157" t="s">
        <v>217</v>
      </c>
      <c r="G194" s="157" t="s">
        <v>217</v>
      </c>
      <c r="H194" s="157" t="s">
        <v>217</v>
      </c>
      <c r="I194" s="157" t="s">
        <v>217</v>
      </c>
      <c r="J194" s="132">
        <v>0.9</v>
      </c>
      <c r="K194" s="133">
        <v>0.96</v>
      </c>
      <c r="L194" s="133">
        <v>0.969230769230769</v>
      </c>
      <c r="M194" s="134">
        <v>0.925373134328358</v>
      </c>
      <c r="N194" s="133">
        <v>0.907284768211921</v>
      </c>
      <c r="O194" s="135">
        <v>0.9</v>
      </c>
      <c r="P194" s="133">
        <v>0.965666929755328</v>
      </c>
      <c r="Q194" s="133">
        <v>0.96858996244452</v>
      </c>
      <c r="R194" s="133">
        <v>0.902236569056952</v>
      </c>
      <c r="S194" s="133">
        <v>0.93381020505484</v>
      </c>
      <c r="T194" s="135">
        <v>0.9</v>
      </c>
      <c r="U194" s="133">
        <v>0.924625098658248</v>
      </c>
      <c r="V194" s="133">
        <v>0.866848753840901</v>
      </c>
      <c r="W194" s="133">
        <v>0.831680885404658</v>
      </c>
      <c r="X194" s="133">
        <v>0.915116833571769</v>
      </c>
      <c r="Y194" s="135">
        <v>0.92</v>
      </c>
      <c r="Z194" s="135">
        <v>0.904901243599122</v>
      </c>
      <c r="AA194" s="135">
        <v>0.852803738317757</v>
      </c>
      <c r="AB194" s="135">
        <v>0.888843481814467</v>
      </c>
      <c r="AC194" s="135">
        <v>0.928329711822748</v>
      </c>
      <c r="AD194" s="135">
        <v>0.92</v>
      </c>
      <c r="AE194" s="133">
        <v>0.994535519125683</v>
      </c>
      <c r="AF194" s="133">
        <v>0.971496437054632</v>
      </c>
      <c r="AG194" s="133">
        <v>0.984158415841584</v>
      </c>
      <c r="AH194" s="133">
        <v>0.979782142267701</v>
      </c>
      <c r="AI194" s="135">
        <v>0.92</v>
      </c>
      <c r="AJ194" s="133">
        <v>0.947449371955909</v>
      </c>
      <c r="AK194" s="133">
        <v>0.91055753262159</v>
      </c>
      <c r="AL194" s="133">
        <v>0.930129716981132</v>
      </c>
      <c r="AM194" s="133">
        <v>0.955789939729784</v>
      </c>
      <c r="AN194" s="132">
        <v>0.99</v>
      </c>
      <c r="AO194" s="137">
        <v>1</v>
      </c>
      <c r="AP194" s="137">
        <v>1</v>
      </c>
      <c r="AQ194" s="137">
        <v>1</v>
      </c>
      <c r="AR194" s="137">
        <v>1</v>
      </c>
      <c r="AS194" s="158">
        <v>0.0719793575775068</v>
      </c>
      <c r="AT194" s="141">
        <v>0.24390243902439</v>
      </c>
      <c r="AU194" s="141">
        <v>0.0833333333333333</v>
      </c>
      <c r="AV194" s="141">
        <v>0</v>
      </c>
      <c r="AW194" s="141">
        <v>0.0821771611526147</v>
      </c>
      <c r="AX194" s="95"/>
      <c r="AY194" s="93"/>
    </row>
    <row r="195" ht="14.5" spans="1:51">
      <c r="A195" s="91"/>
      <c r="B195" s="95"/>
      <c r="C195" s="152" t="s">
        <v>210</v>
      </c>
      <c r="D195" s="153" t="s">
        <v>25</v>
      </c>
      <c r="E195" s="130" t="s">
        <v>211</v>
      </c>
      <c r="F195" s="157" t="s">
        <v>218</v>
      </c>
      <c r="G195" s="157" t="s">
        <v>218</v>
      </c>
      <c r="H195" s="157" t="s">
        <v>218</v>
      </c>
      <c r="I195" s="157" t="s">
        <v>218</v>
      </c>
      <c r="J195" s="132">
        <v>0.9</v>
      </c>
      <c r="K195" s="133">
        <v>0.96969696969697</v>
      </c>
      <c r="L195" s="133">
        <v>0.966666666666667</v>
      </c>
      <c r="M195" s="134">
        <v>1</v>
      </c>
      <c r="N195" s="133">
        <v>0.948872180451128</v>
      </c>
      <c r="O195" s="135">
        <v>0.9</v>
      </c>
      <c r="P195" s="133">
        <v>0.946576373212942</v>
      </c>
      <c r="Q195" s="133">
        <v>0.963917525773196</v>
      </c>
      <c r="R195" s="133">
        <v>0.959448818897638</v>
      </c>
      <c r="S195" s="133">
        <v>0.955749817879072</v>
      </c>
      <c r="T195" s="135">
        <v>0.9</v>
      </c>
      <c r="U195" s="133">
        <v>0.920240782543266</v>
      </c>
      <c r="V195" s="133">
        <v>0.875</v>
      </c>
      <c r="W195" s="133">
        <v>0.907874015748032</v>
      </c>
      <c r="X195" s="133">
        <v>0.924986991362265</v>
      </c>
      <c r="Y195" s="135">
        <v>0.92</v>
      </c>
      <c r="Z195" s="135">
        <v>0.882352941176471</v>
      </c>
      <c r="AA195" s="135">
        <v>0.872168284789644</v>
      </c>
      <c r="AB195" s="135">
        <v>0.930384336475707</v>
      </c>
      <c r="AC195" s="135">
        <v>0.946419167983149</v>
      </c>
      <c r="AD195" s="135">
        <v>0.92</v>
      </c>
      <c r="AE195" s="133">
        <v>0.916990920881971</v>
      </c>
      <c r="AF195" s="133">
        <v>0.983122362869198</v>
      </c>
      <c r="AG195" s="133">
        <v>0.984189723320158</v>
      </c>
      <c r="AH195" s="133">
        <v>0.873817925194072</v>
      </c>
      <c r="AI195" s="135">
        <v>0.92</v>
      </c>
      <c r="AJ195" s="133">
        <v>0.930494371023005</v>
      </c>
      <c r="AK195" s="133">
        <v>0.92814371257485</v>
      </c>
      <c r="AL195" s="133">
        <v>0.955345751467211</v>
      </c>
      <c r="AM195" s="133">
        <v>0.967579076201283</v>
      </c>
      <c r="AN195" s="132">
        <v>0.99</v>
      </c>
      <c r="AO195" s="137">
        <v>1</v>
      </c>
      <c r="AP195" s="137">
        <v>1</v>
      </c>
      <c r="AQ195" s="137">
        <v>1</v>
      </c>
      <c r="AR195" s="137">
        <v>1</v>
      </c>
      <c r="AS195" s="158">
        <v>0.0719793575775068</v>
      </c>
      <c r="AT195" s="141">
        <v>0.1</v>
      </c>
      <c r="AU195" s="141">
        <v>0.214285714285714</v>
      </c>
      <c r="AV195" s="141">
        <v>0.0740740740740741</v>
      </c>
      <c r="AW195" s="141">
        <v>0.0876068376068376</v>
      </c>
      <c r="AX195" s="95"/>
      <c r="AY195" s="93"/>
    </row>
    <row r="196" ht="14.5" spans="1:51">
      <c r="A196" s="91"/>
      <c r="B196" s="95"/>
      <c r="C196" s="152" t="s">
        <v>210</v>
      </c>
      <c r="D196" s="153" t="s">
        <v>125</v>
      </c>
      <c r="E196" s="130" t="s">
        <v>211</v>
      </c>
      <c r="F196" s="157" t="s">
        <v>219</v>
      </c>
      <c r="G196" s="157" t="s">
        <v>219</v>
      </c>
      <c r="H196" s="157" t="s">
        <v>219</v>
      </c>
      <c r="I196" s="157" t="s">
        <v>219</v>
      </c>
      <c r="J196" s="132">
        <v>0.9</v>
      </c>
      <c r="K196" s="133" t="s">
        <v>35</v>
      </c>
      <c r="L196" s="133" t="s">
        <v>35</v>
      </c>
      <c r="M196" s="134" t="s">
        <v>35</v>
      </c>
      <c r="N196" s="133" t="s">
        <v>35</v>
      </c>
      <c r="O196" s="135">
        <v>0.9</v>
      </c>
      <c r="P196" s="133">
        <v>0</v>
      </c>
      <c r="Q196" s="133">
        <v>0</v>
      </c>
      <c r="R196" s="133">
        <v>0</v>
      </c>
      <c r="S196" s="133">
        <v>0</v>
      </c>
      <c r="T196" s="135">
        <v>0.9</v>
      </c>
      <c r="U196" s="133">
        <v>1</v>
      </c>
      <c r="V196" s="133">
        <v>1</v>
      </c>
      <c r="W196" s="133">
        <v>1</v>
      </c>
      <c r="X196" s="133">
        <v>0.979899497487437</v>
      </c>
      <c r="Y196" s="135">
        <v>0.92</v>
      </c>
      <c r="Z196" s="135">
        <v>1</v>
      </c>
      <c r="AA196" s="135">
        <v>0.857142857142857</v>
      </c>
      <c r="AB196" s="135">
        <v>0.909090909090909</v>
      </c>
      <c r="AC196" s="135">
        <v>0.954545454545455</v>
      </c>
      <c r="AD196" s="135">
        <v>0.92</v>
      </c>
      <c r="AE196" s="133">
        <v>0.999227895912022</v>
      </c>
      <c r="AF196" s="133">
        <v>0.998921609290751</v>
      </c>
      <c r="AG196" s="133">
        <v>0.980236058301648</v>
      </c>
      <c r="AH196" s="133">
        <v>0.981006433877981</v>
      </c>
      <c r="AI196" s="135">
        <v>0.92</v>
      </c>
      <c r="AJ196" s="133">
        <v>1</v>
      </c>
      <c r="AK196" s="133">
        <v>0.947368421052632</v>
      </c>
      <c r="AL196" s="133">
        <v>0.961538461538462</v>
      </c>
      <c r="AM196" s="133">
        <v>0.962264150943396</v>
      </c>
      <c r="AN196" s="132">
        <v>0.99</v>
      </c>
      <c r="AO196" s="137">
        <v>1</v>
      </c>
      <c r="AP196" s="137">
        <v>1</v>
      </c>
      <c r="AQ196" s="137">
        <v>1</v>
      </c>
      <c r="AR196" s="137">
        <v>1</v>
      </c>
      <c r="AS196" s="158">
        <v>0.0719793575775068</v>
      </c>
      <c r="AT196" s="141" t="s">
        <v>35</v>
      </c>
      <c r="AU196" s="141" t="s">
        <v>35</v>
      </c>
      <c r="AV196" s="141" t="s">
        <v>35</v>
      </c>
      <c r="AW196" s="141" t="s">
        <v>35</v>
      </c>
      <c r="AX196" s="95"/>
      <c r="AY196" s="93"/>
    </row>
    <row r="197" ht="14.5" spans="1:51">
      <c r="A197" s="91"/>
      <c r="B197" s="95"/>
      <c r="C197" s="152" t="s">
        <v>210</v>
      </c>
      <c r="D197" s="153" t="s">
        <v>25</v>
      </c>
      <c r="E197" s="130" t="s">
        <v>211</v>
      </c>
      <c r="F197" s="157" t="s">
        <v>220</v>
      </c>
      <c r="G197" s="157" t="s">
        <v>220</v>
      </c>
      <c r="H197" s="157" t="s">
        <v>220</v>
      </c>
      <c r="I197" s="157" t="s">
        <v>220</v>
      </c>
      <c r="J197" s="132">
        <v>0.9</v>
      </c>
      <c r="K197" s="133">
        <v>0.945205479452055</v>
      </c>
      <c r="L197" s="133">
        <v>0.844827586206897</v>
      </c>
      <c r="M197" s="134">
        <v>0.952380952380952</v>
      </c>
      <c r="N197" s="133">
        <v>0.923846153846154</v>
      </c>
      <c r="O197" s="135">
        <v>0.9</v>
      </c>
      <c r="P197" s="133">
        <v>0.957079823505816</v>
      </c>
      <c r="Q197" s="133">
        <v>0.932388924661945</v>
      </c>
      <c r="R197" s="133">
        <v>0.907411529045181</v>
      </c>
      <c r="S197" s="133">
        <v>0.942403410210921</v>
      </c>
      <c r="T197" s="135">
        <v>0.9</v>
      </c>
      <c r="U197" s="133">
        <v>0.900120336943442</v>
      </c>
      <c r="V197" s="133">
        <v>0.836123631680618</v>
      </c>
      <c r="W197" s="133">
        <v>0.850656576897396</v>
      </c>
      <c r="X197" s="133">
        <v>0.908091858860635</v>
      </c>
      <c r="Y197" s="135">
        <v>0.92</v>
      </c>
      <c r="Z197" s="135">
        <v>0.909677419354839</v>
      </c>
      <c r="AA197" s="135">
        <v>0.859721082854799</v>
      </c>
      <c r="AB197" s="135">
        <v>0.889008234872896</v>
      </c>
      <c r="AC197" s="135">
        <v>0.936042874773876</v>
      </c>
      <c r="AD197" s="135">
        <v>0.92</v>
      </c>
      <c r="AE197" s="133">
        <v>0.998054474708171</v>
      </c>
      <c r="AF197" s="133">
        <v>0.992586490939044</v>
      </c>
      <c r="AG197" s="133">
        <v>0.99766695829688</v>
      </c>
      <c r="AH197" s="133">
        <v>0.98696272153188</v>
      </c>
      <c r="AI197" s="135">
        <v>0.92</v>
      </c>
      <c r="AJ197" s="133">
        <v>0.935716122396503</v>
      </c>
      <c r="AK197" s="133">
        <v>0.898728323699422</v>
      </c>
      <c r="AL197" s="133">
        <v>0.912846555037057</v>
      </c>
      <c r="AM197" s="133">
        <v>0.955626972985684</v>
      </c>
      <c r="AN197" s="132">
        <v>0.99</v>
      </c>
      <c r="AO197" s="137">
        <v>1</v>
      </c>
      <c r="AP197" s="137">
        <v>1</v>
      </c>
      <c r="AQ197" s="137">
        <v>1</v>
      </c>
      <c r="AR197" s="137">
        <v>1</v>
      </c>
      <c r="AS197" s="158">
        <v>0.0719793575775068</v>
      </c>
      <c r="AT197" s="141">
        <v>0.140350877192982</v>
      </c>
      <c r="AU197" s="141">
        <v>0.0333333333333333</v>
      </c>
      <c r="AV197" s="141">
        <v>0.0317460317460317</v>
      </c>
      <c r="AW197" s="141">
        <v>0.0709728867623605</v>
      </c>
      <c r="AX197" s="95"/>
      <c r="AY197" s="93"/>
    </row>
    <row r="198" s="86" customFormat="1" ht="14.5" spans="1:51">
      <c r="A198" s="91"/>
      <c r="C198" s="152" t="s">
        <v>210</v>
      </c>
      <c r="D198" s="153" t="s">
        <v>25</v>
      </c>
      <c r="E198" s="130" t="s">
        <v>211</v>
      </c>
      <c r="F198" s="157" t="s">
        <v>221</v>
      </c>
      <c r="G198" s="157" t="s">
        <v>221</v>
      </c>
      <c r="H198" s="157" t="s">
        <v>221</v>
      </c>
      <c r="I198" s="157" t="s">
        <v>221</v>
      </c>
      <c r="J198" s="132">
        <v>0.9</v>
      </c>
      <c r="K198" s="133">
        <v>0.875</v>
      </c>
      <c r="L198" s="133">
        <v>0.888888888888889</v>
      </c>
      <c r="M198" s="134">
        <v>0.916666666666667</v>
      </c>
      <c r="N198" s="133">
        <v>0.950773558368495</v>
      </c>
      <c r="O198" s="135">
        <v>0.9</v>
      </c>
      <c r="P198" s="133">
        <v>0.965954077593032</v>
      </c>
      <c r="Q198" s="133">
        <v>0.975394321766561</v>
      </c>
      <c r="R198" s="133">
        <v>0.974301172227232</v>
      </c>
      <c r="S198" s="133">
        <v>0.974381688893145</v>
      </c>
      <c r="T198" s="135">
        <v>0.9</v>
      </c>
      <c r="U198" s="133">
        <v>0.904988123515439</v>
      </c>
      <c r="V198" s="133">
        <v>0.870031545741325</v>
      </c>
      <c r="W198" s="133">
        <v>0.886834986474301</v>
      </c>
      <c r="X198" s="133">
        <v>0.913735724375703</v>
      </c>
      <c r="Y198" s="135">
        <v>0.92</v>
      </c>
      <c r="Z198" s="135">
        <v>0.873715124816446</v>
      </c>
      <c r="AA198" s="135">
        <v>0.827181208053691</v>
      </c>
      <c r="AB198" s="135">
        <v>0.901137980085349</v>
      </c>
      <c r="AC198" s="135">
        <v>0.93035414817007</v>
      </c>
      <c r="AD198" s="135">
        <v>0.92</v>
      </c>
      <c r="AE198" s="133">
        <v>1</v>
      </c>
      <c r="AF198" s="133">
        <v>0.95</v>
      </c>
      <c r="AG198" s="133">
        <v>0.934210526315789</v>
      </c>
      <c r="AH198" s="133">
        <v>0.85140562248996</v>
      </c>
      <c r="AI198" s="135">
        <v>0.92</v>
      </c>
      <c r="AJ198" s="133">
        <v>0.923353909465021</v>
      </c>
      <c r="AK198" s="133">
        <v>0.898211829436038</v>
      </c>
      <c r="AL198" s="133">
        <v>0.925220750551876</v>
      </c>
      <c r="AM198" s="133">
        <v>0.953907537994763</v>
      </c>
      <c r="AN198" s="132">
        <v>0.99</v>
      </c>
      <c r="AO198" s="137">
        <v>1</v>
      </c>
      <c r="AP198" s="137">
        <v>1</v>
      </c>
      <c r="AQ198" s="137">
        <v>1</v>
      </c>
      <c r="AR198" s="137">
        <v>1</v>
      </c>
      <c r="AS198" s="158">
        <v>0.0719793575775068</v>
      </c>
      <c r="AT198" s="141">
        <v>0.04</v>
      </c>
      <c r="AU198" s="141">
        <v>0</v>
      </c>
      <c r="AV198" s="141">
        <v>0</v>
      </c>
      <c r="AW198" s="141">
        <v>0.054249547920434</v>
      </c>
      <c r="AX198" s="88"/>
      <c r="AY198" s="93"/>
    </row>
    <row r="199" ht="14.5" spans="1:51">
      <c r="A199" s="91"/>
      <c r="B199" s="95"/>
      <c r="C199" s="152" t="s">
        <v>210</v>
      </c>
      <c r="D199" s="153" t="s">
        <v>25</v>
      </c>
      <c r="E199" s="130" t="s">
        <v>211</v>
      </c>
      <c r="F199" s="157" t="s">
        <v>222</v>
      </c>
      <c r="G199" s="157" t="s">
        <v>222</v>
      </c>
      <c r="H199" s="157" t="s">
        <v>222</v>
      </c>
      <c r="I199" s="157" t="s">
        <v>222</v>
      </c>
      <c r="J199" s="132">
        <v>0.9</v>
      </c>
      <c r="K199" s="133">
        <v>0.972972972972973</v>
      </c>
      <c r="L199" s="133">
        <v>0.96969696969697</v>
      </c>
      <c r="M199" s="134">
        <v>0.985294117647059</v>
      </c>
      <c r="N199" s="133">
        <v>0.97172619047619</v>
      </c>
      <c r="O199" s="135">
        <v>0.9</v>
      </c>
      <c r="P199" s="133">
        <v>0.97359277275886</v>
      </c>
      <c r="Q199" s="133">
        <v>0.981062747314867</v>
      </c>
      <c r="R199" s="133">
        <v>0.940904716073147</v>
      </c>
      <c r="S199" s="133">
        <v>0.959776156319565</v>
      </c>
      <c r="T199" s="135">
        <v>0.9</v>
      </c>
      <c r="U199" s="133">
        <v>0.939193884642113</v>
      </c>
      <c r="V199" s="133">
        <v>0.91888072357264</v>
      </c>
      <c r="W199" s="133">
        <v>0.933974975938402</v>
      </c>
      <c r="X199" s="133">
        <v>0.923499464094319</v>
      </c>
      <c r="Y199" s="135">
        <v>0.92</v>
      </c>
      <c r="Z199" s="135">
        <v>0.947854785478548</v>
      </c>
      <c r="AA199" s="135">
        <v>0.923629242819843</v>
      </c>
      <c r="AB199" s="135">
        <v>0.951041080472707</v>
      </c>
      <c r="AC199" s="135">
        <v>0.954630548858318</v>
      </c>
      <c r="AD199" s="135">
        <v>0.92</v>
      </c>
      <c r="AE199" s="133">
        <v>0.997904818916492</v>
      </c>
      <c r="AF199" s="133">
        <v>0.996876394466756</v>
      </c>
      <c r="AG199" s="133">
        <v>0.998600279944011</v>
      </c>
      <c r="AH199" s="133">
        <v>0.992245052551842</v>
      </c>
      <c r="AI199" s="135">
        <v>0.92</v>
      </c>
      <c r="AJ199" s="133">
        <v>0.970179831550193</v>
      </c>
      <c r="AK199" s="133">
        <v>0.954052455137054</v>
      </c>
      <c r="AL199" s="133">
        <v>0.969025031432164</v>
      </c>
      <c r="AM199" s="133">
        <v>0.971323362656513</v>
      </c>
      <c r="AN199" s="132">
        <v>0.99</v>
      </c>
      <c r="AO199" s="137">
        <v>1</v>
      </c>
      <c r="AP199" s="137">
        <v>1</v>
      </c>
      <c r="AQ199" s="137">
        <v>1</v>
      </c>
      <c r="AR199" s="137">
        <v>1</v>
      </c>
      <c r="AS199" s="158">
        <v>0.0719793575775068</v>
      </c>
      <c r="AT199" s="141">
        <v>0.181818181818182</v>
      </c>
      <c r="AU199" s="141">
        <v>0</v>
      </c>
      <c r="AV199" s="141">
        <v>0.05</v>
      </c>
      <c r="AW199" s="141">
        <v>0.0464547677261614</v>
      </c>
      <c r="AX199" s="95"/>
      <c r="AY199" s="93"/>
    </row>
    <row r="200" ht="14.5" spans="1:51">
      <c r="A200" s="91"/>
      <c r="B200" s="95"/>
      <c r="C200" s="152" t="s">
        <v>210</v>
      </c>
      <c r="D200" s="153" t="s">
        <v>25</v>
      </c>
      <c r="E200" s="130" t="s">
        <v>211</v>
      </c>
      <c r="F200" s="157" t="s">
        <v>223</v>
      </c>
      <c r="G200" s="157" t="s">
        <v>223</v>
      </c>
      <c r="H200" s="157" t="s">
        <v>223</v>
      </c>
      <c r="I200" s="157" t="s">
        <v>223</v>
      </c>
      <c r="J200" s="132">
        <v>0.9</v>
      </c>
      <c r="K200" s="133">
        <v>0.962962962962963</v>
      </c>
      <c r="L200" s="133">
        <v>0.961038961038961</v>
      </c>
      <c r="M200" s="134">
        <v>0.96969696969697</v>
      </c>
      <c r="N200" s="133">
        <v>0.971590909090909</v>
      </c>
      <c r="O200" s="135">
        <v>0.9</v>
      </c>
      <c r="P200" s="133">
        <v>0.976181329235497</v>
      </c>
      <c r="Q200" s="133">
        <v>0.978640776699029</v>
      </c>
      <c r="R200" s="133">
        <v>0.98210080075365</v>
      </c>
      <c r="S200" s="133">
        <v>0.983450497949619</v>
      </c>
      <c r="T200" s="135">
        <v>0.9</v>
      </c>
      <c r="U200" s="133">
        <v>0.948136765270841</v>
      </c>
      <c r="V200" s="133">
        <v>0.945307443365696</v>
      </c>
      <c r="W200" s="133">
        <v>0.964672633066415</v>
      </c>
      <c r="X200" s="133">
        <v>0.964655340753759</v>
      </c>
      <c r="Y200" s="135">
        <v>0.92</v>
      </c>
      <c r="Z200" s="135">
        <v>0.953146853146853</v>
      </c>
      <c r="AA200" s="135">
        <v>0.945054945054945</v>
      </c>
      <c r="AB200" s="135">
        <v>0.97129348193178</v>
      </c>
      <c r="AC200" s="135">
        <v>0.973403081965147</v>
      </c>
      <c r="AD200" s="135">
        <v>0.92</v>
      </c>
      <c r="AE200" s="133">
        <v>0.995399858457183</v>
      </c>
      <c r="AF200" s="133">
        <v>0.978625684508037</v>
      </c>
      <c r="AG200" s="133">
        <v>0.995850622406639</v>
      </c>
      <c r="AH200" s="133">
        <v>0.993947574117657</v>
      </c>
      <c r="AI200" s="135">
        <v>0.92</v>
      </c>
      <c r="AJ200" s="133">
        <v>0.968013885445078</v>
      </c>
      <c r="AK200" s="133">
        <v>0.962065095398429</v>
      </c>
      <c r="AL200" s="133">
        <v>0.983627029277092</v>
      </c>
      <c r="AM200" s="133">
        <v>0.983317746726813</v>
      </c>
      <c r="AN200" s="132">
        <v>0.99</v>
      </c>
      <c r="AO200" s="137">
        <v>1</v>
      </c>
      <c r="AP200" s="137">
        <v>1</v>
      </c>
      <c r="AQ200" s="137">
        <v>1</v>
      </c>
      <c r="AR200" s="137">
        <v>1</v>
      </c>
      <c r="AS200" s="158">
        <v>0.0719793575775068</v>
      </c>
      <c r="AT200" s="141">
        <v>0.0967741935483871</v>
      </c>
      <c r="AU200" s="141">
        <v>0.09375</v>
      </c>
      <c r="AV200" s="141">
        <v>0.0888888888888889</v>
      </c>
      <c r="AW200" s="141">
        <v>0.0584239130434783</v>
      </c>
      <c r="AX200" s="95"/>
      <c r="AY200" s="93"/>
    </row>
    <row r="201" ht="14.5" spans="1:51">
      <c r="A201" s="91"/>
      <c r="B201" s="95"/>
      <c r="C201" s="152" t="s">
        <v>210</v>
      </c>
      <c r="D201" s="153" t="s">
        <v>125</v>
      </c>
      <c r="E201" s="130" t="s">
        <v>211</v>
      </c>
      <c r="F201" s="157" t="s">
        <v>224</v>
      </c>
      <c r="G201" s="157" t="s">
        <v>224</v>
      </c>
      <c r="H201" s="157" t="s">
        <v>224</v>
      </c>
      <c r="I201" s="157" t="s">
        <v>224</v>
      </c>
      <c r="J201" s="132">
        <v>0.9</v>
      </c>
      <c r="K201" s="133" t="s">
        <v>35</v>
      </c>
      <c r="L201" s="133" t="s">
        <v>35</v>
      </c>
      <c r="M201" s="134" t="s">
        <v>35</v>
      </c>
      <c r="N201" s="133" t="s">
        <v>35</v>
      </c>
      <c r="O201" s="135">
        <v>0.9</v>
      </c>
      <c r="P201" s="133" t="s">
        <v>35</v>
      </c>
      <c r="Q201" s="133" t="s">
        <v>35</v>
      </c>
      <c r="R201" s="133" t="s">
        <v>35</v>
      </c>
      <c r="S201" s="133" t="s">
        <v>35</v>
      </c>
      <c r="T201" s="135">
        <v>0.9</v>
      </c>
      <c r="U201" s="133" t="s">
        <v>35</v>
      </c>
      <c r="V201" s="133" t="s">
        <v>35</v>
      </c>
      <c r="W201" s="133" t="s">
        <v>35</v>
      </c>
      <c r="X201" s="133" t="s">
        <v>35</v>
      </c>
      <c r="Y201" s="135">
        <v>0.92</v>
      </c>
      <c r="Z201" s="135" t="s">
        <v>35</v>
      </c>
      <c r="AA201" s="135" t="s">
        <v>35</v>
      </c>
      <c r="AB201" s="135" t="s">
        <v>35</v>
      </c>
      <c r="AC201" s="135" t="s">
        <v>35</v>
      </c>
      <c r="AD201" s="135">
        <v>0.92</v>
      </c>
      <c r="AE201" s="133">
        <v>1</v>
      </c>
      <c r="AF201" s="133">
        <v>1</v>
      </c>
      <c r="AG201" s="133">
        <v>1</v>
      </c>
      <c r="AH201" s="133">
        <v>0.998609823911029</v>
      </c>
      <c r="AI201" s="135">
        <v>0.92</v>
      </c>
      <c r="AJ201" s="133" t="s">
        <v>35</v>
      </c>
      <c r="AK201" s="133" t="s">
        <v>35</v>
      </c>
      <c r="AL201" s="133" t="s">
        <v>35</v>
      </c>
      <c r="AM201" s="133" t="s">
        <v>35</v>
      </c>
      <c r="AN201" s="132">
        <v>0.99</v>
      </c>
      <c r="AO201" s="137">
        <v>1</v>
      </c>
      <c r="AP201" s="137">
        <v>1</v>
      </c>
      <c r="AQ201" s="137">
        <v>1</v>
      </c>
      <c r="AR201" s="137">
        <v>1</v>
      </c>
      <c r="AS201" s="158">
        <v>0.0719793575775068</v>
      </c>
      <c r="AT201" s="141" t="s">
        <v>35</v>
      </c>
      <c r="AU201" s="141" t="s">
        <v>35</v>
      </c>
      <c r="AV201" s="141" t="s">
        <v>35</v>
      </c>
      <c r="AW201" s="141" t="s">
        <v>35</v>
      </c>
      <c r="AX201" s="95"/>
      <c r="AY201" s="93"/>
    </row>
    <row r="202" ht="14.5" spans="1:51">
      <c r="A202" s="91"/>
      <c r="B202" s="95"/>
      <c r="C202" s="152" t="s">
        <v>210</v>
      </c>
      <c r="D202" s="153" t="s">
        <v>25</v>
      </c>
      <c r="E202" s="130" t="s">
        <v>211</v>
      </c>
      <c r="F202" s="157" t="s">
        <v>225</v>
      </c>
      <c r="G202" s="157" t="s">
        <v>225</v>
      </c>
      <c r="H202" s="157" t="s">
        <v>225</v>
      </c>
      <c r="I202" s="157" t="s">
        <v>225</v>
      </c>
      <c r="J202" s="132">
        <v>0.9</v>
      </c>
      <c r="K202" s="133">
        <v>0.983193277310924</v>
      </c>
      <c r="L202" s="133">
        <v>0.988636363636364</v>
      </c>
      <c r="M202" s="134">
        <v>0.991666666666667</v>
      </c>
      <c r="N202" s="133">
        <v>0.977092511013216</v>
      </c>
      <c r="O202" s="135">
        <v>0.9</v>
      </c>
      <c r="P202" s="133">
        <v>0.97078292627254</v>
      </c>
      <c r="Q202" s="133">
        <v>0.898301956441491</v>
      </c>
      <c r="R202" s="133">
        <v>0.957793457344452</v>
      </c>
      <c r="S202" s="133">
        <v>0.953359229485608</v>
      </c>
      <c r="T202" s="135">
        <v>0.9</v>
      </c>
      <c r="U202" s="133">
        <v>0.853914631362703</v>
      </c>
      <c r="V202" s="133">
        <v>0.798634182355113</v>
      </c>
      <c r="W202" s="133">
        <v>0.847081462475946</v>
      </c>
      <c r="X202" s="133">
        <v>0.856117100461838</v>
      </c>
      <c r="Y202" s="135">
        <v>0.92</v>
      </c>
      <c r="Z202" s="135">
        <v>0.910403397027601</v>
      </c>
      <c r="AA202" s="135">
        <v>0.825533848250795</v>
      </c>
      <c r="AB202" s="135">
        <v>0.909853658536585</v>
      </c>
      <c r="AC202" s="135">
        <v>0.935124784696009</v>
      </c>
      <c r="AD202" s="135">
        <v>0.92</v>
      </c>
      <c r="AE202" s="133">
        <v>0.992619370387106</v>
      </c>
      <c r="AF202" s="133">
        <v>0.989553105049333</v>
      </c>
      <c r="AG202" s="133">
        <v>0.986623616236162</v>
      </c>
      <c r="AH202" s="133">
        <v>0.989701327554695</v>
      </c>
      <c r="AI202" s="135">
        <v>0.92</v>
      </c>
      <c r="AJ202" s="133">
        <v>0.937203087885986</v>
      </c>
      <c r="AK202" s="133">
        <v>0.879265091863517</v>
      </c>
      <c r="AL202" s="133">
        <v>0.939710548719139</v>
      </c>
      <c r="AM202" s="133">
        <v>0.95507274949726</v>
      </c>
      <c r="AN202" s="132">
        <v>0.99</v>
      </c>
      <c r="AO202" s="137">
        <v>1</v>
      </c>
      <c r="AP202" s="137">
        <v>1</v>
      </c>
      <c r="AQ202" s="137">
        <v>1</v>
      </c>
      <c r="AR202" s="137">
        <v>1</v>
      </c>
      <c r="AS202" s="158">
        <v>0.0719793575775068</v>
      </c>
      <c r="AT202" s="141">
        <v>0.108108108108108</v>
      </c>
      <c r="AU202" s="141">
        <v>0.0277777777777778</v>
      </c>
      <c r="AV202" s="141">
        <v>0.0188679245283019</v>
      </c>
      <c r="AW202" s="141">
        <v>0.0543237250554324</v>
      </c>
      <c r="AX202" s="95"/>
      <c r="AY202" s="93"/>
    </row>
    <row r="203" ht="14.5" spans="1:51">
      <c r="A203" s="91"/>
      <c r="B203" s="95"/>
      <c r="C203" s="152" t="s">
        <v>210</v>
      </c>
      <c r="D203" s="153" t="s">
        <v>125</v>
      </c>
      <c r="E203" s="130" t="s">
        <v>211</v>
      </c>
      <c r="F203" s="157" t="s">
        <v>226</v>
      </c>
      <c r="G203" s="157" t="s">
        <v>226</v>
      </c>
      <c r="H203" s="157" t="s">
        <v>226</v>
      </c>
      <c r="I203" s="157" t="s">
        <v>226</v>
      </c>
      <c r="J203" s="132">
        <v>0.9</v>
      </c>
      <c r="K203" s="133" t="s">
        <v>35</v>
      </c>
      <c r="L203" s="133" t="s">
        <v>35</v>
      </c>
      <c r="M203" s="134" t="s">
        <v>35</v>
      </c>
      <c r="N203" s="133" t="s">
        <v>35</v>
      </c>
      <c r="O203" s="135">
        <v>0.9</v>
      </c>
      <c r="P203" s="133">
        <v>0</v>
      </c>
      <c r="Q203" s="133" t="s">
        <v>35</v>
      </c>
      <c r="R203" s="133" t="s">
        <v>35</v>
      </c>
      <c r="S203" s="133">
        <v>0</v>
      </c>
      <c r="T203" s="135">
        <v>0.9</v>
      </c>
      <c r="U203" s="133">
        <v>0</v>
      </c>
      <c r="V203" s="133" t="s">
        <v>35</v>
      </c>
      <c r="W203" s="133" t="s">
        <v>35</v>
      </c>
      <c r="X203" s="133">
        <v>0.875</v>
      </c>
      <c r="Y203" s="135">
        <v>0.92</v>
      </c>
      <c r="Z203" s="135" t="s">
        <v>35</v>
      </c>
      <c r="AA203" s="135" t="s">
        <v>35</v>
      </c>
      <c r="AB203" s="135">
        <v>0</v>
      </c>
      <c r="AC203" s="135">
        <v>0</v>
      </c>
      <c r="AD203" s="135">
        <v>0.92</v>
      </c>
      <c r="AE203" s="133">
        <v>0.999920725101076</v>
      </c>
      <c r="AF203" s="133">
        <v>0.999077490774908</v>
      </c>
      <c r="AG203" s="133">
        <v>0.999786689419795</v>
      </c>
      <c r="AH203" s="133">
        <v>0.997902398718866</v>
      </c>
      <c r="AI203" s="135">
        <v>0.92</v>
      </c>
      <c r="AJ203" s="133">
        <v>0</v>
      </c>
      <c r="AK203" s="133">
        <v>0</v>
      </c>
      <c r="AL203" s="133">
        <v>0</v>
      </c>
      <c r="AM203" s="133">
        <v>0.695652173913043</v>
      </c>
      <c r="AN203" s="132">
        <v>0.99</v>
      </c>
      <c r="AO203" s="137">
        <v>1</v>
      </c>
      <c r="AP203" s="137">
        <v>1</v>
      </c>
      <c r="AQ203" s="137">
        <v>1</v>
      </c>
      <c r="AR203" s="137">
        <v>1</v>
      </c>
      <c r="AS203" s="158">
        <v>0.0719793575775068</v>
      </c>
      <c r="AT203" s="141" t="s">
        <v>35</v>
      </c>
      <c r="AU203" s="141" t="s">
        <v>35</v>
      </c>
      <c r="AV203" s="141" t="s">
        <v>35</v>
      </c>
      <c r="AW203" s="141" t="s">
        <v>35</v>
      </c>
      <c r="AX203" s="95"/>
      <c r="AY203" s="93"/>
    </row>
    <row r="204" ht="14.5" spans="1:51">
      <c r="A204" s="91"/>
      <c r="B204" s="95"/>
      <c r="C204" s="152" t="s">
        <v>210</v>
      </c>
      <c r="D204" s="153" t="s">
        <v>25</v>
      </c>
      <c r="E204" s="130" t="s">
        <v>211</v>
      </c>
      <c r="F204" s="157" t="s">
        <v>227</v>
      </c>
      <c r="G204" s="157" t="s">
        <v>227</v>
      </c>
      <c r="H204" s="157" t="s">
        <v>227</v>
      </c>
      <c r="I204" s="157" t="s">
        <v>227</v>
      </c>
      <c r="J204" s="132">
        <v>0.9</v>
      </c>
      <c r="K204" s="133">
        <v>0.91044776119403</v>
      </c>
      <c r="L204" s="133">
        <v>0.888888888888889</v>
      </c>
      <c r="M204" s="134">
        <v>0.871428571428571</v>
      </c>
      <c r="N204" s="133">
        <v>0.904761904761905</v>
      </c>
      <c r="O204" s="135">
        <v>0.9</v>
      </c>
      <c r="P204" s="133">
        <v>0.95692025664528</v>
      </c>
      <c r="Q204" s="133">
        <v>0.94903777619387</v>
      </c>
      <c r="R204" s="133">
        <v>0.95242889504153</v>
      </c>
      <c r="S204" s="133">
        <v>0.952022442588726</v>
      </c>
      <c r="T204" s="135">
        <v>0.9</v>
      </c>
      <c r="U204" s="133">
        <v>0.903299725022915</v>
      </c>
      <c r="V204" s="133">
        <v>0.904490377761939</v>
      </c>
      <c r="W204" s="133">
        <v>0.893783035489555</v>
      </c>
      <c r="X204" s="133">
        <v>0.917445198329854</v>
      </c>
      <c r="Y204" s="135">
        <v>0.92</v>
      </c>
      <c r="Z204" s="135">
        <v>0.931005818786367</v>
      </c>
      <c r="AA204" s="135">
        <v>0.921259842519685</v>
      </c>
      <c r="AB204" s="135">
        <v>0.933405718422005</v>
      </c>
      <c r="AC204" s="135">
        <v>0.950875766507436</v>
      </c>
      <c r="AD204" s="135">
        <v>0.92</v>
      </c>
      <c r="AE204" s="133">
        <v>0.996887966804979</v>
      </c>
      <c r="AF204" s="133">
        <v>0.995921696574225</v>
      </c>
      <c r="AG204" s="133">
        <v>0.994315597999091</v>
      </c>
      <c r="AH204" s="133">
        <v>0.997421559160893</v>
      </c>
      <c r="AI204" s="135">
        <v>0.92</v>
      </c>
      <c r="AJ204" s="133">
        <v>0.961595273264402</v>
      </c>
      <c r="AK204" s="133">
        <v>0.959271439413104</v>
      </c>
      <c r="AL204" s="133">
        <v>0.957838479809976</v>
      </c>
      <c r="AM204" s="133">
        <v>0.969805953319724</v>
      </c>
      <c r="AN204" s="132">
        <v>0.99</v>
      </c>
      <c r="AO204" s="137">
        <v>1</v>
      </c>
      <c r="AP204" s="137">
        <v>1</v>
      </c>
      <c r="AQ204" s="137">
        <v>1</v>
      </c>
      <c r="AR204" s="137">
        <v>1</v>
      </c>
      <c r="AS204" s="158">
        <v>0.0719793575775068</v>
      </c>
      <c r="AT204" s="141">
        <v>0.0588235294117647</v>
      </c>
      <c r="AU204" s="141">
        <v>0</v>
      </c>
      <c r="AV204" s="141">
        <v>0.0476190476190476</v>
      </c>
      <c r="AW204" s="141">
        <v>0.0607734806629834</v>
      </c>
      <c r="AX204" s="95"/>
      <c r="AY204" s="93"/>
    </row>
    <row r="205" ht="14.5" spans="1:51">
      <c r="A205" s="91"/>
      <c r="B205" s="95"/>
      <c r="C205" s="152" t="s">
        <v>210</v>
      </c>
      <c r="D205" s="153" t="s">
        <v>125</v>
      </c>
      <c r="E205" s="130" t="s">
        <v>211</v>
      </c>
      <c r="F205" s="157" t="s">
        <v>228</v>
      </c>
      <c r="G205" s="157" t="s">
        <v>228</v>
      </c>
      <c r="H205" s="157" t="s">
        <v>228</v>
      </c>
      <c r="I205" s="157" t="s">
        <v>228</v>
      </c>
      <c r="J205" s="132">
        <v>0.9</v>
      </c>
      <c r="K205" s="133" t="s">
        <v>35</v>
      </c>
      <c r="L205" s="133" t="s">
        <v>35</v>
      </c>
      <c r="M205" s="134" t="s">
        <v>35</v>
      </c>
      <c r="N205" s="133" t="s">
        <v>35</v>
      </c>
      <c r="O205" s="135">
        <v>0.9</v>
      </c>
      <c r="P205" s="133">
        <v>0</v>
      </c>
      <c r="Q205" s="133">
        <v>0</v>
      </c>
      <c r="R205" s="133">
        <v>0</v>
      </c>
      <c r="S205" s="133">
        <v>0</v>
      </c>
      <c r="T205" s="135">
        <v>0.9</v>
      </c>
      <c r="U205" s="133">
        <v>1</v>
      </c>
      <c r="V205" s="133">
        <v>1</v>
      </c>
      <c r="W205" s="133">
        <v>0</v>
      </c>
      <c r="X205" s="133">
        <v>0.912698412698413</v>
      </c>
      <c r="Y205" s="135">
        <v>0.92</v>
      </c>
      <c r="Z205" s="135" t="s">
        <v>35</v>
      </c>
      <c r="AA205" s="135">
        <v>1</v>
      </c>
      <c r="AB205" s="135" t="s">
        <v>35</v>
      </c>
      <c r="AC205" s="135">
        <v>0.368421052631579</v>
      </c>
      <c r="AD205" s="135">
        <v>0.92</v>
      </c>
      <c r="AE205" s="133">
        <v>0.999061662198391</v>
      </c>
      <c r="AF205" s="133">
        <v>0.996844822640788</v>
      </c>
      <c r="AG205" s="133">
        <v>0.996073717948718</v>
      </c>
      <c r="AH205" s="133">
        <v>0.959477581882426</v>
      </c>
      <c r="AI205" s="135">
        <v>0.92</v>
      </c>
      <c r="AJ205" s="133">
        <v>1</v>
      </c>
      <c r="AK205" s="133">
        <v>1</v>
      </c>
      <c r="AL205" s="133">
        <v>0.5</v>
      </c>
      <c r="AM205" s="133">
        <v>0.907514450867052</v>
      </c>
      <c r="AN205" s="132">
        <v>0.99</v>
      </c>
      <c r="AO205" s="137">
        <v>1</v>
      </c>
      <c r="AP205" s="137">
        <v>1</v>
      </c>
      <c r="AQ205" s="137">
        <v>1</v>
      </c>
      <c r="AR205" s="137">
        <v>1</v>
      </c>
      <c r="AS205" s="158">
        <v>0.0719793575775068</v>
      </c>
      <c r="AT205" s="141" t="s">
        <v>35</v>
      </c>
      <c r="AU205" s="141" t="s">
        <v>35</v>
      </c>
      <c r="AV205" s="141" t="s">
        <v>35</v>
      </c>
      <c r="AW205" s="141" t="s">
        <v>35</v>
      </c>
      <c r="AX205" s="95"/>
      <c r="AY205" s="93"/>
    </row>
    <row r="206" ht="14.5" spans="1:51">
      <c r="A206" s="91"/>
      <c r="B206" s="95"/>
      <c r="C206" s="152" t="s">
        <v>210</v>
      </c>
      <c r="D206" s="153" t="s">
        <v>25</v>
      </c>
      <c r="E206" s="130" t="s">
        <v>211</v>
      </c>
      <c r="F206" s="157" t="s">
        <v>229</v>
      </c>
      <c r="G206" s="157" t="s">
        <v>229</v>
      </c>
      <c r="H206" s="157" t="s">
        <v>229</v>
      </c>
      <c r="I206" s="157" t="s">
        <v>229</v>
      </c>
      <c r="J206" s="132">
        <v>0.9</v>
      </c>
      <c r="K206" s="133">
        <v>0.982142857142857</v>
      </c>
      <c r="L206" s="133">
        <v>0.976744186046512</v>
      </c>
      <c r="M206" s="134">
        <v>0.959183673469388</v>
      </c>
      <c r="N206" s="133">
        <v>0.926424870466321</v>
      </c>
      <c r="O206" s="135">
        <v>0.9</v>
      </c>
      <c r="P206" s="133">
        <v>0.994505494505495</v>
      </c>
      <c r="Q206" s="133">
        <v>0.994696042431661</v>
      </c>
      <c r="R206" s="133">
        <v>0.993103448275862</v>
      </c>
      <c r="S206" s="133">
        <v>0.992157465785022</v>
      </c>
      <c r="T206" s="135">
        <v>0.9</v>
      </c>
      <c r="U206" s="133">
        <v>0.899450549450549</v>
      </c>
      <c r="V206" s="133">
        <v>0.884128926968584</v>
      </c>
      <c r="W206" s="133">
        <v>0.904047976011994</v>
      </c>
      <c r="X206" s="133">
        <v>0.914295965964427</v>
      </c>
      <c r="Y206" s="135">
        <v>0.92</v>
      </c>
      <c r="Z206" s="135">
        <v>0.91156462585034</v>
      </c>
      <c r="AA206" s="135">
        <v>0.920084121976867</v>
      </c>
      <c r="AB206" s="135">
        <v>0.931223628691983</v>
      </c>
      <c r="AC206" s="135">
        <v>0.951694729936584</v>
      </c>
      <c r="AD206" s="135">
        <v>0.92</v>
      </c>
      <c r="AE206" s="133">
        <v>1</v>
      </c>
      <c r="AF206" s="133">
        <v>0.999317406143345</v>
      </c>
      <c r="AG206" s="133">
        <v>0.999525166191833</v>
      </c>
      <c r="AH206" s="133">
        <v>0.998474106765576</v>
      </c>
      <c r="AI206" s="135">
        <v>0.92</v>
      </c>
      <c r="AJ206" s="133">
        <v>0.945243945243945</v>
      </c>
      <c r="AK206" s="133">
        <v>0.954158095797825</v>
      </c>
      <c r="AL206" s="133">
        <v>0.960049062554757</v>
      </c>
      <c r="AM206" s="133">
        <v>0.969855945370495</v>
      </c>
      <c r="AN206" s="132">
        <v>0.99</v>
      </c>
      <c r="AO206" s="137">
        <v>1</v>
      </c>
      <c r="AP206" s="137">
        <v>1</v>
      </c>
      <c r="AQ206" s="137">
        <v>1</v>
      </c>
      <c r="AR206" s="137">
        <v>1</v>
      </c>
      <c r="AS206" s="158">
        <v>0.0719793575775068</v>
      </c>
      <c r="AT206" s="141">
        <v>0</v>
      </c>
      <c r="AU206" s="141">
        <v>0</v>
      </c>
      <c r="AV206" s="141">
        <v>0.0666666666666667</v>
      </c>
      <c r="AW206" s="141">
        <v>0.074792243767313</v>
      </c>
      <c r="AX206" s="95"/>
      <c r="AY206" s="93"/>
    </row>
    <row r="207" ht="14.5" spans="1:51">
      <c r="A207" s="91"/>
      <c r="B207" s="95"/>
      <c r="C207" s="152" t="s">
        <v>210</v>
      </c>
      <c r="D207" s="153" t="s">
        <v>25</v>
      </c>
      <c r="E207" s="130" t="s">
        <v>211</v>
      </c>
      <c r="F207" s="157" t="s">
        <v>230</v>
      </c>
      <c r="G207" s="157" t="s">
        <v>230</v>
      </c>
      <c r="H207" s="157" t="s">
        <v>230</v>
      </c>
      <c r="I207" s="157" t="s">
        <v>230</v>
      </c>
      <c r="J207" s="132">
        <v>0.9</v>
      </c>
      <c r="K207" s="133">
        <v>0.96039603960396</v>
      </c>
      <c r="L207" s="133">
        <v>0.91358024691358</v>
      </c>
      <c r="M207" s="134">
        <v>0.958762886597938</v>
      </c>
      <c r="N207" s="133">
        <v>0.933554817275748</v>
      </c>
      <c r="O207" s="135">
        <v>0.9</v>
      </c>
      <c r="P207" s="133">
        <v>0.965241379310345</v>
      </c>
      <c r="Q207" s="133">
        <v>0.970034995625547</v>
      </c>
      <c r="R207" s="133">
        <v>0.951313880380461</v>
      </c>
      <c r="S207" s="133">
        <v>0.952461127067446</v>
      </c>
      <c r="T207" s="135">
        <v>0.9</v>
      </c>
      <c r="U207" s="133">
        <v>0.920827586206897</v>
      </c>
      <c r="V207" s="133">
        <v>0.890419947506562</v>
      </c>
      <c r="W207" s="133">
        <v>0.884571981299371</v>
      </c>
      <c r="X207" s="133">
        <v>0.907092115569881</v>
      </c>
      <c r="Y207" s="135">
        <v>0.92</v>
      </c>
      <c r="Z207" s="135">
        <v>0.921293800539084</v>
      </c>
      <c r="AA207" s="135">
        <v>0.844703272323905</v>
      </c>
      <c r="AB207" s="135">
        <v>0.905424528301887</v>
      </c>
      <c r="AC207" s="135">
        <v>0.92530106045174</v>
      </c>
      <c r="AD207" s="135">
        <v>0.92</v>
      </c>
      <c r="AE207" s="133">
        <v>0.951603266281617</v>
      </c>
      <c r="AF207" s="133">
        <v>0.965933286018453</v>
      </c>
      <c r="AG207" s="133">
        <v>0.976912181303116</v>
      </c>
      <c r="AH207" s="133">
        <v>0.947460527170735</v>
      </c>
      <c r="AI207" s="135">
        <v>0.92</v>
      </c>
      <c r="AJ207" s="133">
        <v>0.953293194672505</v>
      </c>
      <c r="AK207" s="133">
        <v>0.915921568627451</v>
      </c>
      <c r="AL207" s="133">
        <v>0.941497510532363</v>
      </c>
      <c r="AM207" s="133">
        <v>0.953363934021763</v>
      </c>
      <c r="AN207" s="132">
        <v>0.99</v>
      </c>
      <c r="AO207" s="137">
        <v>1</v>
      </c>
      <c r="AP207" s="137">
        <v>1</v>
      </c>
      <c r="AQ207" s="137">
        <v>1</v>
      </c>
      <c r="AR207" s="137">
        <v>1</v>
      </c>
      <c r="AS207" s="158">
        <v>0.0719793575775068</v>
      </c>
      <c r="AT207" s="141">
        <v>0.0357142857142857</v>
      </c>
      <c r="AU207" s="141">
        <v>0</v>
      </c>
      <c r="AV207" s="141">
        <v>0.0571428571428571</v>
      </c>
      <c r="AW207" s="141">
        <v>0.0488826815642458</v>
      </c>
      <c r="AX207" s="95"/>
      <c r="AY207" s="93"/>
    </row>
    <row r="208" ht="14.5" spans="1:51">
      <c r="A208" s="91"/>
      <c r="B208" s="95"/>
      <c r="C208" s="152" t="s">
        <v>210</v>
      </c>
      <c r="D208" s="153" t="s">
        <v>125</v>
      </c>
      <c r="E208" s="130" t="s">
        <v>211</v>
      </c>
      <c r="F208" s="157" t="s">
        <v>231</v>
      </c>
      <c r="G208" s="157" t="s">
        <v>231</v>
      </c>
      <c r="H208" s="157" t="s">
        <v>231</v>
      </c>
      <c r="I208" s="157" t="s">
        <v>231</v>
      </c>
      <c r="J208" s="132">
        <v>0.9</v>
      </c>
      <c r="K208" s="133" t="s">
        <v>35</v>
      </c>
      <c r="L208" s="133" t="s">
        <v>35</v>
      </c>
      <c r="M208" s="134" t="s">
        <v>35</v>
      </c>
      <c r="N208" s="133" t="s">
        <v>35</v>
      </c>
      <c r="O208" s="135">
        <v>0.9</v>
      </c>
      <c r="P208" s="133">
        <v>0</v>
      </c>
      <c r="Q208" s="133">
        <v>0</v>
      </c>
      <c r="R208" s="133">
        <v>0</v>
      </c>
      <c r="S208" s="133">
        <v>0</v>
      </c>
      <c r="T208" s="135">
        <v>0.9</v>
      </c>
      <c r="U208" s="133">
        <v>0.625</v>
      </c>
      <c r="V208" s="133">
        <v>0.833333333333333</v>
      </c>
      <c r="W208" s="133">
        <v>0.875</v>
      </c>
      <c r="X208" s="133">
        <v>0.851851851851852</v>
      </c>
      <c r="Y208" s="135">
        <v>0.92</v>
      </c>
      <c r="Z208" s="135">
        <v>0.5</v>
      </c>
      <c r="AA208" s="135" t="s">
        <v>35</v>
      </c>
      <c r="AB208" s="135" t="s">
        <v>35</v>
      </c>
      <c r="AC208" s="135">
        <v>0.5</v>
      </c>
      <c r="AD208" s="135">
        <v>0.92</v>
      </c>
      <c r="AE208" s="133">
        <v>0.982179341657208</v>
      </c>
      <c r="AF208" s="133">
        <v>0.980085348506401</v>
      </c>
      <c r="AG208" s="133">
        <v>0.998350787498969</v>
      </c>
      <c r="AH208" s="133">
        <v>0.926686201691294</v>
      </c>
      <c r="AI208" s="135">
        <v>0.92</v>
      </c>
      <c r="AJ208" s="133">
        <v>0.733333333333333</v>
      </c>
      <c r="AK208" s="133">
        <v>0.666666666666667</v>
      </c>
      <c r="AL208" s="133">
        <v>0.625</v>
      </c>
      <c r="AM208" s="133">
        <v>0.78</v>
      </c>
      <c r="AN208" s="132">
        <v>0.99</v>
      </c>
      <c r="AO208" s="137">
        <v>1</v>
      </c>
      <c r="AP208" s="137">
        <v>1</v>
      </c>
      <c r="AQ208" s="137">
        <v>1</v>
      </c>
      <c r="AR208" s="137">
        <v>1</v>
      </c>
      <c r="AS208" s="158">
        <v>0.0719793575775068</v>
      </c>
      <c r="AT208" s="141" t="s">
        <v>35</v>
      </c>
      <c r="AU208" s="141" t="s">
        <v>35</v>
      </c>
      <c r="AV208" s="141" t="s">
        <v>35</v>
      </c>
      <c r="AW208" s="141" t="s">
        <v>35</v>
      </c>
      <c r="AX208" s="95"/>
      <c r="AY208" s="93"/>
    </row>
    <row r="209" ht="14.5" spans="1:51">
      <c r="A209" s="91"/>
      <c r="C209" s="152" t="s">
        <v>210</v>
      </c>
      <c r="D209" s="153" t="s">
        <v>25</v>
      </c>
      <c r="E209" s="130" t="s">
        <v>211</v>
      </c>
      <c r="F209" s="157" t="s">
        <v>232</v>
      </c>
      <c r="G209" s="157" t="s">
        <v>232</v>
      </c>
      <c r="H209" s="157" t="s">
        <v>232</v>
      </c>
      <c r="I209" s="157" t="s">
        <v>232</v>
      </c>
      <c r="J209" s="132">
        <v>0.9</v>
      </c>
      <c r="K209" s="133">
        <v>0.975609756097561</v>
      </c>
      <c r="L209" s="133">
        <v>0.952054794520548</v>
      </c>
      <c r="M209" s="134">
        <v>0.949720670391061</v>
      </c>
      <c r="N209" s="133">
        <v>0.943977591036415</v>
      </c>
      <c r="O209" s="135">
        <v>0.9</v>
      </c>
      <c r="P209" s="133">
        <v>0.96256038647343</v>
      </c>
      <c r="Q209" s="133">
        <v>0.953048471541969</v>
      </c>
      <c r="R209" s="133">
        <v>0.946553981668849</v>
      </c>
      <c r="S209" s="133">
        <v>0.95150446856542</v>
      </c>
      <c r="T209" s="135">
        <v>0.9</v>
      </c>
      <c r="U209" s="133">
        <v>0.91304347826087</v>
      </c>
      <c r="V209" s="133">
        <v>0.885661205877386</v>
      </c>
      <c r="W209" s="133">
        <v>0.905844542316391</v>
      </c>
      <c r="X209" s="133">
        <v>0.921099669109689</v>
      </c>
      <c r="Y209" s="135">
        <v>0.92</v>
      </c>
      <c r="Z209" s="135">
        <v>0.930892790437056</v>
      </c>
      <c r="AA209" s="135">
        <v>0.869346733668342</v>
      </c>
      <c r="AB209" s="135">
        <v>0.916211934518571</v>
      </c>
      <c r="AC209" s="135">
        <v>0.941908023018024</v>
      </c>
      <c r="AD209" s="135">
        <v>0.92</v>
      </c>
      <c r="AE209" s="133">
        <v>0.995040297582145</v>
      </c>
      <c r="AF209" s="133">
        <v>0.993343573988735</v>
      </c>
      <c r="AG209" s="133">
        <v>0.995642701525055</v>
      </c>
      <c r="AH209" s="133">
        <v>0.996425763848855</v>
      </c>
      <c r="AI209" s="135">
        <v>0.92</v>
      </c>
      <c r="AJ209" s="133">
        <v>0.951876552896561</v>
      </c>
      <c r="AK209" s="133">
        <v>0.91939364773821</v>
      </c>
      <c r="AL209" s="133">
        <v>0.946385456611277</v>
      </c>
      <c r="AM209" s="133">
        <v>0.96190800397385</v>
      </c>
      <c r="AN209" s="132">
        <v>0.99</v>
      </c>
      <c r="AO209" s="137">
        <v>1</v>
      </c>
      <c r="AP209" s="137">
        <v>1</v>
      </c>
      <c r="AQ209" s="137">
        <v>1</v>
      </c>
      <c r="AR209" s="137">
        <v>1</v>
      </c>
      <c r="AS209" s="158">
        <v>0.0719793575775068</v>
      </c>
      <c r="AT209" s="141">
        <v>0.0588235294117647</v>
      </c>
      <c r="AU209" s="141">
        <v>0.072463768115942</v>
      </c>
      <c r="AV209" s="141">
        <v>0.0275229357798165</v>
      </c>
      <c r="AW209" s="141">
        <v>0.058185966913862</v>
      </c>
      <c r="AX209" s="95"/>
      <c r="AY209" s="93"/>
    </row>
    <row r="210" ht="14.5" spans="1:51">
      <c r="A210" s="91"/>
      <c r="C210" s="152" t="s">
        <v>210</v>
      </c>
      <c r="D210" s="153" t="s">
        <v>25</v>
      </c>
      <c r="E210" s="130" t="s">
        <v>211</v>
      </c>
      <c r="F210" s="157" t="s">
        <v>233</v>
      </c>
      <c r="G210" s="157" t="s">
        <v>233</v>
      </c>
      <c r="H210" s="157" t="s">
        <v>233</v>
      </c>
      <c r="I210" s="157" t="s">
        <v>233</v>
      </c>
      <c r="J210" s="132">
        <v>0.9</v>
      </c>
      <c r="K210" s="133">
        <v>0.96031746031746</v>
      </c>
      <c r="L210" s="133">
        <v>0.934579439252336</v>
      </c>
      <c r="M210" s="134">
        <v>0.884297520661157</v>
      </c>
      <c r="N210" s="133">
        <v>0.932373472949389</v>
      </c>
      <c r="O210" s="135">
        <v>0.9</v>
      </c>
      <c r="P210" s="133">
        <v>0.957283680175246</v>
      </c>
      <c r="Q210" s="133">
        <v>0.961374306444729</v>
      </c>
      <c r="R210" s="133">
        <v>0.958273381294964</v>
      </c>
      <c r="S210" s="133">
        <v>0.953105733370653</v>
      </c>
      <c r="T210" s="135">
        <v>0.9</v>
      </c>
      <c r="U210" s="133">
        <v>0.901423877327492</v>
      </c>
      <c r="V210" s="133">
        <v>0.889671361502347</v>
      </c>
      <c r="W210" s="133">
        <v>0.882589928057554</v>
      </c>
      <c r="X210" s="133">
        <v>0.900053710161811</v>
      </c>
      <c r="Y210" s="135">
        <v>0.92</v>
      </c>
      <c r="Z210" s="135">
        <v>0.893881453154876</v>
      </c>
      <c r="AA210" s="135">
        <v>0.882384246939862</v>
      </c>
      <c r="AB210" s="135">
        <v>0.900332225913621</v>
      </c>
      <c r="AC210" s="135">
        <v>0.929335534648091</v>
      </c>
      <c r="AD210" s="135">
        <v>0.92</v>
      </c>
      <c r="AE210" s="133">
        <v>0.996623794212219</v>
      </c>
      <c r="AF210" s="133">
        <v>0.998224251648909</v>
      </c>
      <c r="AG210" s="133">
        <v>0.977749683944374</v>
      </c>
      <c r="AH210" s="133">
        <v>0.988846249177357</v>
      </c>
      <c r="AI210" s="135">
        <v>0.92</v>
      </c>
      <c r="AJ210" s="133">
        <v>0.934737208492865</v>
      </c>
      <c r="AK210" s="133">
        <v>0.923557179838587</v>
      </c>
      <c r="AL210" s="133">
        <v>0.933370145407694</v>
      </c>
      <c r="AM210" s="133">
        <v>0.954525884533634</v>
      </c>
      <c r="AN210" s="132">
        <v>0.99</v>
      </c>
      <c r="AO210" s="137">
        <v>1</v>
      </c>
      <c r="AP210" s="137">
        <v>1</v>
      </c>
      <c r="AQ210" s="137">
        <v>1</v>
      </c>
      <c r="AR210" s="137">
        <v>1</v>
      </c>
      <c r="AS210" s="158">
        <v>0.0719793575775068</v>
      </c>
      <c r="AT210" s="141">
        <v>0.0606060606060606</v>
      </c>
      <c r="AU210" s="141">
        <v>0.0289855072463768</v>
      </c>
      <c r="AV210" s="141">
        <v>0.0891089108910891</v>
      </c>
      <c r="AW210" s="141">
        <v>0.0540688148552703</v>
      </c>
      <c r="AX210" s="95"/>
      <c r="AY210" s="93"/>
    </row>
    <row r="211" ht="14.5" spans="1:51">
      <c r="A211" s="91"/>
      <c r="C211" s="152" t="s">
        <v>210</v>
      </c>
      <c r="D211" s="153" t="s">
        <v>25</v>
      </c>
      <c r="E211" s="130" t="s">
        <v>211</v>
      </c>
      <c r="F211" s="157" t="s">
        <v>234</v>
      </c>
      <c r="G211" s="157" t="s">
        <v>234</v>
      </c>
      <c r="H211" s="157" t="s">
        <v>234</v>
      </c>
      <c r="I211" s="157" t="s">
        <v>234</v>
      </c>
      <c r="J211" s="132">
        <v>0.9</v>
      </c>
      <c r="K211" s="133">
        <v>0.93984962406015</v>
      </c>
      <c r="L211" s="133">
        <v>0.911504424778761</v>
      </c>
      <c r="M211" s="134">
        <v>0.912</v>
      </c>
      <c r="N211" s="133">
        <v>0.924192212096106</v>
      </c>
      <c r="O211" s="135">
        <v>0.9</v>
      </c>
      <c r="P211" s="133">
        <v>0.940174491067719</v>
      </c>
      <c r="Q211" s="133">
        <v>0.952260397830018</v>
      </c>
      <c r="R211" s="133">
        <v>0.942619992782389</v>
      </c>
      <c r="S211" s="133">
        <v>0.942550770189533</v>
      </c>
      <c r="T211" s="135">
        <v>0.9</v>
      </c>
      <c r="U211" s="133">
        <v>0.914831740756128</v>
      </c>
      <c r="V211" s="133">
        <v>0.917902350813743</v>
      </c>
      <c r="W211" s="133">
        <v>0.908697221219776</v>
      </c>
      <c r="X211" s="133">
        <v>0.919655074309404</v>
      </c>
      <c r="Y211" s="135">
        <v>0.92</v>
      </c>
      <c r="Z211" s="135">
        <v>0.914619883040936</v>
      </c>
      <c r="AA211" s="135">
        <v>0.870333199518266</v>
      </c>
      <c r="AB211" s="135">
        <v>0.934492753623188</v>
      </c>
      <c r="AC211" s="135">
        <v>0.9452096498916</v>
      </c>
      <c r="AD211" s="135">
        <v>0.92</v>
      </c>
      <c r="AE211" s="133">
        <v>0.996422182468694</v>
      </c>
      <c r="AF211" s="133">
        <v>0.980789754535752</v>
      </c>
      <c r="AG211" s="133">
        <v>0.987909759441605</v>
      </c>
      <c r="AH211" s="133">
        <v>0.987673794617449</v>
      </c>
      <c r="AI211" s="135">
        <v>0.92</v>
      </c>
      <c r="AJ211" s="133">
        <v>0.951490514905149</v>
      </c>
      <c r="AK211" s="133">
        <v>0.939922722173751</v>
      </c>
      <c r="AL211" s="133">
        <v>0.959673832468495</v>
      </c>
      <c r="AM211" s="133">
        <v>0.965804221749234</v>
      </c>
      <c r="AN211" s="132">
        <v>0.99</v>
      </c>
      <c r="AO211" s="137">
        <v>1</v>
      </c>
      <c r="AP211" s="137">
        <v>1</v>
      </c>
      <c r="AQ211" s="137">
        <v>1</v>
      </c>
      <c r="AR211" s="137">
        <v>1</v>
      </c>
      <c r="AS211" s="158">
        <v>0.0719793575775068</v>
      </c>
      <c r="AT211" s="141">
        <v>0.181818181818182</v>
      </c>
      <c r="AU211" s="141">
        <v>0.107142857142857</v>
      </c>
      <c r="AV211" s="141">
        <v>0.0377358490566038</v>
      </c>
      <c r="AW211" s="141">
        <v>0.0702647657841141</v>
      </c>
      <c r="AX211" s="95"/>
      <c r="AY211" s="93"/>
    </row>
    <row r="212" ht="14.5" spans="1:51">
      <c r="A212" s="91"/>
      <c r="C212" s="152" t="s">
        <v>210</v>
      </c>
      <c r="D212" s="153" t="s">
        <v>25</v>
      </c>
      <c r="E212" s="130" t="s">
        <v>211</v>
      </c>
      <c r="F212" s="157" t="s">
        <v>235</v>
      </c>
      <c r="G212" s="157" t="s">
        <v>235</v>
      </c>
      <c r="H212" s="157" t="s">
        <v>235</v>
      </c>
      <c r="I212" s="157" t="s">
        <v>235</v>
      </c>
      <c r="J212" s="132">
        <v>0.9</v>
      </c>
      <c r="K212" s="133">
        <v>0.938461538461538</v>
      </c>
      <c r="L212" s="133">
        <v>0.962264150943396</v>
      </c>
      <c r="M212" s="134">
        <v>0.952380952380952</v>
      </c>
      <c r="N212" s="133">
        <v>0.947281713344316</v>
      </c>
      <c r="O212" s="135">
        <v>0.9</v>
      </c>
      <c r="P212" s="133">
        <v>0.979317476732161</v>
      </c>
      <c r="Q212" s="133">
        <v>0.987300286767718</v>
      </c>
      <c r="R212" s="133">
        <v>0.981234006255331</v>
      </c>
      <c r="S212" s="133">
        <v>0.968508589237973</v>
      </c>
      <c r="T212" s="135">
        <v>0.9</v>
      </c>
      <c r="U212" s="133">
        <v>0.921923474663909</v>
      </c>
      <c r="V212" s="133">
        <v>0.915608357230643</v>
      </c>
      <c r="W212" s="133">
        <v>0.926357691214103</v>
      </c>
      <c r="X212" s="133">
        <v>0.929646534024608</v>
      </c>
      <c r="Y212" s="135">
        <v>0.92</v>
      </c>
      <c r="Z212" s="135">
        <v>0.93452380952381</v>
      </c>
      <c r="AA212" s="135">
        <v>0.938461538461538</v>
      </c>
      <c r="AB212" s="135">
        <v>0.952213279678068</v>
      </c>
      <c r="AC212" s="135">
        <v>0.96537015457004</v>
      </c>
      <c r="AD212" s="135">
        <v>0.92</v>
      </c>
      <c r="AE212" s="133">
        <v>0.966199903428296</v>
      </c>
      <c r="AF212" s="133">
        <v>0.977871939736347</v>
      </c>
      <c r="AG212" s="133">
        <v>0.997205142537731</v>
      </c>
      <c r="AH212" s="133">
        <v>0.992497975522926</v>
      </c>
      <c r="AI212" s="135">
        <v>0.92</v>
      </c>
      <c r="AJ212" s="133">
        <v>0.956492182188987</v>
      </c>
      <c r="AK212" s="133">
        <v>0.966939730836747</v>
      </c>
      <c r="AL212" s="133">
        <v>0.971298819255223</v>
      </c>
      <c r="AM212" s="133">
        <v>0.97890310269277</v>
      </c>
      <c r="AN212" s="132">
        <v>0.99</v>
      </c>
      <c r="AO212" s="137">
        <v>1</v>
      </c>
      <c r="AP212" s="137">
        <v>1</v>
      </c>
      <c r="AQ212" s="137">
        <v>1</v>
      </c>
      <c r="AR212" s="137">
        <v>1</v>
      </c>
      <c r="AS212" s="158">
        <v>0.0719793575775068</v>
      </c>
      <c r="AT212" s="141">
        <v>0.114285714285714</v>
      </c>
      <c r="AU212" s="141">
        <v>0.0476190476190476</v>
      </c>
      <c r="AV212" s="141">
        <v>0.0333333333333333</v>
      </c>
      <c r="AW212" s="141">
        <v>0.0545977011494253</v>
      </c>
      <c r="AX212" s="95"/>
      <c r="AY212" s="93"/>
    </row>
    <row r="213" ht="14.5" spans="1:51">
      <c r="A213" s="91"/>
      <c r="C213" s="152" t="s">
        <v>210</v>
      </c>
      <c r="D213" s="153" t="s">
        <v>25</v>
      </c>
      <c r="E213" s="130" t="s">
        <v>211</v>
      </c>
      <c r="F213" s="157" t="s">
        <v>236</v>
      </c>
      <c r="G213" s="157" t="s">
        <v>236</v>
      </c>
      <c r="H213" s="157" t="s">
        <v>236</v>
      </c>
      <c r="I213" s="157" t="s">
        <v>236</v>
      </c>
      <c r="J213" s="132">
        <v>0.9</v>
      </c>
      <c r="K213" s="133">
        <v>0.943396226415094</v>
      </c>
      <c r="L213" s="133">
        <v>0.959183673469388</v>
      </c>
      <c r="M213" s="134">
        <v>0.9</v>
      </c>
      <c r="N213" s="133">
        <v>0.95961145194274</v>
      </c>
      <c r="O213" s="135">
        <v>0.9</v>
      </c>
      <c r="P213" s="133">
        <v>0.977205153617443</v>
      </c>
      <c r="Q213" s="133">
        <v>0.978405758464409</v>
      </c>
      <c r="R213" s="133">
        <v>0.960553278688525</v>
      </c>
      <c r="S213" s="133">
        <v>0.970348725370755</v>
      </c>
      <c r="T213" s="135">
        <v>0.9</v>
      </c>
      <c r="U213" s="133">
        <v>0.92798149983482</v>
      </c>
      <c r="V213" s="133">
        <v>0.901892828579046</v>
      </c>
      <c r="W213" s="133">
        <v>0.911031420765027</v>
      </c>
      <c r="X213" s="133">
        <v>0.925519149209025</v>
      </c>
      <c r="Y213" s="135">
        <v>0.92</v>
      </c>
      <c r="Z213" s="135">
        <v>0.931554524361949</v>
      </c>
      <c r="AA213" s="135">
        <v>0.916326530612245</v>
      </c>
      <c r="AB213" s="135">
        <v>0.933140376266281</v>
      </c>
      <c r="AC213" s="135">
        <v>0.953554292667413</v>
      </c>
      <c r="AD213" s="135">
        <v>0.92</v>
      </c>
      <c r="AE213" s="133">
        <v>0.99900354295837</v>
      </c>
      <c r="AF213" s="133">
        <v>0.996173469387755</v>
      </c>
      <c r="AG213" s="133">
        <v>0.996617050067659</v>
      </c>
      <c r="AH213" s="133">
        <v>0.994054422929284</v>
      </c>
      <c r="AI213" s="135">
        <v>0.92</v>
      </c>
      <c r="AJ213" s="133">
        <v>0.955176767676768</v>
      </c>
      <c r="AK213" s="133">
        <v>0.946401225114854</v>
      </c>
      <c r="AL213" s="133">
        <v>0.956292955326461</v>
      </c>
      <c r="AM213" s="133">
        <v>0.970964827221439</v>
      </c>
      <c r="AN213" s="132">
        <v>0.99</v>
      </c>
      <c r="AO213" s="137">
        <v>1</v>
      </c>
      <c r="AP213" s="137">
        <v>1</v>
      </c>
      <c r="AQ213" s="137">
        <v>1</v>
      </c>
      <c r="AR213" s="137">
        <v>1</v>
      </c>
      <c r="AS213" s="158">
        <v>0.0719793575775068</v>
      </c>
      <c r="AT213" s="141">
        <v>0.0196078431372549</v>
      </c>
      <c r="AU213" s="141">
        <v>0.0769230769230769</v>
      </c>
      <c r="AV213" s="141">
        <v>0.0833333333333333</v>
      </c>
      <c r="AW213" s="141">
        <v>0.0988372093023256</v>
      </c>
      <c r="AX213" s="95"/>
      <c r="AY213" s="93"/>
    </row>
    <row r="214" ht="14.5" spans="1:51">
      <c r="A214" s="91"/>
      <c r="C214" s="152" t="s">
        <v>210</v>
      </c>
      <c r="D214" s="153" t="s">
        <v>25</v>
      </c>
      <c r="E214" s="130" t="s">
        <v>211</v>
      </c>
      <c r="F214" s="157" t="s">
        <v>237</v>
      </c>
      <c r="G214" s="157" t="s">
        <v>237</v>
      </c>
      <c r="H214" s="157" t="s">
        <v>237</v>
      </c>
      <c r="I214" s="157" t="s">
        <v>237</v>
      </c>
      <c r="J214" s="132">
        <v>0.9</v>
      </c>
      <c r="K214" s="133">
        <v>0.958904109589041</v>
      </c>
      <c r="L214" s="133">
        <v>0.898305084745763</v>
      </c>
      <c r="M214" s="134">
        <v>0.9625</v>
      </c>
      <c r="N214" s="133">
        <v>0.954609929078014</v>
      </c>
      <c r="O214" s="135">
        <v>0.9</v>
      </c>
      <c r="P214" s="133">
        <v>0.930776730581735</v>
      </c>
      <c r="Q214" s="133">
        <v>0.932310469314079</v>
      </c>
      <c r="R214" s="133">
        <v>0.92316715542522</v>
      </c>
      <c r="S214" s="133">
        <v>0.886624575909407</v>
      </c>
      <c r="T214" s="135">
        <v>0.9</v>
      </c>
      <c r="U214" s="133">
        <v>0.907052323691908</v>
      </c>
      <c r="V214" s="133">
        <v>0.871239470517449</v>
      </c>
      <c r="W214" s="133">
        <v>0.926686217008798</v>
      </c>
      <c r="X214" s="133">
        <v>0.929662749679826</v>
      </c>
      <c r="Y214" s="135">
        <v>0.92</v>
      </c>
      <c r="Z214" s="135">
        <v>0.918994413407821</v>
      </c>
      <c r="AA214" s="135">
        <v>0.912425149700599</v>
      </c>
      <c r="AB214" s="135">
        <v>0.938842975206612</v>
      </c>
      <c r="AC214" s="135">
        <v>0.967803298275401</v>
      </c>
      <c r="AD214" s="135">
        <v>0.92</v>
      </c>
      <c r="AE214" s="133">
        <v>0.996321597477667</v>
      </c>
      <c r="AF214" s="133">
        <v>0.992757996378998</v>
      </c>
      <c r="AG214" s="133">
        <v>0.997417688831504</v>
      </c>
      <c r="AH214" s="133">
        <v>0.996035392206908</v>
      </c>
      <c r="AI214" s="135">
        <v>0.92</v>
      </c>
      <c r="AJ214" s="133">
        <v>0.938580931263858</v>
      </c>
      <c r="AK214" s="133">
        <v>0.922317596566524</v>
      </c>
      <c r="AL214" s="133">
        <v>0.956884903574499</v>
      </c>
      <c r="AM214" s="133">
        <v>0.977097336320637</v>
      </c>
      <c r="AN214" s="132">
        <v>0.99</v>
      </c>
      <c r="AO214" s="137">
        <v>1</v>
      </c>
      <c r="AP214" s="137">
        <v>1</v>
      </c>
      <c r="AQ214" s="137">
        <v>1</v>
      </c>
      <c r="AR214" s="137">
        <v>1</v>
      </c>
      <c r="AS214" s="158">
        <v>0.0719793575775068</v>
      </c>
      <c r="AT214" s="141">
        <v>0.032258064516129</v>
      </c>
      <c r="AU214" s="141">
        <v>0.173913043478261</v>
      </c>
      <c r="AV214" s="141">
        <v>0.121951219512195</v>
      </c>
      <c r="AW214" s="141">
        <v>0.0778061224489796</v>
      </c>
      <c r="AX214" s="95"/>
      <c r="AY214" s="93"/>
    </row>
    <row r="215" s="86" customFormat="1" ht="14.5" spans="1:51">
      <c r="A215" s="91"/>
      <c r="B215" s="88"/>
      <c r="C215" s="152" t="s">
        <v>210</v>
      </c>
      <c r="D215" s="153" t="s">
        <v>25</v>
      </c>
      <c r="E215" s="130" t="s">
        <v>211</v>
      </c>
      <c r="F215" s="157" t="s">
        <v>238</v>
      </c>
      <c r="G215" s="157" t="s">
        <v>238</v>
      </c>
      <c r="H215" s="157" t="s">
        <v>238</v>
      </c>
      <c r="I215" s="157" t="s">
        <v>238</v>
      </c>
      <c r="J215" s="132">
        <v>0.9</v>
      </c>
      <c r="K215" s="133">
        <v>0.959183673469388</v>
      </c>
      <c r="L215" s="133">
        <v>0.962025316455696</v>
      </c>
      <c r="M215" s="134">
        <v>0.968085106382979</v>
      </c>
      <c r="N215" s="133">
        <v>0.955266138165345</v>
      </c>
      <c r="O215" s="135">
        <v>0.9</v>
      </c>
      <c r="P215" s="133">
        <v>0.954962707974756</v>
      </c>
      <c r="Q215" s="133">
        <v>0.935855263157895</v>
      </c>
      <c r="R215" s="133">
        <v>0.945760496650874</v>
      </c>
      <c r="S215" s="133">
        <v>0.936759778461114</v>
      </c>
      <c r="T215" s="135">
        <v>0.9</v>
      </c>
      <c r="U215" s="133">
        <v>0.904761904761905</v>
      </c>
      <c r="V215" s="133">
        <v>0.852443609022556</v>
      </c>
      <c r="W215" s="133">
        <v>0.875673909491913</v>
      </c>
      <c r="X215" s="133">
        <v>0.894346968483251</v>
      </c>
      <c r="Y215" s="135">
        <v>0.92</v>
      </c>
      <c r="Z215" s="135">
        <v>0.928313563692625</v>
      </c>
      <c r="AA215" s="135">
        <v>0.854225751559841</v>
      </c>
      <c r="AB215" s="135">
        <v>0.904295185932545</v>
      </c>
      <c r="AC215" s="135">
        <v>0.943306543321876</v>
      </c>
      <c r="AD215" s="135">
        <v>0.92</v>
      </c>
      <c r="AE215" s="133">
        <v>0.995253790375742</v>
      </c>
      <c r="AF215" s="133">
        <v>0.993100474342389</v>
      </c>
      <c r="AG215" s="133">
        <v>0.993814097346573</v>
      </c>
      <c r="AH215" s="133">
        <v>0.979698262437802</v>
      </c>
      <c r="AI215" s="135">
        <v>0.92</v>
      </c>
      <c r="AJ215" s="133">
        <v>0.951722867145753</v>
      </c>
      <c r="AK215" s="133">
        <v>0.898389506890254</v>
      </c>
      <c r="AL215" s="133">
        <v>0.923574184130956</v>
      </c>
      <c r="AM215" s="133">
        <v>0.959958847736626</v>
      </c>
      <c r="AN215" s="132">
        <v>0.99</v>
      </c>
      <c r="AO215" s="137">
        <v>1</v>
      </c>
      <c r="AP215" s="137">
        <v>1</v>
      </c>
      <c r="AQ215" s="137">
        <v>1</v>
      </c>
      <c r="AR215" s="137">
        <v>1</v>
      </c>
      <c r="AS215" s="158">
        <v>0.0719793575775068</v>
      </c>
      <c r="AT215" s="141">
        <v>0.0833333333333333</v>
      </c>
      <c r="AU215" s="141">
        <v>0.0784313725490196</v>
      </c>
      <c r="AV215" s="141">
        <v>0.0256410256410256</v>
      </c>
      <c r="AW215" s="141">
        <v>0.0525624178712221</v>
      </c>
      <c r="AX215" s="88"/>
      <c r="AY215" s="93"/>
    </row>
    <row r="216" s="86" customFormat="1" ht="14.5" spans="1:51">
      <c r="A216" s="91"/>
      <c r="B216" s="88"/>
      <c r="C216" s="152" t="s">
        <v>210</v>
      </c>
      <c r="D216" s="153" t="s">
        <v>25</v>
      </c>
      <c r="E216" s="130" t="s">
        <v>211</v>
      </c>
      <c r="F216" s="157" t="s">
        <v>239</v>
      </c>
      <c r="G216" s="157" t="s">
        <v>239</v>
      </c>
      <c r="H216" s="157" t="s">
        <v>239</v>
      </c>
      <c r="I216" s="157" t="s">
        <v>239</v>
      </c>
      <c r="J216" s="132">
        <v>0.9</v>
      </c>
      <c r="K216" s="133">
        <v>0.914285714285714</v>
      </c>
      <c r="L216" s="133">
        <v>0.966101694915254</v>
      </c>
      <c r="M216" s="134">
        <v>0.96875</v>
      </c>
      <c r="N216" s="133">
        <v>0.953338696701529</v>
      </c>
      <c r="O216" s="135">
        <v>0.9</v>
      </c>
      <c r="P216" s="133">
        <v>0.945355191256831</v>
      </c>
      <c r="Q216" s="133">
        <v>0.95065963060686</v>
      </c>
      <c r="R216" s="133">
        <v>0.944322745527565</v>
      </c>
      <c r="S216" s="133">
        <v>0.947501429044195</v>
      </c>
      <c r="T216" s="135">
        <v>0.9</v>
      </c>
      <c r="U216" s="133">
        <v>0.900996464159434</v>
      </c>
      <c r="V216" s="133">
        <v>0.900791556728232</v>
      </c>
      <c r="W216" s="133">
        <v>0.914202263599854</v>
      </c>
      <c r="X216" s="133">
        <v>0.906555552212762</v>
      </c>
      <c r="Y216" s="135">
        <v>0.92</v>
      </c>
      <c r="Z216" s="135">
        <v>0.899764150943396</v>
      </c>
      <c r="AA216" s="135">
        <v>0.89589905362776</v>
      </c>
      <c r="AB216" s="135">
        <v>0.927212572373863</v>
      </c>
      <c r="AC216" s="135">
        <v>0.941691799511705</v>
      </c>
      <c r="AD216" s="135">
        <v>0.92</v>
      </c>
      <c r="AE216" s="133">
        <v>0.998162140085767</v>
      </c>
      <c r="AF216" s="133">
        <v>0.98494623655914</v>
      </c>
      <c r="AG216" s="133">
        <v>1</v>
      </c>
      <c r="AH216" s="133">
        <v>0.997097129728807</v>
      </c>
      <c r="AI216" s="135">
        <v>0.92</v>
      </c>
      <c r="AJ216" s="133">
        <v>0.942583732057416</v>
      </c>
      <c r="AK216" s="133">
        <v>0.94478527607362</v>
      </c>
      <c r="AL216" s="133">
        <v>0.953542009884679</v>
      </c>
      <c r="AM216" s="133">
        <v>0.961250113419835</v>
      </c>
      <c r="AN216" s="132">
        <v>0.99</v>
      </c>
      <c r="AO216" s="137">
        <v>1</v>
      </c>
      <c r="AP216" s="137">
        <v>1</v>
      </c>
      <c r="AQ216" s="137">
        <v>1</v>
      </c>
      <c r="AR216" s="137">
        <v>1</v>
      </c>
      <c r="AS216" s="158">
        <v>0.0719793575775068</v>
      </c>
      <c r="AT216" s="141">
        <v>0.105263157894737</v>
      </c>
      <c r="AU216" s="141">
        <v>0</v>
      </c>
      <c r="AV216" s="141">
        <v>0.0333333333333333</v>
      </c>
      <c r="AW216" s="141">
        <v>0.0343213728549142</v>
      </c>
      <c r="AX216" s="88"/>
      <c r="AY216" s="93"/>
    </row>
    <row r="217" s="86" customFormat="1" ht="14.5" spans="1:51">
      <c r="A217" s="91"/>
      <c r="B217" s="88"/>
      <c r="C217" s="152" t="s">
        <v>210</v>
      </c>
      <c r="D217" s="153" t="s">
        <v>25</v>
      </c>
      <c r="E217" s="130" t="s">
        <v>211</v>
      </c>
      <c r="F217" s="157" t="s">
        <v>240</v>
      </c>
      <c r="G217" s="157" t="s">
        <v>240</v>
      </c>
      <c r="H217" s="157" t="s">
        <v>240</v>
      </c>
      <c r="I217" s="157" t="s">
        <v>240</v>
      </c>
      <c r="J217" s="132">
        <v>0.9</v>
      </c>
      <c r="K217" s="133">
        <v>0.956521739130435</v>
      </c>
      <c r="L217" s="133">
        <v>0.934065934065934</v>
      </c>
      <c r="M217" s="134">
        <v>0.952380952380952</v>
      </c>
      <c r="N217" s="133">
        <v>0.941832283082889</v>
      </c>
      <c r="O217" s="135">
        <v>0.9</v>
      </c>
      <c r="P217" s="133">
        <v>0.944516129032258</v>
      </c>
      <c r="Q217" s="133">
        <v>0.907391528039787</v>
      </c>
      <c r="R217" s="133">
        <v>0.933671478735856</v>
      </c>
      <c r="S217" s="133">
        <v>0.928637440675964</v>
      </c>
      <c r="T217" s="135">
        <v>0.9</v>
      </c>
      <c r="U217" s="133">
        <v>0.882365591397849</v>
      </c>
      <c r="V217" s="133">
        <v>0.808437660778597</v>
      </c>
      <c r="W217" s="133">
        <v>0.871634802965275</v>
      </c>
      <c r="X217" s="133">
        <v>0.875966729899314</v>
      </c>
      <c r="Y217" s="135">
        <v>0.92</v>
      </c>
      <c r="Z217" s="135">
        <v>0.906497622820919</v>
      </c>
      <c r="AA217" s="135">
        <v>0.809728798966853</v>
      </c>
      <c r="AB217" s="135">
        <v>0.896200690783494</v>
      </c>
      <c r="AC217" s="135">
        <v>0.9184327710131</v>
      </c>
      <c r="AD217" s="135">
        <v>0.92</v>
      </c>
      <c r="AE217" s="133">
        <v>0.991265527950311</v>
      </c>
      <c r="AF217" s="133">
        <v>0.998365631566659</v>
      </c>
      <c r="AG217" s="133">
        <v>0.997498075442648</v>
      </c>
      <c r="AH217" s="133">
        <v>0.985000845308538</v>
      </c>
      <c r="AI217" s="135">
        <v>0.92</v>
      </c>
      <c r="AJ217" s="133">
        <v>0.937709030100334</v>
      </c>
      <c r="AK217" s="133">
        <v>0.891749417678068</v>
      </c>
      <c r="AL217" s="133">
        <v>0.92512315270936</v>
      </c>
      <c r="AM217" s="133">
        <v>0.945193855621377</v>
      </c>
      <c r="AN217" s="132">
        <v>0.99</v>
      </c>
      <c r="AO217" s="137">
        <v>1</v>
      </c>
      <c r="AP217" s="137">
        <v>1</v>
      </c>
      <c r="AQ217" s="137">
        <v>1</v>
      </c>
      <c r="AR217" s="137">
        <v>1</v>
      </c>
      <c r="AS217" s="158">
        <v>0.0719793575775068</v>
      </c>
      <c r="AT217" s="141">
        <v>0.0517241379310345</v>
      </c>
      <c r="AU217" s="141">
        <v>0</v>
      </c>
      <c r="AV217" s="141">
        <v>0</v>
      </c>
      <c r="AW217" s="141">
        <v>0.0368098159509202</v>
      </c>
      <c r="AX217" s="88"/>
      <c r="AY217" s="93"/>
    </row>
    <row r="218" s="86" customFormat="1" ht="14.5" spans="1:51">
      <c r="A218" s="91"/>
      <c r="B218" s="88"/>
      <c r="C218" s="152" t="s">
        <v>210</v>
      </c>
      <c r="D218" s="153" t="s">
        <v>25</v>
      </c>
      <c r="E218" s="130" t="s">
        <v>211</v>
      </c>
      <c r="F218" s="157" t="s">
        <v>241</v>
      </c>
      <c r="G218" s="157" t="s">
        <v>241</v>
      </c>
      <c r="H218" s="157" t="s">
        <v>241</v>
      </c>
      <c r="I218" s="157" t="s">
        <v>241</v>
      </c>
      <c r="J218" s="132">
        <v>0.9</v>
      </c>
      <c r="K218" s="133">
        <v>0.967741935483871</v>
      </c>
      <c r="L218" s="133">
        <v>0.972222222222222</v>
      </c>
      <c r="M218" s="134">
        <v>0.945652173913043</v>
      </c>
      <c r="N218" s="133">
        <v>0.962130177514793</v>
      </c>
      <c r="O218" s="135">
        <v>0.9</v>
      </c>
      <c r="P218" s="133">
        <v>0.952722772277228</v>
      </c>
      <c r="Q218" s="133">
        <v>0.960934182590234</v>
      </c>
      <c r="R218" s="133">
        <v>0.95658773527626</v>
      </c>
      <c r="S218" s="133">
        <v>0.957389302279022</v>
      </c>
      <c r="T218" s="135">
        <v>0.9</v>
      </c>
      <c r="U218" s="133">
        <v>0.932425742574257</v>
      </c>
      <c r="V218" s="133">
        <v>0.872611464968153</v>
      </c>
      <c r="W218" s="133">
        <v>0.918791742562234</v>
      </c>
      <c r="X218" s="133">
        <v>0.921243618405686</v>
      </c>
      <c r="Y218" s="135">
        <v>0.92</v>
      </c>
      <c r="Z218" s="135">
        <v>0.934761904761905</v>
      </c>
      <c r="AA218" s="135">
        <v>0.912506178942165</v>
      </c>
      <c r="AB218" s="135">
        <v>0.946476360392507</v>
      </c>
      <c r="AC218" s="135">
        <v>0.952902736063897</v>
      </c>
      <c r="AD218" s="135">
        <v>0.92</v>
      </c>
      <c r="AE218" s="133">
        <v>0.995905834186285</v>
      </c>
      <c r="AF218" s="133">
        <v>0.993079027844841</v>
      </c>
      <c r="AG218" s="133">
        <v>0.983092114162045</v>
      </c>
      <c r="AH218" s="133">
        <v>0.989748156944238</v>
      </c>
      <c r="AI218" s="135">
        <v>0.92</v>
      </c>
      <c r="AJ218" s="133">
        <v>0.960267057482495</v>
      </c>
      <c r="AK218" s="133">
        <v>0.941385962308948</v>
      </c>
      <c r="AL218" s="133">
        <v>0.965511014806789</v>
      </c>
      <c r="AM218" s="133">
        <v>0.968872001404128</v>
      </c>
      <c r="AN218" s="132">
        <v>0.99</v>
      </c>
      <c r="AO218" s="137">
        <v>1</v>
      </c>
      <c r="AP218" s="137">
        <v>1</v>
      </c>
      <c r="AQ218" s="137">
        <v>1</v>
      </c>
      <c r="AR218" s="137">
        <v>1</v>
      </c>
      <c r="AS218" s="158">
        <v>0.0719793575775068</v>
      </c>
      <c r="AT218" s="141">
        <v>0.0689655172413793</v>
      </c>
      <c r="AU218" s="141">
        <v>0</v>
      </c>
      <c r="AV218" s="141">
        <v>0.0571428571428571</v>
      </c>
      <c r="AW218" s="141">
        <v>0.0706371191135734</v>
      </c>
      <c r="AX218" s="88"/>
      <c r="AY218" s="93"/>
    </row>
    <row r="219" s="86" customFormat="1" ht="14.5" spans="1:51">
      <c r="A219" s="91"/>
      <c r="B219" s="88"/>
      <c r="C219" s="152" t="s">
        <v>210</v>
      </c>
      <c r="D219" s="153" t="s">
        <v>25</v>
      </c>
      <c r="E219" s="130" t="s">
        <v>211</v>
      </c>
      <c r="F219" s="157" t="s">
        <v>242</v>
      </c>
      <c r="G219" s="157" t="s">
        <v>242</v>
      </c>
      <c r="H219" s="157" t="s">
        <v>242</v>
      </c>
      <c r="I219" s="157" t="s">
        <v>242</v>
      </c>
      <c r="J219" s="132">
        <v>0.9</v>
      </c>
      <c r="K219" s="133">
        <v>0.947712418300654</v>
      </c>
      <c r="L219" s="133">
        <v>0.879699248120301</v>
      </c>
      <c r="M219" s="134">
        <v>0.924657534246575</v>
      </c>
      <c r="N219" s="133">
        <v>0.936360386127994</v>
      </c>
      <c r="O219" s="135">
        <v>0.9</v>
      </c>
      <c r="P219" s="133">
        <v>0.948180605829682</v>
      </c>
      <c r="Q219" s="133">
        <v>0.915079013439669</v>
      </c>
      <c r="R219" s="133">
        <v>0.93361388742767</v>
      </c>
      <c r="S219" s="133">
        <v>0.920841049731243</v>
      </c>
      <c r="T219" s="135">
        <v>0.9</v>
      </c>
      <c r="U219" s="133">
        <v>0.915221947037531</v>
      </c>
      <c r="V219" s="133">
        <v>0.861468025402452</v>
      </c>
      <c r="W219" s="133">
        <v>0.885323513940032</v>
      </c>
      <c r="X219" s="133">
        <v>0.895540674827228</v>
      </c>
      <c r="Y219" s="135">
        <v>0.92</v>
      </c>
      <c r="Z219" s="135">
        <v>0.901996370235935</v>
      </c>
      <c r="AA219" s="135">
        <v>0.786201940352138</v>
      </c>
      <c r="AB219" s="135">
        <v>0.88279262086514</v>
      </c>
      <c r="AC219" s="135">
        <v>0.923912156094375</v>
      </c>
      <c r="AD219" s="135">
        <v>0.92</v>
      </c>
      <c r="AE219" s="133">
        <v>0.971762150420853</v>
      </c>
      <c r="AF219" s="133">
        <v>0.987819732034105</v>
      </c>
      <c r="AG219" s="133">
        <v>0.993648273124256</v>
      </c>
      <c r="AH219" s="133">
        <v>0.949064328838102</v>
      </c>
      <c r="AI219" s="135">
        <v>0.92</v>
      </c>
      <c r="AJ219" s="133">
        <v>0.947151424287856</v>
      </c>
      <c r="AK219" s="133">
        <v>0.893701611215736</v>
      </c>
      <c r="AL219" s="133">
        <v>0.929272462483379</v>
      </c>
      <c r="AM219" s="133">
        <v>0.952860981255972</v>
      </c>
      <c r="AN219" s="132">
        <v>0.99</v>
      </c>
      <c r="AO219" s="137">
        <v>1</v>
      </c>
      <c r="AP219" s="137">
        <v>1</v>
      </c>
      <c r="AQ219" s="137">
        <v>1</v>
      </c>
      <c r="AR219" s="137">
        <v>1</v>
      </c>
      <c r="AS219" s="158">
        <v>0.0719793575775068</v>
      </c>
      <c r="AT219" s="141">
        <v>0.0196078431372549</v>
      </c>
      <c r="AU219" s="141">
        <v>0</v>
      </c>
      <c r="AV219" s="141">
        <v>0.0384615384615385</v>
      </c>
      <c r="AW219" s="141">
        <v>0.0393374741200828</v>
      </c>
      <c r="AX219" s="88"/>
      <c r="AY219" s="93"/>
    </row>
    <row r="220" s="86" customFormat="1" ht="14.5" spans="1:51">
      <c r="A220" s="91"/>
      <c r="B220" s="88"/>
      <c r="C220" s="152" t="s">
        <v>210</v>
      </c>
      <c r="D220" s="153" t="s">
        <v>25</v>
      </c>
      <c r="E220" s="130" t="s">
        <v>211</v>
      </c>
      <c r="F220" s="157" t="s">
        <v>243</v>
      </c>
      <c r="G220" s="157" t="s">
        <v>243</v>
      </c>
      <c r="H220" s="157" t="s">
        <v>243</v>
      </c>
      <c r="I220" s="157" t="s">
        <v>243</v>
      </c>
      <c r="J220" s="132">
        <v>0.9</v>
      </c>
      <c r="K220" s="133">
        <v>0.940594059405941</v>
      </c>
      <c r="L220" s="133">
        <v>0.875</v>
      </c>
      <c r="M220" s="134">
        <v>0.896907216494845</v>
      </c>
      <c r="N220" s="133">
        <v>0.922137404580153</v>
      </c>
      <c r="O220" s="135">
        <v>0.9</v>
      </c>
      <c r="P220" s="133">
        <v>0.976238968092329</v>
      </c>
      <c r="Q220" s="133">
        <v>0.954460719041278</v>
      </c>
      <c r="R220" s="133">
        <v>0.946474523932064</v>
      </c>
      <c r="S220" s="133">
        <v>0.953754214753694</v>
      </c>
      <c r="T220" s="135">
        <v>0.9</v>
      </c>
      <c r="U220" s="133">
        <v>0.902579769178547</v>
      </c>
      <c r="V220" s="133">
        <v>0.863648468708389</v>
      </c>
      <c r="W220" s="133">
        <v>0.867558757934466</v>
      </c>
      <c r="X220" s="133">
        <v>0.895757376390069</v>
      </c>
      <c r="Y220" s="135">
        <v>0.92</v>
      </c>
      <c r="Z220" s="135">
        <v>0.903810118675828</v>
      </c>
      <c r="AA220" s="135">
        <v>0.858169934640523</v>
      </c>
      <c r="AB220" s="135">
        <v>0.921774664331582</v>
      </c>
      <c r="AC220" s="135">
        <v>0.93490743225114</v>
      </c>
      <c r="AD220" s="135">
        <v>0.92</v>
      </c>
      <c r="AE220" s="133">
        <v>0.989337961815026</v>
      </c>
      <c r="AF220" s="133">
        <v>0.996033892193979</v>
      </c>
      <c r="AG220" s="133">
        <v>0.98858501783591</v>
      </c>
      <c r="AH220" s="133">
        <v>0.974455958549223</v>
      </c>
      <c r="AI220" s="135">
        <v>0.92</v>
      </c>
      <c r="AJ220" s="133">
        <v>0.943943723895362</v>
      </c>
      <c r="AK220" s="133">
        <v>0.909262759924386</v>
      </c>
      <c r="AL220" s="133">
        <v>0.940254969749352</v>
      </c>
      <c r="AM220" s="133">
        <v>0.955431770012499</v>
      </c>
      <c r="AN220" s="132">
        <v>0.99</v>
      </c>
      <c r="AO220" s="137">
        <v>1</v>
      </c>
      <c r="AP220" s="137">
        <v>1</v>
      </c>
      <c r="AQ220" s="137">
        <v>1</v>
      </c>
      <c r="AR220" s="137">
        <v>1</v>
      </c>
      <c r="AS220" s="158">
        <v>0.0719793575775068</v>
      </c>
      <c r="AT220" s="141">
        <v>0.0851063829787234</v>
      </c>
      <c r="AU220" s="141">
        <v>0.0454545454545455</v>
      </c>
      <c r="AV220" s="141">
        <v>0.0217391304347826</v>
      </c>
      <c r="AW220" s="141">
        <v>0.048180924287119</v>
      </c>
      <c r="AX220" s="88"/>
      <c r="AY220" s="93"/>
    </row>
    <row r="221" s="86" customFormat="1" ht="14.5" spans="1:51">
      <c r="A221" s="91"/>
      <c r="B221" s="88"/>
      <c r="C221" s="152" t="s">
        <v>210</v>
      </c>
      <c r="D221" s="153" t="s">
        <v>25</v>
      </c>
      <c r="E221" s="130" t="s">
        <v>211</v>
      </c>
      <c r="F221" s="157" t="s">
        <v>244</v>
      </c>
      <c r="G221" s="157" t="s">
        <v>244</v>
      </c>
      <c r="H221" s="157" t="s">
        <v>244</v>
      </c>
      <c r="I221" s="157" t="s">
        <v>244</v>
      </c>
      <c r="J221" s="132">
        <v>0.9</v>
      </c>
      <c r="K221" s="133">
        <v>0.985714285714286</v>
      </c>
      <c r="L221" s="133">
        <v>1</v>
      </c>
      <c r="M221" s="134">
        <v>0.970588235294118</v>
      </c>
      <c r="N221" s="133">
        <v>0.974461292897047</v>
      </c>
      <c r="O221" s="135">
        <v>0.9</v>
      </c>
      <c r="P221" s="133">
        <v>0.982482295937384</v>
      </c>
      <c r="Q221" s="133">
        <v>0.969264892268694</v>
      </c>
      <c r="R221" s="133">
        <v>0.969740339398896</v>
      </c>
      <c r="S221" s="133">
        <v>0.963241758241758</v>
      </c>
      <c r="T221" s="135">
        <v>0.9</v>
      </c>
      <c r="U221" s="133">
        <v>0.927320163995527</v>
      </c>
      <c r="V221" s="133">
        <v>0.892585551330799</v>
      </c>
      <c r="W221" s="133">
        <v>0.916785933346964</v>
      </c>
      <c r="X221" s="133">
        <v>0.925549450549451</v>
      </c>
      <c r="Y221" s="135">
        <v>0.92</v>
      </c>
      <c r="Z221" s="135">
        <v>0.888421052631579</v>
      </c>
      <c r="AA221" s="135">
        <v>0.861812778603269</v>
      </c>
      <c r="AB221" s="135">
        <v>0.928219346888478</v>
      </c>
      <c r="AC221" s="135">
        <v>0.938719130620593</v>
      </c>
      <c r="AD221" s="135">
        <v>0.92</v>
      </c>
      <c r="AE221" s="133">
        <v>0.998877665544332</v>
      </c>
      <c r="AF221" s="133">
        <v>0.9872</v>
      </c>
      <c r="AG221" s="133">
        <v>0.994132439228835</v>
      </c>
      <c r="AH221" s="133">
        <v>0.986514129858323</v>
      </c>
      <c r="AI221" s="135">
        <v>0.92</v>
      </c>
      <c r="AJ221" s="133">
        <v>0.939873417721519</v>
      </c>
      <c r="AK221" s="133">
        <v>0.916703687250111</v>
      </c>
      <c r="AL221" s="133">
        <v>0.953422637335627</v>
      </c>
      <c r="AM221" s="133">
        <v>0.960249669386112</v>
      </c>
      <c r="AN221" s="132">
        <v>0.99</v>
      </c>
      <c r="AO221" s="137">
        <v>1</v>
      </c>
      <c r="AP221" s="137">
        <v>1</v>
      </c>
      <c r="AQ221" s="137">
        <v>1</v>
      </c>
      <c r="AR221" s="137">
        <v>1</v>
      </c>
      <c r="AS221" s="158">
        <v>0.0719793575775068</v>
      </c>
      <c r="AT221" s="141">
        <v>0.148148148148148</v>
      </c>
      <c r="AU221" s="141">
        <v>0.0526315789473684</v>
      </c>
      <c r="AV221" s="141">
        <v>0</v>
      </c>
      <c r="AW221" s="141">
        <v>0.0602150537634409</v>
      </c>
      <c r="AX221" s="88"/>
      <c r="AY221" s="93"/>
    </row>
    <row r="222" s="86" customFormat="1" ht="14.5" spans="1:51">
      <c r="A222" s="91"/>
      <c r="B222" s="88"/>
      <c r="C222" s="152" t="s">
        <v>210</v>
      </c>
      <c r="D222" s="153" t="s">
        <v>25</v>
      </c>
      <c r="E222" s="130" t="s">
        <v>211</v>
      </c>
      <c r="F222" s="157" t="s">
        <v>245</v>
      </c>
      <c r="G222" s="157" t="s">
        <v>245</v>
      </c>
      <c r="H222" s="157" t="s">
        <v>245</v>
      </c>
      <c r="I222" s="157" t="s">
        <v>245</v>
      </c>
      <c r="J222" s="132">
        <v>0.9</v>
      </c>
      <c r="K222" s="133">
        <v>0.989247311827957</v>
      </c>
      <c r="L222" s="133">
        <v>1</v>
      </c>
      <c r="M222" s="134">
        <v>0.988888888888889</v>
      </c>
      <c r="N222" s="133">
        <v>0.968787515006002</v>
      </c>
      <c r="O222" s="135">
        <v>0.9</v>
      </c>
      <c r="P222" s="133">
        <v>0.865075722808628</v>
      </c>
      <c r="Q222" s="133">
        <v>0.936829836829837</v>
      </c>
      <c r="R222" s="133">
        <v>0.943302280758111</v>
      </c>
      <c r="S222" s="133">
        <v>0.887699256745453</v>
      </c>
      <c r="T222" s="135">
        <v>0.9</v>
      </c>
      <c r="U222" s="133">
        <v>0.899724644332263</v>
      </c>
      <c r="V222" s="133">
        <v>0.848251748251748</v>
      </c>
      <c r="W222" s="133">
        <v>0.874558303886926</v>
      </c>
      <c r="X222" s="133">
        <v>0.860685578631233</v>
      </c>
      <c r="Y222" s="135">
        <v>0.92</v>
      </c>
      <c r="Z222" s="135">
        <v>0.891620111731844</v>
      </c>
      <c r="AA222" s="135">
        <v>0.912840984697272</v>
      </c>
      <c r="AB222" s="135">
        <v>0.924849437025399</v>
      </c>
      <c r="AC222" s="135">
        <v>0.933795837462834</v>
      </c>
      <c r="AD222" s="135">
        <v>0.92</v>
      </c>
      <c r="AE222" s="133">
        <v>0.981519507186858</v>
      </c>
      <c r="AF222" s="133">
        <v>0.976772616136919</v>
      </c>
      <c r="AG222" s="133">
        <v>0.990153172866521</v>
      </c>
      <c r="AH222" s="133">
        <v>0.975764240158346</v>
      </c>
      <c r="AI222" s="135">
        <v>0.92</v>
      </c>
      <c r="AJ222" s="133">
        <v>0.933474300585556</v>
      </c>
      <c r="AK222" s="133">
        <v>0.927683810838799</v>
      </c>
      <c r="AL222" s="133">
        <v>0.948332503733201</v>
      </c>
      <c r="AM222" s="133">
        <v>0.953505870327517</v>
      </c>
      <c r="AN222" s="132">
        <v>0.99</v>
      </c>
      <c r="AO222" s="137">
        <v>1</v>
      </c>
      <c r="AP222" s="137">
        <v>1</v>
      </c>
      <c r="AQ222" s="137">
        <v>1</v>
      </c>
      <c r="AR222" s="137">
        <v>1</v>
      </c>
      <c r="AS222" s="158">
        <v>0.0719793575775068</v>
      </c>
      <c r="AT222" s="141">
        <v>0.027027027027027</v>
      </c>
      <c r="AU222" s="141">
        <v>0.0833333333333333</v>
      </c>
      <c r="AV222" s="141">
        <v>0.0303030303030303</v>
      </c>
      <c r="AW222" s="141">
        <v>0.0436681222707424</v>
      </c>
      <c r="AX222" s="88"/>
      <c r="AY222" s="93"/>
    </row>
    <row r="223" ht="14.5" spans="1:51">
      <c r="A223" s="91"/>
      <c r="C223" s="152" t="s">
        <v>210</v>
      </c>
      <c r="D223" s="153" t="s">
        <v>25</v>
      </c>
      <c r="E223" s="130" t="s">
        <v>211</v>
      </c>
      <c r="F223" s="157" t="s">
        <v>246</v>
      </c>
      <c r="G223" s="157" t="s">
        <v>246</v>
      </c>
      <c r="H223" s="157" t="s">
        <v>246</v>
      </c>
      <c r="I223" s="157" t="s">
        <v>246</v>
      </c>
      <c r="J223" s="132">
        <v>0.9</v>
      </c>
      <c r="K223" s="133">
        <v>0.951807228915663</v>
      </c>
      <c r="L223" s="133">
        <v>0.924731182795699</v>
      </c>
      <c r="M223" s="134">
        <v>0.934065934065934</v>
      </c>
      <c r="N223" s="133">
        <v>0.91701998788613</v>
      </c>
      <c r="O223" s="135">
        <v>0.9</v>
      </c>
      <c r="P223" s="133">
        <v>0.959499263622975</v>
      </c>
      <c r="Q223" s="133">
        <v>0.971988795518207</v>
      </c>
      <c r="R223" s="133">
        <v>0.966998633079477</v>
      </c>
      <c r="S223" s="133">
        <v>0.968150643856378</v>
      </c>
      <c r="T223" s="135">
        <v>0.9</v>
      </c>
      <c r="U223" s="133">
        <v>0.931516936671576</v>
      </c>
      <c r="V223" s="133">
        <v>0.939775910364146</v>
      </c>
      <c r="W223" s="133">
        <v>0.946104276508494</v>
      </c>
      <c r="X223" s="133">
        <v>0.944140961477653</v>
      </c>
      <c r="Y223" s="135">
        <v>0.92</v>
      </c>
      <c r="Z223" s="135">
        <v>0.918849840255591</v>
      </c>
      <c r="AA223" s="135">
        <v>0.918265813788202</v>
      </c>
      <c r="AB223" s="135">
        <v>0.944954128440367</v>
      </c>
      <c r="AC223" s="135">
        <v>0.950954246808003</v>
      </c>
      <c r="AD223" s="135">
        <v>0.92</v>
      </c>
      <c r="AE223" s="133">
        <v>0.999310582557739</v>
      </c>
      <c r="AF223" s="133">
        <v>0.899470899470899</v>
      </c>
      <c r="AG223" s="133">
        <v>0.994776828110161</v>
      </c>
      <c r="AH223" s="133">
        <v>0.986725890931498</v>
      </c>
      <c r="AI223" s="135">
        <v>0.92</v>
      </c>
      <c r="AJ223" s="133">
        <v>0.955150665732306</v>
      </c>
      <c r="AK223" s="133">
        <v>0.963848162281583</v>
      </c>
      <c r="AL223" s="133">
        <v>0.967942908926144</v>
      </c>
      <c r="AM223" s="133">
        <v>0.971301775147929</v>
      </c>
      <c r="AN223" s="132">
        <v>0.99</v>
      </c>
      <c r="AO223" s="137">
        <v>1</v>
      </c>
      <c r="AP223" s="137">
        <v>1</v>
      </c>
      <c r="AQ223" s="137">
        <v>1</v>
      </c>
      <c r="AR223" s="137">
        <v>1</v>
      </c>
      <c r="AS223" s="158">
        <v>0.0719793575775068</v>
      </c>
      <c r="AT223" s="141">
        <v>0.117647058823529</v>
      </c>
      <c r="AU223" s="141">
        <v>0</v>
      </c>
      <c r="AV223" s="141">
        <v>0</v>
      </c>
      <c r="AW223" s="141">
        <v>0.0680272108843537</v>
      </c>
      <c r="AX223" s="95"/>
      <c r="AY223" s="93"/>
    </row>
    <row r="224" ht="14.5" spans="1:51">
      <c r="A224" s="91"/>
      <c r="C224" s="152" t="s">
        <v>210</v>
      </c>
      <c r="D224" s="153" t="s">
        <v>25</v>
      </c>
      <c r="E224" s="130" t="s">
        <v>211</v>
      </c>
      <c r="F224" s="157" t="s">
        <v>247</v>
      </c>
      <c r="G224" s="157" t="s">
        <v>247</v>
      </c>
      <c r="H224" s="157" t="s">
        <v>247</v>
      </c>
      <c r="I224" s="157" t="s">
        <v>247</v>
      </c>
      <c r="J224" s="132">
        <v>0.9</v>
      </c>
      <c r="K224" s="133">
        <v>0.882978723404255</v>
      </c>
      <c r="L224" s="133">
        <v>0.873417721518987</v>
      </c>
      <c r="M224" s="134">
        <v>0.855555555555556</v>
      </c>
      <c r="N224" s="133">
        <v>0.921875</v>
      </c>
      <c r="O224" s="135">
        <v>0.9</v>
      </c>
      <c r="P224" s="133">
        <v>0.957267441860465</v>
      </c>
      <c r="Q224" s="133">
        <v>0.96866295264624</v>
      </c>
      <c r="R224" s="133">
        <v>0.954842633419492</v>
      </c>
      <c r="S224" s="133">
        <v>0.950300032856624</v>
      </c>
      <c r="T224" s="135">
        <v>0.9</v>
      </c>
      <c r="U224" s="133">
        <v>0.904360465116279</v>
      </c>
      <c r="V224" s="133">
        <v>0.896239554317549</v>
      </c>
      <c r="W224" s="133">
        <v>0.903299376615478</v>
      </c>
      <c r="X224" s="133">
        <v>0.907188683486952</v>
      </c>
      <c r="Y224" s="135">
        <v>0.92</v>
      </c>
      <c r="Z224" s="135">
        <v>0.911578947368421</v>
      </c>
      <c r="AA224" s="135">
        <v>0.899428571428571</v>
      </c>
      <c r="AB224" s="135">
        <v>0.925925925925926</v>
      </c>
      <c r="AC224" s="135">
        <v>0.938451064236401</v>
      </c>
      <c r="AD224" s="135">
        <v>0.92</v>
      </c>
      <c r="AE224" s="133">
        <v>0.998496240601504</v>
      </c>
      <c r="AF224" s="133">
        <v>0.989130434782609</v>
      </c>
      <c r="AG224" s="133">
        <v>0.988839285714286</v>
      </c>
      <c r="AH224" s="133">
        <v>0.986323036844064</v>
      </c>
      <c r="AI224" s="135">
        <v>0.92</v>
      </c>
      <c r="AJ224" s="133">
        <v>0.945692883895131</v>
      </c>
      <c r="AK224" s="133">
        <v>0.94687345322554</v>
      </c>
      <c r="AL224" s="133">
        <v>0.953793290532598</v>
      </c>
      <c r="AM224" s="133">
        <v>0.962556734120715</v>
      </c>
      <c r="AN224" s="132">
        <v>0.99</v>
      </c>
      <c r="AO224" s="137">
        <v>1</v>
      </c>
      <c r="AP224" s="137">
        <v>1</v>
      </c>
      <c r="AQ224" s="137">
        <v>1</v>
      </c>
      <c r="AR224" s="137">
        <v>1</v>
      </c>
      <c r="AS224" s="158">
        <v>0.0719793575775068</v>
      </c>
      <c r="AT224" s="141">
        <v>0.0526315789473684</v>
      </c>
      <c r="AU224" s="141">
        <v>0.142857142857143</v>
      </c>
      <c r="AV224" s="141">
        <v>0.0344827586206897</v>
      </c>
      <c r="AW224" s="141">
        <v>0.0460652591170825</v>
      </c>
      <c r="AX224" s="95"/>
      <c r="AY224" s="93"/>
    </row>
    <row r="225" ht="14.5" spans="1:51">
      <c r="A225" s="91"/>
      <c r="C225" s="152" t="s">
        <v>210</v>
      </c>
      <c r="D225" s="153" t="s">
        <v>25</v>
      </c>
      <c r="E225" s="130" t="s">
        <v>211</v>
      </c>
      <c r="F225" s="157" t="s">
        <v>248</v>
      </c>
      <c r="G225" s="157" t="s">
        <v>248</v>
      </c>
      <c r="H225" s="157" t="s">
        <v>248</v>
      </c>
      <c r="I225" s="157" t="s">
        <v>248</v>
      </c>
      <c r="J225" s="132">
        <v>0.9</v>
      </c>
      <c r="K225" s="133">
        <v>0.931818181818182</v>
      </c>
      <c r="L225" s="133">
        <v>0.920792079207921</v>
      </c>
      <c r="M225" s="134">
        <v>0.933884297520661</v>
      </c>
      <c r="N225" s="133">
        <v>0.953112033195021</v>
      </c>
      <c r="O225" s="135">
        <v>0.9</v>
      </c>
      <c r="P225" s="133">
        <v>0.948070509766555</v>
      </c>
      <c r="Q225" s="133">
        <v>0.944919105617161</v>
      </c>
      <c r="R225" s="133">
        <v>0.914441984633416</v>
      </c>
      <c r="S225" s="133">
        <v>0.927149659863946</v>
      </c>
      <c r="T225" s="135">
        <v>0.9</v>
      </c>
      <c r="U225" s="133">
        <v>0.891615054787994</v>
      </c>
      <c r="V225" s="133">
        <v>0.854026540628977</v>
      </c>
      <c r="W225" s="133">
        <v>0.885792420888136</v>
      </c>
      <c r="X225" s="133">
        <v>0.898857142857143</v>
      </c>
      <c r="Y225" s="135">
        <v>0.92</v>
      </c>
      <c r="Z225" s="135">
        <v>0.902198295199641</v>
      </c>
      <c r="AA225" s="135">
        <v>0.887037037037037</v>
      </c>
      <c r="AB225" s="135">
        <v>0.908831366577845</v>
      </c>
      <c r="AC225" s="135">
        <v>0.934776629253361</v>
      </c>
      <c r="AD225" s="135">
        <v>0.92</v>
      </c>
      <c r="AE225" s="133">
        <v>0.994638069705094</v>
      </c>
      <c r="AF225" s="133">
        <v>0.996124031007752</v>
      </c>
      <c r="AG225" s="133">
        <v>1</v>
      </c>
      <c r="AH225" s="133">
        <v>0.996110994324154</v>
      </c>
      <c r="AI225" s="135">
        <v>0.92</v>
      </c>
      <c r="AJ225" s="133">
        <v>0.935749844430616</v>
      </c>
      <c r="AK225" s="133">
        <v>0.930314498238288</v>
      </c>
      <c r="AL225" s="133">
        <v>0.936905590350267</v>
      </c>
      <c r="AM225" s="133">
        <v>0.955099180681328</v>
      </c>
      <c r="AN225" s="132">
        <v>0.99</v>
      </c>
      <c r="AO225" s="137">
        <v>1</v>
      </c>
      <c r="AP225" s="137">
        <v>1</v>
      </c>
      <c r="AQ225" s="137">
        <v>1</v>
      </c>
      <c r="AR225" s="137">
        <v>1</v>
      </c>
      <c r="AS225" s="158">
        <v>0.0719793575775068</v>
      </c>
      <c r="AT225" s="141">
        <v>0.05</v>
      </c>
      <c r="AU225" s="141">
        <v>0</v>
      </c>
      <c r="AV225" s="141">
        <v>0.027027027027027</v>
      </c>
      <c r="AW225" s="141">
        <v>0.0424657534246575</v>
      </c>
      <c r="AX225" s="95"/>
      <c r="AY225" s="93"/>
    </row>
    <row r="226" ht="14.5" spans="1:51">
      <c r="A226" s="91"/>
      <c r="C226" s="152" t="s">
        <v>210</v>
      </c>
      <c r="D226" s="153" t="s">
        <v>25</v>
      </c>
      <c r="E226" s="130" t="s">
        <v>211</v>
      </c>
      <c r="F226" s="157" t="s">
        <v>249</v>
      </c>
      <c r="G226" s="157" t="s">
        <v>249</v>
      </c>
      <c r="H226" s="157" t="s">
        <v>249</v>
      </c>
      <c r="I226" s="157" t="s">
        <v>249</v>
      </c>
      <c r="J226" s="132">
        <v>0.9</v>
      </c>
      <c r="K226" s="133">
        <v>0.947368421052632</v>
      </c>
      <c r="L226" s="133">
        <v>1</v>
      </c>
      <c r="M226" s="134">
        <v>0.944444444444444</v>
      </c>
      <c r="N226" s="133">
        <v>0.984662576687117</v>
      </c>
      <c r="O226" s="135">
        <v>0.9</v>
      </c>
      <c r="P226" s="133">
        <v>0.995581737849779</v>
      </c>
      <c r="Q226" s="133">
        <v>0.981601731601732</v>
      </c>
      <c r="R226" s="133">
        <v>0.992622950819672</v>
      </c>
      <c r="S226" s="133">
        <v>0.986522911051213</v>
      </c>
      <c r="T226" s="135">
        <v>0.9</v>
      </c>
      <c r="U226" s="133">
        <v>0.944035346097202</v>
      </c>
      <c r="V226" s="133">
        <v>0.871212121212121</v>
      </c>
      <c r="W226" s="133">
        <v>0.938524590163934</v>
      </c>
      <c r="X226" s="133">
        <v>0.937594225410023</v>
      </c>
      <c r="Y226" s="135">
        <v>0.92</v>
      </c>
      <c r="Z226" s="135">
        <v>0.945026178010471</v>
      </c>
      <c r="AA226" s="135">
        <v>0.96165191740413</v>
      </c>
      <c r="AB226" s="135">
        <v>0.953828828828829</v>
      </c>
      <c r="AC226" s="135">
        <v>0.95714896998594</v>
      </c>
      <c r="AD226" s="135">
        <v>0.92</v>
      </c>
      <c r="AE226" s="133">
        <v>1</v>
      </c>
      <c r="AF226" s="133">
        <v>0.5</v>
      </c>
      <c r="AG226" s="133">
        <v>1</v>
      </c>
      <c r="AH226" s="133">
        <v>0.985670419651996</v>
      </c>
      <c r="AI226" s="135">
        <v>0.92</v>
      </c>
      <c r="AJ226" s="133">
        <v>0.969839773798303</v>
      </c>
      <c r="AK226" s="133">
        <v>0.973871733966746</v>
      </c>
      <c r="AL226" s="133">
        <v>0.972011385199241</v>
      </c>
      <c r="AM226" s="133">
        <v>0.974509803921569</v>
      </c>
      <c r="AN226" s="132">
        <v>0.99</v>
      </c>
      <c r="AO226" s="137">
        <v>1</v>
      </c>
      <c r="AP226" s="137">
        <v>1</v>
      </c>
      <c r="AQ226" s="137">
        <v>1</v>
      </c>
      <c r="AR226" s="137">
        <v>1</v>
      </c>
      <c r="AS226" s="158">
        <v>0.0719793575775068</v>
      </c>
      <c r="AT226" s="141">
        <v>0</v>
      </c>
      <c r="AU226" s="141">
        <v>0</v>
      </c>
      <c r="AV226" s="141">
        <v>0</v>
      </c>
      <c r="AW226" s="141">
        <v>0.118421052631579</v>
      </c>
      <c r="AX226" s="95"/>
      <c r="AY226" s="93"/>
    </row>
    <row r="227" ht="14.5" spans="1:51">
      <c r="A227" s="91"/>
      <c r="C227" s="152" t="s">
        <v>210</v>
      </c>
      <c r="D227" s="153" t="s">
        <v>25</v>
      </c>
      <c r="E227" s="130" t="s">
        <v>211</v>
      </c>
      <c r="F227" s="157" t="s">
        <v>250</v>
      </c>
      <c r="G227" s="157" t="s">
        <v>250</v>
      </c>
      <c r="H227" s="157" t="s">
        <v>250</v>
      </c>
      <c r="I227" s="157" t="s">
        <v>250</v>
      </c>
      <c r="J227" s="132">
        <v>0.9</v>
      </c>
      <c r="K227" s="133">
        <v>0.926829268292683</v>
      </c>
      <c r="L227" s="133">
        <v>0.938461538461538</v>
      </c>
      <c r="M227" s="134">
        <v>0.948051948051948</v>
      </c>
      <c r="N227" s="133">
        <v>0.95</v>
      </c>
      <c r="O227" s="135">
        <v>0.9</v>
      </c>
      <c r="P227" s="133">
        <v>0.840124416796267</v>
      </c>
      <c r="Q227" s="133">
        <v>0.916176470588235</v>
      </c>
      <c r="R227" s="133">
        <v>0.963976655262628</v>
      </c>
      <c r="S227" s="133">
        <v>0.905094514726713</v>
      </c>
      <c r="T227" s="135">
        <v>0.9</v>
      </c>
      <c r="U227" s="133">
        <v>0.880870917573872</v>
      </c>
      <c r="V227" s="133">
        <v>0.835294117647059</v>
      </c>
      <c r="W227" s="133">
        <v>0.905212316361441</v>
      </c>
      <c r="X227" s="133">
        <v>0.858818932252235</v>
      </c>
      <c r="Y227" s="135">
        <v>0.92</v>
      </c>
      <c r="Z227" s="135">
        <v>0.909215017064846</v>
      </c>
      <c r="AA227" s="135">
        <v>0.923948220064725</v>
      </c>
      <c r="AB227" s="135">
        <v>0.954607977991747</v>
      </c>
      <c r="AC227" s="135">
        <v>0.950337025269472</v>
      </c>
      <c r="AD227" s="135">
        <v>0.92</v>
      </c>
      <c r="AE227" s="133">
        <v>0.996423462088698</v>
      </c>
      <c r="AF227" s="133">
        <v>0.998935717326522</v>
      </c>
      <c r="AG227" s="133">
        <v>0.999212133149498</v>
      </c>
      <c r="AH227" s="133">
        <v>0.995349462365591</v>
      </c>
      <c r="AI227" s="135">
        <v>0.92</v>
      </c>
      <c r="AJ227" s="133">
        <v>0.935683760683761</v>
      </c>
      <c r="AK227" s="133">
        <v>0.947595428078499</v>
      </c>
      <c r="AL227" s="133">
        <v>0.970039355084423</v>
      </c>
      <c r="AM227" s="133">
        <v>0.966937669376694</v>
      </c>
      <c r="AN227" s="132">
        <v>0.99</v>
      </c>
      <c r="AO227" s="137">
        <v>1</v>
      </c>
      <c r="AP227" s="137">
        <v>1</v>
      </c>
      <c r="AQ227" s="137">
        <v>1</v>
      </c>
      <c r="AR227" s="137">
        <v>1</v>
      </c>
      <c r="AS227" s="158">
        <v>0.0719793575775068</v>
      </c>
      <c r="AT227" s="141">
        <v>0.0476190476190476</v>
      </c>
      <c r="AU227" s="141">
        <v>0</v>
      </c>
      <c r="AV227" s="141">
        <v>0.0588235294117647</v>
      </c>
      <c r="AW227" s="141">
        <v>0.048</v>
      </c>
      <c r="AX227" s="95"/>
      <c r="AY227" s="93"/>
    </row>
    <row r="228" ht="14.5" spans="1:51">
      <c r="A228" s="91"/>
      <c r="C228" s="152" t="s">
        <v>210</v>
      </c>
      <c r="D228" s="153" t="s">
        <v>125</v>
      </c>
      <c r="E228" s="130" t="s">
        <v>211</v>
      </c>
      <c r="F228" s="157" t="s">
        <v>251</v>
      </c>
      <c r="G228" s="157" t="s">
        <v>251</v>
      </c>
      <c r="H228" s="157" t="s">
        <v>251</v>
      </c>
      <c r="I228" s="157" t="s">
        <v>251</v>
      </c>
      <c r="J228" s="132">
        <v>0.9</v>
      </c>
      <c r="K228" s="133" t="s">
        <v>35</v>
      </c>
      <c r="L228" s="133" t="s">
        <v>35</v>
      </c>
      <c r="M228" s="134" t="s">
        <v>35</v>
      </c>
      <c r="N228" s="133" t="s">
        <v>35</v>
      </c>
      <c r="O228" s="135">
        <v>0.9</v>
      </c>
      <c r="P228" s="133" t="s">
        <v>35</v>
      </c>
      <c r="Q228" s="133" t="s">
        <v>35</v>
      </c>
      <c r="R228" s="133" t="s">
        <v>35</v>
      </c>
      <c r="S228" s="133" t="s">
        <v>35</v>
      </c>
      <c r="T228" s="135">
        <v>0.9</v>
      </c>
      <c r="U228" s="133" t="s">
        <v>35</v>
      </c>
      <c r="V228" s="133" t="s">
        <v>35</v>
      </c>
      <c r="W228" s="133" t="s">
        <v>35</v>
      </c>
      <c r="X228" s="133" t="s">
        <v>35</v>
      </c>
      <c r="Y228" s="135">
        <v>0.92</v>
      </c>
      <c r="Z228" s="135" t="s">
        <v>35</v>
      </c>
      <c r="AA228" s="135" t="s">
        <v>35</v>
      </c>
      <c r="AB228" s="135" t="s">
        <v>35</v>
      </c>
      <c r="AC228" s="135" t="s">
        <v>35</v>
      </c>
      <c r="AD228" s="135">
        <v>0.92</v>
      </c>
      <c r="AE228" s="133">
        <v>0.897058823529412</v>
      </c>
      <c r="AF228" s="133">
        <v>0</v>
      </c>
      <c r="AG228" s="133">
        <v>1</v>
      </c>
      <c r="AH228" s="133">
        <v>0.990314270994333</v>
      </c>
      <c r="AI228" s="135">
        <v>0.92</v>
      </c>
      <c r="AJ228" s="133" t="s">
        <v>35</v>
      </c>
      <c r="AK228" s="133" t="s">
        <v>35</v>
      </c>
      <c r="AL228" s="133" t="s">
        <v>35</v>
      </c>
      <c r="AM228" s="133" t="s">
        <v>35</v>
      </c>
      <c r="AN228" s="132">
        <v>0.99</v>
      </c>
      <c r="AO228" s="137" t="s">
        <v>35</v>
      </c>
      <c r="AP228" s="137" t="s">
        <v>35</v>
      </c>
      <c r="AQ228" s="137" t="s">
        <v>35</v>
      </c>
      <c r="AR228" s="137">
        <v>1</v>
      </c>
      <c r="AS228" s="158">
        <v>0.0719793575775068</v>
      </c>
      <c r="AT228" s="141" t="s">
        <v>35</v>
      </c>
      <c r="AU228" s="141" t="s">
        <v>35</v>
      </c>
      <c r="AV228" s="141" t="s">
        <v>35</v>
      </c>
      <c r="AW228" s="141" t="s">
        <v>35</v>
      </c>
      <c r="AX228" s="95"/>
      <c r="AY228" s="93"/>
    </row>
    <row r="229" ht="14.5" spans="1:51">
      <c r="A229" s="91"/>
      <c r="C229" s="152" t="s">
        <v>210</v>
      </c>
      <c r="D229" s="153" t="s">
        <v>25</v>
      </c>
      <c r="E229" s="130" t="s">
        <v>211</v>
      </c>
      <c r="F229" s="157" t="s">
        <v>252</v>
      </c>
      <c r="G229" s="157" t="s">
        <v>252</v>
      </c>
      <c r="H229" s="157" t="s">
        <v>252</v>
      </c>
      <c r="I229" s="157" t="s">
        <v>252</v>
      </c>
      <c r="J229" s="132">
        <v>0.9</v>
      </c>
      <c r="K229" s="133">
        <v>0.984126984126984</v>
      </c>
      <c r="L229" s="133">
        <v>0.97196261682243</v>
      </c>
      <c r="M229" s="134">
        <v>0.967741935483871</v>
      </c>
      <c r="N229" s="133">
        <v>0.961522017956392</v>
      </c>
      <c r="O229" s="135">
        <v>0.9</v>
      </c>
      <c r="P229" s="133">
        <v>0.97436377245509</v>
      </c>
      <c r="Q229" s="133">
        <v>0.975966562173459</v>
      </c>
      <c r="R229" s="133">
        <v>0.956162377066332</v>
      </c>
      <c r="S229" s="133">
        <v>0.936284642934404</v>
      </c>
      <c r="T229" s="135">
        <v>0.9</v>
      </c>
      <c r="U229" s="133">
        <v>0.927769461077844</v>
      </c>
      <c r="V229" s="133">
        <v>0.911777877295119</v>
      </c>
      <c r="W229" s="133">
        <v>0.916614354467462</v>
      </c>
      <c r="X229" s="133">
        <v>0.914026632694758</v>
      </c>
      <c r="Y229" s="135">
        <v>0.92</v>
      </c>
      <c r="Z229" s="135">
        <v>0.935338345864662</v>
      </c>
      <c r="AA229" s="135">
        <v>0.916121112929624</v>
      </c>
      <c r="AB229" s="135">
        <v>0.931152594622367</v>
      </c>
      <c r="AC229" s="135">
        <v>0.948466673032021</v>
      </c>
      <c r="AD229" s="135">
        <v>0.92</v>
      </c>
      <c r="AE229" s="133">
        <v>0.996521615674026</v>
      </c>
      <c r="AF229" s="133">
        <v>0.986366734832993</v>
      </c>
      <c r="AG229" s="133">
        <v>0.997476247030879</v>
      </c>
      <c r="AH229" s="133">
        <v>0.991396898937241</v>
      </c>
      <c r="AI229" s="135">
        <v>0.92</v>
      </c>
      <c r="AJ229" s="133">
        <v>0.961658548769826</v>
      </c>
      <c r="AK229" s="133">
        <v>0.954073264078731</v>
      </c>
      <c r="AL229" s="133">
        <v>0.961098844005715</v>
      </c>
      <c r="AM229" s="133">
        <v>0.968082198103394</v>
      </c>
      <c r="AN229" s="132">
        <v>0.99</v>
      </c>
      <c r="AO229" s="137">
        <v>1</v>
      </c>
      <c r="AP229" s="137">
        <v>1</v>
      </c>
      <c r="AQ229" s="137">
        <v>1</v>
      </c>
      <c r="AR229" s="137">
        <v>1</v>
      </c>
      <c r="AS229" s="158">
        <v>0.0719793575775068</v>
      </c>
      <c r="AT229" s="141">
        <v>0.032258064516129</v>
      </c>
      <c r="AU229" s="141">
        <v>0</v>
      </c>
      <c r="AV229" s="141">
        <v>0.0303030303030303</v>
      </c>
      <c r="AW229" s="141">
        <v>0.055205047318612</v>
      </c>
      <c r="AX229" s="95"/>
      <c r="AY229" s="93"/>
    </row>
    <row r="230" ht="14.5" spans="1:51">
      <c r="A230" s="91"/>
      <c r="C230" s="152" t="s">
        <v>210</v>
      </c>
      <c r="D230" s="153" t="s">
        <v>25</v>
      </c>
      <c r="E230" s="130" t="s">
        <v>211</v>
      </c>
      <c r="F230" s="157" t="s">
        <v>253</v>
      </c>
      <c r="G230" s="157" t="s">
        <v>253</v>
      </c>
      <c r="H230" s="157" t="s">
        <v>253</v>
      </c>
      <c r="I230" s="157" t="s">
        <v>253</v>
      </c>
      <c r="J230" s="132">
        <v>0.9</v>
      </c>
      <c r="K230" s="133">
        <v>0.903508771929825</v>
      </c>
      <c r="L230" s="133">
        <v>0.936708860759494</v>
      </c>
      <c r="M230" s="134">
        <v>0.884615384615385</v>
      </c>
      <c r="N230" s="133">
        <v>0.921819110884006</v>
      </c>
      <c r="O230" s="135">
        <v>0.9</v>
      </c>
      <c r="P230" s="133">
        <v>0.956108829568789</v>
      </c>
      <c r="Q230" s="133">
        <v>0.971075292559064</v>
      </c>
      <c r="R230" s="133">
        <v>0.960648148148148</v>
      </c>
      <c r="S230" s="133">
        <v>0.956964119061891</v>
      </c>
      <c r="T230" s="135">
        <v>0.9</v>
      </c>
      <c r="U230" s="133">
        <v>0.920431211498973</v>
      </c>
      <c r="V230" s="133">
        <v>0.913005078383749</v>
      </c>
      <c r="W230" s="133">
        <v>0.918827160493827</v>
      </c>
      <c r="X230" s="133">
        <v>0.921083180952526</v>
      </c>
      <c r="Y230" s="135">
        <v>0.92</v>
      </c>
      <c r="Z230" s="135">
        <v>0.905793450881612</v>
      </c>
      <c r="AA230" s="135">
        <v>0.906036446469248</v>
      </c>
      <c r="AB230" s="135">
        <v>0.929311535804743</v>
      </c>
      <c r="AC230" s="135">
        <v>0.940889025767375</v>
      </c>
      <c r="AD230" s="135">
        <v>0.92</v>
      </c>
      <c r="AE230" s="133">
        <v>0.986051502145923</v>
      </c>
      <c r="AF230" s="133">
        <v>0.99691738594328</v>
      </c>
      <c r="AG230" s="133">
        <v>0.995188452285485</v>
      </c>
      <c r="AH230" s="133">
        <v>0.988332797541106</v>
      </c>
      <c r="AI230" s="135">
        <v>0.92</v>
      </c>
      <c r="AJ230" s="133">
        <v>0.948879076086957</v>
      </c>
      <c r="AK230" s="133">
        <v>0.947360050890585</v>
      </c>
      <c r="AL230" s="133">
        <v>0.954730229120473</v>
      </c>
      <c r="AM230" s="133">
        <v>0.963240649874605</v>
      </c>
      <c r="AN230" s="132">
        <v>0.99</v>
      </c>
      <c r="AO230" s="137">
        <v>1</v>
      </c>
      <c r="AP230" s="137">
        <v>1</v>
      </c>
      <c r="AQ230" s="137">
        <v>1</v>
      </c>
      <c r="AR230" s="137">
        <v>1</v>
      </c>
      <c r="AS230" s="158">
        <v>0.0719793575775068</v>
      </c>
      <c r="AT230" s="141">
        <v>0.0384615384615385</v>
      </c>
      <c r="AU230" s="141">
        <v>0</v>
      </c>
      <c r="AV230" s="141">
        <v>0.0454545454545455</v>
      </c>
      <c r="AW230" s="141">
        <v>0.0562130177514793</v>
      </c>
      <c r="AX230" s="95"/>
      <c r="AY230" s="93"/>
    </row>
    <row r="231" s="86" customFormat="1" ht="14.5" spans="1:51">
      <c r="A231" s="91"/>
      <c r="B231" s="88"/>
      <c r="C231" s="152" t="s">
        <v>210</v>
      </c>
      <c r="D231" s="153" t="s">
        <v>25</v>
      </c>
      <c r="E231" s="130" t="s">
        <v>211</v>
      </c>
      <c r="F231" s="157" t="s">
        <v>254</v>
      </c>
      <c r="G231" s="157" t="s">
        <v>254</v>
      </c>
      <c r="H231" s="157" t="s">
        <v>254</v>
      </c>
      <c r="I231" s="157" t="s">
        <v>254</v>
      </c>
      <c r="J231" s="132">
        <v>0.9</v>
      </c>
      <c r="K231" s="133">
        <v>0.989010989010989</v>
      </c>
      <c r="L231" s="133">
        <v>1</v>
      </c>
      <c r="M231" s="134">
        <v>0.967032967032967</v>
      </c>
      <c r="N231" s="133">
        <v>0.988901869158878</v>
      </c>
      <c r="O231" s="135">
        <v>0.9</v>
      </c>
      <c r="P231" s="133">
        <v>0.894359613586787</v>
      </c>
      <c r="Q231" s="133">
        <v>0.93320662503394</v>
      </c>
      <c r="R231" s="133">
        <v>0.932885906040268</v>
      </c>
      <c r="S231" s="133">
        <v>0.935302060105153</v>
      </c>
      <c r="T231" s="135">
        <v>0.9</v>
      </c>
      <c r="U231" s="133">
        <v>0.880959800560922</v>
      </c>
      <c r="V231" s="133">
        <v>0.884876459408091</v>
      </c>
      <c r="W231" s="133">
        <v>0.908014212396368</v>
      </c>
      <c r="X231" s="133">
        <v>0.906794050858207</v>
      </c>
      <c r="Y231" s="135">
        <v>0.92</v>
      </c>
      <c r="Z231" s="135">
        <v>0.916815210932858</v>
      </c>
      <c r="AA231" s="135">
        <v>0.90572625698324</v>
      </c>
      <c r="AB231" s="135">
        <v>0.938583602703497</v>
      </c>
      <c r="AC231" s="135">
        <v>0.948743894870342</v>
      </c>
      <c r="AD231" s="135">
        <v>0.92</v>
      </c>
      <c r="AE231" s="133">
        <v>0.983634398641346</v>
      </c>
      <c r="AF231" s="133">
        <v>0.987796493640426</v>
      </c>
      <c r="AG231" s="133">
        <v>0.999214248297538</v>
      </c>
      <c r="AH231" s="133">
        <v>0.99042458683991</v>
      </c>
      <c r="AI231" s="135">
        <v>0.92</v>
      </c>
      <c r="AJ231" s="133">
        <v>0.935813573180703</v>
      </c>
      <c r="AK231" s="133">
        <v>0.941980855635866</v>
      </c>
      <c r="AL231" s="133">
        <v>0.95997166135317</v>
      </c>
      <c r="AM231" s="133">
        <v>0.965423768250829</v>
      </c>
      <c r="AN231" s="132">
        <v>0.99</v>
      </c>
      <c r="AO231" s="137">
        <v>1</v>
      </c>
      <c r="AP231" s="137">
        <v>1</v>
      </c>
      <c r="AQ231" s="137">
        <v>1</v>
      </c>
      <c r="AR231" s="137">
        <v>1</v>
      </c>
      <c r="AS231" s="158">
        <v>0.0719793575775068</v>
      </c>
      <c r="AT231" s="141">
        <v>0</v>
      </c>
      <c r="AU231" s="141">
        <v>0.0294117647058824</v>
      </c>
      <c r="AV231" s="141">
        <v>0.0263157894736842</v>
      </c>
      <c r="AW231" s="141">
        <v>0.0367647058823529</v>
      </c>
      <c r="AX231" s="88"/>
      <c r="AY231" s="93"/>
    </row>
    <row r="232" ht="14.5" spans="1:51">
      <c r="A232" s="91"/>
      <c r="C232" s="152" t="s">
        <v>210</v>
      </c>
      <c r="D232" s="153" t="s">
        <v>25</v>
      </c>
      <c r="E232" s="130" t="s">
        <v>211</v>
      </c>
      <c r="F232" s="157" t="s">
        <v>255</v>
      </c>
      <c r="G232" s="157" t="s">
        <v>255</v>
      </c>
      <c r="H232" s="157" t="s">
        <v>255</v>
      </c>
      <c r="I232" s="157" t="s">
        <v>255</v>
      </c>
      <c r="J232" s="132">
        <v>0.9</v>
      </c>
      <c r="K232" s="133">
        <v>0.92</v>
      </c>
      <c r="L232" s="133">
        <v>0.938144329896907</v>
      </c>
      <c r="M232" s="134">
        <v>0.936</v>
      </c>
      <c r="N232" s="133">
        <v>0.939119703825586</v>
      </c>
      <c r="O232" s="135">
        <v>0.9</v>
      </c>
      <c r="P232" s="133">
        <v>0.895464362850972</v>
      </c>
      <c r="Q232" s="133">
        <v>0.920444033302498</v>
      </c>
      <c r="R232" s="133">
        <v>0.941645950542981</v>
      </c>
      <c r="S232" s="133">
        <v>0.8970661916161</v>
      </c>
      <c r="T232" s="135">
        <v>0.9</v>
      </c>
      <c r="U232" s="133">
        <v>0.852699784017279</v>
      </c>
      <c r="V232" s="133">
        <v>0.831452358926919</v>
      </c>
      <c r="W232" s="133">
        <v>0.878581708753107</v>
      </c>
      <c r="X232" s="133">
        <v>0.885966987696933</v>
      </c>
      <c r="Y232" s="135">
        <v>0.92</v>
      </c>
      <c r="Z232" s="135">
        <v>0.842549203373946</v>
      </c>
      <c r="AA232" s="135">
        <v>0.810250817884406</v>
      </c>
      <c r="AB232" s="135">
        <v>0.922349763673194</v>
      </c>
      <c r="AC232" s="135">
        <v>0.915012238237694</v>
      </c>
      <c r="AD232" s="135">
        <v>0.92</v>
      </c>
      <c r="AE232" s="133">
        <v>0.99828060522696</v>
      </c>
      <c r="AF232" s="133">
        <v>0.993917010645231</v>
      </c>
      <c r="AG232" s="133">
        <v>0.997386759581881</v>
      </c>
      <c r="AH232" s="133">
        <v>0.955016366666008</v>
      </c>
      <c r="AI232" s="135">
        <v>0.92</v>
      </c>
      <c r="AJ232" s="133">
        <v>0.894472361809045</v>
      </c>
      <c r="AK232" s="133">
        <v>0.880005523336095</v>
      </c>
      <c r="AL232" s="133">
        <v>0.947882197220384</v>
      </c>
      <c r="AM232" s="133">
        <v>0.947016574816474</v>
      </c>
      <c r="AN232" s="132">
        <v>0.99</v>
      </c>
      <c r="AO232" s="137">
        <v>1</v>
      </c>
      <c r="AP232" s="137">
        <v>1</v>
      </c>
      <c r="AQ232" s="137">
        <v>1</v>
      </c>
      <c r="AR232" s="137">
        <v>1</v>
      </c>
      <c r="AS232" s="158">
        <v>0.0719793575775068</v>
      </c>
      <c r="AT232" s="141">
        <v>0.0444444444444444</v>
      </c>
      <c r="AU232" s="141">
        <v>0</v>
      </c>
      <c r="AV232" s="141">
        <v>0.0487804878048781</v>
      </c>
      <c r="AW232" s="141">
        <v>0.0621403912543153</v>
      </c>
      <c r="AX232" s="95"/>
      <c r="AY232" s="93"/>
    </row>
    <row r="233" ht="14.5" spans="1:51">
      <c r="A233" s="91"/>
      <c r="C233" s="152" t="s">
        <v>210</v>
      </c>
      <c r="D233" s="153" t="s">
        <v>25</v>
      </c>
      <c r="E233" s="130" t="s">
        <v>211</v>
      </c>
      <c r="F233" s="157" t="s">
        <v>256</v>
      </c>
      <c r="G233" s="157" t="s">
        <v>256</v>
      </c>
      <c r="H233" s="157" t="s">
        <v>256</v>
      </c>
      <c r="I233" s="157" t="s">
        <v>256</v>
      </c>
      <c r="J233" s="132">
        <v>0.9</v>
      </c>
      <c r="K233" s="133">
        <v>0.912280701754386</v>
      </c>
      <c r="L233" s="133">
        <v>0.837209302325581</v>
      </c>
      <c r="M233" s="134">
        <v>0.944444444444444</v>
      </c>
      <c r="N233" s="133">
        <v>0.965208747514911</v>
      </c>
      <c r="O233" s="135">
        <v>0.9</v>
      </c>
      <c r="P233" s="133">
        <v>0.900699300699301</v>
      </c>
      <c r="Q233" s="133">
        <v>0.921169504071058</v>
      </c>
      <c r="R233" s="133">
        <v>0.941067653276956</v>
      </c>
      <c r="S233" s="133">
        <v>0.94319496780702</v>
      </c>
      <c r="T233" s="135">
        <v>0.9</v>
      </c>
      <c r="U233" s="133">
        <v>0.899300699300699</v>
      </c>
      <c r="V233" s="133">
        <v>0.789785344189489</v>
      </c>
      <c r="W233" s="133">
        <v>0.905655391120507</v>
      </c>
      <c r="X233" s="133">
        <v>0.902946325252945</v>
      </c>
      <c r="Y233" s="135">
        <v>0.92</v>
      </c>
      <c r="Z233" s="135">
        <v>0.923791821561338</v>
      </c>
      <c r="AA233" s="135">
        <v>0.856697819314642</v>
      </c>
      <c r="AB233" s="135">
        <v>0.92669096800324</v>
      </c>
      <c r="AC233" s="135">
        <v>0.933041836430488</v>
      </c>
      <c r="AD233" s="135">
        <v>0.92</v>
      </c>
      <c r="AE233" s="133">
        <v>0.995893561103811</v>
      </c>
      <c r="AF233" s="133">
        <v>0.999158012910469</v>
      </c>
      <c r="AG233" s="133">
        <v>0.997307485191169</v>
      </c>
      <c r="AH233" s="133">
        <v>0.996762642860647</v>
      </c>
      <c r="AI233" s="135">
        <v>0.92</v>
      </c>
      <c r="AJ233" s="133">
        <v>0.951257373486495</v>
      </c>
      <c r="AK233" s="133">
        <v>0.928824652304336</v>
      </c>
      <c r="AL233" s="133">
        <v>0.955708346658139</v>
      </c>
      <c r="AM233" s="133">
        <v>0.957261400215731</v>
      </c>
      <c r="AN233" s="132">
        <v>0.99</v>
      </c>
      <c r="AO233" s="137">
        <v>1</v>
      </c>
      <c r="AP233" s="137">
        <v>1</v>
      </c>
      <c r="AQ233" s="137">
        <v>1</v>
      </c>
      <c r="AR233" s="137">
        <v>1</v>
      </c>
      <c r="AS233" s="158">
        <v>0.0719793575775068</v>
      </c>
      <c r="AT233" s="141">
        <v>0</v>
      </c>
      <c r="AU233" s="141">
        <v>0</v>
      </c>
      <c r="AV233" s="141">
        <v>0</v>
      </c>
      <c r="AW233" s="141">
        <v>0.0711864406779661</v>
      </c>
      <c r="AX233" s="95"/>
      <c r="AY233" s="93"/>
    </row>
    <row r="234" s="86" customFormat="1" ht="14.5" spans="1:51">
      <c r="A234" s="91"/>
      <c r="B234" s="88"/>
      <c r="C234" s="152" t="s">
        <v>210</v>
      </c>
      <c r="D234" s="153" t="s">
        <v>25</v>
      </c>
      <c r="E234" s="130" t="s">
        <v>211</v>
      </c>
      <c r="F234" s="157" t="s">
        <v>257</v>
      </c>
      <c r="G234" s="157" t="s">
        <v>257</v>
      </c>
      <c r="H234" s="157" t="s">
        <v>257</v>
      </c>
      <c r="I234" s="157" t="s">
        <v>257</v>
      </c>
      <c r="J234" s="132">
        <v>0.9</v>
      </c>
      <c r="K234" s="133">
        <v>0.96551724137931</v>
      </c>
      <c r="L234" s="133">
        <v>0.926470588235294</v>
      </c>
      <c r="M234" s="134">
        <v>0.977011494252874</v>
      </c>
      <c r="N234" s="133">
        <v>0.946300715990454</v>
      </c>
      <c r="O234" s="135">
        <v>0.9</v>
      </c>
      <c r="P234" s="133">
        <v>0.889106145251397</v>
      </c>
      <c r="Q234" s="133">
        <v>0.91223541559112</v>
      </c>
      <c r="R234" s="133">
        <v>0.951409495548961</v>
      </c>
      <c r="S234" s="133">
        <v>0.934563437404346</v>
      </c>
      <c r="T234" s="135">
        <v>0.9</v>
      </c>
      <c r="U234" s="133">
        <v>0.909776536312849</v>
      </c>
      <c r="V234" s="133">
        <v>0.877645844088797</v>
      </c>
      <c r="W234" s="133">
        <v>0.933048961424332</v>
      </c>
      <c r="X234" s="133">
        <v>0.920320630547903</v>
      </c>
      <c r="Y234" s="135">
        <v>0.92</v>
      </c>
      <c r="Z234" s="135">
        <v>0.889969604863222</v>
      </c>
      <c r="AA234" s="135">
        <v>0.869372693726937</v>
      </c>
      <c r="AB234" s="135">
        <v>0.942797866034381</v>
      </c>
      <c r="AC234" s="135">
        <v>0.931786438980684</v>
      </c>
      <c r="AD234" s="135">
        <v>0.92</v>
      </c>
      <c r="AE234" s="133">
        <v>0.98868374032162</v>
      </c>
      <c r="AF234" s="133">
        <v>0.989285714285714</v>
      </c>
      <c r="AG234" s="133">
        <v>0.997398655972252</v>
      </c>
      <c r="AH234" s="133">
        <v>0.98304302456253</v>
      </c>
      <c r="AI234" s="135">
        <v>0.92</v>
      </c>
      <c r="AJ234" s="133">
        <v>0.932248803827751</v>
      </c>
      <c r="AK234" s="133">
        <v>0.918340026773762</v>
      </c>
      <c r="AL234" s="133">
        <v>0.967491730352458</v>
      </c>
      <c r="AM234" s="133">
        <v>0.957058784412821</v>
      </c>
      <c r="AN234" s="132">
        <v>0.99</v>
      </c>
      <c r="AO234" s="137">
        <v>1</v>
      </c>
      <c r="AP234" s="137">
        <v>1</v>
      </c>
      <c r="AQ234" s="137">
        <v>1</v>
      </c>
      <c r="AR234" s="137">
        <v>1</v>
      </c>
      <c r="AS234" s="158">
        <v>0.0719793575775068</v>
      </c>
      <c r="AT234" s="141">
        <v>0</v>
      </c>
      <c r="AU234" s="141">
        <v>0</v>
      </c>
      <c r="AV234" s="141">
        <v>0.0357142857142857</v>
      </c>
      <c r="AW234" s="141">
        <v>0.0592485549132948</v>
      </c>
      <c r="AX234" s="88"/>
      <c r="AY234" s="93"/>
    </row>
    <row r="235" s="86" customFormat="1" ht="14.5" spans="1:51">
      <c r="A235" s="91"/>
      <c r="B235" s="88"/>
      <c r="C235" s="152" t="s">
        <v>210</v>
      </c>
      <c r="D235" s="153" t="s">
        <v>25</v>
      </c>
      <c r="E235" s="130" t="s">
        <v>211</v>
      </c>
      <c r="F235" s="157" t="s">
        <v>258</v>
      </c>
      <c r="G235" s="157" t="s">
        <v>258</v>
      </c>
      <c r="H235" s="157" t="s">
        <v>258</v>
      </c>
      <c r="I235" s="157" t="s">
        <v>258</v>
      </c>
      <c r="J235" s="132">
        <v>0.9</v>
      </c>
      <c r="K235" s="133">
        <v>0.912280701754386</v>
      </c>
      <c r="L235" s="133">
        <v>0.936170212765957</v>
      </c>
      <c r="M235" s="134">
        <v>0.942307692307692</v>
      </c>
      <c r="N235" s="133">
        <v>0.948090107737512</v>
      </c>
      <c r="O235" s="135">
        <v>0.9</v>
      </c>
      <c r="P235" s="133">
        <v>0.912883435582822</v>
      </c>
      <c r="Q235" s="133">
        <v>0.892357373519914</v>
      </c>
      <c r="R235" s="133">
        <v>0.9377766206717</v>
      </c>
      <c r="S235" s="133">
        <v>0.919389437920815</v>
      </c>
      <c r="T235" s="135">
        <v>0.9</v>
      </c>
      <c r="U235" s="133">
        <v>0.901840490797546</v>
      </c>
      <c r="V235" s="133">
        <v>0.869034804449229</v>
      </c>
      <c r="W235" s="133">
        <v>0.898203592814371</v>
      </c>
      <c r="X235" s="133">
        <v>0.871377732587697</v>
      </c>
      <c r="Y235" s="135">
        <v>0.92</v>
      </c>
      <c r="Z235" s="135">
        <v>0.905201342281879</v>
      </c>
      <c r="AA235" s="135">
        <v>0.916905444126075</v>
      </c>
      <c r="AB235" s="135">
        <v>0.961571306575576</v>
      </c>
      <c r="AC235" s="135">
        <v>0.924274055798064</v>
      </c>
      <c r="AD235" s="135">
        <v>0.92</v>
      </c>
      <c r="AE235" s="133">
        <v>0.993006993006993</v>
      </c>
      <c r="AF235" s="133">
        <v>0.934426229508197</v>
      </c>
      <c r="AG235" s="133">
        <v>0.885714285714286</v>
      </c>
      <c r="AH235" s="133">
        <v>0.958987783595113</v>
      </c>
      <c r="AI235" s="135">
        <v>0.92</v>
      </c>
      <c r="AJ235" s="133">
        <v>0.935661259279626</v>
      </c>
      <c r="AK235" s="133">
        <v>0.945790982538442</v>
      </c>
      <c r="AL235" s="133">
        <v>0.969755781982856</v>
      </c>
      <c r="AM235" s="133">
        <v>0.951458271715372</v>
      </c>
      <c r="AN235" s="132">
        <v>0.99</v>
      </c>
      <c r="AO235" s="137">
        <v>1</v>
      </c>
      <c r="AP235" s="137">
        <v>1</v>
      </c>
      <c r="AQ235" s="137">
        <v>1</v>
      </c>
      <c r="AR235" s="137">
        <v>1</v>
      </c>
      <c r="AS235" s="158">
        <v>0.0719793575775068</v>
      </c>
      <c r="AT235" s="141">
        <v>0</v>
      </c>
      <c r="AU235" s="141">
        <v>0</v>
      </c>
      <c r="AV235" s="141">
        <v>0</v>
      </c>
      <c r="AW235" s="141">
        <v>0.041025641025641</v>
      </c>
      <c r="AX235" s="88"/>
      <c r="AY235" s="93"/>
    </row>
    <row r="236" s="86" customFormat="1" ht="14.5" spans="1:51">
      <c r="A236" s="91"/>
      <c r="B236" s="88"/>
      <c r="C236" s="152" t="s">
        <v>210</v>
      </c>
      <c r="D236" s="153" t="s">
        <v>25</v>
      </c>
      <c r="E236" s="130" t="s">
        <v>211</v>
      </c>
      <c r="F236" s="157" t="s">
        <v>259</v>
      </c>
      <c r="G236" s="157" t="s">
        <v>259</v>
      </c>
      <c r="H236" s="157" t="s">
        <v>259</v>
      </c>
      <c r="I236" s="157" t="s">
        <v>259</v>
      </c>
      <c r="J236" s="132">
        <v>0.9</v>
      </c>
      <c r="K236" s="133">
        <v>0.977777777777778</v>
      </c>
      <c r="L236" s="133">
        <v>0.891304347826087</v>
      </c>
      <c r="M236" s="134">
        <v>0.96</v>
      </c>
      <c r="N236" s="133">
        <v>0.953142857142857</v>
      </c>
      <c r="O236" s="135">
        <v>0.9</v>
      </c>
      <c r="P236" s="133">
        <v>0.984319874558996</v>
      </c>
      <c r="Q236" s="133">
        <v>0.997949886104784</v>
      </c>
      <c r="R236" s="133">
        <v>0.987407656145064</v>
      </c>
      <c r="S236" s="133">
        <v>0.968614026106987</v>
      </c>
      <c r="T236" s="135">
        <v>0.9</v>
      </c>
      <c r="U236" s="133">
        <v>0.939631517052136</v>
      </c>
      <c r="V236" s="133">
        <v>0.943280182232346</v>
      </c>
      <c r="W236" s="133">
        <v>0.963734049697784</v>
      </c>
      <c r="X236" s="133">
        <v>0.954152802661889</v>
      </c>
      <c r="Y236" s="135">
        <v>0.92</v>
      </c>
      <c r="Z236" s="135">
        <v>0.166666666666667</v>
      </c>
      <c r="AA236" s="135">
        <v>0.75</v>
      </c>
      <c r="AB236" s="135" t="s">
        <v>35</v>
      </c>
      <c r="AC236" s="135">
        <v>0.703703703703704</v>
      </c>
      <c r="AD236" s="135">
        <v>0.92</v>
      </c>
      <c r="AE236" s="133">
        <v>0.99781181619256</v>
      </c>
      <c r="AF236" s="133">
        <v>0.971098265895954</v>
      </c>
      <c r="AG236" s="133">
        <v>0.985576923076923</v>
      </c>
      <c r="AH236" s="133">
        <v>0.987031700288184</v>
      </c>
      <c r="AI236" s="135">
        <v>0.92</v>
      </c>
      <c r="AJ236" s="133">
        <v>0.969886585842785</v>
      </c>
      <c r="AK236" s="133">
        <v>0.979745106964042</v>
      </c>
      <c r="AL236" s="133">
        <v>0.986064472800537</v>
      </c>
      <c r="AM236" s="133">
        <v>0.98784583399968</v>
      </c>
      <c r="AN236" s="132">
        <v>0.99</v>
      </c>
      <c r="AO236" s="137">
        <v>1</v>
      </c>
      <c r="AP236" s="137">
        <v>1</v>
      </c>
      <c r="AQ236" s="137">
        <v>1</v>
      </c>
      <c r="AR236" s="137">
        <v>1</v>
      </c>
      <c r="AS236" s="158">
        <v>0.0719793575775068</v>
      </c>
      <c r="AT236" s="141">
        <v>0.0588235294117647</v>
      </c>
      <c r="AU236" s="141">
        <v>0.0625</v>
      </c>
      <c r="AV236" s="141">
        <v>0</v>
      </c>
      <c r="AW236" s="141">
        <v>0.0662824207492795</v>
      </c>
      <c r="AX236" s="88"/>
      <c r="AY236" s="93"/>
    </row>
    <row r="237" s="87" customFormat="1" ht="14.5" spans="1:51">
      <c r="A237" s="91"/>
      <c r="C237" s="159"/>
      <c r="D237" s="160"/>
      <c r="E237" s="161"/>
      <c r="F237" s="161"/>
      <c r="G237" s="161"/>
      <c r="H237" s="161"/>
      <c r="I237" s="161"/>
      <c r="J237" s="162"/>
      <c r="K237" s="147"/>
      <c r="L237" s="147"/>
      <c r="M237" s="134"/>
      <c r="N237" s="147"/>
      <c r="O237" s="150"/>
      <c r="P237" s="147"/>
      <c r="Q237" s="147"/>
      <c r="R237" s="133"/>
      <c r="S237" s="147"/>
      <c r="T237" s="150"/>
      <c r="U237" s="147"/>
      <c r="V237" s="147"/>
      <c r="W237" s="133"/>
      <c r="X237" s="147"/>
      <c r="Y237" s="150"/>
      <c r="Z237" s="150"/>
      <c r="AA237" s="150"/>
      <c r="AB237" s="135"/>
      <c r="AC237" s="150"/>
      <c r="AD237" s="150"/>
      <c r="AE237" s="147"/>
      <c r="AF237" s="147"/>
      <c r="AG237" s="133"/>
      <c r="AH237" s="147"/>
      <c r="AI237" s="150"/>
      <c r="AJ237" s="147"/>
      <c r="AK237" s="147"/>
      <c r="AL237" s="133"/>
      <c r="AM237" s="147"/>
      <c r="AN237" s="146"/>
      <c r="AO237" s="146"/>
      <c r="AP237" s="146"/>
      <c r="AQ237" s="137"/>
      <c r="AR237" s="146"/>
      <c r="AS237" s="147"/>
      <c r="AT237" s="146"/>
      <c r="AU237" s="146"/>
      <c r="AV237" s="141"/>
      <c r="AW237" s="146"/>
      <c r="AX237" s="88"/>
      <c r="AY237" s="93"/>
    </row>
    <row r="238" ht="14.5" spans="1:51">
      <c r="A238" s="91"/>
      <c r="B238" s="95"/>
      <c r="C238" s="163" t="s">
        <v>260</v>
      </c>
      <c r="D238" s="153" t="s">
        <v>25</v>
      </c>
      <c r="E238" s="130" t="s">
        <v>261</v>
      </c>
      <c r="F238" s="164" t="s">
        <v>262</v>
      </c>
      <c r="G238" s="164" t="s">
        <v>262</v>
      </c>
      <c r="H238" s="164" t="s">
        <v>262</v>
      </c>
      <c r="I238" s="164" t="s">
        <v>262</v>
      </c>
      <c r="J238" s="132">
        <v>0.9</v>
      </c>
      <c r="K238" s="133">
        <v>0.988636363636364</v>
      </c>
      <c r="L238" s="133">
        <v>0.984126984126984</v>
      </c>
      <c r="M238" s="134">
        <v>0.987341772151899</v>
      </c>
      <c r="N238" s="133">
        <v>0.971968709256845</v>
      </c>
      <c r="O238" s="135">
        <v>0.9</v>
      </c>
      <c r="P238" s="133">
        <v>0.979425632233176</v>
      </c>
      <c r="Q238" s="133">
        <v>0.970639534883721</v>
      </c>
      <c r="R238" s="133">
        <v>0.934791097227645</v>
      </c>
      <c r="S238" s="133">
        <v>0.922070933346682</v>
      </c>
      <c r="T238" s="135">
        <v>0.9</v>
      </c>
      <c r="U238" s="133">
        <v>0.873124732104586</v>
      </c>
      <c r="V238" s="133">
        <v>0.844186046511628</v>
      </c>
      <c r="W238" s="133">
        <v>0.86411557985162</v>
      </c>
      <c r="X238" s="133">
        <v>0.880221760568668</v>
      </c>
      <c r="Y238" s="135">
        <v>0.92</v>
      </c>
      <c r="Z238" s="135">
        <v>0.882909090909091</v>
      </c>
      <c r="AA238" s="135">
        <v>0.907567293042153</v>
      </c>
      <c r="AB238" s="135">
        <v>0.931228861330327</v>
      </c>
      <c r="AC238" s="135">
        <v>0.94501616714339</v>
      </c>
      <c r="AD238" s="135">
        <v>0.92</v>
      </c>
      <c r="AE238" s="133">
        <v>0.982421227197347</v>
      </c>
      <c r="AF238" s="133">
        <v>0.518593988792664</v>
      </c>
      <c r="AG238" s="133">
        <v>0.970446320868516</v>
      </c>
      <c r="AH238" s="133">
        <v>0.936610301696521</v>
      </c>
      <c r="AI238" s="135">
        <v>0.92</v>
      </c>
      <c r="AJ238" s="133">
        <v>0.934735706580367</v>
      </c>
      <c r="AK238" s="133">
        <v>0.941578850064707</v>
      </c>
      <c r="AL238" s="133">
        <v>0.958708189158016</v>
      </c>
      <c r="AM238" s="133">
        <v>0.965094836670179</v>
      </c>
      <c r="AN238" s="132">
        <v>0.99</v>
      </c>
      <c r="AO238" s="137">
        <v>1</v>
      </c>
      <c r="AP238" s="137">
        <v>1</v>
      </c>
      <c r="AQ238" s="137">
        <v>1</v>
      </c>
      <c r="AR238" s="137">
        <v>1</v>
      </c>
      <c r="AS238" s="158">
        <v>0.0922287257019438</v>
      </c>
      <c r="AT238" s="141">
        <v>0.0555555555555556</v>
      </c>
      <c r="AU238" s="141">
        <v>0</v>
      </c>
      <c r="AV238" s="141">
        <v>0</v>
      </c>
      <c r="AW238" s="141">
        <v>0.0766550522648084</v>
      </c>
      <c r="AX238" s="95"/>
      <c r="AY238" s="93"/>
    </row>
    <row r="239" ht="14.5" spans="1:51">
      <c r="A239" s="91"/>
      <c r="B239" s="95"/>
      <c r="C239" s="163" t="s">
        <v>260</v>
      </c>
      <c r="D239" s="153" t="s">
        <v>25</v>
      </c>
      <c r="E239" s="130" t="s">
        <v>261</v>
      </c>
      <c r="F239" s="164" t="s">
        <v>263</v>
      </c>
      <c r="G239" s="164" t="s">
        <v>263</v>
      </c>
      <c r="H239" s="164" t="s">
        <v>263</v>
      </c>
      <c r="I239" s="164" t="s">
        <v>263</v>
      </c>
      <c r="J239" s="132">
        <v>0.9</v>
      </c>
      <c r="K239" s="133">
        <v>0.774193548387097</v>
      </c>
      <c r="L239" s="133">
        <v>0.916666666666667</v>
      </c>
      <c r="M239" s="134">
        <v>0.672413793103448</v>
      </c>
      <c r="N239" s="133">
        <v>0.805555555555556</v>
      </c>
      <c r="O239" s="135">
        <v>0.9</v>
      </c>
      <c r="P239" s="133">
        <v>0.962962962962963</v>
      </c>
      <c r="Q239" s="133">
        <v>0.935398230088496</v>
      </c>
      <c r="R239" s="133">
        <v>0.816810344827586</v>
      </c>
      <c r="S239" s="133">
        <v>0.934856323848144</v>
      </c>
      <c r="T239" s="135">
        <v>0.9</v>
      </c>
      <c r="U239" s="133">
        <v>0.927609427609428</v>
      </c>
      <c r="V239" s="133">
        <v>0.911061946902655</v>
      </c>
      <c r="W239" s="133">
        <v>0.941810344827586</v>
      </c>
      <c r="X239" s="133">
        <v>0.934227085226875</v>
      </c>
      <c r="Y239" s="135">
        <v>0.92</v>
      </c>
      <c r="Z239" s="135">
        <v>0.971553610503282</v>
      </c>
      <c r="AA239" s="135">
        <v>0.943897637795276</v>
      </c>
      <c r="AB239" s="135">
        <v>0.972745490981964</v>
      </c>
      <c r="AC239" s="135">
        <v>0.978734244511885</v>
      </c>
      <c r="AD239" s="135">
        <v>0.92</v>
      </c>
      <c r="AE239" s="133">
        <v>0.997916666666667</v>
      </c>
      <c r="AF239" s="133">
        <v>0.867370892018779</v>
      </c>
      <c r="AG239" s="133">
        <v>0.995391705069124</v>
      </c>
      <c r="AH239" s="133">
        <v>0.982494756733185</v>
      </c>
      <c r="AI239" s="135">
        <v>0.92</v>
      </c>
      <c r="AJ239" s="133">
        <v>0.977373887240356</v>
      </c>
      <c r="AK239" s="133">
        <v>0.974977113213305</v>
      </c>
      <c r="AL239" s="133">
        <v>0.984211374254873</v>
      </c>
      <c r="AM239" s="133">
        <v>0.987467031356843</v>
      </c>
      <c r="AN239" s="132">
        <v>0.99</v>
      </c>
      <c r="AO239" s="137">
        <v>1</v>
      </c>
      <c r="AP239" s="137">
        <v>1</v>
      </c>
      <c r="AQ239" s="137">
        <v>1</v>
      </c>
      <c r="AR239" s="137">
        <v>1</v>
      </c>
      <c r="AS239" s="158">
        <v>0.0922287257019438</v>
      </c>
      <c r="AT239" s="141">
        <v>0.2</v>
      </c>
      <c r="AU239" s="141">
        <v>0</v>
      </c>
      <c r="AV239" s="141">
        <v>0</v>
      </c>
      <c r="AW239" s="141">
        <v>0.079136690647482</v>
      </c>
      <c r="AX239" s="95"/>
      <c r="AY239" s="93"/>
    </row>
    <row r="240" ht="14.5" spans="1:51">
      <c r="A240" s="91"/>
      <c r="B240" s="95"/>
      <c r="C240" s="163" t="s">
        <v>260</v>
      </c>
      <c r="D240" s="153" t="s">
        <v>25</v>
      </c>
      <c r="E240" s="130" t="s">
        <v>261</v>
      </c>
      <c r="F240" s="164" t="s">
        <v>264</v>
      </c>
      <c r="G240" s="164" t="s">
        <v>264</v>
      </c>
      <c r="H240" s="164" t="s">
        <v>264</v>
      </c>
      <c r="I240" s="164" t="s">
        <v>264</v>
      </c>
      <c r="J240" s="132">
        <v>0.9</v>
      </c>
      <c r="K240" s="133">
        <v>0.932432432432432</v>
      </c>
      <c r="L240" s="133">
        <v>0.960526315789474</v>
      </c>
      <c r="M240" s="134">
        <v>0.933333333333333</v>
      </c>
      <c r="N240" s="133">
        <v>0.96958981612447</v>
      </c>
      <c r="O240" s="135">
        <v>0.9</v>
      </c>
      <c r="P240" s="133">
        <v>0.980423113356489</v>
      </c>
      <c r="Q240" s="133">
        <v>0.982729920932168</v>
      </c>
      <c r="R240" s="133">
        <v>0.931901151361977</v>
      </c>
      <c r="S240" s="133">
        <v>0.958897685581087</v>
      </c>
      <c r="T240" s="135">
        <v>0.9</v>
      </c>
      <c r="U240" s="133">
        <v>0.95705715187875</v>
      </c>
      <c r="V240" s="133">
        <v>0.963171036204744</v>
      </c>
      <c r="W240" s="133">
        <v>0.950435270991295</v>
      </c>
      <c r="X240" s="133">
        <v>0.958502294189586</v>
      </c>
      <c r="Y240" s="135">
        <v>0.92</v>
      </c>
      <c r="Z240" s="135">
        <v>0.934806629834254</v>
      </c>
      <c r="AA240" s="135">
        <v>0.932894736842105</v>
      </c>
      <c r="AB240" s="135">
        <v>0.97293513765749</v>
      </c>
      <c r="AC240" s="135">
        <v>0.959934288582641</v>
      </c>
      <c r="AD240" s="135">
        <v>0.92</v>
      </c>
      <c r="AE240" s="133">
        <v>0.998708010335917</v>
      </c>
      <c r="AF240" s="133">
        <v>0.965083798882682</v>
      </c>
      <c r="AG240" s="133">
        <v>0.97158081705151</v>
      </c>
      <c r="AH240" s="133">
        <v>0.953582130209752</v>
      </c>
      <c r="AI240" s="135">
        <v>0.92</v>
      </c>
      <c r="AJ240" s="133">
        <v>0.972003929273084</v>
      </c>
      <c r="AK240" s="133">
        <v>0.981674452030183</v>
      </c>
      <c r="AL240" s="133">
        <v>0.987265270882797</v>
      </c>
      <c r="AM240" s="133">
        <v>0.983746610935382</v>
      </c>
      <c r="AN240" s="132">
        <v>0.99</v>
      </c>
      <c r="AO240" s="137">
        <v>1</v>
      </c>
      <c r="AP240" s="137">
        <v>1</v>
      </c>
      <c r="AQ240" s="137">
        <v>1</v>
      </c>
      <c r="AR240" s="137">
        <v>1</v>
      </c>
      <c r="AS240" s="158">
        <v>0.0922287257019438</v>
      </c>
      <c r="AT240" s="141">
        <v>0</v>
      </c>
      <c r="AU240" s="141">
        <v>0</v>
      </c>
      <c r="AV240" s="141">
        <v>0.2</v>
      </c>
      <c r="AW240" s="141">
        <v>0.132183908045977</v>
      </c>
      <c r="AX240" s="95"/>
      <c r="AY240" s="93"/>
    </row>
    <row r="241" ht="14.5" spans="1:51">
      <c r="A241" s="91"/>
      <c r="B241" s="95"/>
      <c r="C241" s="163" t="s">
        <v>260</v>
      </c>
      <c r="D241" s="153" t="s">
        <v>25</v>
      </c>
      <c r="E241" s="130" t="s">
        <v>261</v>
      </c>
      <c r="F241" s="164" t="s">
        <v>265</v>
      </c>
      <c r="G241" s="164" t="s">
        <v>265</v>
      </c>
      <c r="H241" s="164" t="s">
        <v>265</v>
      </c>
      <c r="I241" s="164" t="s">
        <v>265</v>
      </c>
      <c r="J241" s="132">
        <v>0.9</v>
      </c>
      <c r="K241" s="133">
        <v>0.984962406015038</v>
      </c>
      <c r="L241" s="133">
        <v>0.989583333333333</v>
      </c>
      <c r="M241" s="134">
        <v>1</v>
      </c>
      <c r="N241" s="133">
        <v>0.996467991169978</v>
      </c>
      <c r="O241" s="135">
        <v>0.9</v>
      </c>
      <c r="P241" s="133">
        <v>0.957677699403147</v>
      </c>
      <c r="Q241" s="133">
        <v>0.966076381480691</v>
      </c>
      <c r="R241" s="133">
        <v>0.870181174226945</v>
      </c>
      <c r="S241" s="133">
        <v>0.912299665506294</v>
      </c>
      <c r="T241" s="135">
        <v>0.9</v>
      </c>
      <c r="U241" s="133">
        <v>0.929734129137276</v>
      </c>
      <c r="V241" s="133">
        <v>0.9310859825048</v>
      </c>
      <c r="W241" s="133">
        <v>0.936384688734505</v>
      </c>
      <c r="X241" s="133">
        <v>0.935756781370488</v>
      </c>
      <c r="Y241" s="135">
        <v>0.92</v>
      </c>
      <c r="Z241" s="135">
        <v>0.96039603960396</v>
      </c>
      <c r="AA241" s="135">
        <v>0.927634774162215</v>
      </c>
      <c r="AB241" s="135">
        <v>0.965277777777778</v>
      </c>
      <c r="AC241" s="135">
        <v>0.96685734058543</v>
      </c>
      <c r="AD241" s="135">
        <v>0.92</v>
      </c>
      <c r="AE241" s="133">
        <v>0.972886762360447</v>
      </c>
      <c r="AF241" s="133">
        <v>0.991239892183288</v>
      </c>
      <c r="AG241" s="133">
        <v>0.997495446265938</v>
      </c>
      <c r="AH241" s="133">
        <v>0.966300935006966</v>
      </c>
      <c r="AI241" s="135">
        <v>0.92</v>
      </c>
      <c r="AJ241" s="133">
        <v>0.970930232558139</v>
      </c>
      <c r="AK241" s="133">
        <v>0.967555555555556</v>
      </c>
      <c r="AL241" s="133">
        <v>0.979486351154902</v>
      </c>
      <c r="AM241" s="133">
        <v>0.98007638022495</v>
      </c>
      <c r="AN241" s="132">
        <v>0.99</v>
      </c>
      <c r="AO241" s="137">
        <v>1</v>
      </c>
      <c r="AP241" s="137">
        <v>1</v>
      </c>
      <c r="AQ241" s="137">
        <v>1</v>
      </c>
      <c r="AR241" s="137">
        <v>1</v>
      </c>
      <c r="AS241" s="158">
        <v>0.0922287257019438</v>
      </c>
      <c r="AT241" s="141">
        <v>0.272727272727273</v>
      </c>
      <c r="AU241" s="141">
        <v>0.222222222222222</v>
      </c>
      <c r="AV241" s="141">
        <v>0.0588235294117647</v>
      </c>
      <c r="AW241" s="141">
        <v>0.061381074168798</v>
      </c>
      <c r="AX241" s="95"/>
      <c r="AY241" s="93"/>
    </row>
    <row r="242" ht="14.5" spans="1:51">
      <c r="A242" s="91"/>
      <c r="B242" s="95"/>
      <c r="C242" s="163" t="s">
        <v>260</v>
      </c>
      <c r="D242" s="153" t="s">
        <v>25</v>
      </c>
      <c r="E242" s="130" t="s">
        <v>261</v>
      </c>
      <c r="F242" s="164" t="s">
        <v>266</v>
      </c>
      <c r="G242" s="164" t="s">
        <v>266</v>
      </c>
      <c r="H242" s="164" t="s">
        <v>266</v>
      </c>
      <c r="I242" s="164" t="s">
        <v>266</v>
      </c>
      <c r="J242" s="132">
        <v>0.9</v>
      </c>
      <c r="K242" s="133">
        <v>0.98989898989899</v>
      </c>
      <c r="L242" s="133">
        <v>1</v>
      </c>
      <c r="M242" s="134">
        <v>0.979166666666667</v>
      </c>
      <c r="N242" s="133">
        <v>0.984444444444444</v>
      </c>
      <c r="O242" s="135">
        <v>0.9</v>
      </c>
      <c r="P242" s="133">
        <v>0.967895660897918</v>
      </c>
      <c r="Q242" s="133">
        <v>0.980176211453744</v>
      </c>
      <c r="R242" s="133">
        <v>0.981435643564356</v>
      </c>
      <c r="S242" s="133">
        <v>0.977268059853694</v>
      </c>
      <c r="T242" s="135">
        <v>0.9</v>
      </c>
      <c r="U242" s="133">
        <v>0.937547027840482</v>
      </c>
      <c r="V242" s="133">
        <v>0.953236191121654</v>
      </c>
      <c r="W242" s="133">
        <v>0.963771377137714</v>
      </c>
      <c r="X242" s="133">
        <v>0.958487653228148</v>
      </c>
      <c r="Y242" s="135">
        <v>0.92</v>
      </c>
      <c r="Z242" s="135">
        <v>0.963878326996198</v>
      </c>
      <c r="AA242" s="135">
        <v>0.890518084066471</v>
      </c>
      <c r="AB242" s="135">
        <v>0.971622193985599</v>
      </c>
      <c r="AC242" s="135">
        <v>0.97504978329624</v>
      </c>
      <c r="AD242" s="135">
        <v>0.92</v>
      </c>
      <c r="AE242" s="133">
        <v>0.998574543015261</v>
      </c>
      <c r="AF242" s="133">
        <v>0.527540360873694</v>
      </c>
      <c r="AG242" s="133">
        <v>0.951771387361399</v>
      </c>
      <c r="AH242" s="133">
        <v>0.953014651150124</v>
      </c>
      <c r="AI242" s="135">
        <v>0.92</v>
      </c>
      <c r="AJ242" s="133">
        <v>0.97955943639611</v>
      </c>
      <c r="AK242" s="133">
        <v>0.970112619116373</v>
      </c>
      <c r="AL242" s="133">
        <v>0.986755555555556</v>
      </c>
      <c r="AM242" s="133">
        <v>0.987063973247057</v>
      </c>
      <c r="AN242" s="132">
        <v>0.99</v>
      </c>
      <c r="AO242" s="137">
        <v>1</v>
      </c>
      <c r="AP242" s="137">
        <v>1</v>
      </c>
      <c r="AQ242" s="137">
        <v>1</v>
      </c>
      <c r="AR242" s="137">
        <v>1</v>
      </c>
      <c r="AS242" s="158">
        <v>0.0922287257019438</v>
      </c>
      <c r="AT242" s="141">
        <v>0.111111111111111</v>
      </c>
      <c r="AU242" s="141">
        <v>0.111111111111111</v>
      </c>
      <c r="AV242" s="141">
        <v>0.125</v>
      </c>
      <c r="AW242" s="141">
        <v>0.105072463768116</v>
      </c>
      <c r="AX242" s="95"/>
      <c r="AY242" s="93"/>
    </row>
    <row r="243" ht="14.5" spans="1:51">
      <c r="A243" s="91"/>
      <c r="B243" s="95"/>
      <c r="C243" s="163" t="s">
        <v>260</v>
      </c>
      <c r="D243" s="153" t="s">
        <v>25</v>
      </c>
      <c r="E243" s="130" t="s">
        <v>261</v>
      </c>
      <c r="F243" s="164" t="s">
        <v>267</v>
      </c>
      <c r="G243" s="164" t="s">
        <v>267</v>
      </c>
      <c r="H243" s="164" t="s">
        <v>267</v>
      </c>
      <c r="I243" s="164" t="s">
        <v>267</v>
      </c>
      <c r="J243" s="132">
        <v>0.9</v>
      </c>
      <c r="K243" s="133">
        <v>0.839622641509434</v>
      </c>
      <c r="L243" s="133">
        <v>0.734939759036145</v>
      </c>
      <c r="M243" s="134">
        <v>0.819148936170213</v>
      </c>
      <c r="N243" s="133">
        <v>0.749570200573066</v>
      </c>
      <c r="O243" s="135">
        <v>0.9</v>
      </c>
      <c r="P243" s="133">
        <v>0.95500143307538</v>
      </c>
      <c r="Q243" s="133">
        <v>0.950719170007074</v>
      </c>
      <c r="R243" s="133">
        <v>0.952201849239931</v>
      </c>
      <c r="S243" s="133">
        <v>0.931427203065134</v>
      </c>
      <c r="T243" s="135">
        <v>0.9</v>
      </c>
      <c r="U243" s="133">
        <v>0.924047004872456</v>
      </c>
      <c r="V243" s="133">
        <v>0.916293327045508</v>
      </c>
      <c r="W243" s="133">
        <v>0.921799091051559</v>
      </c>
      <c r="X243" s="133">
        <v>0.926350574712644</v>
      </c>
      <c r="Y243" s="135">
        <v>0.92</v>
      </c>
      <c r="Z243" s="135">
        <v>0.948422330097087</v>
      </c>
      <c r="AA243" s="135">
        <v>0.921804511278196</v>
      </c>
      <c r="AB243" s="135">
        <v>0.950367647058823</v>
      </c>
      <c r="AC243" s="135">
        <v>0.956335889082135</v>
      </c>
      <c r="AD243" s="135">
        <v>0.92</v>
      </c>
      <c r="AE243" s="133">
        <v>0.997236981934113</v>
      </c>
      <c r="AF243" s="133">
        <v>0.998085391537431</v>
      </c>
      <c r="AG243" s="133">
        <v>0.999360153563145</v>
      </c>
      <c r="AH243" s="133">
        <v>0.947910900403115</v>
      </c>
      <c r="AI243" s="135">
        <v>0.92</v>
      </c>
      <c r="AJ243" s="133">
        <v>0.968476357267951</v>
      </c>
      <c r="AK243" s="133">
        <v>0.95302228635562</v>
      </c>
      <c r="AL243" s="133">
        <v>0.969442891745854</v>
      </c>
      <c r="AM243" s="133">
        <v>0.971980998237393</v>
      </c>
      <c r="AN243" s="132">
        <v>0.99</v>
      </c>
      <c r="AO243" s="137">
        <v>1</v>
      </c>
      <c r="AP243" s="137">
        <v>1</v>
      </c>
      <c r="AQ243" s="137">
        <v>1</v>
      </c>
      <c r="AR243" s="137">
        <v>1</v>
      </c>
      <c r="AS243" s="158">
        <v>0.0922287257019438</v>
      </c>
      <c r="AT243" s="141">
        <v>0.2</v>
      </c>
      <c r="AU243" s="141">
        <v>0</v>
      </c>
      <c r="AV243" s="141">
        <v>0.125</v>
      </c>
      <c r="AW243" s="141">
        <v>0.0775</v>
      </c>
      <c r="AX243" s="95"/>
      <c r="AY243" s="93"/>
    </row>
    <row r="244" ht="14.5" spans="1:51">
      <c r="A244" s="91"/>
      <c r="B244" s="95"/>
      <c r="C244" s="163" t="s">
        <v>260</v>
      </c>
      <c r="D244" s="153" t="s">
        <v>25</v>
      </c>
      <c r="E244" s="130" t="s">
        <v>261</v>
      </c>
      <c r="F244" s="164" t="s">
        <v>268</v>
      </c>
      <c r="G244" s="164" t="s">
        <v>268</v>
      </c>
      <c r="H244" s="164" t="s">
        <v>268</v>
      </c>
      <c r="I244" s="164" t="s">
        <v>268</v>
      </c>
      <c r="J244" s="132">
        <v>0.9</v>
      </c>
      <c r="K244" s="133">
        <v>0.902912621359223</v>
      </c>
      <c r="L244" s="133">
        <v>0.965909090909091</v>
      </c>
      <c r="M244" s="134">
        <v>0.950980392156863</v>
      </c>
      <c r="N244" s="133">
        <v>0.935</v>
      </c>
      <c r="O244" s="135">
        <v>0.9</v>
      </c>
      <c r="P244" s="133">
        <v>0.974955277280859</v>
      </c>
      <c r="Q244" s="133">
        <v>0.927536231884058</v>
      </c>
      <c r="R244" s="133">
        <v>0.951347440766866</v>
      </c>
      <c r="S244" s="133">
        <v>0.945168761241932</v>
      </c>
      <c r="T244" s="135">
        <v>0.9</v>
      </c>
      <c r="U244" s="133">
        <v>0.939574637249056</v>
      </c>
      <c r="V244" s="133">
        <v>0.944640292466379</v>
      </c>
      <c r="W244" s="133">
        <v>0.950714414903237</v>
      </c>
      <c r="X244" s="133">
        <v>0.93043227801225</v>
      </c>
      <c r="Y244" s="135">
        <v>0.92</v>
      </c>
      <c r="Z244" s="135">
        <v>0.960711638250556</v>
      </c>
      <c r="AA244" s="135">
        <v>0.960829493087558</v>
      </c>
      <c r="AB244" s="135">
        <v>0.971238268240993</v>
      </c>
      <c r="AC244" s="135">
        <v>0.974202036380277</v>
      </c>
      <c r="AD244" s="135">
        <v>0.92</v>
      </c>
      <c r="AE244" s="133">
        <v>0.996102449888641</v>
      </c>
      <c r="AF244" s="133">
        <v>0.906716417910448</v>
      </c>
      <c r="AG244" s="133">
        <v>0.969088098918083</v>
      </c>
      <c r="AH244" s="133">
        <v>0.954138398914518</v>
      </c>
      <c r="AI244" s="135">
        <v>0.92</v>
      </c>
      <c r="AJ244" s="133">
        <v>0.976018808777429</v>
      </c>
      <c r="AK244" s="133">
        <v>0.98158687646468</v>
      </c>
      <c r="AL244" s="133">
        <v>0.982594165564297</v>
      </c>
      <c r="AM244" s="133">
        <v>0.984289147965946</v>
      </c>
      <c r="AN244" s="132">
        <v>0.99</v>
      </c>
      <c r="AO244" s="137">
        <v>1</v>
      </c>
      <c r="AP244" s="137">
        <v>1</v>
      </c>
      <c r="AQ244" s="137">
        <v>1</v>
      </c>
      <c r="AR244" s="137">
        <v>1</v>
      </c>
      <c r="AS244" s="158">
        <v>0.0922287257019438</v>
      </c>
      <c r="AT244" s="141">
        <v>0.111111111111111</v>
      </c>
      <c r="AU244" s="141">
        <v>0</v>
      </c>
      <c r="AV244" s="141">
        <v>0.1</v>
      </c>
      <c r="AW244" s="141">
        <v>0.10472972972973</v>
      </c>
      <c r="AX244" s="95"/>
      <c r="AY244" s="93"/>
    </row>
    <row r="245" ht="14.5" spans="1:51">
      <c r="A245" s="91"/>
      <c r="B245" s="95"/>
      <c r="C245" s="163" t="s">
        <v>260</v>
      </c>
      <c r="D245" s="153" t="s">
        <v>25</v>
      </c>
      <c r="E245" s="130" t="s">
        <v>261</v>
      </c>
      <c r="F245" s="164" t="s">
        <v>269</v>
      </c>
      <c r="G245" s="164" t="s">
        <v>269</v>
      </c>
      <c r="H245" s="164" t="s">
        <v>269</v>
      </c>
      <c r="I245" s="164" t="s">
        <v>269</v>
      </c>
      <c r="J245" s="132">
        <v>0.9</v>
      </c>
      <c r="K245" s="133">
        <v>0.967391304347826</v>
      </c>
      <c r="L245" s="133">
        <v>1</v>
      </c>
      <c r="M245" s="134">
        <v>0.876543209876543</v>
      </c>
      <c r="N245" s="133">
        <v>0.917808219178082</v>
      </c>
      <c r="O245" s="135">
        <v>0.9</v>
      </c>
      <c r="P245" s="133">
        <v>0.934557595993322</v>
      </c>
      <c r="Q245" s="133">
        <v>0.979237770193402</v>
      </c>
      <c r="R245" s="133">
        <v>0.962035074195413</v>
      </c>
      <c r="S245" s="133">
        <v>0.963173875680321</v>
      </c>
      <c r="T245" s="135">
        <v>0.9</v>
      </c>
      <c r="U245" s="133">
        <v>0.885809682804674</v>
      </c>
      <c r="V245" s="133">
        <v>0.928327645051195</v>
      </c>
      <c r="W245" s="133">
        <v>0.90980921179418</v>
      </c>
      <c r="X245" s="133">
        <v>0.919461472357491</v>
      </c>
      <c r="Y245" s="135">
        <v>0.92</v>
      </c>
      <c r="Z245" s="135">
        <v>0.955183946488294</v>
      </c>
      <c r="AA245" s="135">
        <v>0.946902654867257</v>
      </c>
      <c r="AB245" s="135">
        <v>0.967156208277704</v>
      </c>
      <c r="AC245" s="135">
        <v>0.972810058839608</v>
      </c>
      <c r="AD245" s="135">
        <v>0.92</v>
      </c>
      <c r="AE245" s="133">
        <v>0.998226164079823</v>
      </c>
      <c r="AF245" s="133">
        <v>0.940340909090909</v>
      </c>
      <c r="AG245" s="133">
        <v>0.973300426295715</v>
      </c>
      <c r="AH245" s="133">
        <v>0.97343585422372</v>
      </c>
      <c r="AI245" s="135">
        <v>0.92</v>
      </c>
      <c r="AJ245" s="133">
        <v>0.946547884187082</v>
      </c>
      <c r="AK245" s="133">
        <v>0.974921630094044</v>
      </c>
      <c r="AL245" s="133">
        <v>0.980416293643688</v>
      </c>
      <c r="AM245" s="133">
        <v>0.982692871809915</v>
      </c>
      <c r="AN245" s="132">
        <v>0.99</v>
      </c>
      <c r="AO245" s="137">
        <v>1</v>
      </c>
      <c r="AP245" s="137">
        <v>1</v>
      </c>
      <c r="AQ245" s="137">
        <v>1</v>
      </c>
      <c r="AR245" s="137">
        <v>1</v>
      </c>
      <c r="AS245" s="158">
        <v>0.0922287257019438</v>
      </c>
      <c r="AT245" s="141">
        <v>0.142857142857143</v>
      </c>
      <c r="AU245" s="141">
        <v>0.0833333333333333</v>
      </c>
      <c r="AV245" s="141">
        <v>0.0714285714285714</v>
      </c>
      <c r="AW245" s="141">
        <v>0.0884353741496599</v>
      </c>
      <c r="AX245" s="95"/>
      <c r="AY245" s="93"/>
    </row>
    <row r="246" ht="14.5" spans="1:51">
      <c r="A246" s="91"/>
      <c r="B246" s="95"/>
      <c r="C246" s="163" t="s">
        <v>260</v>
      </c>
      <c r="D246" s="153" t="s">
        <v>125</v>
      </c>
      <c r="E246" s="130" t="s">
        <v>261</v>
      </c>
      <c r="F246" s="164" t="s">
        <v>270</v>
      </c>
      <c r="G246" s="164" t="s">
        <v>270</v>
      </c>
      <c r="H246" s="164" t="s">
        <v>270</v>
      </c>
      <c r="I246" s="164" t="s">
        <v>270</v>
      </c>
      <c r="J246" s="132">
        <v>0.9</v>
      </c>
      <c r="K246" s="133" t="s">
        <v>35</v>
      </c>
      <c r="L246" s="133" t="s">
        <v>35</v>
      </c>
      <c r="M246" s="134" t="s">
        <v>35</v>
      </c>
      <c r="N246" s="133" t="s">
        <v>35</v>
      </c>
      <c r="O246" s="135">
        <v>0.9</v>
      </c>
      <c r="P246" s="133" t="s">
        <v>35</v>
      </c>
      <c r="Q246" s="133" t="s">
        <v>35</v>
      </c>
      <c r="R246" s="133" t="s">
        <v>35</v>
      </c>
      <c r="S246" s="133">
        <v>0</v>
      </c>
      <c r="T246" s="135">
        <v>0.9</v>
      </c>
      <c r="U246" s="133" t="s">
        <v>35</v>
      </c>
      <c r="V246" s="133" t="s">
        <v>35</v>
      </c>
      <c r="W246" s="133" t="s">
        <v>35</v>
      </c>
      <c r="X246" s="133">
        <v>1</v>
      </c>
      <c r="Y246" s="135">
        <v>0.92</v>
      </c>
      <c r="Z246" s="135" t="s">
        <v>35</v>
      </c>
      <c r="AA246" s="135" t="s">
        <v>35</v>
      </c>
      <c r="AB246" s="135" t="s">
        <v>35</v>
      </c>
      <c r="AC246" s="135">
        <v>0</v>
      </c>
      <c r="AD246" s="135">
        <v>0.92</v>
      </c>
      <c r="AE246" s="133">
        <v>1</v>
      </c>
      <c r="AF246" s="133">
        <v>0.996742671009772</v>
      </c>
      <c r="AG246" s="133">
        <v>0.994623655913978</v>
      </c>
      <c r="AH246" s="133">
        <v>0.986403427081393</v>
      </c>
      <c r="AI246" s="135">
        <v>0.92</v>
      </c>
      <c r="AJ246" s="133" t="s">
        <v>35</v>
      </c>
      <c r="AK246" s="133" t="s">
        <v>35</v>
      </c>
      <c r="AL246" s="133" t="s">
        <v>35</v>
      </c>
      <c r="AM246" s="133">
        <v>0.5</v>
      </c>
      <c r="AN246" s="132">
        <v>0.99</v>
      </c>
      <c r="AO246" s="137">
        <v>1</v>
      </c>
      <c r="AP246" s="137">
        <v>1</v>
      </c>
      <c r="AQ246" s="137">
        <v>1</v>
      </c>
      <c r="AR246" s="137">
        <v>1</v>
      </c>
      <c r="AS246" s="158">
        <v>0.0922287257019438</v>
      </c>
      <c r="AT246" s="141" t="s">
        <v>35</v>
      </c>
      <c r="AU246" s="141" t="s">
        <v>35</v>
      </c>
      <c r="AV246" s="141" t="s">
        <v>35</v>
      </c>
      <c r="AW246" s="141" t="s">
        <v>35</v>
      </c>
      <c r="AX246" s="95"/>
      <c r="AY246" s="93"/>
    </row>
    <row r="247" ht="14.5" spans="1:51">
      <c r="A247" s="91"/>
      <c r="B247" s="95"/>
      <c r="C247" s="163" t="s">
        <v>260</v>
      </c>
      <c r="D247" s="153" t="s">
        <v>25</v>
      </c>
      <c r="E247" s="130" t="s">
        <v>261</v>
      </c>
      <c r="F247" s="164" t="s">
        <v>271</v>
      </c>
      <c r="G247" s="164" t="s">
        <v>271</v>
      </c>
      <c r="H247" s="164" t="s">
        <v>271</v>
      </c>
      <c r="I247" s="164" t="s">
        <v>271</v>
      </c>
      <c r="J247" s="132">
        <v>0.9</v>
      </c>
      <c r="K247" s="133">
        <v>0.857142857142857</v>
      </c>
      <c r="L247" s="133">
        <v>0.769230769230769</v>
      </c>
      <c r="M247" s="134">
        <v>0.923076923076923</v>
      </c>
      <c r="N247" s="133">
        <v>0.837301587301587</v>
      </c>
      <c r="O247" s="135">
        <v>0.9</v>
      </c>
      <c r="P247" s="133">
        <v>0.95676429567643</v>
      </c>
      <c r="Q247" s="133">
        <v>0.956803455723542</v>
      </c>
      <c r="R247" s="133">
        <v>0.985380116959064</v>
      </c>
      <c r="S247" s="133">
        <v>0.961545810642973</v>
      </c>
      <c r="T247" s="135">
        <v>0.9</v>
      </c>
      <c r="U247" s="133">
        <v>0.914923291492329</v>
      </c>
      <c r="V247" s="133">
        <v>0.896328293736501</v>
      </c>
      <c r="W247" s="133">
        <v>0.889619883040936</v>
      </c>
      <c r="X247" s="133">
        <v>0.924190312410433</v>
      </c>
      <c r="Y247" s="135">
        <v>0.92</v>
      </c>
      <c r="Z247" s="135">
        <v>0.92817679558011</v>
      </c>
      <c r="AA247" s="135">
        <v>0.896629213483146</v>
      </c>
      <c r="AB247" s="135">
        <v>0.942350332594235</v>
      </c>
      <c r="AC247" s="135">
        <v>0.952793714143178</v>
      </c>
      <c r="AD247" s="135">
        <v>0.92</v>
      </c>
      <c r="AE247" s="133">
        <v>0.994976021922813</v>
      </c>
      <c r="AF247" s="133">
        <v>0.259856630824373</v>
      </c>
      <c r="AG247" s="133">
        <v>0.999523752827718</v>
      </c>
      <c r="AH247" s="133">
        <v>0.983850332278134</v>
      </c>
      <c r="AI247" s="135">
        <v>0.92</v>
      </c>
      <c r="AJ247" s="133">
        <v>0.944444444444444</v>
      </c>
      <c r="AK247" s="133">
        <v>0.915390226112327</v>
      </c>
      <c r="AL247" s="133">
        <v>0.961250550418318</v>
      </c>
      <c r="AM247" s="133">
        <v>0.96841792174783</v>
      </c>
      <c r="AN247" s="132">
        <v>0.99</v>
      </c>
      <c r="AO247" s="137">
        <v>1</v>
      </c>
      <c r="AP247" s="137">
        <v>1</v>
      </c>
      <c r="AQ247" s="137">
        <v>1</v>
      </c>
      <c r="AR247" s="137">
        <v>1</v>
      </c>
      <c r="AS247" s="158">
        <v>0.0922287257019438</v>
      </c>
      <c r="AT247" s="141">
        <v>0</v>
      </c>
      <c r="AU247" s="141">
        <v>0</v>
      </c>
      <c r="AV247" s="141">
        <v>0</v>
      </c>
      <c r="AW247" s="141">
        <v>0.0660377358490566</v>
      </c>
      <c r="AX247" s="95"/>
      <c r="AY247" s="93"/>
    </row>
    <row r="248" ht="14.5" spans="1:51">
      <c r="A248" s="91"/>
      <c r="B248" s="95"/>
      <c r="C248" s="163" t="s">
        <v>260</v>
      </c>
      <c r="D248" s="153" t="s">
        <v>125</v>
      </c>
      <c r="E248" s="130" t="s">
        <v>261</v>
      </c>
      <c r="F248" s="164" t="s">
        <v>272</v>
      </c>
      <c r="G248" s="164" t="s">
        <v>272</v>
      </c>
      <c r="H248" s="164" t="s">
        <v>272</v>
      </c>
      <c r="I248" s="164" t="s">
        <v>272</v>
      </c>
      <c r="J248" s="132">
        <v>0.9</v>
      </c>
      <c r="K248" s="133" t="s">
        <v>35</v>
      </c>
      <c r="L248" s="133" t="s">
        <v>35</v>
      </c>
      <c r="M248" s="134" t="s">
        <v>35</v>
      </c>
      <c r="N248" s="133" t="s">
        <v>35</v>
      </c>
      <c r="O248" s="135">
        <v>0.9</v>
      </c>
      <c r="P248" s="133">
        <v>1</v>
      </c>
      <c r="Q248" s="133">
        <v>0.333333333333333</v>
      </c>
      <c r="R248" s="133">
        <v>0</v>
      </c>
      <c r="S248" s="133">
        <v>0.5</v>
      </c>
      <c r="T248" s="135">
        <v>0.9</v>
      </c>
      <c r="U248" s="133">
        <v>1</v>
      </c>
      <c r="V248" s="133">
        <v>0</v>
      </c>
      <c r="W248" s="133">
        <v>0</v>
      </c>
      <c r="X248" s="133">
        <v>0.4</v>
      </c>
      <c r="Y248" s="135">
        <v>0.92</v>
      </c>
      <c r="Z248" s="135" t="s">
        <v>35</v>
      </c>
      <c r="AA248" s="135" t="s">
        <v>35</v>
      </c>
      <c r="AB248" s="135" t="s">
        <v>35</v>
      </c>
      <c r="AC248" s="135">
        <v>0.5</v>
      </c>
      <c r="AD248" s="135">
        <v>0.92</v>
      </c>
      <c r="AE248" s="133">
        <v>0.97913769123783</v>
      </c>
      <c r="AF248" s="133">
        <v>0.978723404255319</v>
      </c>
      <c r="AG248" s="133">
        <v>0.998846290379837</v>
      </c>
      <c r="AH248" s="133">
        <v>0.967099089686663</v>
      </c>
      <c r="AI248" s="135">
        <v>0.92</v>
      </c>
      <c r="AJ248" s="133">
        <v>1</v>
      </c>
      <c r="AK248" s="133">
        <v>0</v>
      </c>
      <c r="AL248" s="133">
        <v>0</v>
      </c>
      <c r="AM248" s="133">
        <v>0.466666666666667</v>
      </c>
      <c r="AN248" s="132">
        <v>0.99</v>
      </c>
      <c r="AO248" s="137" t="s">
        <v>35</v>
      </c>
      <c r="AP248" s="137" t="s">
        <v>35</v>
      </c>
      <c r="AQ248" s="137" t="s">
        <v>35</v>
      </c>
      <c r="AR248" s="137">
        <v>1</v>
      </c>
      <c r="AS248" s="158">
        <v>0.0922287257019438</v>
      </c>
      <c r="AT248" s="141" t="s">
        <v>35</v>
      </c>
      <c r="AU248" s="141" t="s">
        <v>35</v>
      </c>
      <c r="AV248" s="141" t="s">
        <v>35</v>
      </c>
      <c r="AW248" s="141" t="s">
        <v>35</v>
      </c>
      <c r="AX248" s="95"/>
      <c r="AY248" s="93"/>
    </row>
    <row r="249" ht="14.5" spans="1:51">
      <c r="A249" s="91"/>
      <c r="B249" s="95"/>
      <c r="C249" s="163" t="s">
        <v>260</v>
      </c>
      <c r="D249" s="153" t="s">
        <v>125</v>
      </c>
      <c r="E249" s="130" t="s">
        <v>261</v>
      </c>
      <c r="F249" s="164" t="s">
        <v>273</v>
      </c>
      <c r="G249" s="164" t="s">
        <v>273</v>
      </c>
      <c r="H249" s="164" t="s">
        <v>273</v>
      </c>
      <c r="I249" s="164" t="s">
        <v>273</v>
      </c>
      <c r="J249" s="132">
        <v>0.9</v>
      </c>
      <c r="K249" s="133" t="s">
        <v>35</v>
      </c>
      <c r="L249" s="133" t="s">
        <v>35</v>
      </c>
      <c r="M249" s="134" t="s">
        <v>35</v>
      </c>
      <c r="N249" s="133" t="s">
        <v>35</v>
      </c>
      <c r="O249" s="135">
        <v>0.9</v>
      </c>
      <c r="P249" s="133" t="s">
        <v>35</v>
      </c>
      <c r="Q249" s="133" t="s">
        <v>35</v>
      </c>
      <c r="R249" s="133" t="s">
        <v>35</v>
      </c>
      <c r="S249" s="133">
        <v>1</v>
      </c>
      <c r="T249" s="135">
        <v>0.9</v>
      </c>
      <c r="U249" s="133" t="s">
        <v>35</v>
      </c>
      <c r="V249" s="133" t="s">
        <v>35</v>
      </c>
      <c r="W249" s="133" t="s">
        <v>35</v>
      </c>
      <c r="X249" s="133">
        <v>1</v>
      </c>
      <c r="Y249" s="135">
        <v>0.92</v>
      </c>
      <c r="Z249" s="135" t="s">
        <v>35</v>
      </c>
      <c r="AA249" s="135" t="s">
        <v>35</v>
      </c>
      <c r="AB249" s="135" t="s">
        <v>35</v>
      </c>
      <c r="AC249" s="135" t="s">
        <v>35</v>
      </c>
      <c r="AD249" s="135">
        <v>0.92</v>
      </c>
      <c r="AE249" s="133">
        <v>0.837923728813559</v>
      </c>
      <c r="AF249" s="133">
        <v>1</v>
      </c>
      <c r="AG249" s="133">
        <v>1</v>
      </c>
      <c r="AH249" s="133">
        <v>0.989640251413411</v>
      </c>
      <c r="AI249" s="135">
        <v>0.92</v>
      </c>
      <c r="AJ249" s="133" t="s">
        <v>35</v>
      </c>
      <c r="AK249" s="133" t="s">
        <v>35</v>
      </c>
      <c r="AL249" s="133" t="s">
        <v>35</v>
      </c>
      <c r="AM249" s="133">
        <v>0.666666666666667</v>
      </c>
      <c r="AN249" s="132">
        <v>0.99</v>
      </c>
      <c r="AO249" s="137">
        <v>1</v>
      </c>
      <c r="AP249" s="137">
        <v>1</v>
      </c>
      <c r="AQ249" s="137">
        <v>1</v>
      </c>
      <c r="AR249" s="137">
        <v>1</v>
      </c>
      <c r="AS249" s="158">
        <v>0.0922287257019438</v>
      </c>
      <c r="AT249" s="141" t="s">
        <v>35</v>
      </c>
      <c r="AU249" s="141" t="s">
        <v>35</v>
      </c>
      <c r="AV249" s="141" t="s">
        <v>35</v>
      </c>
      <c r="AW249" s="141">
        <v>1</v>
      </c>
      <c r="AX249" s="95"/>
      <c r="AY249" s="93"/>
    </row>
    <row r="250" ht="14.5" spans="1:51">
      <c r="A250" s="91"/>
      <c r="B250" s="95"/>
      <c r="C250" s="163" t="s">
        <v>260</v>
      </c>
      <c r="D250" s="153" t="s">
        <v>125</v>
      </c>
      <c r="E250" s="130" t="s">
        <v>261</v>
      </c>
      <c r="F250" s="164" t="s">
        <v>274</v>
      </c>
      <c r="G250" s="164" t="s">
        <v>274</v>
      </c>
      <c r="H250" s="164" t="s">
        <v>274</v>
      </c>
      <c r="I250" s="164" t="s">
        <v>274</v>
      </c>
      <c r="J250" s="132">
        <v>0.9</v>
      </c>
      <c r="K250" s="133" t="s">
        <v>35</v>
      </c>
      <c r="L250" s="133" t="s">
        <v>35</v>
      </c>
      <c r="M250" s="134" t="s">
        <v>35</v>
      </c>
      <c r="N250" s="133" t="s">
        <v>35</v>
      </c>
      <c r="O250" s="135">
        <v>0.9</v>
      </c>
      <c r="P250" s="133">
        <v>0.5</v>
      </c>
      <c r="Q250" s="133">
        <v>0.466666666666667</v>
      </c>
      <c r="R250" s="133">
        <v>0.368421052631579</v>
      </c>
      <c r="S250" s="133">
        <v>0.64</v>
      </c>
      <c r="T250" s="135">
        <v>0.9</v>
      </c>
      <c r="U250" s="133">
        <v>0.833333333333333</v>
      </c>
      <c r="V250" s="133">
        <v>0.533333333333333</v>
      </c>
      <c r="W250" s="133">
        <v>0.421052631578947</v>
      </c>
      <c r="X250" s="133">
        <v>0.755</v>
      </c>
      <c r="Y250" s="135">
        <v>0.92</v>
      </c>
      <c r="Z250" s="135">
        <v>0</v>
      </c>
      <c r="AA250" s="135">
        <v>0.5</v>
      </c>
      <c r="AB250" s="135">
        <v>1</v>
      </c>
      <c r="AC250" s="135">
        <v>0.625</v>
      </c>
      <c r="AD250" s="135">
        <v>0.92</v>
      </c>
      <c r="AE250" s="133">
        <v>0.969305331179321</v>
      </c>
      <c r="AF250" s="133">
        <v>0.979551122194514</v>
      </c>
      <c r="AG250" s="133">
        <v>0.898100851342502</v>
      </c>
      <c r="AH250" s="133">
        <v>0.802476086065473</v>
      </c>
      <c r="AI250" s="135">
        <v>0.92</v>
      </c>
      <c r="AJ250" s="133">
        <v>0.705882352941177</v>
      </c>
      <c r="AK250" s="133">
        <v>0.529411764705882</v>
      </c>
      <c r="AL250" s="133">
        <v>0.541666666666667</v>
      </c>
      <c r="AM250" s="133">
        <v>0.786008230452675</v>
      </c>
      <c r="AN250" s="132">
        <v>0.99</v>
      </c>
      <c r="AO250" s="137">
        <v>1</v>
      </c>
      <c r="AP250" s="137">
        <v>1</v>
      </c>
      <c r="AQ250" s="137">
        <v>1</v>
      </c>
      <c r="AR250" s="137">
        <v>1</v>
      </c>
      <c r="AS250" s="158">
        <v>0.0922287257019438</v>
      </c>
      <c r="AT250" s="141" t="s">
        <v>35</v>
      </c>
      <c r="AU250" s="141" t="s">
        <v>35</v>
      </c>
      <c r="AV250" s="141" t="s">
        <v>35</v>
      </c>
      <c r="AW250" s="141" t="s">
        <v>35</v>
      </c>
      <c r="AX250" s="95"/>
      <c r="AY250" s="93"/>
    </row>
    <row r="251" ht="14.5" spans="1:51">
      <c r="A251" s="91"/>
      <c r="B251" s="95"/>
      <c r="C251" s="163" t="s">
        <v>260</v>
      </c>
      <c r="D251" s="153" t="s">
        <v>125</v>
      </c>
      <c r="E251" s="130" t="s">
        <v>261</v>
      </c>
      <c r="F251" s="164" t="s">
        <v>275</v>
      </c>
      <c r="G251" s="164" t="s">
        <v>275</v>
      </c>
      <c r="H251" s="164" t="s">
        <v>275</v>
      </c>
      <c r="I251" s="164" t="s">
        <v>275</v>
      </c>
      <c r="J251" s="132">
        <v>0.9</v>
      </c>
      <c r="K251" s="133" t="s">
        <v>35</v>
      </c>
      <c r="L251" s="133" t="s">
        <v>35</v>
      </c>
      <c r="M251" s="134" t="s">
        <v>35</v>
      </c>
      <c r="N251" s="133" t="s">
        <v>35</v>
      </c>
      <c r="O251" s="135">
        <v>0.9</v>
      </c>
      <c r="P251" s="133" t="s">
        <v>35</v>
      </c>
      <c r="Q251" s="133">
        <v>1</v>
      </c>
      <c r="R251" s="133" t="s">
        <v>35</v>
      </c>
      <c r="S251" s="133">
        <v>1</v>
      </c>
      <c r="T251" s="135">
        <v>0.9</v>
      </c>
      <c r="U251" s="133" t="s">
        <v>35</v>
      </c>
      <c r="V251" s="133">
        <v>1</v>
      </c>
      <c r="W251" s="133" t="s">
        <v>35</v>
      </c>
      <c r="X251" s="133">
        <v>0.8</v>
      </c>
      <c r="Y251" s="135">
        <v>0.92</v>
      </c>
      <c r="Z251" s="135" t="s">
        <v>35</v>
      </c>
      <c r="AA251" s="135" t="s">
        <v>35</v>
      </c>
      <c r="AB251" s="135" t="s">
        <v>35</v>
      </c>
      <c r="AC251" s="135">
        <v>0.5</v>
      </c>
      <c r="AD251" s="135">
        <v>0.92</v>
      </c>
      <c r="AE251" s="133">
        <v>1</v>
      </c>
      <c r="AF251" s="133">
        <v>0.999335106382979</v>
      </c>
      <c r="AG251" s="133">
        <v>0.999649859943978</v>
      </c>
      <c r="AH251" s="133">
        <v>0.967370560580906</v>
      </c>
      <c r="AI251" s="135">
        <v>0.92</v>
      </c>
      <c r="AJ251" s="133" t="s">
        <v>35</v>
      </c>
      <c r="AK251" s="133">
        <v>1</v>
      </c>
      <c r="AL251" s="133" t="s">
        <v>35</v>
      </c>
      <c r="AM251" s="133">
        <v>0.75</v>
      </c>
      <c r="AN251" s="132">
        <v>0.99</v>
      </c>
      <c r="AO251" s="137">
        <v>1</v>
      </c>
      <c r="AP251" s="137" t="s">
        <v>35</v>
      </c>
      <c r="AQ251" s="137" t="s">
        <v>35</v>
      </c>
      <c r="AR251" s="137">
        <v>1</v>
      </c>
      <c r="AS251" s="158">
        <v>0.0922287257019438</v>
      </c>
      <c r="AT251" s="141" t="s">
        <v>35</v>
      </c>
      <c r="AU251" s="141" t="s">
        <v>35</v>
      </c>
      <c r="AV251" s="141" t="s">
        <v>35</v>
      </c>
      <c r="AW251" s="141">
        <v>0</v>
      </c>
      <c r="AX251" s="95"/>
      <c r="AY251" s="93"/>
    </row>
    <row r="252" ht="14.5" spans="1:51">
      <c r="A252" s="91"/>
      <c r="B252" s="95"/>
      <c r="C252" s="163" t="s">
        <v>260</v>
      </c>
      <c r="D252" s="153" t="s">
        <v>25</v>
      </c>
      <c r="E252" s="130" t="s">
        <v>261</v>
      </c>
      <c r="F252" s="164" t="s">
        <v>276</v>
      </c>
      <c r="G252" s="164" t="s">
        <v>276</v>
      </c>
      <c r="H252" s="164" t="s">
        <v>276</v>
      </c>
      <c r="I252" s="164" t="s">
        <v>276</v>
      </c>
      <c r="J252" s="132">
        <v>0.9</v>
      </c>
      <c r="K252" s="133">
        <v>0.98780487804878</v>
      </c>
      <c r="L252" s="133">
        <v>0.932203389830508</v>
      </c>
      <c r="M252" s="134">
        <v>0.986301369863014</v>
      </c>
      <c r="N252" s="133">
        <v>0.944166070150322</v>
      </c>
      <c r="O252" s="135">
        <v>0.9</v>
      </c>
      <c r="P252" s="133">
        <v>0.929566854990584</v>
      </c>
      <c r="Q252" s="133">
        <v>0.932542161149282</v>
      </c>
      <c r="R252" s="133">
        <v>0.92304347826087</v>
      </c>
      <c r="S252" s="133">
        <v>0.904191835097656</v>
      </c>
      <c r="T252" s="135">
        <v>0.9</v>
      </c>
      <c r="U252" s="133">
        <v>0.939736346516008</v>
      </c>
      <c r="V252" s="133">
        <v>0.935352904434728</v>
      </c>
      <c r="W252" s="133">
        <v>0.941304347826087</v>
      </c>
      <c r="X252" s="133">
        <v>0.931975352155471</v>
      </c>
      <c r="Y252" s="135">
        <v>0.92</v>
      </c>
      <c r="Z252" s="135">
        <v>0.96771714066103</v>
      </c>
      <c r="AA252" s="135">
        <v>0.977303070761015</v>
      </c>
      <c r="AB252" s="135">
        <v>0.982811540822591</v>
      </c>
      <c r="AC252" s="135">
        <v>0.984698282277991</v>
      </c>
      <c r="AD252" s="135">
        <v>0.92</v>
      </c>
      <c r="AE252" s="133">
        <v>0.769669327251995</v>
      </c>
      <c r="AF252" s="133">
        <v>0.939962476547842</v>
      </c>
      <c r="AG252" s="133">
        <v>0.995892286627111</v>
      </c>
      <c r="AH252" s="133">
        <v>0.978864194773286</v>
      </c>
      <c r="AI252" s="135">
        <v>0.92</v>
      </c>
      <c r="AJ252" s="133">
        <v>0.982562547384382</v>
      </c>
      <c r="AK252" s="133">
        <v>0.985756802721088</v>
      </c>
      <c r="AL252" s="133">
        <v>0.989947830512788</v>
      </c>
      <c r="AM252" s="133">
        <v>0.990594122329928</v>
      </c>
      <c r="AN252" s="132">
        <v>0.99</v>
      </c>
      <c r="AO252" s="137">
        <v>1</v>
      </c>
      <c r="AP252" s="137">
        <v>1</v>
      </c>
      <c r="AQ252" s="137">
        <v>1</v>
      </c>
      <c r="AR252" s="137">
        <v>1</v>
      </c>
      <c r="AS252" s="158">
        <v>0.0922287257019438</v>
      </c>
      <c r="AT252" s="141">
        <v>0</v>
      </c>
      <c r="AU252" s="141">
        <v>0.157894736842105</v>
      </c>
      <c r="AV252" s="141">
        <v>0.0476190476190476</v>
      </c>
      <c r="AW252" s="141">
        <v>0.08</v>
      </c>
      <c r="AX252" s="95"/>
      <c r="AY252" s="93"/>
    </row>
    <row r="253" ht="14.5" spans="1:51">
      <c r="A253" s="91"/>
      <c r="B253" s="95"/>
      <c r="C253" s="163" t="s">
        <v>260</v>
      </c>
      <c r="D253" s="153" t="s">
        <v>25</v>
      </c>
      <c r="E253" s="130" t="s">
        <v>261</v>
      </c>
      <c r="F253" s="164" t="s">
        <v>277</v>
      </c>
      <c r="G253" s="164" t="s">
        <v>277</v>
      </c>
      <c r="H253" s="164" t="s">
        <v>277</v>
      </c>
      <c r="I253" s="164" t="s">
        <v>277</v>
      </c>
      <c r="J253" s="132">
        <v>0.9</v>
      </c>
      <c r="K253" s="133">
        <v>0.892561983471074</v>
      </c>
      <c r="L253" s="133">
        <v>0.923809523809524</v>
      </c>
      <c r="M253" s="134">
        <v>0.945945945945946</v>
      </c>
      <c r="N253" s="133">
        <v>0.948372093023256</v>
      </c>
      <c r="O253" s="135">
        <v>0.9</v>
      </c>
      <c r="P253" s="133">
        <v>0.959503592423253</v>
      </c>
      <c r="Q253" s="133">
        <v>0.955067653816696</v>
      </c>
      <c r="R253" s="133">
        <v>0.87107156380159</v>
      </c>
      <c r="S253" s="133">
        <v>0.936853349610865</v>
      </c>
      <c r="T253" s="135">
        <v>0.9</v>
      </c>
      <c r="U253" s="133">
        <v>0.920640104506858</v>
      </c>
      <c r="V253" s="133">
        <v>0.883584375797804</v>
      </c>
      <c r="W253" s="133">
        <v>0.890761075350246</v>
      </c>
      <c r="X253" s="133">
        <v>0.915580650083931</v>
      </c>
      <c r="Y253" s="135">
        <v>0.92</v>
      </c>
      <c r="Z253" s="135">
        <v>0.93609022556391</v>
      </c>
      <c r="AA253" s="135">
        <v>0.89639115250291</v>
      </c>
      <c r="AB253" s="135">
        <v>0.903398447952903</v>
      </c>
      <c r="AC253" s="135">
        <v>0.954635210304196</v>
      </c>
      <c r="AD253" s="135">
        <v>0.92</v>
      </c>
      <c r="AE253" s="133">
        <v>0.899962811454072</v>
      </c>
      <c r="AF253" s="133">
        <v>0.943098920338489</v>
      </c>
      <c r="AG253" s="133">
        <v>0.99312908312683</v>
      </c>
      <c r="AH253" s="133">
        <v>0.929895411351265</v>
      </c>
      <c r="AI253" s="135">
        <v>0.92</v>
      </c>
      <c r="AJ253" s="133">
        <v>0.95706311721769</v>
      </c>
      <c r="AK253" s="133">
        <v>0.934350603264727</v>
      </c>
      <c r="AL253" s="133">
        <v>0.94178955538308</v>
      </c>
      <c r="AM253" s="133">
        <v>0.969590097725799</v>
      </c>
      <c r="AN253" s="132">
        <v>0.99</v>
      </c>
      <c r="AO253" s="137">
        <v>1</v>
      </c>
      <c r="AP253" s="137">
        <v>1</v>
      </c>
      <c r="AQ253" s="137">
        <v>1</v>
      </c>
      <c r="AR253" s="137">
        <v>1</v>
      </c>
      <c r="AS253" s="158">
        <v>0.0922287257019438</v>
      </c>
      <c r="AT253" s="141">
        <v>0.172413793103448</v>
      </c>
      <c r="AU253" s="141">
        <v>0.135135135135135</v>
      </c>
      <c r="AV253" s="141">
        <v>0.025</v>
      </c>
      <c r="AW253" s="141">
        <v>0.0633373934226553</v>
      </c>
      <c r="AX253" s="95"/>
      <c r="AY253" s="93"/>
    </row>
    <row r="254" ht="14.5" spans="1:51">
      <c r="A254" s="91"/>
      <c r="B254" s="95"/>
      <c r="C254" s="163" t="s">
        <v>260</v>
      </c>
      <c r="D254" s="153" t="s">
        <v>25</v>
      </c>
      <c r="E254" s="130" t="s">
        <v>261</v>
      </c>
      <c r="F254" s="164" t="s">
        <v>278</v>
      </c>
      <c r="G254" s="164" t="s">
        <v>278</v>
      </c>
      <c r="H254" s="164" t="s">
        <v>278</v>
      </c>
      <c r="I254" s="164" t="s">
        <v>278</v>
      </c>
      <c r="J254" s="132">
        <v>0.9</v>
      </c>
      <c r="K254" s="133">
        <v>0.971428571428571</v>
      </c>
      <c r="L254" s="133">
        <v>0.975308641975309</v>
      </c>
      <c r="M254" s="134">
        <v>0.967741935483871</v>
      </c>
      <c r="N254" s="133">
        <v>0.949723756906077</v>
      </c>
      <c r="O254" s="135">
        <v>0.9</v>
      </c>
      <c r="P254" s="133">
        <v>0.973317865429234</v>
      </c>
      <c r="Q254" s="133">
        <v>0.96595598349381</v>
      </c>
      <c r="R254" s="133">
        <v>0.956539481738421</v>
      </c>
      <c r="S254" s="133">
        <v>0.952792767861261</v>
      </c>
      <c r="T254" s="135">
        <v>0.9</v>
      </c>
      <c r="U254" s="133">
        <v>0.94199535962877</v>
      </c>
      <c r="V254" s="133">
        <v>0.937414030261348</v>
      </c>
      <c r="W254" s="133">
        <v>0.936543562538258</v>
      </c>
      <c r="X254" s="133">
        <v>0.945389972787233</v>
      </c>
      <c r="Y254" s="135">
        <v>0.92</v>
      </c>
      <c r="Z254" s="135">
        <v>0.972062448644207</v>
      </c>
      <c r="AA254" s="135">
        <v>0.970397111913357</v>
      </c>
      <c r="AB254" s="135">
        <v>0.975617685305592</v>
      </c>
      <c r="AC254" s="135">
        <v>0.983977097291545</v>
      </c>
      <c r="AD254" s="135">
        <v>0.92</v>
      </c>
      <c r="AE254" s="133">
        <v>0.905394190871369</v>
      </c>
      <c r="AF254" s="133">
        <v>0.963226571767497</v>
      </c>
      <c r="AG254" s="133">
        <v>0.993891264508247</v>
      </c>
      <c r="AH254" s="133">
        <v>0.98094086485864</v>
      </c>
      <c r="AI254" s="135">
        <v>0.92</v>
      </c>
      <c r="AJ254" s="133">
        <v>0.985274783066001</v>
      </c>
      <c r="AK254" s="133">
        <v>0.980903586399627</v>
      </c>
      <c r="AL254" s="133">
        <v>0.983953867368685</v>
      </c>
      <c r="AM254" s="133">
        <v>0.98981440450434</v>
      </c>
      <c r="AN254" s="132">
        <v>0.99</v>
      </c>
      <c r="AO254" s="137">
        <v>1</v>
      </c>
      <c r="AP254" s="137">
        <v>1</v>
      </c>
      <c r="AQ254" s="137">
        <v>1</v>
      </c>
      <c r="AR254" s="137">
        <v>1</v>
      </c>
      <c r="AS254" s="158">
        <v>0.0922287257019438</v>
      </c>
      <c r="AT254" s="141">
        <v>0.321428571428571</v>
      </c>
      <c r="AU254" s="141">
        <v>0.2</v>
      </c>
      <c r="AV254" s="141">
        <v>0.1</v>
      </c>
      <c r="AW254" s="141">
        <v>0.131578947368421</v>
      </c>
      <c r="AX254" s="95"/>
      <c r="AY254" s="93"/>
    </row>
    <row r="255" ht="14.5" spans="1:51">
      <c r="A255" s="91"/>
      <c r="B255" s="95"/>
      <c r="C255" s="163" t="s">
        <v>260</v>
      </c>
      <c r="D255" s="153" t="s">
        <v>125</v>
      </c>
      <c r="E255" s="130" t="s">
        <v>261</v>
      </c>
      <c r="F255" s="164" t="s">
        <v>279</v>
      </c>
      <c r="G255" s="164" t="s">
        <v>279</v>
      </c>
      <c r="H255" s="164" t="s">
        <v>279</v>
      </c>
      <c r="I255" s="164" t="s">
        <v>279</v>
      </c>
      <c r="J255" s="132">
        <v>0.9</v>
      </c>
      <c r="K255" s="133" t="s">
        <v>35</v>
      </c>
      <c r="L255" s="133" t="s">
        <v>35</v>
      </c>
      <c r="M255" s="134" t="s">
        <v>35</v>
      </c>
      <c r="N255" s="133" t="s">
        <v>35</v>
      </c>
      <c r="O255" s="135">
        <v>0.9</v>
      </c>
      <c r="P255" s="133" t="s">
        <v>35</v>
      </c>
      <c r="Q255" s="133" t="s">
        <v>35</v>
      </c>
      <c r="R255" s="133" t="s">
        <v>35</v>
      </c>
      <c r="S255" s="133" t="s">
        <v>35</v>
      </c>
      <c r="T255" s="135">
        <v>0.9</v>
      </c>
      <c r="U255" s="133" t="s">
        <v>35</v>
      </c>
      <c r="V255" s="133" t="s">
        <v>35</v>
      </c>
      <c r="W255" s="133" t="s">
        <v>35</v>
      </c>
      <c r="X255" s="133" t="s">
        <v>35</v>
      </c>
      <c r="Y255" s="135">
        <v>0.92</v>
      </c>
      <c r="Z255" s="135" t="s">
        <v>35</v>
      </c>
      <c r="AA255" s="135" t="s">
        <v>35</v>
      </c>
      <c r="AB255" s="135" t="s">
        <v>35</v>
      </c>
      <c r="AC255" s="135" t="s">
        <v>35</v>
      </c>
      <c r="AD255" s="135">
        <v>0.92</v>
      </c>
      <c r="AE255" s="133">
        <v>1</v>
      </c>
      <c r="AF255" s="133">
        <v>0.998084291187739</v>
      </c>
      <c r="AG255" s="133">
        <v>1</v>
      </c>
      <c r="AH255" s="133">
        <v>0.999693180946537</v>
      </c>
      <c r="AI255" s="135">
        <v>0.92</v>
      </c>
      <c r="AJ255" s="133" t="s">
        <v>35</v>
      </c>
      <c r="AK255" s="133" t="s">
        <v>35</v>
      </c>
      <c r="AL255" s="133" t="s">
        <v>35</v>
      </c>
      <c r="AM255" s="133">
        <v>1</v>
      </c>
      <c r="AN255" s="132">
        <v>0.99</v>
      </c>
      <c r="AO255" s="137">
        <v>1</v>
      </c>
      <c r="AP255" s="137">
        <v>1</v>
      </c>
      <c r="AQ255" s="137">
        <v>1</v>
      </c>
      <c r="AR255" s="137">
        <v>1</v>
      </c>
      <c r="AS255" s="158">
        <v>0.0922287257019438</v>
      </c>
      <c r="AT255" s="141" t="s">
        <v>35</v>
      </c>
      <c r="AU255" s="141" t="s">
        <v>35</v>
      </c>
      <c r="AV255" s="141" t="s">
        <v>35</v>
      </c>
      <c r="AW255" s="141" t="s">
        <v>35</v>
      </c>
      <c r="AX255" s="95"/>
      <c r="AY255" s="93"/>
    </row>
    <row r="256" ht="14.5" spans="1:51">
      <c r="A256" s="91"/>
      <c r="B256" s="95"/>
      <c r="C256" s="163" t="s">
        <v>260</v>
      </c>
      <c r="D256" s="153" t="s">
        <v>125</v>
      </c>
      <c r="E256" s="130" t="s">
        <v>261</v>
      </c>
      <c r="F256" s="164" t="s">
        <v>280</v>
      </c>
      <c r="G256" s="164" t="s">
        <v>280</v>
      </c>
      <c r="H256" s="164" t="s">
        <v>280</v>
      </c>
      <c r="I256" s="164" t="s">
        <v>280</v>
      </c>
      <c r="J256" s="132">
        <v>0.9</v>
      </c>
      <c r="K256" s="133" t="s">
        <v>35</v>
      </c>
      <c r="L256" s="133" t="s">
        <v>35</v>
      </c>
      <c r="M256" s="134" t="s">
        <v>35</v>
      </c>
      <c r="N256" s="133" t="s">
        <v>35</v>
      </c>
      <c r="O256" s="135">
        <v>0.9</v>
      </c>
      <c r="P256" s="133" t="s">
        <v>35</v>
      </c>
      <c r="Q256" s="133" t="s">
        <v>35</v>
      </c>
      <c r="R256" s="133" t="s">
        <v>35</v>
      </c>
      <c r="S256" s="133">
        <v>0</v>
      </c>
      <c r="T256" s="135">
        <v>0.9</v>
      </c>
      <c r="U256" s="133" t="s">
        <v>35</v>
      </c>
      <c r="V256" s="133" t="s">
        <v>35</v>
      </c>
      <c r="W256" s="133" t="s">
        <v>35</v>
      </c>
      <c r="X256" s="133">
        <v>1</v>
      </c>
      <c r="Y256" s="135">
        <v>0.92</v>
      </c>
      <c r="Z256" s="135" t="s">
        <v>35</v>
      </c>
      <c r="AA256" s="135" t="s">
        <v>35</v>
      </c>
      <c r="AB256" s="135" t="s">
        <v>35</v>
      </c>
      <c r="AC256" s="135" t="s">
        <v>35</v>
      </c>
      <c r="AD256" s="135">
        <v>0.92</v>
      </c>
      <c r="AE256" s="133">
        <v>0.952</v>
      </c>
      <c r="AF256" s="133">
        <v>1</v>
      </c>
      <c r="AG256" s="133">
        <v>0.984732824427481</v>
      </c>
      <c r="AH256" s="133">
        <v>0.985799488781596</v>
      </c>
      <c r="AI256" s="135">
        <v>0.92</v>
      </c>
      <c r="AJ256" s="133" t="s">
        <v>35</v>
      </c>
      <c r="AK256" s="133" t="s">
        <v>35</v>
      </c>
      <c r="AL256" s="133" t="s">
        <v>35</v>
      </c>
      <c r="AM256" s="133">
        <v>1</v>
      </c>
      <c r="AN256" s="132">
        <v>0.99</v>
      </c>
      <c r="AO256" s="137" t="s">
        <v>35</v>
      </c>
      <c r="AP256" s="137" t="s">
        <v>35</v>
      </c>
      <c r="AQ256" s="137" t="s">
        <v>35</v>
      </c>
      <c r="AR256" s="137">
        <v>1</v>
      </c>
      <c r="AS256" s="158">
        <v>0.0922287257019438</v>
      </c>
      <c r="AT256" s="141" t="s">
        <v>35</v>
      </c>
      <c r="AU256" s="141" t="s">
        <v>35</v>
      </c>
      <c r="AV256" s="141" t="s">
        <v>35</v>
      </c>
      <c r="AW256" s="141" t="s">
        <v>35</v>
      </c>
      <c r="AX256" s="95"/>
      <c r="AY256" s="93"/>
    </row>
    <row r="257" ht="14.5" spans="1:51">
      <c r="A257" s="91"/>
      <c r="B257" s="95"/>
      <c r="C257" s="163" t="s">
        <v>260</v>
      </c>
      <c r="D257" s="153" t="s">
        <v>25</v>
      </c>
      <c r="E257" s="130" t="s">
        <v>261</v>
      </c>
      <c r="F257" s="164" t="s">
        <v>281</v>
      </c>
      <c r="G257" s="164" t="s">
        <v>281</v>
      </c>
      <c r="H257" s="164" t="s">
        <v>281</v>
      </c>
      <c r="I257" s="164" t="s">
        <v>281</v>
      </c>
      <c r="J257" s="132">
        <v>0.9</v>
      </c>
      <c r="K257" s="133">
        <v>0.636363636363636</v>
      </c>
      <c r="L257" s="133">
        <v>0.740740740740741</v>
      </c>
      <c r="M257" s="134">
        <v>0.78125</v>
      </c>
      <c r="N257" s="133">
        <v>0.755</v>
      </c>
      <c r="O257" s="135">
        <v>0.9</v>
      </c>
      <c r="P257" s="133">
        <v>0.920962199312715</v>
      </c>
      <c r="Q257" s="133">
        <v>0.950113378684807</v>
      </c>
      <c r="R257" s="133">
        <v>0.927645788336933</v>
      </c>
      <c r="S257" s="133">
        <v>0.931009528404294</v>
      </c>
      <c r="T257" s="135">
        <v>0.9</v>
      </c>
      <c r="U257" s="133">
        <v>0.915807560137457</v>
      </c>
      <c r="V257" s="133">
        <v>0.899470899470899</v>
      </c>
      <c r="W257" s="133">
        <v>0.900647948164147</v>
      </c>
      <c r="X257" s="133">
        <v>0.918224580870824</v>
      </c>
      <c r="Y257" s="135">
        <v>0.92</v>
      </c>
      <c r="Z257" s="135">
        <v>0.936560934891486</v>
      </c>
      <c r="AA257" s="135">
        <v>0.850453172205438</v>
      </c>
      <c r="AB257" s="135">
        <v>0.908606245239909</v>
      </c>
      <c r="AC257" s="135">
        <v>0.938673094400759</v>
      </c>
      <c r="AD257" s="135">
        <v>0.92</v>
      </c>
      <c r="AE257" s="133">
        <v>0.988385739144511</v>
      </c>
      <c r="AF257" s="133">
        <v>0.989542665923034</v>
      </c>
      <c r="AG257" s="133">
        <v>0.999649597036592</v>
      </c>
      <c r="AH257" s="133">
        <v>0.995897866470756</v>
      </c>
      <c r="AI257" s="135">
        <v>0.92</v>
      </c>
      <c r="AJ257" s="133">
        <v>0.956349206349206</v>
      </c>
      <c r="AK257" s="133">
        <v>0.918429003021148</v>
      </c>
      <c r="AL257" s="133">
        <v>0.934933670246368</v>
      </c>
      <c r="AM257" s="133">
        <v>0.959159600656455</v>
      </c>
      <c r="AN257" s="132">
        <v>0.99</v>
      </c>
      <c r="AO257" s="137">
        <v>1</v>
      </c>
      <c r="AP257" s="137">
        <v>1</v>
      </c>
      <c r="AQ257" s="137">
        <v>1</v>
      </c>
      <c r="AR257" s="137">
        <v>1</v>
      </c>
      <c r="AS257" s="158">
        <v>0.0922287257019438</v>
      </c>
      <c r="AT257" s="141">
        <v>0.166666666666667</v>
      </c>
      <c r="AU257" s="141">
        <v>0.181818181818182</v>
      </c>
      <c r="AV257" s="141">
        <v>0</v>
      </c>
      <c r="AW257" s="141">
        <v>0.101167315175097</v>
      </c>
      <c r="AX257" s="95"/>
      <c r="AY257" s="93"/>
    </row>
    <row r="258" ht="14.5" spans="1:51">
      <c r="A258" s="91"/>
      <c r="B258" s="95"/>
      <c r="C258" s="163" t="s">
        <v>260</v>
      </c>
      <c r="D258" s="153" t="s">
        <v>25</v>
      </c>
      <c r="E258" s="130" t="s">
        <v>261</v>
      </c>
      <c r="F258" s="164" t="s">
        <v>282</v>
      </c>
      <c r="G258" s="164" t="s">
        <v>282</v>
      </c>
      <c r="H258" s="164" t="s">
        <v>282</v>
      </c>
      <c r="I258" s="164" t="s">
        <v>282</v>
      </c>
      <c r="J258" s="132">
        <v>0.9</v>
      </c>
      <c r="K258" s="133">
        <v>0.978723404255319</v>
      </c>
      <c r="L258" s="133">
        <v>1</v>
      </c>
      <c r="M258" s="134">
        <v>1</v>
      </c>
      <c r="N258" s="133">
        <v>0.981298129812981</v>
      </c>
      <c r="O258" s="135">
        <v>0.9</v>
      </c>
      <c r="P258" s="133">
        <v>0.941935483870968</v>
      </c>
      <c r="Q258" s="133">
        <v>0.959546925566343</v>
      </c>
      <c r="R258" s="133">
        <v>0.963365539452496</v>
      </c>
      <c r="S258" s="133">
        <v>0.954495588974722</v>
      </c>
      <c r="T258" s="135">
        <v>0.9</v>
      </c>
      <c r="U258" s="133">
        <v>0.888387096774194</v>
      </c>
      <c r="V258" s="133">
        <v>0.90453074433657</v>
      </c>
      <c r="W258" s="133">
        <v>0.925523349436393</v>
      </c>
      <c r="X258" s="133">
        <v>0.923549846871143</v>
      </c>
      <c r="Y258" s="135">
        <v>0.92</v>
      </c>
      <c r="Z258" s="135">
        <v>0.897567221510884</v>
      </c>
      <c r="AA258" s="135">
        <v>0.911729141475212</v>
      </c>
      <c r="AB258" s="135">
        <v>0.947308132875143</v>
      </c>
      <c r="AC258" s="135">
        <v>0.953425523962855</v>
      </c>
      <c r="AD258" s="135">
        <v>0.92</v>
      </c>
      <c r="AE258" s="133">
        <v>0.973030303030303</v>
      </c>
      <c r="AF258" s="133">
        <v>0.998204667863555</v>
      </c>
      <c r="AG258" s="133">
        <v>0.999565972222222</v>
      </c>
      <c r="AH258" s="133">
        <v>0.984447974431899</v>
      </c>
      <c r="AI258" s="135">
        <v>0.92</v>
      </c>
      <c r="AJ258" s="133">
        <v>0.920736932305056</v>
      </c>
      <c r="AK258" s="133">
        <v>0.952292210212449</v>
      </c>
      <c r="AL258" s="133">
        <v>0.967612293144208</v>
      </c>
      <c r="AM258" s="133">
        <v>0.969560789306174</v>
      </c>
      <c r="AN258" s="132">
        <v>0.99</v>
      </c>
      <c r="AO258" s="137">
        <v>1</v>
      </c>
      <c r="AP258" s="137">
        <v>1</v>
      </c>
      <c r="AQ258" s="137">
        <v>1</v>
      </c>
      <c r="AR258" s="137">
        <v>1</v>
      </c>
      <c r="AS258" s="158">
        <v>0.0922287257019438</v>
      </c>
      <c r="AT258" s="141">
        <v>0.4</v>
      </c>
      <c r="AU258" s="141">
        <v>0.25</v>
      </c>
      <c r="AV258" s="141">
        <v>0</v>
      </c>
      <c r="AW258" s="141">
        <v>0.0905172413793103</v>
      </c>
      <c r="AX258" s="95"/>
      <c r="AY258" s="93"/>
    </row>
    <row r="259" ht="14.5" spans="1:51">
      <c r="A259" s="91"/>
      <c r="B259" s="95"/>
      <c r="C259" s="163" t="s">
        <v>260</v>
      </c>
      <c r="D259" s="153" t="s">
        <v>125</v>
      </c>
      <c r="E259" s="130" t="s">
        <v>261</v>
      </c>
      <c r="F259" s="164" t="s">
        <v>283</v>
      </c>
      <c r="G259" s="164" t="s">
        <v>283</v>
      </c>
      <c r="H259" s="164" t="s">
        <v>283</v>
      </c>
      <c r="I259" s="164" t="s">
        <v>283</v>
      </c>
      <c r="J259" s="132">
        <v>0.9</v>
      </c>
      <c r="K259" s="133" t="s">
        <v>35</v>
      </c>
      <c r="L259" s="133" t="s">
        <v>35</v>
      </c>
      <c r="M259" s="134" t="s">
        <v>35</v>
      </c>
      <c r="N259" s="133" t="s">
        <v>35</v>
      </c>
      <c r="O259" s="135">
        <v>0.9</v>
      </c>
      <c r="P259" s="133">
        <v>0.929203539823009</v>
      </c>
      <c r="Q259" s="133">
        <v>0.977941176470588</v>
      </c>
      <c r="R259" s="133">
        <v>0.994318181818182</v>
      </c>
      <c r="S259" s="133">
        <v>0.976708860759494</v>
      </c>
      <c r="T259" s="135">
        <v>0.9</v>
      </c>
      <c r="U259" s="133">
        <v>0.787610619469027</v>
      </c>
      <c r="V259" s="133">
        <v>0.977941176470588</v>
      </c>
      <c r="W259" s="133">
        <v>0.971590909090909</v>
      </c>
      <c r="X259" s="133">
        <v>0.957974683544304</v>
      </c>
      <c r="Y259" s="135">
        <v>0.92</v>
      </c>
      <c r="Z259" s="135">
        <v>1</v>
      </c>
      <c r="AA259" s="135">
        <v>1</v>
      </c>
      <c r="AB259" s="135">
        <v>0.9875</v>
      </c>
      <c r="AC259" s="135">
        <v>0.969001148105626</v>
      </c>
      <c r="AD259" s="135">
        <v>0.92</v>
      </c>
      <c r="AE259" s="133">
        <v>0.995156081808396</v>
      </c>
      <c r="AF259" s="133">
        <v>0.999566818280269</v>
      </c>
      <c r="AG259" s="133">
        <v>1</v>
      </c>
      <c r="AH259" s="133">
        <v>0.998743851951453</v>
      </c>
      <c r="AI259" s="135">
        <v>0.92</v>
      </c>
      <c r="AJ259" s="133">
        <v>0.993827160493827</v>
      </c>
      <c r="AK259" s="133">
        <v>0.994764397905759</v>
      </c>
      <c r="AL259" s="133">
        <v>0.9765625</v>
      </c>
      <c r="AM259" s="133">
        <v>0.975429975429975</v>
      </c>
      <c r="AN259" s="132">
        <v>0.99</v>
      </c>
      <c r="AO259" s="137">
        <v>1</v>
      </c>
      <c r="AP259" s="137">
        <v>1</v>
      </c>
      <c r="AQ259" s="137">
        <v>1</v>
      </c>
      <c r="AR259" s="137">
        <v>1</v>
      </c>
      <c r="AS259" s="158">
        <v>0.0922287257019438</v>
      </c>
      <c r="AT259" s="141" t="s">
        <v>35</v>
      </c>
      <c r="AU259" s="141" t="s">
        <v>35</v>
      </c>
      <c r="AV259" s="141" t="s">
        <v>35</v>
      </c>
      <c r="AW259" s="141" t="s">
        <v>35</v>
      </c>
      <c r="AX259" s="95"/>
      <c r="AY259" s="93"/>
    </row>
    <row r="260" ht="14.5" spans="1:51">
      <c r="A260" s="91"/>
      <c r="B260" s="95"/>
      <c r="C260" s="163" t="s">
        <v>260</v>
      </c>
      <c r="D260" s="153" t="s">
        <v>125</v>
      </c>
      <c r="E260" s="130" t="s">
        <v>261</v>
      </c>
      <c r="F260" s="164" t="s">
        <v>284</v>
      </c>
      <c r="G260" s="164" t="s">
        <v>284</v>
      </c>
      <c r="H260" s="164" t="s">
        <v>284</v>
      </c>
      <c r="I260" s="164" t="s">
        <v>284</v>
      </c>
      <c r="J260" s="132">
        <v>0.9</v>
      </c>
      <c r="K260" s="133" t="s">
        <v>35</v>
      </c>
      <c r="L260" s="133" t="s">
        <v>35</v>
      </c>
      <c r="M260" s="134" t="s">
        <v>35</v>
      </c>
      <c r="N260" s="133" t="s">
        <v>35</v>
      </c>
      <c r="O260" s="135">
        <v>0.9</v>
      </c>
      <c r="P260" s="133" t="s">
        <v>35</v>
      </c>
      <c r="Q260" s="133" t="s">
        <v>35</v>
      </c>
      <c r="R260" s="133" t="s">
        <v>35</v>
      </c>
      <c r="S260" s="133" t="s">
        <v>35</v>
      </c>
      <c r="T260" s="135">
        <v>0.9</v>
      </c>
      <c r="U260" s="133" t="s">
        <v>35</v>
      </c>
      <c r="V260" s="133" t="s">
        <v>35</v>
      </c>
      <c r="W260" s="133" t="s">
        <v>35</v>
      </c>
      <c r="X260" s="133" t="s">
        <v>35</v>
      </c>
      <c r="Y260" s="135">
        <v>0.92</v>
      </c>
      <c r="Z260" s="135">
        <v>0</v>
      </c>
      <c r="AA260" s="135" t="s">
        <v>35</v>
      </c>
      <c r="AB260" s="135" t="s">
        <v>35</v>
      </c>
      <c r="AC260" s="135">
        <v>0</v>
      </c>
      <c r="AD260" s="135">
        <v>0.92</v>
      </c>
      <c r="AE260" s="133">
        <v>1</v>
      </c>
      <c r="AF260" s="133">
        <v>1</v>
      </c>
      <c r="AG260" s="133">
        <v>1</v>
      </c>
      <c r="AH260" s="133">
        <v>0.999917773300991</v>
      </c>
      <c r="AI260" s="135">
        <v>0.92</v>
      </c>
      <c r="AJ260" s="133">
        <v>0</v>
      </c>
      <c r="AK260" s="133" t="s">
        <v>35</v>
      </c>
      <c r="AL260" s="133" t="s">
        <v>35</v>
      </c>
      <c r="AM260" s="133">
        <v>0</v>
      </c>
      <c r="AN260" s="132">
        <v>0.99</v>
      </c>
      <c r="AO260" s="137">
        <v>1</v>
      </c>
      <c r="AP260" s="137">
        <v>1</v>
      </c>
      <c r="AQ260" s="137">
        <v>1</v>
      </c>
      <c r="AR260" s="137">
        <v>1</v>
      </c>
      <c r="AS260" s="158">
        <v>0.0922287257019438</v>
      </c>
      <c r="AT260" s="141">
        <v>0</v>
      </c>
      <c r="AU260" s="141" t="s">
        <v>35</v>
      </c>
      <c r="AV260" s="141" t="s">
        <v>35</v>
      </c>
      <c r="AW260" s="141">
        <v>0</v>
      </c>
      <c r="AX260" s="95"/>
      <c r="AY260" s="93"/>
    </row>
    <row r="261" ht="14.5" spans="1:51">
      <c r="A261" s="91"/>
      <c r="B261" s="95"/>
      <c r="C261" s="163" t="s">
        <v>260</v>
      </c>
      <c r="D261" s="153" t="s">
        <v>125</v>
      </c>
      <c r="E261" s="130" t="s">
        <v>261</v>
      </c>
      <c r="F261" s="164" t="s">
        <v>285</v>
      </c>
      <c r="G261" s="164" t="s">
        <v>285</v>
      </c>
      <c r="H261" s="164" t="s">
        <v>285</v>
      </c>
      <c r="I261" s="164" t="s">
        <v>285</v>
      </c>
      <c r="J261" s="132">
        <v>0.9</v>
      </c>
      <c r="K261" s="133" t="s">
        <v>35</v>
      </c>
      <c r="L261" s="133" t="s">
        <v>35</v>
      </c>
      <c r="M261" s="134" t="s">
        <v>35</v>
      </c>
      <c r="N261" s="133" t="s">
        <v>35</v>
      </c>
      <c r="O261" s="135">
        <v>0.9</v>
      </c>
      <c r="P261" s="133">
        <v>1</v>
      </c>
      <c r="Q261" s="133">
        <v>0.75</v>
      </c>
      <c r="R261" s="133">
        <v>0.333333333333333</v>
      </c>
      <c r="S261" s="133">
        <v>0.684782608695652</v>
      </c>
      <c r="T261" s="135">
        <v>0.9</v>
      </c>
      <c r="U261" s="133">
        <v>0.8</v>
      </c>
      <c r="V261" s="133">
        <v>0.75</v>
      </c>
      <c r="W261" s="133">
        <v>0.333333333333333</v>
      </c>
      <c r="X261" s="133">
        <v>0.902173913043478</v>
      </c>
      <c r="Y261" s="135">
        <v>0.92</v>
      </c>
      <c r="Z261" s="135" t="s">
        <v>35</v>
      </c>
      <c r="AA261" s="135" t="s">
        <v>35</v>
      </c>
      <c r="AB261" s="135">
        <v>1</v>
      </c>
      <c r="AC261" s="135">
        <v>0.571428571428571</v>
      </c>
      <c r="AD261" s="135">
        <v>0.92</v>
      </c>
      <c r="AE261" s="133">
        <v>0.999880980718876</v>
      </c>
      <c r="AF261" s="133">
        <v>0.997682344921609</v>
      </c>
      <c r="AG261" s="133">
        <v>0.998675987713166</v>
      </c>
      <c r="AH261" s="133">
        <v>0.944485756432579</v>
      </c>
      <c r="AI261" s="135">
        <v>0.92</v>
      </c>
      <c r="AJ261" s="133">
        <v>0.833333333333333</v>
      </c>
      <c r="AK261" s="133">
        <v>0.8</v>
      </c>
      <c r="AL261" s="133">
        <v>0.6</v>
      </c>
      <c r="AM261" s="133">
        <v>0.848920863309353</v>
      </c>
      <c r="AN261" s="132">
        <v>0.99</v>
      </c>
      <c r="AO261" s="137">
        <v>1</v>
      </c>
      <c r="AP261" s="137">
        <v>1</v>
      </c>
      <c r="AQ261" s="137">
        <v>1</v>
      </c>
      <c r="AR261" s="137">
        <v>1</v>
      </c>
      <c r="AS261" s="158">
        <v>0.0922287257019438</v>
      </c>
      <c r="AT261" s="141" t="s">
        <v>35</v>
      </c>
      <c r="AU261" s="141">
        <v>0</v>
      </c>
      <c r="AV261" s="141" t="s">
        <v>35</v>
      </c>
      <c r="AW261" s="141">
        <v>0</v>
      </c>
      <c r="AX261" s="95"/>
      <c r="AY261" s="93"/>
    </row>
    <row r="262" ht="14.5" spans="1:51">
      <c r="A262" s="91"/>
      <c r="B262" s="95"/>
      <c r="C262" s="163" t="s">
        <v>260</v>
      </c>
      <c r="D262" s="153" t="s">
        <v>125</v>
      </c>
      <c r="E262" s="130" t="s">
        <v>261</v>
      </c>
      <c r="F262" s="164" t="s">
        <v>286</v>
      </c>
      <c r="G262" s="164" t="s">
        <v>286</v>
      </c>
      <c r="H262" s="164" t="s">
        <v>286</v>
      </c>
      <c r="I262" s="164" t="s">
        <v>286</v>
      </c>
      <c r="J262" s="132">
        <v>0.9</v>
      </c>
      <c r="K262" s="133" t="s">
        <v>35</v>
      </c>
      <c r="L262" s="133" t="s">
        <v>35</v>
      </c>
      <c r="M262" s="134" t="s">
        <v>35</v>
      </c>
      <c r="N262" s="133" t="s">
        <v>35</v>
      </c>
      <c r="O262" s="135">
        <v>0.9</v>
      </c>
      <c r="P262" s="133" t="s">
        <v>35</v>
      </c>
      <c r="Q262" s="133" t="s">
        <v>35</v>
      </c>
      <c r="R262" s="133" t="s">
        <v>35</v>
      </c>
      <c r="S262" s="133">
        <v>0</v>
      </c>
      <c r="T262" s="135">
        <v>0.9</v>
      </c>
      <c r="U262" s="133" t="s">
        <v>35</v>
      </c>
      <c r="V262" s="133" t="s">
        <v>35</v>
      </c>
      <c r="W262" s="133" t="s">
        <v>35</v>
      </c>
      <c r="X262" s="133">
        <v>0.666666666666667</v>
      </c>
      <c r="Y262" s="135">
        <v>0.92</v>
      </c>
      <c r="Z262" s="135" t="s">
        <v>35</v>
      </c>
      <c r="AA262" s="135" t="s">
        <v>35</v>
      </c>
      <c r="AB262" s="135" t="s">
        <v>35</v>
      </c>
      <c r="AC262" s="135" t="s">
        <v>35</v>
      </c>
      <c r="AD262" s="135">
        <v>0.92</v>
      </c>
      <c r="AE262" s="133">
        <v>0.984924623115578</v>
      </c>
      <c r="AF262" s="133">
        <v>0.959677419354839</v>
      </c>
      <c r="AG262" s="133">
        <v>0.98993288590604</v>
      </c>
      <c r="AH262" s="133">
        <v>0.971584892340275</v>
      </c>
      <c r="AI262" s="135">
        <v>0.92</v>
      </c>
      <c r="AJ262" s="133" t="s">
        <v>35</v>
      </c>
      <c r="AK262" s="133" t="s">
        <v>35</v>
      </c>
      <c r="AL262" s="133" t="s">
        <v>35</v>
      </c>
      <c r="AM262" s="133">
        <v>0.666666666666667</v>
      </c>
      <c r="AN262" s="132">
        <v>0.99</v>
      </c>
      <c r="AO262" s="137">
        <v>1</v>
      </c>
      <c r="AP262" s="137" t="s">
        <v>35</v>
      </c>
      <c r="AQ262" s="137">
        <v>1</v>
      </c>
      <c r="AR262" s="137">
        <v>1</v>
      </c>
      <c r="AS262" s="158">
        <v>0.0922287257019438</v>
      </c>
      <c r="AT262" s="141" t="s">
        <v>35</v>
      </c>
      <c r="AU262" s="141" t="s">
        <v>35</v>
      </c>
      <c r="AV262" s="141" t="s">
        <v>35</v>
      </c>
      <c r="AW262" s="141" t="s">
        <v>35</v>
      </c>
      <c r="AX262" s="95"/>
      <c r="AY262" s="93"/>
    </row>
    <row r="263" ht="14.5" spans="1:51">
      <c r="A263" s="91"/>
      <c r="B263" s="95"/>
      <c r="C263" s="163" t="s">
        <v>260</v>
      </c>
      <c r="D263" s="153" t="s">
        <v>125</v>
      </c>
      <c r="E263" s="130" t="s">
        <v>261</v>
      </c>
      <c r="F263" s="164" t="s">
        <v>287</v>
      </c>
      <c r="G263" s="164" t="s">
        <v>287</v>
      </c>
      <c r="H263" s="164" t="s">
        <v>287</v>
      </c>
      <c r="I263" s="164" t="s">
        <v>287</v>
      </c>
      <c r="J263" s="132">
        <v>0.9</v>
      </c>
      <c r="K263" s="133" t="s">
        <v>35</v>
      </c>
      <c r="L263" s="133" t="s">
        <v>35</v>
      </c>
      <c r="M263" s="134" t="s">
        <v>35</v>
      </c>
      <c r="N263" s="133" t="s">
        <v>35</v>
      </c>
      <c r="O263" s="135">
        <v>0.9</v>
      </c>
      <c r="P263" s="133" t="s">
        <v>35</v>
      </c>
      <c r="Q263" s="133">
        <v>0</v>
      </c>
      <c r="R263" s="133" t="s">
        <v>35</v>
      </c>
      <c r="S263" s="133">
        <v>0</v>
      </c>
      <c r="T263" s="135">
        <v>0.9</v>
      </c>
      <c r="U263" s="133" t="s">
        <v>35</v>
      </c>
      <c r="V263" s="133">
        <v>1</v>
      </c>
      <c r="W263" s="133" t="s">
        <v>35</v>
      </c>
      <c r="X263" s="133">
        <v>0.5</v>
      </c>
      <c r="Y263" s="135">
        <v>0.92</v>
      </c>
      <c r="Z263" s="135" t="s">
        <v>35</v>
      </c>
      <c r="AA263" s="135" t="s">
        <v>35</v>
      </c>
      <c r="AB263" s="135" t="s">
        <v>35</v>
      </c>
      <c r="AC263" s="135" t="s">
        <v>35</v>
      </c>
      <c r="AD263" s="135">
        <v>0.92</v>
      </c>
      <c r="AE263" s="133">
        <v>1</v>
      </c>
      <c r="AF263" s="133">
        <v>0.995589856670342</v>
      </c>
      <c r="AG263" s="133">
        <v>0.928638059701492</v>
      </c>
      <c r="AH263" s="133">
        <v>0.965063971490331</v>
      </c>
      <c r="AI263" s="135">
        <v>0.92</v>
      </c>
      <c r="AJ263" s="133" t="s">
        <v>35</v>
      </c>
      <c r="AK263" s="133">
        <v>1</v>
      </c>
      <c r="AL263" s="133" t="s">
        <v>35</v>
      </c>
      <c r="AM263" s="133">
        <v>0.625</v>
      </c>
      <c r="AN263" s="132">
        <v>0.99</v>
      </c>
      <c r="AO263" s="137" t="s">
        <v>35</v>
      </c>
      <c r="AP263" s="137">
        <v>1</v>
      </c>
      <c r="AQ263" s="137">
        <v>1</v>
      </c>
      <c r="AR263" s="137">
        <v>1</v>
      </c>
      <c r="AS263" s="158">
        <v>0.0922287257019438</v>
      </c>
      <c r="AT263" s="141" t="s">
        <v>35</v>
      </c>
      <c r="AU263" s="141" t="s">
        <v>35</v>
      </c>
      <c r="AV263" s="141" t="s">
        <v>35</v>
      </c>
      <c r="AW263" s="141" t="s">
        <v>35</v>
      </c>
      <c r="AX263" s="95"/>
      <c r="AY263" s="93"/>
    </row>
    <row r="264" ht="14.5" spans="1:51">
      <c r="A264" s="91"/>
      <c r="B264" s="95"/>
      <c r="C264" s="163" t="s">
        <v>260</v>
      </c>
      <c r="D264" s="153" t="s">
        <v>125</v>
      </c>
      <c r="E264" s="130" t="s">
        <v>261</v>
      </c>
      <c r="F264" s="164" t="s">
        <v>288</v>
      </c>
      <c r="G264" s="164" t="s">
        <v>288</v>
      </c>
      <c r="H264" s="164" t="s">
        <v>288</v>
      </c>
      <c r="I264" s="164" t="s">
        <v>288</v>
      </c>
      <c r="J264" s="132">
        <v>0.9</v>
      </c>
      <c r="K264" s="133" t="s">
        <v>35</v>
      </c>
      <c r="L264" s="133" t="s">
        <v>35</v>
      </c>
      <c r="M264" s="134" t="s">
        <v>35</v>
      </c>
      <c r="N264" s="133" t="s">
        <v>35</v>
      </c>
      <c r="O264" s="135">
        <v>0.9</v>
      </c>
      <c r="P264" s="133">
        <v>0</v>
      </c>
      <c r="Q264" s="133">
        <v>0</v>
      </c>
      <c r="R264" s="133" t="s">
        <v>35</v>
      </c>
      <c r="S264" s="133">
        <v>0</v>
      </c>
      <c r="T264" s="135">
        <v>0.9</v>
      </c>
      <c r="U264" s="133">
        <v>1</v>
      </c>
      <c r="V264" s="133">
        <v>1</v>
      </c>
      <c r="W264" s="133" t="s">
        <v>35</v>
      </c>
      <c r="X264" s="133">
        <v>0.8</v>
      </c>
      <c r="Y264" s="135">
        <v>0.92</v>
      </c>
      <c r="Z264" s="135" t="s">
        <v>35</v>
      </c>
      <c r="AA264" s="135" t="s">
        <v>35</v>
      </c>
      <c r="AB264" s="135" t="s">
        <v>35</v>
      </c>
      <c r="AC264" s="135">
        <v>0.5</v>
      </c>
      <c r="AD264" s="135">
        <v>0.92</v>
      </c>
      <c r="AE264" s="133">
        <v>0.999291885002124</v>
      </c>
      <c r="AF264" s="133">
        <v>0.902865329512894</v>
      </c>
      <c r="AG264" s="133">
        <v>1</v>
      </c>
      <c r="AH264" s="133">
        <v>0.945108298569375</v>
      </c>
      <c r="AI264" s="135">
        <v>0.92</v>
      </c>
      <c r="AJ264" s="133">
        <v>1</v>
      </c>
      <c r="AK264" s="133">
        <v>1</v>
      </c>
      <c r="AL264" s="133" t="s">
        <v>35</v>
      </c>
      <c r="AM264" s="133">
        <v>0.782608695652174</v>
      </c>
      <c r="AN264" s="132">
        <v>0.99</v>
      </c>
      <c r="AO264" s="137">
        <v>1</v>
      </c>
      <c r="AP264" s="137" t="s">
        <v>35</v>
      </c>
      <c r="AQ264" s="137">
        <v>1</v>
      </c>
      <c r="AR264" s="137">
        <v>1</v>
      </c>
      <c r="AS264" s="158">
        <v>0.0922287257019438</v>
      </c>
      <c r="AT264" s="141" t="s">
        <v>35</v>
      </c>
      <c r="AU264" s="141" t="s">
        <v>35</v>
      </c>
      <c r="AV264" s="141" t="s">
        <v>35</v>
      </c>
      <c r="AW264" s="141" t="s">
        <v>35</v>
      </c>
      <c r="AX264" s="95"/>
      <c r="AY264" s="93"/>
    </row>
    <row r="265" ht="14.5" spans="1:51">
      <c r="A265" s="91"/>
      <c r="B265" s="95"/>
      <c r="C265" s="163" t="s">
        <v>260</v>
      </c>
      <c r="D265" s="153" t="s">
        <v>125</v>
      </c>
      <c r="E265" s="130" t="s">
        <v>261</v>
      </c>
      <c r="F265" s="164" t="s">
        <v>289</v>
      </c>
      <c r="G265" s="164" t="s">
        <v>289</v>
      </c>
      <c r="H265" s="164" t="s">
        <v>289</v>
      </c>
      <c r="I265" s="164" t="s">
        <v>289</v>
      </c>
      <c r="J265" s="132">
        <v>0.9</v>
      </c>
      <c r="K265" s="133" t="s">
        <v>35</v>
      </c>
      <c r="L265" s="133" t="s">
        <v>35</v>
      </c>
      <c r="M265" s="134" t="s">
        <v>35</v>
      </c>
      <c r="N265" s="133" t="s">
        <v>35</v>
      </c>
      <c r="O265" s="135">
        <v>0.9</v>
      </c>
      <c r="P265" s="133">
        <v>0.333333333333333</v>
      </c>
      <c r="Q265" s="133">
        <v>0</v>
      </c>
      <c r="R265" s="133">
        <v>0.5</v>
      </c>
      <c r="S265" s="133">
        <v>0.434782608695652</v>
      </c>
      <c r="T265" s="135">
        <v>0.9</v>
      </c>
      <c r="U265" s="133">
        <v>0</v>
      </c>
      <c r="V265" s="133">
        <v>0.666666666666667</v>
      </c>
      <c r="W265" s="133">
        <v>0.25</v>
      </c>
      <c r="X265" s="133">
        <v>0.456521739130435</v>
      </c>
      <c r="Y265" s="135">
        <v>0.92</v>
      </c>
      <c r="Z265" s="135" t="s">
        <v>35</v>
      </c>
      <c r="AA265" s="135" t="s">
        <v>35</v>
      </c>
      <c r="AB265" s="135" t="s">
        <v>35</v>
      </c>
      <c r="AC265" s="135">
        <v>0.5</v>
      </c>
      <c r="AD265" s="135">
        <v>0.92</v>
      </c>
      <c r="AE265" s="133">
        <v>0.999866595517609</v>
      </c>
      <c r="AF265" s="133">
        <v>0.999846625766871</v>
      </c>
      <c r="AG265" s="133">
        <v>1</v>
      </c>
      <c r="AH265" s="133">
        <v>0.987593912686176</v>
      </c>
      <c r="AI265" s="135">
        <v>0.92</v>
      </c>
      <c r="AJ265" s="133">
        <v>0.25</v>
      </c>
      <c r="AK265" s="133">
        <v>0.666666666666667</v>
      </c>
      <c r="AL265" s="133">
        <v>0.5</v>
      </c>
      <c r="AM265" s="133">
        <v>0.509090909090909</v>
      </c>
      <c r="AN265" s="132">
        <v>0.99</v>
      </c>
      <c r="AO265" s="137">
        <v>1</v>
      </c>
      <c r="AP265" s="137" t="s">
        <v>35</v>
      </c>
      <c r="AQ265" s="137">
        <v>1</v>
      </c>
      <c r="AR265" s="137">
        <v>1</v>
      </c>
      <c r="AS265" s="158">
        <v>0.0922287257019438</v>
      </c>
      <c r="AT265" s="141" t="s">
        <v>35</v>
      </c>
      <c r="AU265" s="141" t="s">
        <v>35</v>
      </c>
      <c r="AV265" s="141" t="s">
        <v>35</v>
      </c>
      <c r="AW265" s="141" t="s">
        <v>35</v>
      </c>
      <c r="AX265" s="95"/>
      <c r="AY265" s="93"/>
    </row>
    <row r="266" ht="14.5" spans="1:51">
      <c r="A266" s="91"/>
      <c r="B266" s="95"/>
      <c r="C266" s="163" t="s">
        <v>260</v>
      </c>
      <c r="D266" s="153" t="s">
        <v>125</v>
      </c>
      <c r="E266" s="130" t="s">
        <v>261</v>
      </c>
      <c r="F266" s="164" t="s">
        <v>290</v>
      </c>
      <c r="G266" s="164" t="s">
        <v>290</v>
      </c>
      <c r="H266" s="164" t="s">
        <v>290</v>
      </c>
      <c r="I266" s="164" t="s">
        <v>290</v>
      </c>
      <c r="J266" s="132">
        <v>0.9</v>
      </c>
      <c r="K266" s="133" t="s">
        <v>35</v>
      </c>
      <c r="L266" s="133" t="s">
        <v>35</v>
      </c>
      <c r="M266" s="134" t="s">
        <v>35</v>
      </c>
      <c r="N266" s="133" t="s">
        <v>35</v>
      </c>
      <c r="O266" s="135">
        <v>0.9</v>
      </c>
      <c r="P266" s="133">
        <v>0</v>
      </c>
      <c r="Q266" s="133">
        <v>0</v>
      </c>
      <c r="R266" s="133" t="s">
        <v>35</v>
      </c>
      <c r="S266" s="133">
        <v>0</v>
      </c>
      <c r="T266" s="135">
        <v>0.9</v>
      </c>
      <c r="U266" s="133">
        <v>1</v>
      </c>
      <c r="V266" s="133">
        <v>1</v>
      </c>
      <c r="W266" s="133" t="s">
        <v>35</v>
      </c>
      <c r="X266" s="133">
        <v>1</v>
      </c>
      <c r="Y266" s="135">
        <v>0.92</v>
      </c>
      <c r="Z266" s="135" t="s">
        <v>35</v>
      </c>
      <c r="AA266" s="135" t="s">
        <v>35</v>
      </c>
      <c r="AB266" s="135" t="s">
        <v>35</v>
      </c>
      <c r="AC266" s="135" t="s">
        <v>35</v>
      </c>
      <c r="AD266" s="135">
        <v>0.92</v>
      </c>
      <c r="AE266" s="133">
        <v>1</v>
      </c>
      <c r="AF266" s="133">
        <v>1</v>
      </c>
      <c r="AG266" s="133">
        <v>1</v>
      </c>
      <c r="AH266" s="133">
        <v>0.982391590013141</v>
      </c>
      <c r="AI266" s="135">
        <v>0.92</v>
      </c>
      <c r="AJ266" s="133">
        <v>1</v>
      </c>
      <c r="AK266" s="133">
        <v>1</v>
      </c>
      <c r="AL266" s="133" t="s">
        <v>35</v>
      </c>
      <c r="AM266" s="133">
        <v>1</v>
      </c>
      <c r="AN266" s="132">
        <v>0.99</v>
      </c>
      <c r="AO266" s="137" t="s">
        <v>35</v>
      </c>
      <c r="AP266" s="137">
        <v>1</v>
      </c>
      <c r="AQ266" s="137" t="s">
        <v>35</v>
      </c>
      <c r="AR266" s="137">
        <v>1</v>
      </c>
      <c r="AS266" s="158">
        <v>0.0922287257019438</v>
      </c>
      <c r="AT266" s="141" t="s">
        <v>35</v>
      </c>
      <c r="AU266" s="141" t="s">
        <v>35</v>
      </c>
      <c r="AV266" s="141" t="s">
        <v>35</v>
      </c>
      <c r="AW266" s="141" t="s">
        <v>35</v>
      </c>
      <c r="AX266" s="95"/>
      <c r="AY266" s="93"/>
    </row>
    <row r="267" ht="14.5" spans="1:51">
      <c r="A267" s="91"/>
      <c r="B267" s="95"/>
      <c r="C267" s="163" t="s">
        <v>260</v>
      </c>
      <c r="D267" s="153" t="s">
        <v>25</v>
      </c>
      <c r="E267" s="130" t="s">
        <v>261</v>
      </c>
      <c r="F267" s="164" t="s">
        <v>291</v>
      </c>
      <c r="G267" s="164" t="s">
        <v>291</v>
      </c>
      <c r="H267" s="164" t="s">
        <v>291</v>
      </c>
      <c r="I267" s="164" t="s">
        <v>291</v>
      </c>
      <c r="J267" s="132">
        <v>0.9</v>
      </c>
      <c r="K267" s="133">
        <v>0.972477064220184</v>
      </c>
      <c r="L267" s="133">
        <v>0.947368421052632</v>
      </c>
      <c r="M267" s="134">
        <v>0.924528301886792</v>
      </c>
      <c r="N267" s="133">
        <v>0.961899791231733</v>
      </c>
      <c r="O267" s="135">
        <v>0.9</v>
      </c>
      <c r="P267" s="133">
        <v>0.971174486353879</v>
      </c>
      <c r="Q267" s="133">
        <v>0.965420081967213</v>
      </c>
      <c r="R267" s="133">
        <v>0.964048865619546</v>
      </c>
      <c r="S267" s="133">
        <v>0.966692144556523</v>
      </c>
      <c r="T267" s="135">
        <v>0.9</v>
      </c>
      <c r="U267" s="133">
        <v>0.929776142287642</v>
      </c>
      <c r="V267" s="133">
        <v>0.935706967213115</v>
      </c>
      <c r="W267" s="133">
        <v>0.938219895287958</v>
      </c>
      <c r="X267" s="133">
        <v>0.938088727648534</v>
      </c>
      <c r="Y267" s="135">
        <v>0.92</v>
      </c>
      <c r="Z267" s="135">
        <v>0.962985074626866</v>
      </c>
      <c r="AA267" s="135">
        <v>0.952328767123288</v>
      </c>
      <c r="AB267" s="135">
        <v>0.967977811396873</v>
      </c>
      <c r="AC267" s="135">
        <v>0.973669055112837</v>
      </c>
      <c r="AD267" s="135">
        <v>0.92</v>
      </c>
      <c r="AE267" s="133">
        <v>0.997819272182091</v>
      </c>
      <c r="AF267" s="133">
        <v>0.908738123912753</v>
      </c>
      <c r="AG267" s="133">
        <v>0.998994974874372</v>
      </c>
      <c r="AH267" s="133">
        <v>0.964406585968336</v>
      </c>
      <c r="AI267" s="135">
        <v>0.92</v>
      </c>
      <c r="AJ267" s="133">
        <v>0.973865478119935</v>
      </c>
      <c r="AK267" s="133">
        <v>0.973821989528796</v>
      </c>
      <c r="AL267" s="133">
        <v>0.980404290429043</v>
      </c>
      <c r="AM267" s="133">
        <v>0.983171613734828</v>
      </c>
      <c r="AN267" s="132">
        <v>0.99</v>
      </c>
      <c r="AO267" s="137">
        <v>1</v>
      </c>
      <c r="AP267" s="137">
        <v>1</v>
      </c>
      <c r="AQ267" s="137">
        <v>1</v>
      </c>
      <c r="AR267" s="137">
        <v>1</v>
      </c>
      <c r="AS267" s="158">
        <v>0.0922287257019438</v>
      </c>
      <c r="AT267" s="141">
        <v>0.1875</v>
      </c>
      <c r="AU267" s="141">
        <v>0.210526315789474</v>
      </c>
      <c r="AV267" s="141">
        <v>0</v>
      </c>
      <c r="AW267" s="141">
        <v>0.0948275862068965</v>
      </c>
      <c r="AX267" s="95"/>
      <c r="AY267" s="93"/>
    </row>
    <row r="268" ht="14.5" spans="1:51">
      <c r="A268" s="91"/>
      <c r="B268" s="95"/>
      <c r="C268" s="163" t="s">
        <v>260</v>
      </c>
      <c r="D268" s="153" t="s">
        <v>25</v>
      </c>
      <c r="E268" s="130" t="s">
        <v>261</v>
      </c>
      <c r="F268" s="164" t="s">
        <v>292</v>
      </c>
      <c r="G268" s="164" t="s">
        <v>292</v>
      </c>
      <c r="H268" s="164" t="s">
        <v>292</v>
      </c>
      <c r="I268" s="164" t="s">
        <v>292</v>
      </c>
      <c r="J268" s="132">
        <v>0.9</v>
      </c>
      <c r="K268" s="133">
        <v>0.933333333333333</v>
      </c>
      <c r="L268" s="133">
        <v>0.965116279069767</v>
      </c>
      <c r="M268" s="134">
        <v>0.895833333333333</v>
      </c>
      <c r="N268" s="133">
        <v>0.920301561658589</v>
      </c>
      <c r="O268" s="135">
        <v>0.9</v>
      </c>
      <c r="P268" s="133">
        <v>0.984708392603129</v>
      </c>
      <c r="Q268" s="133">
        <v>0.925386715195632</v>
      </c>
      <c r="R268" s="133">
        <v>0.991441353822214</v>
      </c>
      <c r="S268" s="133">
        <v>0.986505225420232</v>
      </c>
      <c r="T268" s="135">
        <v>0.9</v>
      </c>
      <c r="U268" s="133">
        <v>0.952347083926031</v>
      </c>
      <c r="V268" s="133">
        <v>0.906581740976645</v>
      </c>
      <c r="W268" s="133">
        <v>0.957206769111068</v>
      </c>
      <c r="X268" s="133">
        <v>0.958275554954285</v>
      </c>
      <c r="Y268" s="135">
        <v>0.92</v>
      </c>
      <c r="Z268" s="135">
        <v>0.944903581267218</v>
      </c>
      <c r="AA268" s="135">
        <v>0.935921133703019</v>
      </c>
      <c r="AB268" s="135">
        <v>0.966799091940976</v>
      </c>
      <c r="AC268" s="135">
        <v>0.969354255348747</v>
      </c>
      <c r="AD268" s="135">
        <v>0.92</v>
      </c>
      <c r="AE268" s="133">
        <v>0.990610328638498</v>
      </c>
      <c r="AF268" s="133">
        <v>0.749097472924188</v>
      </c>
      <c r="AG268" s="133">
        <v>0.903090623363017</v>
      </c>
      <c r="AH268" s="133">
        <v>0.952585539557207</v>
      </c>
      <c r="AI268" s="135">
        <v>0.92</v>
      </c>
      <c r="AJ268" s="133">
        <v>0.969277673545966</v>
      </c>
      <c r="AK268" s="133">
        <v>0.966267018898598</v>
      </c>
      <c r="AL268" s="133">
        <v>0.979688401615695</v>
      </c>
      <c r="AM268" s="133">
        <v>0.980996500666243</v>
      </c>
      <c r="AN268" s="132">
        <v>0.99</v>
      </c>
      <c r="AO268" s="137">
        <v>1</v>
      </c>
      <c r="AP268" s="137">
        <v>1</v>
      </c>
      <c r="AQ268" s="137">
        <v>1</v>
      </c>
      <c r="AR268" s="137">
        <v>0.99963556851312</v>
      </c>
      <c r="AS268" s="158">
        <v>0.0922287257019438</v>
      </c>
      <c r="AT268" s="141">
        <v>0.0384615384615385</v>
      </c>
      <c r="AU268" s="141">
        <v>0.12</v>
      </c>
      <c r="AV268" s="141">
        <v>0</v>
      </c>
      <c r="AW268" s="141">
        <v>0.062015503875969</v>
      </c>
      <c r="AX268" s="95"/>
      <c r="AY268" s="93"/>
    </row>
    <row r="269" ht="14.5" spans="1:51">
      <c r="A269" s="91"/>
      <c r="B269" s="95"/>
      <c r="C269" s="163" t="s">
        <v>260</v>
      </c>
      <c r="D269" s="153" t="s">
        <v>125</v>
      </c>
      <c r="E269" s="130" t="s">
        <v>261</v>
      </c>
      <c r="F269" s="164" t="s">
        <v>293</v>
      </c>
      <c r="G269" s="164" t="s">
        <v>293</v>
      </c>
      <c r="H269" s="164" t="s">
        <v>293</v>
      </c>
      <c r="I269" s="164" t="s">
        <v>293</v>
      </c>
      <c r="J269" s="132">
        <v>0.9</v>
      </c>
      <c r="K269" s="133" t="s">
        <v>35</v>
      </c>
      <c r="L269" s="133" t="s">
        <v>35</v>
      </c>
      <c r="M269" s="134" t="s">
        <v>35</v>
      </c>
      <c r="N269" s="133" t="s">
        <v>35</v>
      </c>
      <c r="O269" s="135">
        <v>0.9</v>
      </c>
      <c r="P269" s="133">
        <v>0.75</v>
      </c>
      <c r="Q269" s="133">
        <v>0.5</v>
      </c>
      <c r="R269" s="133">
        <v>0.75</v>
      </c>
      <c r="S269" s="133">
        <v>0.264705882352941</v>
      </c>
      <c r="T269" s="135">
        <v>0.9</v>
      </c>
      <c r="U269" s="133">
        <v>0.75</v>
      </c>
      <c r="V269" s="133">
        <v>0.75</v>
      </c>
      <c r="W269" s="133">
        <v>0.75</v>
      </c>
      <c r="X269" s="133">
        <v>0.647058823529412</v>
      </c>
      <c r="Y269" s="135">
        <v>0.92</v>
      </c>
      <c r="Z269" s="135">
        <v>1</v>
      </c>
      <c r="AA269" s="135" t="s">
        <v>35</v>
      </c>
      <c r="AB269" s="135" t="s">
        <v>35</v>
      </c>
      <c r="AC269" s="135">
        <v>0.692307692307692</v>
      </c>
      <c r="AD269" s="135">
        <v>0.92</v>
      </c>
      <c r="AE269" s="133">
        <v>0.99822729958637</v>
      </c>
      <c r="AF269" s="133">
        <v>0.996793064561601</v>
      </c>
      <c r="AG269" s="133">
        <v>0.998357137179046</v>
      </c>
      <c r="AH269" s="133">
        <v>0.996425826890203</v>
      </c>
      <c r="AI269" s="135">
        <v>0.92</v>
      </c>
      <c r="AJ269" s="133">
        <v>0.666666666666667</v>
      </c>
      <c r="AK269" s="133">
        <v>0.75</v>
      </c>
      <c r="AL269" s="133">
        <v>0.6</v>
      </c>
      <c r="AM269" s="133">
        <v>0.68</v>
      </c>
      <c r="AN269" s="132">
        <v>0.99</v>
      </c>
      <c r="AO269" s="137">
        <v>1</v>
      </c>
      <c r="AP269" s="137">
        <v>1</v>
      </c>
      <c r="AQ269" s="137">
        <v>1</v>
      </c>
      <c r="AR269" s="137">
        <v>1</v>
      </c>
      <c r="AS269" s="158">
        <v>0.0922287257019438</v>
      </c>
      <c r="AT269" s="141" t="s">
        <v>35</v>
      </c>
      <c r="AU269" s="141">
        <v>0</v>
      </c>
      <c r="AV269" s="141" t="s">
        <v>35</v>
      </c>
      <c r="AW269" s="141">
        <v>0</v>
      </c>
      <c r="AX269" s="95"/>
      <c r="AY269" s="93"/>
    </row>
    <row r="270" ht="14.5" spans="1:51">
      <c r="A270" s="91"/>
      <c r="B270" s="95"/>
      <c r="C270" s="163" t="s">
        <v>260</v>
      </c>
      <c r="D270" s="153" t="s">
        <v>25</v>
      </c>
      <c r="E270" s="130" t="s">
        <v>261</v>
      </c>
      <c r="F270" s="164" t="s">
        <v>294</v>
      </c>
      <c r="G270" s="164" t="s">
        <v>294</v>
      </c>
      <c r="H270" s="164" t="s">
        <v>294</v>
      </c>
      <c r="I270" s="164" t="s">
        <v>294</v>
      </c>
      <c r="J270" s="132">
        <v>0.9</v>
      </c>
      <c r="K270" s="133">
        <v>0.891666666666667</v>
      </c>
      <c r="L270" s="133">
        <v>0.893617021276596</v>
      </c>
      <c r="M270" s="134">
        <v>0.907407407407407</v>
      </c>
      <c r="N270" s="133">
        <v>0.886558627264061</v>
      </c>
      <c r="O270" s="135">
        <v>0.9</v>
      </c>
      <c r="P270" s="133">
        <v>0.958756898054023</v>
      </c>
      <c r="Q270" s="133">
        <v>0.966598500340832</v>
      </c>
      <c r="R270" s="133">
        <v>0.964646464646465</v>
      </c>
      <c r="S270" s="133">
        <v>0.919048017400034</v>
      </c>
      <c r="T270" s="135">
        <v>0.9</v>
      </c>
      <c r="U270" s="133">
        <v>0.94655823409817</v>
      </c>
      <c r="V270" s="133">
        <v>0.952283571915474</v>
      </c>
      <c r="W270" s="133">
        <v>0.92602495543672</v>
      </c>
      <c r="X270" s="133">
        <v>0.926953321064079</v>
      </c>
      <c r="Y270" s="135">
        <v>0.92</v>
      </c>
      <c r="Z270" s="135">
        <v>0.968102965864578</v>
      </c>
      <c r="AA270" s="135">
        <v>0.962657613967022</v>
      </c>
      <c r="AB270" s="135">
        <v>0.969584245076586</v>
      </c>
      <c r="AC270" s="135">
        <v>0.974748632626994</v>
      </c>
      <c r="AD270" s="135">
        <v>0.92</v>
      </c>
      <c r="AE270" s="133">
        <v>0.995423340961098</v>
      </c>
      <c r="AF270" s="133">
        <v>0.871794871794872</v>
      </c>
      <c r="AG270" s="133">
        <v>0.958486303304151</v>
      </c>
      <c r="AH270" s="133">
        <v>0.944757401091777</v>
      </c>
      <c r="AI270" s="135">
        <v>0.92</v>
      </c>
      <c r="AJ270" s="133">
        <v>0.979545020072644</v>
      </c>
      <c r="AK270" s="133">
        <v>0.980507425742574</v>
      </c>
      <c r="AL270" s="133">
        <v>0.980890029195789</v>
      </c>
      <c r="AM270" s="133">
        <v>0.984292201980404</v>
      </c>
      <c r="AN270" s="132">
        <v>0.99</v>
      </c>
      <c r="AO270" s="137">
        <v>1</v>
      </c>
      <c r="AP270" s="137">
        <v>1</v>
      </c>
      <c r="AQ270" s="137">
        <v>1</v>
      </c>
      <c r="AR270" s="137">
        <v>1</v>
      </c>
      <c r="AS270" s="158">
        <v>0.0922287257019438</v>
      </c>
      <c r="AT270" s="141">
        <v>0.125</v>
      </c>
      <c r="AU270" s="141">
        <v>0.0714285714285714</v>
      </c>
      <c r="AV270" s="141">
        <v>0.142857142857143</v>
      </c>
      <c r="AW270" s="141">
        <v>0.0712589073634204</v>
      </c>
      <c r="AX270" s="95"/>
      <c r="AY270" s="93"/>
    </row>
    <row r="271" ht="14.5" spans="1:51">
      <c r="A271" s="91"/>
      <c r="B271" s="95"/>
      <c r="C271" s="163" t="s">
        <v>260</v>
      </c>
      <c r="D271" s="153" t="s">
        <v>25</v>
      </c>
      <c r="E271" s="130" t="s">
        <v>261</v>
      </c>
      <c r="F271" s="164" t="s">
        <v>295</v>
      </c>
      <c r="G271" s="164" t="s">
        <v>295</v>
      </c>
      <c r="H271" s="164" t="s">
        <v>295</v>
      </c>
      <c r="I271" s="164" t="s">
        <v>295</v>
      </c>
      <c r="J271" s="132">
        <v>0.9</v>
      </c>
      <c r="K271" s="133">
        <v>0.950819672131147</v>
      </c>
      <c r="L271" s="133">
        <v>0.981481481481482</v>
      </c>
      <c r="M271" s="134">
        <v>0.9609375</v>
      </c>
      <c r="N271" s="133">
        <v>0.960860215053763</v>
      </c>
      <c r="O271" s="135">
        <v>0.9</v>
      </c>
      <c r="P271" s="133">
        <v>0.969893469198703</v>
      </c>
      <c r="Q271" s="133">
        <v>0.981285444234405</v>
      </c>
      <c r="R271" s="133">
        <v>0.979960415635824</v>
      </c>
      <c r="S271" s="133">
        <v>0.97498491000878</v>
      </c>
      <c r="T271" s="135">
        <v>0.9</v>
      </c>
      <c r="U271" s="133">
        <v>0.93886058360352</v>
      </c>
      <c r="V271" s="133">
        <v>0.939886578449906</v>
      </c>
      <c r="W271" s="133">
        <v>0.951261751608115</v>
      </c>
      <c r="X271" s="133">
        <v>0.946423672080773</v>
      </c>
      <c r="Y271" s="135">
        <v>0.92</v>
      </c>
      <c r="Z271" s="135">
        <v>0.974137931034483</v>
      </c>
      <c r="AA271" s="135">
        <v>0.978689183755529</v>
      </c>
      <c r="AB271" s="135">
        <v>0.987771983456213</v>
      </c>
      <c r="AC271" s="135">
        <v>0.990374819025149</v>
      </c>
      <c r="AD271" s="135">
        <v>0.92</v>
      </c>
      <c r="AE271" s="133">
        <v>0.949543106873262</v>
      </c>
      <c r="AF271" s="133">
        <v>0.99741935483871</v>
      </c>
      <c r="AG271" s="133">
        <v>0.998162890385793</v>
      </c>
      <c r="AH271" s="133">
        <v>0.992784621487461</v>
      </c>
      <c r="AI271" s="135">
        <v>0.92</v>
      </c>
      <c r="AJ271" s="133">
        <v>0.983299516154206</v>
      </c>
      <c r="AK271" s="133">
        <v>0.98804780876494</v>
      </c>
      <c r="AL271" s="133">
        <v>0.993037742762917</v>
      </c>
      <c r="AM271" s="133">
        <v>0.993628781104499</v>
      </c>
      <c r="AN271" s="132">
        <v>0.99</v>
      </c>
      <c r="AO271" s="137">
        <v>1</v>
      </c>
      <c r="AP271" s="137">
        <v>1</v>
      </c>
      <c r="AQ271" s="137">
        <v>1</v>
      </c>
      <c r="AR271" s="137">
        <v>1</v>
      </c>
      <c r="AS271" s="158">
        <v>0.0922287257019438</v>
      </c>
      <c r="AT271" s="141">
        <v>0.217391304347826</v>
      </c>
      <c r="AU271" s="141">
        <v>0.1</v>
      </c>
      <c r="AV271" s="141">
        <v>0.0731707317073171</v>
      </c>
      <c r="AW271" s="141">
        <v>0.101180438448567</v>
      </c>
      <c r="AX271" s="95"/>
      <c r="AY271" s="93"/>
    </row>
    <row r="272" ht="14.5" spans="1:51">
      <c r="A272" s="91"/>
      <c r="B272" s="95"/>
      <c r="C272" s="163" t="s">
        <v>260</v>
      </c>
      <c r="D272" s="153" t="s">
        <v>25</v>
      </c>
      <c r="E272" s="130" t="s">
        <v>261</v>
      </c>
      <c r="F272" s="164" t="s">
        <v>296</v>
      </c>
      <c r="G272" s="164" t="s">
        <v>296</v>
      </c>
      <c r="H272" s="164" t="s">
        <v>296</v>
      </c>
      <c r="I272" s="164" t="s">
        <v>296</v>
      </c>
      <c r="J272" s="132">
        <v>0.9</v>
      </c>
      <c r="K272" s="133">
        <v>0.99438202247191</v>
      </c>
      <c r="L272" s="133">
        <v>0.928057553956835</v>
      </c>
      <c r="M272" s="134">
        <v>0.947368421052632</v>
      </c>
      <c r="N272" s="133">
        <v>0.97385419870809</v>
      </c>
      <c r="O272" s="135">
        <v>0.9</v>
      </c>
      <c r="P272" s="133">
        <v>0.970950704225352</v>
      </c>
      <c r="Q272" s="133">
        <v>0.971778306698402</v>
      </c>
      <c r="R272" s="133">
        <v>0.973944703606781</v>
      </c>
      <c r="S272" s="133">
        <v>0.974582796662373</v>
      </c>
      <c r="T272" s="135">
        <v>0.9</v>
      </c>
      <c r="U272" s="133">
        <v>0.951584507042254</v>
      </c>
      <c r="V272" s="133">
        <v>0.944746684801088</v>
      </c>
      <c r="W272" s="133">
        <v>0.935373762657868</v>
      </c>
      <c r="X272" s="133">
        <v>0.951489611916895</v>
      </c>
      <c r="Y272" s="135">
        <v>0.92</v>
      </c>
      <c r="Z272" s="135">
        <v>0.983492615117289</v>
      </c>
      <c r="AA272" s="135">
        <v>0.982782853127196</v>
      </c>
      <c r="AB272" s="135">
        <v>0.992700729927007</v>
      </c>
      <c r="AC272" s="135">
        <v>0.991908207389648</v>
      </c>
      <c r="AD272" s="135">
        <v>0.92</v>
      </c>
      <c r="AE272" s="133">
        <v>0.999521759923482</v>
      </c>
      <c r="AF272" s="133">
        <v>0.994413407821229</v>
      </c>
      <c r="AG272" s="133">
        <v>0.999507389162562</v>
      </c>
      <c r="AH272" s="133">
        <v>0.991825552879836</v>
      </c>
      <c r="AI272" s="135">
        <v>0.92</v>
      </c>
      <c r="AJ272" s="133">
        <v>0.99006719252118</v>
      </c>
      <c r="AK272" s="133">
        <v>0.99163802978236</v>
      </c>
      <c r="AL272" s="133">
        <v>0.995988500367721</v>
      </c>
      <c r="AM272" s="133">
        <v>0.995321002345275</v>
      </c>
      <c r="AN272" s="132">
        <v>0.99</v>
      </c>
      <c r="AO272" s="137">
        <v>1</v>
      </c>
      <c r="AP272" s="137">
        <v>1</v>
      </c>
      <c r="AQ272" s="137">
        <v>1</v>
      </c>
      <c r="AR272" s="137">
        <v>1</v>
      </c>
      <c r="AS272" s="158">
        <v>0.0922287257019438</v>
      </c>
      <c r="AT272" s="141">
        <v>0.387096774193548</v>
      </c>
      <c r="AU272" s="141">
        <v>0</v>
      </c>
      <c r="AV272" s="141">
        <v>0.0434782608695652</v>
      </c>
      <c r="AW272" s="141">
        <v>0.111561866125761</v>
      </c>
      <c r="AX272" s="95"/>
      <c r="AY272" s="93"/>
    </row>
    <row r="273" ht="14.5" spans="1:51">
      <c r="A273" s="91"/>
      <c r="B273" s="95"/>
      <c r="C273" s="163" t="s">
        <v>260</v>
      </c>
      <c r="D273" s="153" t="s">
        <v>25</v>
      </c>
      <c r="E273" s="130" t="s">
        <v>261</v>
      </c>
      <c r="F273" s="164" t="s">
        <v>297</v>
      </c>
      <c r="G273" s="164" t="s">
        <v>297</v>
      </c>
      <c r="H273" s="164" t="s">
        <v>297</v>
      </c>
      <c r="I273" s="164" t="s">
        <v>297</v>
      </c>
      <c r="J273" s="132">
        <v>0.9</v>
      </c>
      <c r="K273" s="133">
        <v>0.971428571428571</v>
      </c>
      <c r="L273" s="133">
        <v>1</v>
      </c>
      <c r="M273" s="134">
        <v>0.941747572815534</v>
      </c>
      <c r="N273" s="133">
        <v>0.971757322175732</v>
      </c>
      <c r="O273" s="135">
        <v>0.9</v>
      </c>
      <c r="P273" s="133">
        <v>0.987220447284345</v>
      </c>
      <c r="Q273" s="133">
        <v>0.984204909284952</v>
      </c>
      <c r="R273" s="133">
        <v>0.982451329860159</v>
      </c>
      <c r="S273" s="133">
        <v>0.978489056248529</v>
      </c>
      <c r="T273" s="135">
        <v>0.9</v>
      </c>
      <c r="U273" s="133">
        <v>0.984025559105431</v>
      </c>
      <c r="V273" s="133">
        <v>0.985699039487727</v>
      </c>
      <c r="W273" s="133">
        <v>0.979709350150809</v>
      </c>
      <c r="X273" s="133">
        <v>0.972275829606966</v>
      </c>
      <c r="Y273" s="135">
        <v>0.92</v>
      </c>
      <c r="Z273" s="135">
        <v>0.993040685224839</v>
      </c>
      <c r="AA273" s="135">
        <v>0.9949977262392</v>
      </c>
      <c r="AB273" s="135">
        <v>0.99719464825205</v>
      </c>
      <c r="AC273" s="135">
        <v>0.996092005359535</v>
      </c>
      <c r="AD273" s="135">
        <v>0.92</v>
      </c>
      <c r="AE273" s="133">
        <v>0.996081690809784</v>
      </c>
      <c r="AF273" s="133">
        <v>0.99402703552342</v>
      </c>
      <c r="AG273" s="133">
        <v>0.99372526305628</v>
      </c>
      <c r="AH273" s="133">
        <v>0.98827391247745</v>
      </c>
      <c r="AI273" s="135">
        <v>0.92</v>
      </c>
      <c r="AJ273" s="133">
        <v>0.995555555555556</v>
      </c>
      <c r="AK273" s="133">
        <v>0.996807429981135</v>
      </c>
      <c r="AL273" s="133">
        <v>0.997988096236063</v>
      </c>
      <c r="AM273" s="133">
        <v>0.997464859770908</v>
      </c>
      <c r="AN273" s="132">
        <v>0.99</v>
      </c>
      <c r="AO273" s="137">
        <v>1</v>
      </c>
      <c r="AP273" s="137">
        <v>1</v>
      </c>
      <c r="AQ273" s="137">
        <v>1</v>
      </c>
      <c r="AR273" s="137">
        <v>1</v>
      </c>
      <c r="AS273" s="158">
        <v>0.0922287257019438</v>
      </c>
      <c r="AT273" s="141">
        <v>0.0526315789473684</v>
      </c>
      <c r="AU273" s="141">
        <v>0.148148148148148</v>
      </c>
      <c r="AV273" s="141">
        <v>0</v>
      </c>
      <c r="AW273" s="141">
        <v>0.0892116182572614</v>
      </c>
      <c r="AX273" s="95"/>
      <c r="AY273" s="93"/>
    </row>
    <row r="274" ht="14.5" spans="1:51">
      <c r="A274" s="91"/>
      <c r="B274" s="95"/>
      <c r="C274" s="163" t="s">
        <v>260</v>
      </c>
      <c r="D274" s="153" t="s">
        <v>25</v>
      </c>
      <c r="E274" s="130" t="s">
        <v>261</v>
      </c>
      <c r="F274" s="164" t="s">
        <v>298</v>
      </c>
      <c r="G274" s="164" t="s">
        <v>298</v>
      </c>
      <c r="H274" s="164" t="s">
        <v>298</v>
      </c>
      <c r="I274" s="164" t="s">
        <v>298</v>
      </c>
      <c r="J274" s="132">
        <v>0.9</v>
      </c>
      <c r="K274" s="133">
        <v>0.967741935483871</v>
      </c>
      <c r="L274" s="133">
        <v>0.973684210526316</v>
      </c>
      <c r="M274" s="134">
        <v>0.988888888888889</v>
      </c>
      <c r="N274" s="133">
        <v>0.984643734643735</v>
      </c>
      <c r="O274" s="135">
        <v>0.9</v>
      </c>
      <c r="P274" s="133">
        <v>0.985185185185185</v>
      </c>
      <c r="Q274" s="133">
        <v>0.98625140291807</v>
      </c>
      <c r="R274" s="133">
        <v>0.983870967741935</v>
      </c>
      <c r="S274" s="133">
        <v>0.98049579959624</v>
      </c>
      <c r="T274" s="135">
        <v>0.9</v>
      </c>
      <c r="U274" s="133">
        <v>0.953086419753086</v>
      </c>
      <c r="V274" s="133">
        <v>0.962401795735129</v>
      </c>
      <c r="W274" s="133">
        <v>0.969039673711531</v>
      </c>
      <c r="X274" s="133">
        <v>0.963379425619207</v>
      </c>
      <c r="Y274" s="135">
        <v>0.92</v>
      </c>
      <c r="Z274" s="135">
        <v>0.966472303206997</v>
      </c>
      <c r="AA274" s="135">
        <v>0.975308641975309</v>
      </c>
      <c r="AB274" s="135">
        <v>0.990818030050084</v>
      </c>
      <c r="AC274" s="135">
        <v>0.990879707700956</v>
      </c>
      <c r="AD274" s="135">
        <v>0.92</v>
      </c>
      <c r="AE274" s="133">
        <v>0.99845009299442</v>
      </c>
      <c r="AF274" s="133">
        <v>0.994327850255247</v>
      </c>
      <c r="AG274" s="133">
        <v>0.989439480097482</v>
      </c>
      <c r="AH274" s="133">
        <v>0.993647860483918</v>
      </c>
      <c r="AI274" s="135">
        <v>0.92</v>
      </c>
      <c r="AJ274" s="133">
        <v>0.982193732193732</v>
      </c>
      <c r="AK274" s="133">
        <v>0.988050930460333</v>
      </c>
      <c r="AL274" s="133">
        <v>0.993769470404984</v>
      </c>
      <c r="AM274" s="133">
        <v>0.993963179065823</v>
      </c>
      <c r="AN274" s="132">
        <v>0.99</v>
      </c>
      <c r="AO274" s="137">
        <v>1</v>
      </c>
      <c r="AP274" s="137">
        <v>1</v>
      </c>
      <c r="AQ274" s="137">
        <v>1</v>
      </c>
      <c r="AR274" s="137">
        <v>1</v>
      </c>
      <c r="AS274" s="158">
        <v>0.0922287257019438</v>
      </c>
      <c r="AT274" s="141">
        <v>0.0909090909090909</v>
      </c>
      <c r="AU274" s="141">
        <v>0</v>
      </c>
      <c r="AV274" s="141">
        <v>0.117647058823529</v>
      </c>
      <c r="AW274" s="141">
        <v>0.091644204851752</v>
      </c>
      <c r="AX274" s="95"/>
      <c r="AY274" s="93"/>
    </row>
    <row r="275" ht="14.5" spans="1:51">
      <c r="A275" s="91"/>
      <c r="B275" s="95"/>
      <c r="C275" s="163" t="s">
        <v>260</v>
      </c>
      <c r="D275" s="153" t="s">
        <v>25</v>
      </c>
      <c r="E275" s="130" t="s">
        <v>261</v>
      </c>
      <c r="F275" s="164" t="s">
        <v>299</v>
      </c>
      <c r="G275" s="164" t="s">
        <v>299</v>
      </c>
      <c r="H275" s="164" t="s">
        <v>299</v>
      </c>
      <c r="I275" s="164" t="s">
        <v>299</v>
      </c>
      <c r="J275" s="132">
        <v>0.9</v>
      </c>
      <c r="K275" s="133">
        <v>0.951807228915663</v>
      </c>
      <c r="L275" s="133">
        <v>0.884057971014493</v>
      </c>
      <c r="M275" s="134">
        <v>0.925</v>
      </c>
      <c r="N275" s="133">
        <v>0.940267041461701</v>
      </c>
      <c r="O275" s="135">
        <v>0.9</v>
      </c>
      <c r="P275" s="133">
        <v>0.979896907216495</v>
      </c>
      <c r="Q275" s="133">
        <v>0.991416309012876</v>
      </c>
      <c r="R275" s="133">
        <v>0.98842476094615</v>
      </c>
      <c r="S275" s="133">
        <v>0.98096772569357</v>
      </c>
      <c r="T275" s="135">
        <v>0.9</v>
      </c>
      <c r="U275" s="133">
        <v>0.948453608247423</v>
      </c>
      <c r="V275" s="133">
        <v>0.963714397190792</v>
      </c>
      <c r="W275" s="133">
        <v>0.96250629089079</v>
      </c>
      <c r="X275" s="133">
        <v>0.959820754241982</v>
      </c>
      <c r="Y275" s="135">
        <v>0.92</v>
      </c>
      <c r="Z275" s="135">
        <v>0.984375</v>
      </c>
      <c r="AA275" s="135">
        <v>0.986145069274654</v>
      </c>
      <c r="AB275" s="135">
        <v>0.990873990873991</v>
      </c>
      <c r="AC275" s="135">
        <v>0.990106331947554</v>
      </c>
      <c r="AD275" s="135">
        <v>0.92</v>
      </c>
      <c r="AE275" s="133">
        <v>1</v>
      </c>
      <c r="AF275" s="133">
        <v>0.99622641509434</v>
      </c>
      <c r="AG275" s="133">
        <v>0.9957805907173</v>
      </c>
      <c r="AH275" s="133">
        <v>0.987762088147197</v>
      </c>
      <c r="AI275" s="135">
        <v>0.92</v>
      </c>
      <c r="AJ275" s="133">
        <v>0.986605569263306</v>
      </c>
      <c r="AK275" s="133">
        <v>0.992614085993142</v>
      </c>
      <c r="AL275" s="133">
        <v>0.994577165469735</v>
      </c>
      <c r="AM275" s="133">
        <v>0.993724231035867</v>
      </c>
      <c r="AN275" s="132">
        <v>0.99</v>
      </c>
      <c r="AO275" s="137">
        <v>1</v>
      </c>
      <c r="AP275" s="137">
        <v>1</v>
      </c>
      <c r="AQ275" s="137">
        <v>1</v>
      </c>
      <c r="AR275" s="137">
        <v>1</v>
      </c>
      <c r="AS275" s="158">
        <v>0.0922287257019438</v>
      </c>
      <c r="AT275" s="141">
        <v>0.363636363636364</v>
      </c>
      <c r="AU275" s="141">
        <v>0.142857142857143</v>
      </c>
      <c r="AV275" s="141">
        <v>0.0909090909090909</v>
      </c>
      <c r="AW275" s="141">
        <v>0.129533678756477</v>
      </c>
      <c r="AX275" s="95"/>
      <c r="AY275" s="93"/>
    </row>
    <row r="276" ht="14.5" spans="1:51">
      <c r="A276" s="91"/>
      <c r="B276" s="95"/>
      <c r="C276" s="163" t="s">
        <v>260</v>
      </c>
      <c r="D276" s="153" t="s">
        <v>25</v>
      </c>
      <c r="E276" s="130" t="s">
        <v>261</v>
      </c>
      <c r="F276" s="164" t="s">
        <v>300</v>
      </c>
      <c r="G276" s="164" t="s">
        <v>300</v>
      </c>
      <c r="H276" s="164" t="s">
        <v>300</v>
      </c>
      <c r="I276" s="164" t="s">
        <v>300</v>
      </c>
      <c r="J276" s="132">
        <v>0.9</v>
      </c>
      <c r="K276" s="133">
        <v>0.910958904109589</v>
      </c>
      <c r="L276" s="133">
        <v>0.805084745762712</v>
      </c>
      <c r="M276" s="134">
        <v>0.861538461538462</v>
      </c>
      <c r="N276" s="133">
        <v>0.906386354621182</v>
      </c>
      <c r="O276" s="135">
        <v>0.9</v>
      </c>
      <c r="P276" s="133">
        <v>0.975058004640371</v>
      </c>
      <c r="Q276" s="133">
        <v>0.96875</v>
      </c>
      <c r="R276" s="133">
        <v>0.937234852605243</v>
      </c>
      <c r="S276" s="133">
        <v>0.875672255615312</v>
      </c>
      <c r="T276" s="135">
        <v>0.9</v>
      </c>
      <c r="U276" s="133">
        <v>0.941221964423821</v>
      </c>
      <c r="V276" s="133">
        <v>0.943614130434783</v>
      </c>
      <c r="W276" s="133">
        <v>0.92798868704449</v>
      </c>
      <c r="X276" s="133">
        <v>0.922906577762636</v>
      </c>
      <c r="Y276" s="135">
        <v>0.92</v>
      </c>
      <c r="Z276" s="135">
        <v>0.968318440292445</v>
      </c>
      <c r="AA276" s="135">
        <v>0.969675845242245</v>
      </c>
      <c r="AB276" s="135">
        <v>0.978274863212102</v>
      </c>
      <c r="AC276" s="135">
        <v>0.983911867678942</v>
      </c>
      <c r="AD276" s="135">
        <v>0.92</v>
      </c>
      <c r="AE276" s="133">
        <v>0.855218855218855</v>
      </c>
      <c r="AF276" s="133">
        <v>0.967289719626168</v>
      </c>
      <c r="AG276" s="133">
        <v>0.988284352660842</v>
      </c>
      <c r="AH276" s="133">
        <v>0.941860316404701</v>
      </c>
      <c r="AI276" s="135">
        <v>0.92</v>
      </c>
      <c r="AJ276" s="133">
        <v>0.980351061042704</v>
      </c>
      <c r="AK276" s="133">
        <v>0.980248886859231</v>
      </c>
      <c r="AL276" s="133">
        <v>0.98546209761163</v>
      </c>
      <c r="AM276" s="133">
        <v>0.988955894765745</v>
      </c>
      <c r="AN276" s="132">
        <v>0.99</v>
      </c>
      <c r="AO276" s="137">
        <v>1</v>
      </c>
      <c r="AP276" s="137">
        <v>1</v>
      </c>
      <c r="AQ276" s="137">
        <v>1</v>
      </c>
      <c r="AR276" s="137">
        <v>1</v>
      </c>
      <c r="AS276" s="158">
        <v>0.0922287257019438</v>
      </c>
      <c r="AT276" s="141">
        <v>0.233333333333333</v>
      </c>
      <c r="AU276" s="141">
        <v>0.032258064516129</v>
      </c>
      <c r="AV276" s="141">
        <v>0.0943396226415094</v>
      </c>
      <c r="AW276" s="141">
        <v>0.0817204301075269</v>
      </c>
      <c r="AX276" s="95"/>
      <c r="AY276" s="93"/>
    </row>
    <row r="277" ht="14.5" spans="1:51">
      <c r="A277" s="91"/>
      <c r="B277" s="95"/>
      <c r="C277" s="163" t="s">
        <v>260</v>
      </c>
      <c r="D277" s="153" t="s">
        <v>125</v>
      </c>
      <c r="E277" s="130" t="s">
        <v>261</v>
      </c>
      <c r="F277" s="164" t="s">
        <v>301</v>
      </c>
      <c r="G277" s="164" t="s">
        <v>301</v>
      </c>
      <c r="H277" s="164" t="s">
        <v>301</v>
      </c>
      <c r="I277" s="164" t="s">
        <v>301</v>
      </c>
      <c r="J277" s="132">
        <v>0.9</v>
      </c>
      <c r="K277" s="133" t="s">
        <v>35</v>
      </c>
      <c r="L277" s="133" t="s">
        <v>35</v>
      </c>
      <c r="M277" s="134" t="s">
        <v>35</v>
      </c>
      <c r="N277" s="133" t="s">
        <v>35</v>
      </c>
      <c r="O277" s="135">
        <v>0.9</v>
      </c>
      <c r="P277" s="133" t="s">
        <v>35</v>
      </c>
      <c r="Q277" s="133" t="s">
        <v>35</v>
      </c>
      <c r="R277" s="133" t="s">
        <v>35</v>
      </c>
      <c r="S277" s="133">
        <v>0</v>
      </c>
      <c r="T277" s="135">
        <v>0.9</v>
      </c>
      <c r="U277" s="133" t="s">
        <v>35</v>
      </c>
      <c r="V277" s="133" t="s">
        <v>35</v>
      </c>
      <c r="W277" s="133" t="s">
        <v>35</v>
      </c>
      <c r="X277" s="133">
        <v>1</v>
      </c>
      <c r="Y277" s="135">
        <v>0.92</v>
      </c>
      <c r="Z277" s="135" t="s">
        <v>35</v>
      </c>
      <c r="AA277" s="135" t="s">
        <v>35</v>
      </c>
      <c r="AB277" s="135" t="s">
        <v>35</v>
      </c>
      <c r="AC277" s="135" t="s">
        <v>35</v>
      </c>
      <c r="AD277" s="135">
        <v>0.92</v>
      </c>
      <c r="AE277" s="133">
        <v>1</v>
      </c>
      <c r="AF277" s="133">
        <v>0.958041958041958</v>
      </c>
      <c r="AG277" s="133">
        <v>0.960960960960961</v>
      </c>
      <c r="AH277" s="133">
        <v>0.916150754860432</v>
      </c>
      <c r="AI277" s="135">
        <v>0.92</v>
      </c>
      <c r="AJ277" s="133" t="s">
        <v>35</v>
      </c>
      <c r="AK277" s="133" t="s">
        <v>35</v>
      </c>
      <c r="AL277" s="133" t="s">
        <v>35</v>
      </c>
      <c r="AM277" s="133">
        <v>1</v>
      </c>
      <c r="AN277" s="132">
        <v>0.99</v>
      </c>
      <c r="AO277" s="137">
        <v>1</v>
      </c>
      <c r="AP277" s="137">
        <v>1</v>
      </c>
      <c r="AQ277" s="137">
        <v>1</v>
      </c>
      <c r="AR277" s="137">
        <v>1</v>
      </c>
      <c r="AS277" s="158">
        <v>0.0922287257019438</v>
      </c>
      <c r="AT277" s="141" t="s">
        <v>35</v>
      </c>
      <c r="AU277" s="141" t="s">
        <v>35</v>
      </c>
      <c r="AV277" s="141" t="s">
        <v>35</v>
      </c>
      <c r="AW277" s="141" t="s">
        <v>35</v>
      </c>
      <c r="AX277" s="95"/>
      <c r="AY277" s="93"/>
    </row>
    <row r="278" ht="14.5" spans="1:51">
      <c r="A278" s="91"/>
      <c r="B278" s="95"/>
      <c r="C278" s="163" t="s">
        <v>260</v>
      </c>
      <c r="D278" s="153" t="s">
        <v>125</v>
      </c>
      <c r="E278" s="130" t="s">
        <v>261</v>
      </c>
      <c r="F278" s="164" t="s">
        <v>302</v>
      </c>
      <c r="G278" s="164" t="s">
        <v>302</v>
      </c>
      <c r="H278" s="164" t="s">
        <v>302</v>
      </c>
      <c r="I278" s="164" t="s">
        <v>302</v>
      </c>
      <c r="J278" s="132">
        <v>0.9</v>
      </c>
      <c r="K278" s="133" t="s">
        <v>35</v>
      </c>
      <c r="L278" s="133" t="s">
        <v>35</v>
      </c>
      <c r="M278" s="134" t="s">
        <v>35</v>
      </c>
      <c r="N278" s="133" t="s">
        <v>35</v>
      </c>
      <c r="O278" s="135">
        <v>0.9</v>
      </c>
      <c r="P278" s="133" t="s">
        <v>35</v>
      </c>
      <c r="Q278" s="133" t="s">
        <v>35</v>
      </c>
      <c r="R278" s="133" t="s">
        <v>35</v>
      </c>
      <c r="S278" s="133" t="s">
        <v>35</v>
      </c>
      <c r="T278" s="135">
        <v>0.9</v>
      </c>
      <c r="U278" s="133" t="s">
        <v>35</v>
      </c>
      <c r="V278" s="133" t="s">
        <v>35</v>
      </c>
      <c r="W278" s="133" t="s">
        <v>35</v>
      </c>
      <c r="X278" s="133" t="s">
        <v>35</v>
      </c>
      <c r="Y278" s="135">
        <v>0.92</v>
      </c>
      <c r="Z278" s="135" t="s">
        <v>35</v>
      </c>
      <c r="AA278" s="135" t="s">
        <v>35</v>
      </c>
      <c r="AB278" s="135" t="s">
        <v>35</v>
      </c>
      <c r="AC278" s="135" t="s">
        <v>35</v>
      </c>
      <c r="AD278" s="135">
        <v>0.92</v>
      </c>
      <c r="AE278" s="133">
        <v>1</v>
      </c>
      <c r="AF278" s="133">
        <v>0.830882352941177</v>
      </c>
      <c r="AG278" s="133">
        <v>0.885553470919325</v>
      </c>
      <c r="AH278" s="133">
        <v>0.717340720221607</v>
      </c>
      <c r="AI278" s="135">
        <v>0.92</v>
      </c>
      <c r="AJ278" s="133" t="s">
        <v>35</v>
      </c>
      <c r="AK278" s="133" t="s">
        <v>35</v>
      </c>
      <c r="AL278" s="133" t="s">
        <v>35</v>
      </c>
      <c r="AM278" s="133" t="s">
        <v>35</v>
      </c>
      <c r="AN278" s="132">
        <v>0.99</v>
      </c>
      <c r="AO278" s="137">
        <v>1</v>
      </c>
      <c r="AP278" s="137" t="s">
        <v>35</v>
      </c>
      <c r="AQ278" s="137" t="s">
        <v>35</v>
      </c>
      <c r="AR278" s="137">
        <v>1</v>
      </c>
      <c r="AS278" s="158">
        <v>0.0922287257019438</v>
      </c>
      <c r="AT278" s="141" t="s">
        <v>35</v>
      </c>
      <c r="AU278" s="141" t="s">
        <v>35</v>
      </c>
      <c r="AV278" s="141" t="s">
        <v>35</v>
      </c>
      <c r="AW278" s="141" t="s">
        <v>35</v>
      </c>
      <c r="AX278" s="95"/>
      <c r="AY278" s="93"/>
    </row>
    <row r="279" ht="14.5" spans="1:51">
      <c r="A279" s="91"/>
      <c r="B279" s="95"/>
      <c r="C279" s="163" t="s">
        <v>260</v>
      </c>
      <c r="D279" s="153" t="s">
        <v>125</v>
      </c>
      <c r="E279" s="130" t="s">
        <v>261</v>
      </c>
      <c r="F279" s="164" t="s">
        <v>303</v>
      </c>
      <c r="G279" s="164" t="s">
        <v>303</v>
      </c>
      <c r="H279" s="164" t="s">
        <v>303</v>
      </c>
      <c r="I279" s="164" t="s">
        <v>303</v>
      </c>
      <c r="J279" s="132">
        <v>0.9</v>
      </c>
      <c r="K279" s="133" t="s">
        <v>35</v>
      </c>
      <c r="L279" s="133" t="s">
        <v>35</v>
      </c>
      <c r="M279" s="134" t="s">
        <v>35</v>
      </c>
      <c r="N279" s="133" t="s">
        <v>35</v>
      </c>
      <c r="O279" s="135">
        <v>0.9</v>
      </c>
      <c r="P279" s="133" t="s">
        <v>35</v>
      </c>
      <c r="Q279" s="133" t="s">
        <v>35</v>
      </c>
      <c r="R279" s="133" t="s">
        <v>35</v>
      </c>
      <c r="S279" s="133">
        <v>0</v>
      </c>
      <c r="T279" s="135">
        <v>0.9</v>
      </c>
      <c r="U279" s="133" t="s">
        <v>35</v>
      </c>
      <c r="V279" s="133" t="s">
        <v>35</v>
      </c>
      <c r="W279" s="133" t="s">
        <v>35</v>
      </c>
      <c r="X279" s="133">
        <v>1</v>
      </c>
      <c r="Y279" s="135">
        <v>0.92</v>
      </c>
      <c r="Z279" s="135" t="s">
        <v>35</v>
      </c>
      <c r="AA279" s="135" t="s">
        <v>35</v>
      </c>
      <c r="AB279" s="135" t="s">
        <v>35</v>
      </c>
      <c r="AC279" s="135" t="s">
        <v>35</v>
      </c>
      <c r="AD279" s="135">
        <v>0.92</v>
      </c>
      <c r="AE279" s="133">
        <v>1</v>
      </c>
      <c r="AF279" s="133">
        <v>1</v>
      </c>
      <c r="AG279" s="133">
        <v>0.992076069730586</v>
      </c>
      <c r="AH279" s="133">
        <v>0.931950441148864</v>
      </c>
      <c r="AI279" s="135">
        <v>0.92</v>
      </c>
      <c r="AJ279" s="133" t="s">
        <v>35</v>
      </c>
      <c r="AK279" s="133" t="s">
        <v>35</v>
      </c>
      <c r="AL279" s="133" t="s">
        <v>35</v>
      </c>
      <c r="AM279" s="133">
        <v>1</v>
      </c>
      <c r="AN279" s="132">
        <v>0.99</v>
      </c>
      <c r="AO279" s="137">
        <v>1</v>
      </c>
      <c r="AP279" s="137" t="s">
        <v>35</v>
      </c>
      <c r="AQ279" s="137" t="s">
        <v>35</v>
      </c>
      <c r="AR279" s="137">
        <v>1</v>
      </c>
      <c r="AS279" s="158">
        <v>0.0922287257019438</v>
      </c>
      <c r="AT279" s="141" t="s">
        <v>35</v>
      </c>
      <c r="AU279" s="141" t="s">
        <v>35</v>
      </c>
      <c r="AV279" s="141" t="s">
        <v>35</v>
      </c>
      <c r="AW279" s="141" t="s">
        <v>35</v>
      </c>
      <c r="AX279" s="95"/>
      <c r="AY279" s="93"/>
    </row>
    <row r="280" ht="14.5" spans="1:51">
      <c r="A280" s="91"/>
      <c r="B280" s="95"/>
      <c r="C280" s="163" t="s">
        <v>260</v>
      </c>
      <c r="D280" s="153" t="s">
        <v>125</v>
      </c>
      <c r="E280" s="130" t="s">
        <v>261</v>
      </c>
      <c r="F280" s="164" t="s">
        <v>304</v>
      </c>
      <c r="G280" s="164" t="s">
        <v>304</v>
      </c>
      <c r="H280" s="164" t="s">
        <v>304</v>
      </c>
      <c r="I280" s="164" t="s">
        <v>304</v>
      </c>
      <c r="J280" s="132">
        <v>0.9</v>
      </c>
      <c r="K280" s="133" t="s">
        <v>35</v>
      </c>
      <c r="L280" s="133" t="s">
        <v>35</v>
      </c>
      <c r="M280" s="134" t="s">
        <v>35</v>
      </c>
      <c r="N280" s="133" t="s">
        <v>35</v>
      </c>
      <c r="O280" s="135">
        <v>0.9</v>
      </c>
      <c r="P280" s="133" t="s">
        <v>35</v>
      </c>
      <c r="Q280" s="133" t="s">
        <v>35</v>
      </c>
      <c r="R280" s="133">
        <v>0</v>
      </c>
      <c r="S280" s="133">
        <v>0</v>
      </c>
      <c r="T280" s="135">
        <v>0.9</v>
      </c>
      <c r="U280" s="133" t="s">
        <v>35</v>
      </c>
      <c r="V280" s="133" t="s">
        <v>35</v>
      </c>
      <c r="W280" s="133">
        <v>0</v>
      </c>
      <c r="X280" s="133">
        <v>0</v>
      </c>
      <c r="Y280" s="135">
        <v>0.92</v>
      </c>
      <c r="Z280" s="135" t="s">
        <v>35</v>
      </c>
      <c r="AA280" s="135" t="s">
        <v>35</v>
      </c>
      <c r="AB280" s="135" t="s">
        <v>35</v>
      </c>
      <c r="AC280" s="135">
        <v>0</v>
      </c>
      <c r="AD280" s="135">
        <v>0.92</v>
      </c>
      <c r="AE280" s="133">
        <v>0.970059880239521</v>
      </c>
      <c r="AF280" s="133">
        <v>0.813559322033898</v>
      </c>
      <c r="AG280" s="133">
        <v>0.971830985915493</v>
      </c>
      <c r="AH280" s="133">
        <v>0.886274509803922</v>
      </c>
      <c r="AI280" s="135">
        <v>0.92</v>
      </c>
      <c r="AJ280" s="133" t="s">
        <v>35</v>
      </c>
      <c r="AK280" s="133" t="s">
        <v>35</v>
      </c>
      <c r="AL280" s="133">
        <v>0</v>
      </c>
      <c r="AM280" s="133">
        <v>0</v>
      </c>
      <c r="AN280" s="132">
        <v>0.99</v>
      </c>
      <c r="AO280" s="137" t="s">
        <v>35</v>
      </c>
      <c r="AP280" s="137" t="s">
        <v>35</v>
      </c>
      <c r="AQ280" s="137" t="s">
        <v>35</v>
      </c>
      <c r="AR280" s="137">
        <v>1</v>
      </c>
      <c r="AS280" s="158">
        <v>0.0922287257019438</v>
      </c>
      <c r="AT280" s="141" t="s">
        <v>35</v>
      </c>
      <c r="AU280" s="141" t="s">
        <v>35</v>
      </c>
      <c r="AV280" s="141" t="s">
        <v>35</v>
      </c>
      <c r="AW280" s="141" t="s">
        <v>35</v>
      </c>
      <c r="AX280" s="95"/>
      <c r="AY280" s="93"/>
    </row>
    <row r="281" ht="14.5" spans="1:51">
      <c r="A281" s="91"/>
      <c r="B281" s="95"/>
      <c r="C281" s="163" t="s">
        <v>260</v>
      </c>
      <c r="D281" s="153" t="s">
        <v>25</v>
      </c>
      <c r="E281" s="130" t="s">
        <v>261</v>
      </c>
      <c r="F281" s="164" t="s">
        <v>305</v>
      </c>
      <c r="G281" s="164" t="s">
        <v>305</v>
      </c>
      <c r="H281" s="164" t="s">
        <v>305</v>
      </c>
      <c r="I281" s="164" t="s">
        <v>305</v>
      </c>
      <c r="J281" s="132">
        <v>0.9</v>
      </c>
      <c r="K281" s="133">
        <v>0.941176470588235</v>
      </c>
      <c r="L281" s="133">
        <v>0.857142857142857</v>
      </c>
      <c r="M281" s="134">
        <v>0.833333333333333</v>
      </c>
      <c r="N281" s="133">
        <v>0.893992932862191</v>
      </c>
      <c r="O281" s="135">
        <v>0.9</v>
      </c>
      <c r="P281" s="133">
        <v>0.985026737967914</v>
      </c>
      <c r="Q281" s="133">
        <v>0.9794921875</v>
      </c>
      <c r="R281" s="133">
        <v>0.992520568436799</v>
      </c>
      <c r="S281" s="133">
        <v>0.985645933014354</v>
      </c>
      <c r="T281" s="135">
        <v>0.9</v>
      </c>
      <c r="U281" s="133">
        <v>0.924064171122995</v>
      </c>
      <c r="V281" s="133">
        <v>0.9189453125</v>
      </c>
      <c r="W281" s="133">
        <v>0.890052356020942</v>
      </c>
      <c r="X281" s="133">
        <v>0.91834727004427</v>
      </c>
      <c r="Y281" s="135">
        <v>0.92</v>
      </c>
      <c r="Z281" s="135">
        <v>0.96958174904943</v>
      </c>
      <c r="AA281" s="135">
        <v>0.983640081799591</v>
      </c>
      <c r="AB281" s="135">
        <v>0.978959025470653</v>
      </c>
      <c r="AC281" s="135">
        <v>0.983899297423888</v>
      </c>
      <c r="AD281" s="135">
        <v>0.92</v>
      </c>
      <c r="AE281" s="133">
        <v>0.999264705882353</v>
      </c>
      <c r="AF281" s="133">
        <v>0.999549887471868</v>
      </c>
      <c r="AG281" s="133">
        <v>0.998658045626449</v>
      </c>
      <c r="AH281" s="133">
        <v>0.964693545215756</v>
      </c>
      <c r="AI281" s="135">
        <v>0.92</v>
      </c>
      <c r="AJ281" s="133">
        <v>0.976728268309377</v>
      </c>
      <c r="AK281" s="133">
        <v>0.985459352280238</v>
      </c>
      <c r="AL281" s="133">
        <v>0.987059348505132</v>
      </c>
      <c r="AM281" s="133">
        <v>0.989151098831462</v>
      </c>
      <c r="AN281" s="132">
        <v>0.99</v>
      </c>
      <c r="AO281" s="137">
        <v>1</v>
      </c>
      <c r="AP281" s="137">
        <v>1</v>
      </c>
      <c r="AQ281" s="137">
        <v>1</v>
      </c>
      <c r="AR281" s="137">
        <v>1</v>
      </c>
      <c r="AS281" s="158">
        <v>0.0922287257019438</v>
      </c>
      <c r="AT281" s="141">
        <v>0.125</v>
      </c>
      <c r="AU281" s="141">
        <v>0</v>
      </c>
      <c r="AV281" s="141">
        <v>0</v>
      </c>
      <c r="AW281" s="141">
        <v>0.0851063829787234</v>
      </c>
      <c r="AX281" s="95"/>
      <c r="AY281" s="93"/>
    </row>
    <row r="282" ht="14.5" spans="1:51">
      <c r="A282" s="91"/>
      <c r="B282" s="95"/>
      <c r="C282" s="163" t="s">
        <v>260</v>
      </c>
      <c r="D282" s="153" t="s">
        <v>125</v>
      </c>
      <c r="E282" s="130" t="s">
        <v>261</v>
      </c>
      <c r="F282" s="164" t="s">
        <v>306</v>
      </c>
      <c r="G282" s="164" t="s">
        <v>306</v>
      </c>
      <c r="H282" s="164" t="s">
        <v>306</v>
      </c>
      <c r="I282" s="164" t="s">
        <v>306</v>
      </c>
      <c r="J282" s="132">
        <v>0.9</v>
      </c>
      <c r="K282" s="133" t="s">
        <v>35</v>
      </c>
      <c r="L282" s="133" t="s">
        <v>35</v>
      </c>
      <c r="M282" s="134" t="s">
        <v>35</v>
      </c>
      <c r="N282" s="133" t="s">
        <v>35</v>
      </c>
      <c r="O282" s="135">
        <v>0.9</v>
      </c>
      <c r="P282" s="133">
        <v>0</v>
      </c>
      <c r="Q282" s="133" t="s">
        <v>35</v>
      </c>
      <c r="R282" s="133" t="s">
        <v>35</v>
      </c>
      <c r="S282" s="133">
        <v>0</v>
      </c>
      <c r="T282" s="135">
        <v>0.9</v>
      </c>
      <c r="U282" s="133">
        <v>0</v>
      </c>
      <c r="V282" s="133" t="s">
        <v>35</v>
      </c>
      <c r="W282" s="133" t="s">
        <v>35</v>
      </c>
      <c r="X282" s="133">
        <v>0.8125</v>
      </c>
      <c r="Y282" s="135">
        <v>0.92</v>
      </c>
      <c r="Z282" s="135">
        <v>0</v>
      </c>
      <c r="AA282" s="135" t="s">
        <v>35</v>
      </c>
      <c r="AB282" s="135" t="s">
        <v>35</v>
      </c>
      <c r="AC282" s="135">
        <v>0.6</v>
      </c>
      <c r="AD282" s="135">
        <v>0.92</v>
      </c>
      <c r="AE282" s="133">
        <v>0.996589940323956</v>
      </c>
      <c r="AF282" s="133">
        <v>0.999095022624434</v>
      </c>
      <c r="AG282" s="133">
        <v>1</v>
      </c>
      <c r="AH282" s="133">
        <v>0.998026529947917</v>
      </c>
      <c r="AI282" s="135">
        <v>0.92</v>
      </c>
      <c r="AJ282" s="133">
        <v>0</v>
      </c>
      <c r="AK282" s="133" t="s">
        <v>35</v>
      </c>
      <c r="AL282" s="133">
        <v>1</v>
      </c>
      <c r="AM282" s="133">
        <v>0.842105263157895</v>
      </c>
      <c r="AN282" s="132">
        <v>0.99</v>
      </c>
      <c r="AO282" s="137">
        <v>1</v>
      </c>
      <c r="AP282" s="137">
        <v>1</v>
      </c>
      <c r="AQ282" s="137">
        <v>1</v>
      </c>
      <c r="AR282" s="137">
        <v>1</v>
      </c>
      <c r="AS282" s="158">
        <v>0.0922287257019438</v>
      </c>
      <c r="AT282" s="141" t="s">
        <v>35</v>
      </c>
      <c r="AU282" s="141" t="s">
        <v>35</v>
      </c>
      <c r="AV282" s="141" t="s">
        <v>35</v>
      </c>
      <c r="AW282" s="141" t="s">
        <v>35</v>
      </c>
      <c r="AX282" s="95"/>
      <c r="AY282" s="93"/>
    </row>
    <row r="283" s="86" customFormat="1" ht="14.5" spans="1:51">
      <c r="A283" s="91"/>
      <c r="B283" s="88"/>
      <c r="C283" s="163" t="s">
        <v>260</v>
      </c>
      <c r="D283" s="153" t="s">
        <v>25</v>
      </c>
      <c r="E283" s="130" t="s">
        <v>261</v>
      </c>
      <c r="F283" s="164" t="s">
        <v>307</v>
      </c>
      <c r="G283" s="164" t="s">
        <v>307</v>
      </c>
      <c r="H283" s="164" t="s">
        <v>307</v>
      </c>
      <c r="I283" s="164" t="s">
        <v>307</v>
      </c>
      <c r="J283" s="132">
        <v>0.9</v>
      </c>
      <c r="K283" s="133">
        <v>0.993670886075949</v>
      </c>
      <c r="L283" s="133">
        <v>0.984732824427481</v>
      </c>
      <c r="M283" s="134">
        <v>0.993006993006993</v>
      </c>
      <c r="N283" s="133">
        <v>0.982233502538071</v>
      </c>
      <c r="O283" s="135">
        <v>0.9</v>
      </c>
      <c r="P283" s="133">
        <v>0.968020404159309</v>
      </c>
      <c r="Q283" s="133">
        <v>0.972746331236897</v>
      </c>
      <c r="R283" s="133">
        <v>0.932158297306285</v>
      </c>
      <c r="S283" s="133">
        <v>0.934129065757765</v>
      </c>
      <c r="T283" s="135">
        <v>0.9</v>
      </c>
      <c r="U283" s="133">
        <v>0.911516578379439</v>
      </c>
      <c r="V283" s="133">
        <v>0.922109337203677</v>
      </c>
      <c r="W283" s="133">
        <v>0.901784724531648</v>
      </c>
      <c r="X283" s="133">
        <v>0.909451597012342</v>
      </c>
      <c r="Y283" s="135">
        <v>0.92</v>
      </c>
      <c r="Z283" s="135">
        <v>0.968292682926829</v>
      </c>
      <c r="AA283" s="135">
        <v>0.965620328849028</v>
      </c>
      <c r="AB283" s="135">
        <v>0.976049924101872</v>
      </c>
      <c r="AC283" s="135">
        <v>0.980172794786693</v>
      </c>
      <c r="AD283" s="135">
        <v>0.92</v>
      </c>
      <c r="AE283" s="133">
        <v>0.998515347167075</v>
      </c>
      <c r="AF283" s="133">
        <v>0.99486177045518</v>
      </c>
      <c r="AG283" s="133">
        <v>0.958998435054773</v>
      </c>
      <c r="AH283" s="133">
        <v>0.987945777144911</v>
      </c>
      <c r="AI283" s="135">
        <v>0.92</v>
      </c>
      <c r="AJ283" s="133">
        <v>0.981616188334876</v>
      </c>
      <c r="AK283" s="133">
        <v>0.981762917933131</v>
      </c>
      <c r="AL283" s="133">
        <v>0.984620528251421</v>
      </c>
      <c r="AM283" s="133">
        <v>0.987482075581767</v>
      </c>
      <c r="AN283" s="132">
        <v>0.99</v>
      </c>
      <c r="AO283" s="137">
        <v>1</v>
      </c>
      <c r="AP283" s="137">
        <v>1</v>
      </c>
      <c r="AQ283" s="137">
        <v>1</v>
      </c>
      <c r="AR283" s="137">
        <v>1</v>
      </c>
      <c r="AS283" s="158">
        <v>0.0922287257019438</v>
      </c>
      <c r="AT283" s="141">
        <v>0.09375</v>
      </c>
      <c r="AU283" s="141">
        <v>0.0588235294117647</v>
      </c>
      <c r="AV283" s="141">
        <v>0.024390243902439</v>
      </c>
      <c r="AW283" s="141">
        <v>0.0644677661169415</v>
      </c>
      <c r="AX283" s="88"/>
      <c r="AY283" s="93"/>
    </row>
    <row r="284" s="86" customFormat="1" ht="14.5" spans="1:51">
      <c r="A284" s="91"/>
      <c r="B284" s="88"/>
      <c r="C284" s="163" t="s">
        <v>260</v>
      </c>
      <c r="D284" s="153" t="s">
        <v>25</v>
      </c>
      <c r="E284" s="130" t="s">
        <v>261</v>
      </c>
      <c r="F284" s="164" t="s">
        <v>308</v>
      </c>
      <c r="G284" s="164" t="s">
        <v>308</v>
      </c>
      <c r="H284" s="164" t="s">
        <v>308</v>
      </c>
      <c r="I284" s="164" t="s">
        <v>308</v>
      </c>
      <c r="J284" s="132">
        <v>0.9</v>
      </c>
      <c r="K284" s="133">
        <v>0.9375</v>
      </c>
      <c r="L284" s="133">
        <v>0.979166666666667</v>
      </c>
      <c r="M284" s="134">
        <v>0.944444444444444</v>
      </c>
      <c r="N284" s="133">
        <v>0.925597874224978</v>
      </c>
      <c r="O284" s="135">
        <v>0.9</v>
      </c>
      <c r="P284" s="133">
        <v>0.955263157894737</v>
      </c>
      <c r="Q284" s="133">
        <v>0.973309608540925</v>
      </c>
      <c r="R284" s="133">
        <v>0.973053892215569</v>
      </c>
      <c r="S284" s="133">
        <v>0.966271880317402</v>
      </c>
      <c r="T284" s="135">
        <v>0.9</v>
      </c>
      <c r="U284" s="133">
        <v>0.924736842105263</v>
      </c>
      <c r="V284" s="133">
        <v>0.923932384341637</v>
      </c>
      <c r="W284" s="133">
        <v>0.920359281437126</v>
      </c>
      <c r="X284" s="133">
        <v>0.929174318109069</v>
      </c>
      <c r="Y284" s="135">
        <v>0.92</v>
      </c>
      <c r="Z284" s="135">
        <v>0.974585635359116</v>
      </c>
      <c r="AA284" s="135">
        <v>0.980207351555137</v>
      </c>
      <c r="AB284" s="135">
        <v>0.986129753914989</v>
      </c>
      <c r="AC284" s="135">
        <v>0.991983681795003</v>
      </c>
      <c r="AD284" s="135">
        <v>0.92</v>
      </c>
      <c r="AE284" s="133">
        <v>0.965618860510805</v>
      </c>
      <c r="AF284" s="133">
        <v>0.992432432432432</v>
      </c>
      <c r="AG284" s="133">
        <v>0.996165827941529</v>
      </c>
      <c r="AH284" s="133">
        <v>0.98798416737348</v>
      </c>
      <c r="AI284" s="135">
        <v>0.92</v>
      </c>
      <c r="AJ284" s="133">
        <v>0.987522281639929</v>
      </c>
      <c r="AK284" s="133">
        <v>0.988818374131157</v>
      </c>
      <c r="AL284" s="133">
        <v>0.990136298421808</v>
      </c>
      <c r="AM284" s="133">
        <v>0.993976070331455</v>
      </c>
      <c r="AN284" s="132">
        <v>0.99</v>
      </c>
      <c r="AO284" s="137">
        <v>1</v>
      </c>
      <c r="AP284" s="137">
        <v>1</v>
      </c>
      <c r="AQ284" s="137">
        <v>1</v>
      </c>
      <c r="AR284" s="137">
        <v>1</v>
      </c>
      <c r="AS284" s="158">
        <v>0.0922287257019438</v>
      </c>
      <c r="AT284" s="141">
        <v>0</v>
      </c>
      <c r="AU284" s="141">
        <v>0.1</v>
      </c>
      <c r="AV284" s="141">
        <v>0</v>
      </c>
      <c r="AW284" s="141">
        <v>0.0506912442396313</v>
      </c>
      <c r="AX284" s="88"/>
      <c r="AY284" s="93"/>
    </row>
    <row r="285" s="86" customFormat="1" ht="14.5" spans="1:51">
      <c r="A285" s="91"/>
      <c r="B285" s="88"/>
      <c r="C285" s="163" t="s">
        <v>260</v>
      </c>
      <c r="D285" s="153" t="s">
        <v>25</v>
      </c>
      <c r="E285" s="130" t="s">
        <v>261</v>
      </c>
      <c r="F285" s="164" t="s">
        <v>309</v>
      </c>
      <c r="G285" s="164" t="s">
        <v>309</v>
      </c>
      <c r="H285" s="164" t="s">
        <v>309</v>
      </c>
      <c r="I285" s="164" t="s">
        <v>309</v>
      </c>
      <c r="J285" s="132">
        <v>0.9</v>
      </c>
      <c r="K285" s="133">
        <v>0.964601769911504</v>
      </c>
      <c r="L285" s="133">
        <v>0.905263157894737</v>
      </c>
      <c r="M285" s="134">
        <v>0.928571428571429</v>
      </c>
      <c r="N285" s="133">
        <v>0.927227722772277</v>
      </c>
      <c r="O285" s="135">
        <v>0.9</v>
      </c>
      <c r="P285" s="133">
        <v>0.960912052117264</v>
      </c>
      <c r="Q285" s="133">
        <v>0.975102669404518</v>
      </c>
      <c r="R285" s="133">
        <v>0.961716937354988</v>
      </c>
      <c r="S285" s="133">
        <v>0.94177827201083</v>
      </c>
      <c r="T285" s="135">
        <v>0.9</v>
      </c>
      <c r="U285" s="133">
        <v>0.914983713355049</v>
      </c>
      <c r="V285" s="133">
        <v>0.92582135523614</v>
      </c>
      <c r="W285" s="133">
        <v>0.931885979449785</v>
      </c>
      <c r="X285" s="133">
        <v>0.923821495914519</v>
      </c>
      <c r="Y285" s="135">
        <v>0.92</v>
      </c>
      <c r="Z285" s="135">
        <v>0.974017743979721</v>
      </c>
      <c r="AA285" s="135">
        <v>0.974317817014446</v>
      </c>
      <c r="AB285" s="135">
        <v>0.986784140969163</v>
      </c>
      <c r="AC285" s="135">
        <v>0.989002846322128</v>
      </c>
      <c r="AD285" s="135">
        <v>0.92</v>
      </c>
      <c r="AE285" s="133">
        <v>0.989935298346513</v>
      </c>
      <c r="AF285" s="133">
        <v>0.986257073565077</v>
      </c>
      <c r="AG285" s="133">
        <v>0.960538532961931</v>
      </c>
      <c r="AH285" s="133">
        <v>0.880811766047201</v>
      </c>
      <c r="AI285" s="135">
        <v>0.92</v>
      </c>
      <c r="AJ285" s="133">
        <v>0.98644578313253</v>
      </c>
      <c r="AK285" s="133">
        <v>0.985082393755421</v>
      </c>
      <c r="AL285" s="133">
        <v>0.99199604743083</v>
      </c>
      <c r="AM285" s="133">
        <v>0.993160134568648</v>
      </c>
      <c r="AN285" s="132">
        <v>0.99</v>
      </c>
      <c r="AO285" s="137">
        <v>1</v>
      </c>
      <c r="AP285" s="137">
        <v>1</v>
      </c>
      <c r="AQ285" s="137">
        <v>1</v>
      </c>
      <c r="AR285" s="137">
        <v>1</v>
      </c>
      <c r="AS285" s="158">
        <v>0.0922287257019438</v>
      </c>
      <c r="AT285" s="141">
        <v>0.277777777777778</v>
      </c>
      <c r="AU285" s="141">
        <v>0.416666666666667</v>
      </c>
      <c r="AV285" s="141">
        <v>0</v>
      </c>
      <c r="AW285" s="141">
        <v>0.113207547169811</v>
      </c>
      <c r="AX285" s="88"/>
      <c r="AY285" s="93"/>
    </row>
    <row r="286" s="86" customFormat="1" ht="14.5" spans="1:51">
      <c r="A286" s="91"/>
      <c r="B286" s="88"/>
      <c r="C286" s="163" t="s">
        <v>260</v>
      </c>
      <c r="D286" s="153" t="s">
        <v>25</v>
      </c>
      <c r="E286" s="130" t="s">
        <v>261</v>
      </c>
      <c r="F286" s="164" t="s">
        <v>310</v>
      </c>
      <c r="G286" s="164" t="s">
        <v>310</v>
      </c>
      <c r="H286" s="164" t="s">
        <v>310</v>
      </c>
      <c r="I286" s="164" t="s">
        <v>310</v>
      </c>
      <c r="J286" s="132">
        <v>0.9</v>
      </c>
      <c r="K286" s="133">
        <v>0.897959183673469</v>
      </c>
      <c r="L286" s="133">
        <v>0.846153846153846</v>
      </c>
      <c r="M286" s="134">
        <v>0.822916666666667</v>
      </c>
      <c r="N286" s="133">
        <v>0.884486607142857</v>
      </c>
      <c r="O286" s="135">
        <v>0.9</v>
      </c>
      <c r="P286" s="133">
        <v>0.948778833107191</v>
      </c>
      <c r="Q286" s="133">
        <v>0.927122034867105</v>
      </c>
      <c r="R286" s="133">
        <v>0.870052412795952</v>
      </c>
      <c r="S286" s="133">
        <v>0.91547762611656</v>
      </c>
      <c r="T286" s="135">
        <v>0.9</v>
      </c>
      <c r="U286" s="133">
        <v>0.929782903663501</v>
      </c>
      <c r="V286" s="133">
        <v>0.913689625607316</v>
      </c>
      <c r="W286" s="133">
        <v>0.921742273630942</v>
      </c>
      <c r="X286" s="133">
        <v>0.93000224112355</v>
      </c>
      <c r="Y286" s="135">
        <v>0.92</v>
      </c>
      <c r="Z286" s="135">
        <v>0.932876712328767</v>
      </c>
      <c r="AA286" s="135">
        <v>0.94014313597918</v>
      </c>
      <c r="AB286" s="135">
        <v>0.954069298952458</v>
      </c>
      <c r="AC286" s="135">
        <v>0.969880081817088</v>
      </c>
      <c r="AD286" s="135">
        <v>0.92</v>
      </c>
      <c r="AE286" s="133">
        <v>0.927295918367347</v>
      </c>
      <c r="AF286" s="133">
        <v>0.734177215189873</v>
      </c>
      <c r="AG286" s="133">
        <v>0.989963503649635</v>
      </c>
      <c r="AH286" s="133">
        <v>0.985818933132983</v>
      </c>
      <c r="AI286" s="135">
        <v>0.92</v>
      </c>
      <c r="AJ286" s="133">
        <v>0.965079365079365</v>
      </c>
      <c r="AK286" s="133">
        <v>0.967242406194163</v>
      </c>
      <c r="AL286" s="133">
        <v>0.970724856865075</v>
      </c>
      <c r="AM286" s="133">
        <v>0.98120965445225</v>
      </c>
      <c r="AN286" s="132">
        <v>0.99</v>
      </c>
      <c r="AO286" s="137">
        <v>1</v>
      </c>
      <c r="AP286" s="137">
        <v>1</v>
      </c>
      <c r="AQ286" s="137">
        <v>1</v>
      </c>
      <c r="AR286" s="137">
        <v>1</v>
      </c>
      <c r="AS286" s="158">
        <v>0.0922287257019438</v>
      </c>
      <c r="AT286" s="141">
        <v>0.111111111111111</v>
      </c>
      <c r="AU286" s="141">
        <v>0.222222222222222</v>
      </c>
      <c r="AV286" s="141">
        <v>0.166666666666667</v>
      </c>
      <c r="AW286" s="141">
        <v>0.0747126436781609</v>
      </c>
      <c r="AX286" s="88"/>
      <c r="AY286" s="93"/>
    </row>
    <row r="287" s="86" customFormat="1" ht="14.5" spans="1:51">
      <c r="A287" s="91"/>
      <c r="B287" s="88"/>
      <c r="C287" s="163" t="s">
        <v>260</v>
      </c>
      <c r="D287" s="153" t="s">
        <v>25</v>
      </c>
      <c r="E287" s="130" t="s">
        <v>261</v>
      </c>
      <c r="F287" s="164" t="s">
        <v>311</v>
      </c>
      <c r="G287" s="164" t="s">
        <v>311</v>
      </c>
      <c r="H287" s="164" t="s">
        <v>311</v>
      </c>
      <c r="I287" s="164" t="s">
        <v>311</v>
      </c>
      <c r="J287" s="132">
        <v>0.9</v>
      </c>
      <c r="K287" s="133">
        <v>0.889908256880734</v>
      </c>
      <c r="L287" s="133">
        <v>0.867469879518072</v>
      </c>
      <c r="M287" s="134">
        <v>0.872549019607843</v>
      </c>
      <c r="N287" s="133">
        <v>0.912052117263844</v>
      </c>
      <c r="O287" s="135">
        <v>0.9</v>
      </c>
      <c r="P287" s="133">
        <v>0.970307167235495</v>
      </c>
      <c r="Q287" s="133">
        <v>0.964084695792013</v>
      </c>
      <c r="R287" s="133">
        <v>0.963289798799859</v>
      </c>
      <c r="S287" s="133">
        <v>0.938960756040126</v>
      </c>
      <c r="T287" s="135">
        <v>0.9</v>
      </c>
      <c r="U287" s="133">
        <v>0.933788395904437</v>
      </c>
      <c r="V287" s="133">
        <v>0.92548914500134</v>
      </c>
      <c r="W287" s="133">
        <v>0.937169078715143</v>
      </c>
      <c r="X287" s="133">
        <v>0.932674253348133</v>
      </c>
      <c r="Y287" s="135">
        <v>0.92</v>
      </c>
      <c r="Z287" s="135">
        <v>0.953835709436524</v>
      </c>
      <c r="AA287" s="135">
        <v>0.936635944700461</v>
      </c>
      <c r="AB287" s="135">
        <v>0.964613368283093</v>
      </c>
      <c r="AC287" s="135">
        <v>0.972248440039851</v>
      </c>
      <c r="AD287" s="135">
        <v>0.92</v>
      </c>
      <c r="AE287" s="133">
        <v>0.98047419804742</v>
      </c>
      <c r="AF287" s="133">
        <v>0.976014760147601</v>
      </c>
      <c r="AG287" s="133">
        <v>0.974524868580671</v>
      </c>
      <c r="AH287" s="133">
        <v>0.990025117909612</v>
      </c>
      <c r="AI287" s="135">
        <v>0.92</v>
      </c>
      <c r="AJ287" s="133">
        <v>0.976379741085623</v>
      </c>
      <c r="AK287" s="133">
        <v>0.967441009694531</v>
      </c>
      <c r="AL287" s="133">
        <v>0.980065393945786</v>
      </c>
      <c r="AM287" s="133">
        <v>0.982720882022537</v>
      </c>
      <c r="AN287" s="132">
        <v>0.99</v>
      </c>
      <c r="AO287" s="137">
        <v>1</v>
      </c>
      <c r="AP287" s="137">
        <v>1</v>
      </c>
      <c r="AQ287" s="137">
        <v>1</v>
      </c>
      <c r="AR287" s="137">
        <v>1</v>
      </c>
      <c r="AS287" s="158">
        <v>0.0922287257019438</v>
      </c>
      <c r="AT287" s="141">
        <v>0.222222222222222</v>
      </c>
      <c r="AU287" s="141">
        <v>0.230769230769231</v>
      </c>
      <c r="AV287" s="141">
        <v>0.1</v>
      </c>
      <c r="AW287" s="141">
        <v>0.0854922279792746</v>
      </c>
      <c r="AX287" s="88"/>
      <c r="AY287" s="93"/>
    </row>
    <row r="288" s="86" customFormat="1" ht="14.5" spans="1:51">
      <c r="A288" s="91"/>
      <c r="B288" s="88"/>
      <c r="C288" s="163" t="s">
        <v>260</v>
      </c>
      <c r="D288" s="153" t="s">
        <v>25</v>
      </c>
      <c r="E288" s="130" t="s">
        <v>261</v>
      </c>
      <c r="F288" s="164" t="s">
        <v>312</v>
      </c>
      <c r="G288" s="164" t="s">
        <v>312</v>
      </c>
      <c r="H288" s="164" t="s">
        <v>312</v>
      </c>
      <c r="I288" s="164" t="s">
        <v>312</v>
      </c>
      <c r="J288" s="132">
        <v>0.9</v>
      </c>
      <c r="K288" s="133">
        <v>0.932692307692308</v>
      </c>
      <c r="L288" s="133">
        <v>0.941176470588235</v>
      </c>
      <c r="M288" s="134">
        <v>0.933333333333333</v>
      </c>
      <c r="N288" s="133">
        <v>0.955337690631808</v>
      </c>
      <c r="O288" s="135">
        <v>0.9</v>
      </c>
      <c r="P288" s="133">
        <v>0.967883211678832</v>
      </c>
      <c r="Q288" s="133">
        <v>0.975756400310318</v>
      </c>
      <c r="R288" s="133">
        <v>0.915895265802698</v>
      </c>
      <c r="S288" s="133">
        <v>0.90793863615104</v>
      </c>
      <c r="T288" s="135">
        <v>0.9</v>
      </c>
      <c r="U288" s="133">
        <v>0.926131386861314</v>
      </c>
      <c r="V288" s="133">
        <v>0.940845616757176</v>
      </c>
      <c r="W288" s="133">
        <v>0.933350965353081</v>
      </c>
      <c r="X288" s="133">
        <v>0.944092794113062</v>
      </c>
      <c r="Y288" s="135">
        <v>0.92</v>
      </c>
      <c r="Z288" s="135">
        <v>0.96579476861167</v>
      </c>
      <c r="AA288" s="135">
        <v>0.928256070640177</v>
      </c>
      <c r="AB288" s="135">
        <v>0.978007181328546</v>
      </c>
      <c r="AC288" s="135">
        <v>0.975887779603185</v>
      </c>
      <c r="AD288" s="135">
        <v>0.92</v>
      </c>
      <c r="AE288" s="133">
        <v>1</v>
      </c>
      <c r="AF288" s="133">
        <v>0.994811320754717</v>
      </c>
      <c r="AG288" s="133">
        <v>0.996556042579837</v>
      </c>
      <c r="AH288" s="133">
        <v>0.989241722584507</v>
      </c>
      <c r="AI288" s="135">
        <v>0.92</v>
      </c>
      <c r="AJ288" s="133">
        <v>0.971034170626839</v>
      </c>
      <c r="AK288" s="133">
        <v>0.966842626195975</v>
      </c>
      <c r="AL288" s="133">
        <v>0.983251633986928</v>
      </c>
      <c r="AM288" s="133">
        <v>0.985434377252608</v>
      </c>
      <c r="AN288" s="132">
        <v>0.99</v>
      </c>
      <c r="AO288" s="137">
        <v>1</v>
      </c>
      <c r="AP288" s="137">
        <v>1</v>
      </c>
      <c r="AQ288" s="137">
        <v>1</v>
      </c>
      <c r="AR288" s="137">
        <v>1</v>
      </c>
      <c r="AS288" s="158">
        <v>0.0922287257019438</v>
      </c>
      <c r="AT288" s="141">
        <v>0.333333333333333</v>
      </c>
      <c r="AU288" s="141">
        <v>0</v>
      </c>
      <c r="AV288" s="141">
        <v>0.0909090909090909</v>
      </c>
      <c r="AW288" s="141">
        <v>0.0566037735849057</v>
      </c>
      <c r="AX288" s="88"/>
      <c r="AY288" s="93"/>
    </row>
    <row r="289" s="86" customFormat="1" ht="14.5" spans="1:51">
      <c r="A289" s="91"/>
      <c r="B289" s="88"/>
      <c r="C289" s="163" t="s">
        <v>260</v>
      </c>
      <c r="D289" s="153" t="s">
        <v>25</v>
      </c>
      <c r="E289" s="130" t="s">
        <v>261</v>
      </c>
      <c r="F289" s="164" t="s">
        <v>313</v>
      </c>
      <c r="G289" s="164" t="s">
        <v>313</v>
      </c>
      <c r="H289" s="164" t="s">
        <v>313</v>
      </c>
      <c r="I289" s="164" t="s">
        <v>313</v>
      </c>
      <c r="J289" s="132">
        <v>0.9</v>
      </c>
      <c r="K289" s="133">
        <v>0.948453608247423</v>
      </c>
      <c r="L289" s="133">
        <v>0.9</v>
      </c>
      <c r="M289" s="134">
        <v>0.902173913043478</v>
      </c>
      <c r="N289" s="133">
        <v>0.934883720930233</v>
      </c>
      <c r="O289" s="135">
        <v>0.9</v>
      </c>
      <c r="P289" s="133">
        <v>0.95700325732899</v>
      </c>
      <c r="Q289" s="133">
        <v>0.953813104189044</v>
      </c>
      <c r="R289" s="133">
        <v>0.916043507817811</v>
      </c>
      <c r="S289" s="133">
        <v>0.916284015660496</v>
      </c>
      <c r="T289" s="135">
        <v>0.9</v>
      </c>
      <c r="U289" s="133">
        <v>0.937785016286645</v>
      </c>
      <c r="V289" s="133">
        <v>0.919172932330827</v>
      </c>
      <c r="W289" s="133">
        <v>0.945785180149558</v>
      </c>
      <c r="X289" s="133">
        <v>0.938324713615931</v>
      </c>
      <c r="Y289" s="135">
        <v>0.92</v>
      </c>
      <c r="Z289" s="135">
        <v>0.966183574879227</v>
      </c>
      <c r="AA289" s="135">
        <v>0.969196919691969</v>
      </c>
      <c r="AB289" s="135">
        <v>0.978271854471956</v>
      </c>
      <c r="AC289" s="135">
        <v>0.983024936710409</v>
      </c>
      <c r="AD289" s="135">
        <v>0.92</v>
      </c>
      <c r="AE289" s="133">
        <v>0.992170818505338</v>
      </c>
      <c r="AF289" s="133">
        <v>0.996810207336523</v>
      </c>
      <c r="AG289" s="133">
        <v>0.999361294443262</v>
      </c>
      <c r="AH289" s="133">
        <v>0.995291283399036</v>
      </c>
      <c r="AI289" s="135">
        <v>0.92</v>
      </c>
      <c r="AJ289" s="133">
        <v>0.978535074131445</v>
      </c>
      <c r="AK289" s="133">
        <v>0.982332792500451</v>
      </c>
      <c r="AL289" s="133">
        <v>0.985675099055166</v>
      </c>
      <c r="AM289" s="133">
        <v>0.988900585742435</v>
      </c>
      <c r="AN289" s="132">
        <v>0.99</v>
      </c>
      <c r="AO289" s="137">
        <v>1</v>
      </c>
      <c r="AP289" s="137">
        <v>1</v>
      </c>
      <c r="AQ289" s="137">
        <v>1</v>
      </c>
      <c r="AR289" s="137">
        <v>1</v>
      </c>
      <c r="AS289" s="158">
        <v>0.0922287257019438</v>
      </c>
      <c r="AT289" s="141">
        <v>0.166666666666667</v>
      </c>
      <c r="AU289" s="141">
        <v>0.230769230769231</v>
      </c>
      <c r="AV289" s="141">
        <v>0.0689655172413793</v>
      </c>
      <c r="AW289" s="141">
        <v>0.0939759036144578</v>
      </c>
      <c r="AX289" s="88"/>
      <c r="AY289" s="93"/>
    </row>
    <row r="290" s="86" customFormat="1" ht="14.5" spans="1:51">
      <c r="A290" s="91"/>
      <c r="B290" s="88"/>
      <c r="C290" s="163" t="s">
        <v>260</v>
      </c>
      <c r="D290" s="153" t="s">
        <v>125</v>
      </c>
      <c r="E290" s="130" t="s">
        <v>261</v>
      </c>
      <c r="F290" s="164" t="s">
        <v>314</v>
      </c>
      <c r="G290" s="164" t="s">
        <v>314</v>
      </c>
      <c r="H290" s="164" t="s">
        <v>314</v>
      </c>
      <c r="I290" s="164" t="s">
        <v>314</v>
      </c>
      <c r="J290" s="132">
        <v>0.9</v>
      </c>
      <c r="K290" s="133" t="s">
        <v>35</v>
      </c>
      <c r="L290" s="133" t="s">
        <v>35</v>
      </c>
      <c r="M290" s="134" t="s">
        <v>35</v>
      </c>
      <c r="N290" s="133" t="s">
        <v>35</v>
      </c>
      <c r="O290" s="135">
        <v>0.9</v>
      </c>
      <c r="P290" s="133" t="s">
        <v>35</v>
      </c>
      <c r="Q290" s="133" t="s">
        <v>35</v>
      </c>
      <c r="R290" s="133" t="s">
        <v>35</v>
      </c>
      <c r="S290" s="133" t="s">
        <v>35</v>
      </c>
      <c r="T290" s="135">
        <v>0.9</v>
      </c>
      <c r="U290" s="133" t="s">
        <v>35</v>
      </c>
      <c r="V290" s="133" t="s">
        <v>35</v>
      </c>
      <c r="W290" s="133" t="s">
        <v>35</v>
      </c>
      <c r="X290" s="133" t="s">
        <v>35</v>
      </c>
      <c r="Y290" s="135">
        <v>0.92</v>
      </c>
      <c r="Z290" s="135" t="s">
        <v>35</v>
      </c>
      <c r="AA290" s="135" t="s">
        <v>35</v>
      </c>
      <c r="AB290" s="135" t="s">
        <v>35</v>
      </c>
      <c r="AC290" s="135" t="s">
        <v>35</v>
      </c>
      <c r="AD290" s="135">
        <v>0.92</v>
      </c>
      <c r="AE290" s="133">
        <v>0.968944099378882</v>
      </c>
      <c r="AF290" s="133">
        <v>1</v>
      </c>
      <c r="AG290" s="133">
        <v>0.992395437262357</v>
      </c>
      <c r="AH290" s="133">
        <v>0.993484824408073</v>
      </c>
      <c r="AI290" s="135">
        <v>0.92</v>
      </c>
      <c r="AJ290" s="133" t="s">
        <v>35</v>
      </c>
      <c r="AK290" s="133" t="s">
        <v>35</v>
      </c>
      <c r="AL290" s="133" t="s">
        <v>35</v>
      </c>
      <c r="AM290" s="133" t="s">
        <v>35</v>
      </c>
      <c r="AN290" s="132">
        <v>0.99</v>
      </c>
      <c r="AO290" s="137">
        <v>1</v>
      </c>
      <c r="AP290" s="137" t="s">
        <v>35</v>
      </c>
      <c r="AQ290" s="137" t="s">
        <v>35</v>
      </c>
      <c r="AR290" s="137">
        <v>1</v>
      </c>
      <c r="AS290" s="158">
        <v>0.0922287257019438</v>
      </c>
      <c r="AT290" s="141" t="s">
        <v>35</v>
      </c>
      <c r="AU290" s="141" t="s">
        <v>35</v>
      </c>
      <c r="AV290" s="141" t="s">
        <v>35</v>
      </c>
      <c r="AW290" s="141" t="s">
        <v>35</v>
      </c>
      <c r="AX290" s="88"/>
      <c r="AY290" s="93"/>
    </row>
    <row r="291" s="86" customFormat="1" ht="14.5" spans="1:51">
      <c r="A291" s="91"/>
      <c r="B291" s="88"/>
      <c r="C291" s="163" t="s">
        <v>260</v>
      </c>
      <c r="D291" s="153" t="s">
        <v>125</v>
      </c>
      <c r="E291" s="130" t="s">
        <v>261</v>
      </c>
      <c r="F291" s="164" t="s">
        <v>315</v>
      </c>
      <c r="G291" s="164" t="s">
        <v>315</v>
      </c>
      <c r="H291" s="164" t="s">
        <v>315</v>
      </c>
      <c r="I291" s="164" t="s">
        <v>315</v>
      </c>
      <c r="J291" s="132">
        <v>0.9</v>
      </c>
      <c r="K291" s="133" t="s">
        <v>35</v>
      </c>
      <c r="L291" s="133" t="s">
        <v>35</v>
      </c>
      <c r="M291" s="134" t="s">
        <v>35</v>
      </c>
      <c r="N291" s="133" t="s">
        <v>35</v>
      </c>
      <c r="O291" s="135">
        <v>0.9</v>
      </c>
      <c r="P291" s="133">
        <v>0</v>
      </c>
      <c r="Q291" s="133" t="s">
        <v>35</v>
      </c>
      <c r="R291" s="133">
        <v>0</v>
      </c>
      <c r="S291" s="133">
        <v>0.333333333333333</v>
      </c>
      <c r="T291" s="135">
        <v>0.9</v>
      </c>
      <c r="U291" s="133">
        <v>0</v>
      </c>
      <c r="V291" s="133" t="s">
        <v>35</v>
      </c>
      <c r="W291" s="133">
        <v>1</v>
      </c>
      <c r="X291" s="133">
        <v>0.833333333333333</v>
      </c>
      <c r="Y291" s="135">
        <v>0.92</v>
      </c>
      <c r="Z291" s="135" t="s">
        <v>35</v>
      </c>
      <c r="AA291" s="135" t="s">
        <v>35</v>
      </c>
      <c r="AB291" s="135" t="s">
        <v>35</v>
      </c>
      <c r="AC291" s="135" t="s">
        <v>35</v>
      </c>
      <c r="AD291" s="135">
        <v>0.92</v>
      </c>
      <c r="AE291" s="133">
        <v>1</v>
      </c>
      <c r="AF291" s="133">
        <v>0.998412698412698</v>
      </c>
      <c r="AG291" s="133">
        <v>1</v>
      </c>
      <c r="AH291" s="133">
        <v>0.997343505210817</v>
      </c>
      <c r="AI291" s="135">
        <v>0.92</v>
      </c>
      <c r="AJ291" s="133">
        <v>0</v>
      </c>
      <c r="AK291" s="133" t="s">
        <v>35</v>
      </c>
      <c r="AL291" s="133">
        <v>1</v>
      </c>
      <c r="AM291" s="133">
        <v>0.833333333333333</v>
      </c>
      <c r="AN291" s="132">
        <v>0.99</v>
      </c>
      <c r="AO291" s="137" t="s">
        <v>35</v>
      </c>
      <c r="AP291" s="137" t="s">
        <v>35</v>
      </c>
      <c r="AQ291" s="137" t="s">
        <v>35</v>
      </c>
      <c r="AR291" s="137">
        <v>1</v>
      </c>
      <c r="AS291" s="158">
        <v>0.0922287257019438</v>
      </c>
      <c r="AT291" s="141" t="s">
        <v>35</v>
      </c>
      <c r="AU291" s="141" t="s">
        <v>35</v>
      </c>
      <c r="AV291" s="141" t="s">
        <v>35</v>
      </c>
      <c r="AW291" s="141" t="s">
        <v>35</v>
      </c>
      <c r="AX291" s="88"/>
      <c r="AY291" s="93"/>
    </row>
    <row r="292" s="86" customFormat="1" ht="14.5" spans="1:51">
      <c r="A292" s="91"/>
      <c r="B292" s="88"/>
      <c r="C292" s="163" t="s">
        <v>260</v>
      </c>
      <c r="D292" s="153" t="s">
        <v>125</v>
      </c>
      <c r="E292" s="130" t="s">
        <v>261</v>
      </c>
      <c r="F292" s="164" t="s">
        <v>316</v>
      </c>
      <c r="G292" s="164" t="s">
        <v>316</v>
      </c>
      <c r="H292" s="164" t="s">
        <v>316</v>
      </c>
      <c r="I292" s="164" t="s">
        <v>316</v>
      </c>
      <c r="J292" s="132">
        <v>0.9</v>
      </c>
      <c r="K292" s="133" t="s">
        <v>35</v>
      </c>
      <c r="L292" s="133" t="s">
        <v>35</v>
      </c>
      <c r="M292" s="134" t="s">
        <v>35</v>
      </c>
      <c r="N292" s="133" t="s">
        <v>35</v>
      </c>
      <c r="O292" s="135">
        <v>0.9</v>
      </c>
      <c r="P292" s="133">
        <v>0</v>
      </c>
      <c r="Q292" s="133">
        <v>0</v>
      </c>
      <c r="R292" s="133">
        <v>0.222222222222222</v>
      </c>
      <c r="S292" s="133">
        <v>0.229166666666667</v>
      </c>
      <c r="T292" s="135">
        <v>0.9</v>
      </c>
      <c r="U292" s="133">
        <v>0</v>
      </c>
      <c r="V292" s="133">
        <v>0</v>
      </c>
      <c r="W292" s="133">
        <v>0.222222222222222</v>
      </c>
      <c r="X292" s="133">
        <v>0.520833333333333</v>
      </c>
      <c r="Y292" s="135">
        <v>0.92</v>
      </c>
      <c r="Z292" s="135" t="s">
        <v>35</v>
      </c>
      <c r="AA292" s="135" t="s">
        <v>35</v>
      </c>
      <c r="AB292" s="135" t="s">
        <v>35</v>
      </c>
      <c r="AC292" s="135">
        <v>0.333333333333333</v>
      </c>
      <c r="AD292" s="135">
        <v>0.92</v>
      </c>
      <c r="AE292" s="133">
        <v>0.83726055263604</v>
      </c>
      <c r="AF292" s="133">
        <v>0.999119427627958</v>
      </c>
      <c r="AG292" s="133">
        <v>0.996788959486233</v>
      </c>
      <c r="AH292" s="133">
        <v>0.886203722699373</v>
      </c>
      <c r="AI292" s="135">
        <v>0.92</v>
      </c>
      <c r="AJ292" s="133">
        <v>0.333333333333333</v>
      </c>
      <c r="AK292" s="133">
        <v>0</v>
      </c>
      <c r="AL292" s="133">
        <v>0.222222222222222</v>
      </c>
      <c r="AM292" s="133">
        <v>0.5625</v>
      </c>
      <c r="AN292" s="132">
        <v>0.99</v>
      </c>
      <c r="AO292" s="137" t="s">
        <v>35</v>
      </c>
      <c r="AP292" s="137" t="s">
        <v>35</v>
      </c>
      <c r="AQ292" s="137">
        <v>1</v>
      </c>
      <c r="AR292" s="137">
        <v>1</v>
      </c>
      <c r="AS292" s="158">
        <v>0.0922287257019438</v>
      </c>
      <c r="AT292" s="141" t="s">
        <v>35</v>
      </c>
      <c r="AU292" s="141" t="s">
        <v>35</v>
      </c>
      <c r="AV292" s="141" t="s">
        <v>35</v>
      </c>
      <c r="AW292" s="141" t="s">
        <v>35</v>
      </c>
      <c r="AX292" s="88"/>
      <c r="AY292" s="93"/>
    </row>
    <row r="293" s="86" customFormat="1" ht="14.5" spans="1:51">
      <c r="A293" s="91"/>
      <c r="B293" s="88"/>
      <c r="C293" s="163" t="s">
        <v>260</v>
      </c>
      <c r="D293" s="153" t="s">
        <v>125</v>
      </c>
      <c r="E293" s="130" t="s">
        <v>261</v>
      </c>
      <c r="F293" s="164" t="s">
        <v>317</v>
      </c>
      <c r="G293" s="164" t="s">
        <v>317</v>
      </c>
      <c r="H293" s="164" t="s">
        <v>317</v>
      </c>
      <c r="I293" s="164" t="s">
        <v>317</v>
      </c>
      <c r="J293" s="132">
        <v>0.9</v>
      </c>
      <c r="K293" s="133" t="s">
        <v>35</v>
      </c>
      <c r="L293" s="133" t="s">
        <v>35</v>
      </c>
      <c r="M293" s="134" t="s">
        <v>35</v>
      </c>
      <c r="N293" s="133" t="s">
        <v>35</v>
      </c>
      <c r="O293" s="135">
        <v>0.9</v>
      </c>
      <c r="P293" s="133" t="s">
        <v>35</v>
      </c>
      <c r="Q293" s="133" t="s">
        <v>35</v>
      </c>
      <c r="R293" s="133" t="s">
        <v>35</v>
      </c>
      <c r="S293" s="133">
        <v>0</v>
      </c>
      <c r="T293" s="135">
        <v>0.9</v>
      </c>
      <c r="U293" s="133" t="s">
        <v>35</v>
      </c>
      <c r="V293" s="133" t="s">
        <v>35</v>
      </c>
      <c r="W293" s="133" t="s">
        <v>35</v>
      </c>
      <c r="X293" s="133">
        <v>0.5</v>
      </c>
      <c r="Y293" s="135">
        <v>0.92</v>
      </c>
      <c r="Z293" s="135" t="s">
        <v>35</v>
      </c>
      <c r="AA293" s="135" t="s">
        <v>35</v>
      </c>
      <c r="AB293" s="135" t="s">
        <v>35</v>
      </c>
      <c r="AC293" s="135" t="s">
        <v>35</v>
      </c>
      <c r="AD293" s="135">
        <v>0.92</v>
      </c>
      <c r="AE293" s="133">
        <v>1</v>
      </c>
      <c r="AF293" s="133">
        <v>0.864661654135338</v>
      </c>
      <c r="AG293" s="133">
        <v>1</v>
      </c>
      <c r="AH293" s="133">
        <v>0.97332268370607</v>
      </c>
      <c r="AI293" s="135">
        <v>0.92</v>
      </c>
      <c r="AJ293" s="133" t="s">
        <v>35</v>
      </c>
      <c r="AK293" s="133" t="s">
        <v>35</v>
      </c>
      <c r="AL293" s="133" t="s">
        <v>35</v>
      </c>
      <c r="AM293" s="133">
        <v>0.333333333333333</v>
      </c>
      <c r="AN293" s="132">
        <v>0.99</v>
      </c>
      <c r="AO293" s="137" t="s">
        <v>35</v>
      </c>
      <c r="AP293" s="137">
        <v>1</v>
      </c>
      <c r="AQ293" s="137" t="s">
        <v>35</v>
      </c>
      <c r="AR293" s="137">
        <v>1</v>
      </c>
      <c r="AS293" s="158">
        <v>0.0922287257019438</v>
      </c>
      <c r="AT293" s="141" t="s">
        <v>35</v>
      </c>
      <c r="AU293" s="141" t="s">
        <v>35</v>
      </c>
      <c r="AV293" s="141" t="s">
        <v>35</v>
      </c>
      <c r="AW293" s="141" t="s">
        <v>35</v>
      </c>
      <c r="AX293" s="88"/>
      <c r="AY293" s="93"/>
    </row>
    <row r="294" s="86" customFormat="1" ht="14.5" spans="1:51">
      <c r="A294" s="91"/>
      <c r="B294" s="88"/>
      <c r="C294" s="163" t="s">
        <v>260</v>
      </c>
      <c r="D294" s="153" t="s">
        <v>125</v>
      </c>
      <c r="E294" s="130" t="s">
        <v>261</v>
      </c>
      <c r="F294" s="164" t="s">
        <v>318</v>
      </c>
      <c r="G294" s="164" t="s">
        <v>318</v>
      </c>
      <c r="H294" s="164" t="s">
        <v>318</v>
      </c>
      <c r="I294" s="164" t="s">
        <v>318</v>
      </c>
      <c r="J294" s="132">
        <v>0.9</v>
      </c>
      <c r="K294" s="133" t="s">
        <v>35</v>
      </c>
      <c r="L294" s="133" t="s">
        <v>35</v>
      </c>
      <c r="M294" s="134" t="s">
        <v>35</v>
      </c>
      <c r="N294" s="133" t="s">
        <v>35</v>
      </c>
      <c r="O294" s="135">
        <v>0.9</v>
      </c>
      <c r="P294" s="133" t="s">
        <v>35</v>
      </c>
      <c r="Q294" s="133" t="s">
        <v>35</v>
      </c>
      <c r="R294" s="133" t="s">
        <v>35</v>
      </c>
      <c r="S294" s="133">
        <v>0</v>
      </c>
      <c r="T294" s="135">
        <v>0.9</v>
      </c>
      <c r="U294" s="133" t="s">
        <v>35</v>
      </c>
      <c r="V294" s="133" t="s">
        <v>35</v>
      </c>
      <c r="W294" s="133" t="s">
        <v>35</v>
      </c>
      <c r="X294" s="133">
        <v>0</v>
      </c>
      <c r="Y294" s="135">
        <v>0.92</v>
      </c>
      <c r="Z294" s="135" t="s">
        <v>35</v>
      </c>
      <c r="AA294" s="135" t="s">
        <v>35</v>
      </c>
      <c r="AB294" s="135" t="s">
        <v>35</v>
      </c>
      <c r="AC294" s="135" t="s">
        <v>35</v>
      </c>
      <c r="AD294" s="135">
        <v>0.92</v>
      </c>
      <c r="AE294" s="133">
        <v>1</v>
      </c>
      <c r="AF294" s="133">
        <v>0.811881188118812</v>
      </c>
      <c r="AG294" s="133">
        <v>0.922141119221411</v>
      </c>
      <c r="AH294" s="133">
        <v>0.902487846725765</v>
      </c>
      <c r="AI294" s="135">
        <v>0.92</v>
      </c>
      <c r="AJ294" s="133" t="s">
        <v>35</v>
      </c>
      <c r="AK294" s="133" t="s">
        <v>35</v>
      </c>
      <c r="AL294" s="133" t="s">
        <v>35</v>
      </c>
      <c r="AM294" s="133">
        <v>0</v>
      </c>
      <c r="AN294" s="132">
        <v>0.99</v>
      </c>
      <c r="AO294" s="137" t="s">
        <v>35</v>
      </c>
      <c r="AP294" s="137" t="s">
        <v>35</v>
      </c>
      <c r="AQ294" s="137" t="s">
        <v>35</v>
      </c>
      <c r="AR294" s="137">
        <v>1</v>
      </c>
      <c r="AS294" s="158">
        <v>0.0922287257019438</v>
      </c>
      <c r="AT294" s="141" t="s">
        <v>35</v>
      </c>
      <c r="AU294" s="141" t="s">
        <v>35</v>
      </c>
      <c r="AV294" s="141" t="s">
        <v>35</v>
      </c>
      <c r="AW294" s="141" t="s">
        <v>35</v>
      </c>
      <c r="AX294" s="88"/>
      <c r="AY294" s="93"/>
    </row>
    <row r="295" s="86" customFormat="1" ht="14.5" spans="1:51">
      <c r="A295" s="91"/>
      <c r="B295" s="88"/>
      <c r="C295" s="163" t="s">
        <v>260</v>
      </c>
      <c r="D295" s="153" t="s">
        <v>125</v>
      </c>
      <c r="E295" s="130" t="s">
        <v>261</v>
      </c>
      <c r="F295" s="164" t="s">
        <v>319</v>
      </c>
      <c r="G295" s="164" t="s">
        <v>319</v>
      </c>
      <c r="H295" s="164" t="s">
        <v>319</v>
      </c>
      <c r="I295" s="164" t="s">
        <v>319</v>
      </c>
      <c r="J295" s="132">
        <v>0.9</v>
      </c>
      <c r="K295" s="133" t="s">
        <v>35</v>
      </c>
      <c r="L295" s="133" t="s">
        <v>35</v>
      </c>
      <c r="M295" s="134" t="s">
        <v>35</v>
      </c>
      <c r="N295" s="133" t="s">
        <v>35</v>
      </c>
      <c r="O295" s="135">
        <v>0.9</v>
      </c>
      <c r="P295" s="133">
        <v>0</v>
      </c>
      <c r="Q295" s="133" t="s">
        <v>35</v>
      </c>
      <c r="R295" s="133" t="s">
        <v>35</v>
      </c>
      <c r="S295" s="133">
        <v>0</v>
      </c>
      <c r="T295" s="135">
        <v>0.9</v>
      </c>
      <c r="U295" s="133">
        <v>1</v>
      </c>
      <c r="V295" s="133" t="s">
        <v>35</v>
      </c>
      <c r="W295" s="133" t="s">
        <v>35</v>
      </c>
      <c r="X295" s="133">
        <v>0.9</v>
      </c>
      <c r="Y295" s="135">
        <v>0.92</v>
      </c>
      <c r="Z295" s="135" t="s">
        <v>35</v>
      </c>
      <c r="AA295" s="135" t="s">
        <v>35</v>
      </c>
      <c r="AB295" s="135" t="s">
        <v>35</v>
      </c>
      <c r="AC295" s="135">
        <v>1</v>
      </c>
      <c r="AD295" s="135">
        <v>0.92</v>
      </c>
      <c r="AE295" s="133">
        <v>1</v>
      </c>
      <c r="AF295" s="133">
        <v>1</v>
      </c>
      <c r="AG295" s="133">
        <v>1</v>
      </c>
      <c r="AH295" s="133">
        <v>0.990074207118211</v>
      </c>
      <c r="AI295" s="135">
        <v>0.92</v>
      </c>
      <c r="AJ295" s="133">
        <v>1</v>
      </c>
      <c r="AK295" s="133" t="s">
        <v>35</v>
      </c>
      <c r="AL295" s="133" t="s">
        <v>35</v>
      </c>
      <c r="AM295" s="133">
        <v>0.923076923076923</v>
      </c>
      <c r="AN295" s="132">
        <v>0.99</v>
      </c>
      <c r="AO295" s="137" t="s">
        <v>35</v>
      </c>
      <c r="AP295" s="137" t="s">
        <v>35</v>
      </c>
      <c r="AQ295" s="137" t="s">
        <v>35</v>
      </c>
      <c r="AR295" s="137">
        <v>1</v>
      </c>
      <c r="AS295" s="158">
        <v>0.0922287257019438</v>
      </c>
      <c r="AT295" s="141" t="s">
        <v>35</v>
      </c>
      <c r="AU295" s="141" t="s">
        <v>35</v>
      </c>
      <c r="AV295" s="141" t="s">
        <v>35</v>
      </c>
      <c r="AW295" s="141" t="s">
        <v>35</v>
      </c>
      <c r="AX295" s="88"/>
      <c r="AY295" s="93"/>
    </row>
    <row r="296" s="86" customFormat="1" ht="14.5" spans="1:51">
      <c r="A296" s="91"/>
      <c r="B296" s="88"/>
      <c r="C296" s="163" t="s">
        <v>260</v>
      </c>
      <c r="D296" s="153" t="s">
        <v>25</v>
      </c>
      <c r="E296" s="130" t="s">
        <v>261</v>
      </c>
      <c r="F296" s="164" t="s">
        <v>320</v>
      </c>
      <c r="G296" s="164" t="s">
        <v>320</v>
      </c>
      <c r="H296" s="164" t="s">
        <v>320</v>
      </c>
      <c r="I296" s="164" t="s">
        <v>320</v>
      </c>
      <c r="J296" s="132">
        <v>0.9</v>
      </c>
      <c r="K296" s="133">
        <v>0.94392523364486</v>
      </c>
      <c r="L296" s="133">
        <v>0.936842105263158</v>
      </c>
      <c r="M296" s="134">
        <v>0.96551724137931</v>
      </c>
      <c r="N296" s="133">
        <v>0.944328824141519</v>
      </c>
      <c r="O296" s="135">
        <v>0.9</v>
      </c>
      <c r="P296" s="133">
        <v>0.963730569948187</v>
      </c>
      <c r="Q296" s="133">
        <v>0.978696477536385</v>
      </c>
      <c r="R296" s="133">
        <v>0.904813559322034</v>
      </c>
      <c r="S296" s="133">
        <v>0.903562069621143</v>
      </c>
      <c r="T296" s="135">
        <v>0.9</v>
      </c>
      <c r="U296" s="133">
        <v>0.908354922279793</v>
      </c>
      <c r="V296" s="133">
        <v>0.884201645222527</v>
      </c>
      <c r="W296" s="133">
        <v>0.902372881355932</v>
      </c>
      <c r="X296" s="133">
        <v>0.872810389438617</v>
      </c>
      <c r="Y296" s="135">
        <v>0.92</v>
      </c>
      <c r="Z296" s="135">
        <v>0.901194353963084</v>
      </c>
      <c r="AA296" s="135">
        <v>0.848792884371029</v>
      </c>
      <c r="AB296" s="135">
        <v>0.932303498409814</v>
      </c>
      <c r="AC296" s="135">
        <v>0.931490384615385</v>
      </c>
      <c r="AD296" s="135">
        <v>0.92</v>
      </c>
      <c r="AE296" s="133">
        <v>0.991983967935872</v>
      </c>
      <c r="AF296" s="133">
        <v>0.995614035087719</v>
      </c>
      <c r="AG296" s="133">
        <v>0.9921875</v>
      </c>
      <c r="AH296" s="133">
        <v>0.994392359589941</v>
      </c>
      <c r="AI296" s="135">
        <v>0.92</v>
      </c>
      <c r="AJ296" s="133">
        <v>0.94861561486655</v>
      </c>
      <c r="AK296" s="133">
        <v>0.95260492040521</v>
      </c>
      <c r="AL296" s="133">
        <v>0.972326649958229</v>
      </c>
      <c r="AM296" s="133">
        <v>0.968261583133443</v>
      </c>
      <c r="AN296" s="132">
        <v>0.99</v>
      </c>
      <c r="AO296" s="137">
        <v>1</v>
      </c>
      <c r="AP296" s="137">
        <v>1</v>
      </c>
      <c r="AQ296" s="137">
        <v>1</v>
      </c>
      <c r="AR296" s="137">
        <v>1</v>
      </c>
      <c r="AS296" s="158">
        <v>0.0922287257019438</v>
      </c>
      <c r="AT296" s="141">
        <v>0.0526315789473684</v>
      </c>
      <c r="AU296" s="141">
        <v>0</v>
      </c>
      <c r="AV296" s="141">
        <v>0</v>
      </c>
      <c r="AW296" s="141">
        <v>0.0783582089552239</v>
      </c>
      <c r="AX296" s="88"/>
      <c r="AY296" s="93"/>
    </row>
    <row r="297" s="86" customFormat="1" ht="14.5" spans="1:51">
      <c r="A297" s="91"/>
      <c r="B297" s="88"/>
      <c r="C297" s="163" t="s">
        <v>260</v>
      </c>
      <c r="D297" s="153" t="s">
        <v>25</v>
      </c>
      <c r="E297" s="130" t="s">
        <v>261</v>
      </c>
      <c r="F297" s="165" t="s">
        <v>321</v>
      </c>
      <c r="G297" s="165" t="s">
        <v>321</v>
      </c>
      <c r="H297" s="165" t="s">
        <v>321</v>
      </c>
      <c r="I297" s="165" t="s">
        <v>321</v>
      </c>
      <c r="J297" s="132">
        <v>0.9</v>
      </c>
      <c r="K297" s="133" t="s">
        <v>35</v>
      </c>
      <c r="L297" s="133" t="s">
        <v>35</v>
      </c>
      <c r="M297" s="134" t="s">
        <v>35</v>
      </c>
      <c r="N297" s="133" t="s">
        <v>35</v>
      </c>
      <c r="O297" s="135">
        <v>0.9</v>
      </c>
      <c r="P297" s="133" t="s">
        <v>35</v>
      </c>
      <c r="Q297" s="133" t="s">
        <v>35</v>
      </c>
      <c r="R297" s="133" t="s">
        <v>35</v>
      </c>
      <c r="S297" s="133" t="s">
        <v>35</v>
      </c>
      <c r="T297" s="135">
        <v>0.9</v>
      </c>
      <c r="U297" s="133" t="s">
        <v>35</v>
      </c>
      <c r="V297" s="133" t="s">
        <v>35</v>
      </c>
      <c r="W297" s="133" t="s">
        <v>35</v>
      </c>
      <c r="X297" s="133" t="s">
        <v>35</v>
      </c>
      <c r="Y297" s="135">
        <v>0.92</v>
      </c>
      <c r="Z297" s="135" t="s">
        <v>35</v>
      </c>
      <c r="AA297" s="135" t="s">
        <v>35</v>
      </c>
      <c r="AB297" s="135" t="s">
        <v>35</v>
      </c>
      <c r="AC297" s="135" t="s">
        <v>35</v>
      </c>
      <c r="AD297" s="135">
        <v>0.92</v>
      </c>
      <c r="AE297" s="133" t="s">
        <v>35</v>
      </c>
      <c r="AF297" s="133" t="s">
        <v>35</v>
      </c>
      <c r="AG297" s="133" t="s">
        <v>35</v>
      </c>
      <c r="AH297" s="133" t="s">
        <v>35</v>
      </c>
      <c r="AI297" s="135">
        <v>0.92</v>
      </c>
      <c r="AJ297" s="133" t="s">
        <v>35</v>
      </c>
      <c r="AK297" s="133" t="s">
        <v>35</v>
      </c>
      <c r="AL297" s="133" t="s">
        <v>35</v>
      </c>
      <c r="AM297" s="133" t="s">
        <v>35</v>
      </c>
      <c r="AN297" s="132">
        <v>0.99</v>
      </c>
      <c r="AO297" s="137" t="s">
        <v>35</v>
      </c>
      <c r="AP297" s="137" t="s">
        <v>35</v>
      </c>
      <c r="AQ297" s="137" t="s">
        <v>35</v>
      </c>
      <c r="AR297" s="137" t="s">
        <v>35</v>
      </c>
      <c r="AS297" s="158">
        <v>0.0922287257019438</v>
      </c>
      <c r="AT297" s="141" t="s">
        <v>35</v>
      </c>
      <c r="AU297" s="141" t="s">
        <v>35</v>
      </c>
      <c r="AV297" s="141" t="s">
        <v>35</v>
      </c>
      <c r="AW297" s="141" t="s">
        <v>35</v>
      </c>
      <c r="AX297" s="88"/>
      <c r="AY297" s="93"/>
    </row>
    <row r="298" s="86" customFormat="1" ht="14.5" spans="1:51">
      <c r="A298" s="91"/>
      <c r="B298" s="88"/>
      <c r="C298" s="163" t="s">
        <v>260</v>
      </c>
      <c r="D298" s="153" t="s">
        <v>25</v>
      </c>
      <c r="E298" s="130" t="s">
        <v>261</v>
      </c>
      <c r="F298" s="164" t="s">
        <v>322</v>
      </c>
      <c r="G298" s="164" t="s">
        <v>322</v>
      </c>
      <c r="H298" s="164" t="s">
        <v>322</v>
      </c>
      <c r="I298" s="164" t="s">
        <v>322</v>
      </c>
      <c r="J298" s="132">
        <v>0.9</v>
      </c>
      <c r="K298" s="133">
        <v>0.984126984126984</v>
      </c>
      <c r="L298" s="133">
        <v>0.98</v>
      </c>
      <c r="M298" s="134">
        <v>0.941666666666667</v>
      </c>
      <c r="N298" s="133">
        <v>0.961791831357049</v>
      </c>
      <c r="O298" s="135">
        <v>0.9</v>
      </c>
      <c r="P298" s="133">
        <v>0.953208556149733</v>
      </c>
      <c r="Q298" s="133">
        <v>0.959291288757646</v>
      </c>
      <c r="R298" s="133">
        <v>0.957635467980296</v>
      </c>
      <c r="S298" s="133">
        <v>0.929108155713201</v>
      </c>
      <c r="T298" s="135">
        <v>0.9</v>
      </c>
      <c r="U298" s="133">
        <v>0.905882352941176</v>
      </c>
      <c r="V298" s="133">
        <v>0.926175912254799</v>
      </c>
      <c r="W298" s="133">
        <v>0.920619282195637</v>
      </c>
      <c r="X298" s="133">
        <v>0.919396280076919</v>
      </c>
      <c r="Y298" s="135">
        <v>0.92</v>
      </c>
      <c r="Z298" s="135">
        <v>0.95173535791757</v>
      </c>
      <c r="AA298" s="135">
        <v>0.982382939267501</v>
      </c>
      <c r="AB298" s="135">
        <v>0.987387008618877</v>
      </c>
      <c r="AC298" s="135">
        <v>0.983178899413529</v>
      </c>
      <c r="AD298" s="135">
        <v>0.92</v>
      </c>
      <c r="AE298" s="133">
        <v>0.996439169139466</v>
      </c>
      <c r="AF298" s="133">
        <v>0.985545335085414</v>
      </c>
      <c r="AG298" s="133">
        <v>0.99237732253454</v>
      </c>
      <c r="AH298" s="133">
        <v>0.960522642246915</v>
      </c>
      <c r="AI298" s="135">
        <v>0.92</v>
      </c>
      <c r="AJ298" s="133">
        <v>0.975286532951289</v>
      </c>
      <c r="AK298" s="133">
        <v>0.990432009278052</v>
      </c>
      <c r="AL298" s="133">
        <v>0.993256911665543</v>
      </c>
      <c r="AM298" s="133">
        <v>0.989634044171924</v>
      </c>
      <c r="AN298" s="132">
        <v>0.99</v>
      </c>
      <c r="AO298" s="137">
        <v>1</v>
      </c>
      <c r="AP298" s="137">
        <v>1</v>
      </c>
      <c r="AQ298" s="137">
        <v>1</v>
      </c>
      <c r="AR298" s="137">
        <v>1</v>
      </c>
      <c r="AS298" s="158">
        <v>0.0922287257019438</v>
      </c>
      <c r="AT298" s="141">
        <v>0.210526315789474</v>
      </c>
      <c r="AU298" s="141">
        <v>0.142857142857143</v>
      </c>
      <c r="AV298" s="141">
        <v>0.0952380952380952</v>
      </c>
      <c r="AW298" s="141">
        <v>0.0794912559618442</v>
      </c>
      <c r="AX298" s="88"/>
      <c r="AY298" s="93"/>
    </row>
    <row r="299" s="86" customFormat="1" ht="14.5" spans="1:51">
      <c r="A299" s="91"/>
      <c r="B299" s="88"/>
      <c r="C299" s="163" t="s">
        <v>260</v>
      </c>
      <c r="D299" s="153" t="s">
        <v>25</v>
      </c>
      <c r="E299" s="130" t="s">
        <v>261</v>
      </c>
      <c r="F299" s="164" t="s">
        <v>323</v>
      </c>
      <c r="G299" s="164" t="s">
        <v>323</v>
      </c>
      <c r="H299" s="164" t="s">
        <v>323</v>
      </c>
      <c r="I299" s="164" t="s">
        <v>323</v>
      </c>
      <c r="J299" s="132">
        <v>0.9</v>
      </c>
      <c r="K299" s="133">
        <v>0.967213114754098</v>
      </c>
      <c r="L299" s="133">
        <v>0.934782608695652</v>
      </c>
      <c r="M299" s="134">
        <v>0.971428571428571</v>
      </c>
      <c r="N299" s="133">
        <v>0.949693251533742</v>
      </c>
      <c r="O299" s="135">
        <v>0.9</v>
      </c>
      <c r="P299" s="133">
        <v>0.953368899426991</v>
      </c>
      <c r="Q299" s="133">
        <v>0.955815464587394</v>
      </c>
      <c r="R299" s="133">
        <v>0.949450549450549</v>
      </c>
      <c r="S299" s="133">
        <v>0.935344496845137</v>
      </c>
      <c r="T299" s="135">
        <v>0.9</v>
      </c>
      <c r="U299" s="133">
        <v>0.934400316143055</v>
      </c>
      <c r="V299" s="133">
        <v>0.925925925925926</v>
      </c>
      <c r="W299" s="133">
        <v>0.925934065934066</v>
      </c>
      <c r="X299" s="133">
        <v>0.927936914550144</v>
      </c>
      <c r="Y299" s="135">
        <v>0.92</v>
      </c>
      <c r="Z299" s="135">
        <v>0.963313161875946</v>
      </c>
      <c r="AA299" s="135">
        <v>0.968593384563983</v>
      </c>
      <c r="AB299" s="135">
        <v>0.984749801429706</v>
      </c>
      <c r="AC299" s="135">
        <v>0.983343078606876</v>
      </c>
      <c r="AD299" s="135">
        <v>0.92</v>
      </c>
      <c r="AE299" s="133">
        <v>0.910602910602911</v>
      </c>
      <c r="AF299" s="133">
        <v>0.872991583779648</v>
      </c>
      <c r="AG299" s="133">
        <v>0.99492385786802</v>
      </c>
      <c r="AH299" s="133">
        <v>0.970664576480263</v>
      </c>
      <c r="AI299" s="135">
        <v>0.92</v>
      </c>
      <c r="AJ299" s="133">
        <v>0.978325762491888</v>
      </c>
      <c r="AK299" s="133">
        <v>0.980004370629371</v>
      </c>
      <c r="AL299" s="133">
        <v>0.990192894719751</v>
      </c>
      <c r="AM299" s="133">
        <v>0.98888331275299</v>
      </c>
      <c r="AN299" s="132">
        <v>0.99</v>
      </c>
      <c r="AO299" s="137">
        <v>1</v>
      </c>
      <c r="AP299" s="137">
        <v>1</v>
      </c>
      <c r="AQ299" s="137">
        <v>1</v>
      </c>
      <c r="AR299" s="137">
        <v>1</v>
      </c>
      <c r="AS299" s="158">
        <v>0.0922287257019438</v>
      </c>
      <c r="AT299" s="141">
        <v>0.191489361702128</v>
      </c>
      <c r="AU299" s="141">
        <v>0.0526315789473684</v>
      </c>
      <c r="AV299" s="141">
        <v>0.0508474576271186</v>
      </c>
      <c r="AW299" s="141">
        <v>0.0988745980707395</v>
      </c>
      <c r="AX299" s="88"/>
      <c r="AY299" s="93"/>
    </row>
    <row r="300" s="86" customFormat="1" ht="14.5" spans="1:51">
      <c r="A300" s="91"/>
      <c r="B300" s="88"/>
      <c r="C300" s="163" t="s">
        <v>260</v>
      </c>
      <c r="D300" s="153" t="s">
        <v>125</v>
      </c>
      <c r="E300" s="130" t="s">
        <v>261</v>
      </c>
      <c r="F300" s="164" t="s">
        <v>324</v>
      </c>
      <c r="G300" s="164" t="s">
        <v>324</v>
      </c>
      <c r="H300" s="164" t="s">
        <v>324</v>
      </c>
      <c r="I300" s="164" t="s">
        <v>324</v>
      </c>
      <c r="J300" s="132">
        <v>0.9</v>
      </c>
      <c r="K300" s="133" t="s">
        <v>35</v>
      </c>
      <c r="L300" s="133" t="s">
        <v>35</v>
      </c>
      <c r="M300" s="134" t="s">
        <v>35</v>
      </c>
      <c r="N300" s="133" t="s">
        <v>35</v>
      </c>
      <c r="O300" s="135">
        <v>0.9</v>
      </c>
      <c r="P300" s="133" t="s">
        <v>35</v>
      </c>
      <c r="Q300" s="133" t="s">
        <v>35</v>
      </c>
      <c r="R300" s="133" t="s">
        <v>35</v>
      </c>
      <c r="S300" s="133">
        <v>0</v>
      </c>
      <c r="T300" s="135">
        <v>0.9</v>
      </c>
      <c r="U300" s="133" t="s">
        <v>35</v>
      </c>
      <c r="V300" s="133" t="s">
        <v>35</v>
      </c>
      <c r="W300" s="133" t="s">
        <v>35</v>
      </c>
      <c r="X300" s="133">
        <v>1</v>
      </c>
      <c r="Y300" s="135">
        <v>0.92</v>
      </c>
      <c r="Z300" s="135" t="s">
        <v>35</v>
      </c>
      <c r="AA300" s="135" t="s">
        <v>35</v>
      </c>
      <c r="AB300" s="135" t="s">
        <v>35</v>
      </c>
      <c r="AC300" s="135" t="s">
        <v>35</v>
      </c>
      <c r="AD300" s="135">
        <v>0.92</v>
      </c>
      <c r="AE300" s="133">
        <v>0.903805496828753</v>
      </c>
      <c r="AF300" s="133">
        <v>0.998168498168498</v>
      </c>
      <c r="AG300" s="133">
        <v>0.956310679611651</v>
      </c>
      <c r="AH300" s="133">
        <v>0.955238095238095</v>
      </c>
      <c r="AI300" s="135">
        <v>0.92</v>
      </c>
      <c r="AJ300" s="133" t="s">
        <v>35</v>
      </c>
      <c r="AK300" s="133" t="s">
        <v>35</v>
      </c>
      <c r="AL300" s="133" t="s">
        <v>35</v>
      </c>
      <c r="AM300" s="133">
        <v>1</v>
      </c>
      <c r="AN300" s="132">
        <v>0.99</v>
      </c>
      <c r="AO300" s="137">
        <v>1</v>
      </c>
      <c r="AP300" s="137" t="s">
        <v>35</v>
      </c>
      <c r="AQ300" s="137">
        <v>1</v>
      </c>
      <c r="AR300" s="137">
        <v>1</v>
      </c>
      <c r="AS300" s="158">
        <v>0.0922287257019438</v>
      </c>
      <c r="AT300" s="141" t="s">
        <v>35</v>
      </c>
      <c r="AU300" s="141" t="s">
        <v>35</v>
      </c>
      <c r="AV300" s="141" t="s">
        <v>35</v>
      </c>
      <c r="AW300" s="141" t="s">
        <v>35</v>
      </c>
      <c r="AX300" s="88"/>
      <c r="AY300" s="93"/>
    </row>
    <row r="301" s="86" customFormat="1" ht="14.5" spans="1:51">
      <c r="A301" s="91"/>
      <c r="B301" s="88"/>
      <c r="C301" s="163" t="s">
        <v>260</v>
      </c>
      <c r="D301" s="153" t="s">
        <v>125</v>
      </c>
      <c r="E301" s="130" t="s">
        <v>261</v>
      </c>
      <c r="F301" s="164" t="s">
        <v>325</v>
      </c>
      <c r="G301" s="164" t="s">
        <v>325</v>
      </c>
      <c r="H301" s="164" t="s">
        <v>325</v>
      </c>
      <c r="I301" s="164" t="s">
        <v>325</v>
      </c>
      <c r="J301" s="132">
        <v>0.9</v>
      </c>
      <c r="K301" s="133" t="s">
        <v>35</v>
      </c>
      <c r="L301" s="133" t="s">
        <v>35</v>
      </c>
      <c r="M301" s="134" t="s">
        <v>35</v>
      </c>
      <c r="N301" s="133" t="s">
        <v>35</v>
      </c>
      <c r="O301" s="135">
        <v>0.9</v>
      </c>
      <c r="P301" s="133" t="s">
        <v>35</v>
      </c>
      <c r="Q301" s="133" t="s">
        <v>35</v>
      </c>
      <c r="R301" s="133" t="s">
        <v>35</v>
      </c>
      <c r="S301" s="133" t="s">
        <v>35</v>
      </c>
      <c r="T301" s="135">
        <v>0.9</v>
      </c>
      <c r="U301" s="133" t="s">
        <v>35</v>
      </c>
      <c r="V301" s="133" t="s">
        <v>35</v>
      </c>
      <c r="W301" s="133" t="s">
        <v>35</v>
      </c>
      <c r="X301" s="133" t="s">
        <v>35</v>
      </c>
      <c r="Y301" s="135">
        <v>0.92</v>
      </c>
      <c r="Z301" s="135" t="s">
        <v>35</v>
      </c>
      <c r="AA301" s="135" t="s">
        <v>35</v>
      </c>
      <c r="AB301" s="135" t="s">
        <v>35</v>
      </c>
      <c r="AC301" s="135" t="s">
        <v>35</v>
      </c>
      <c r="AD301" s="135">
        <v>0.92</v>
      </c>
      <c r="AE301" s="133">
        <v>0.996551724137931</v>
      </c>
      <c r="AF301" s="133">
        <v>1</v>
      </c>
      <c r="AG301" s="133">
        <v>0.983539094650206</v>
      </c>
      <c r="AH301" s="133">
        <v>0.995248988210452</v>
      </c>
      <c r="AI301" s="135">
        <v>0.92</v>
      </c>
      <c r="AJ301" s="133" t="s">
        <v>35</v>
      </c>
      <c r="AK301" s="133" t="s">
        <v>35</v>
      </c>
      <c r="AL301" s="133" t="s">
        <v>35</v>
      </c>
      <c r="AM301" s="133" t="s">
        <v>35</v>
      </c>
      <c r="AN301" s="132">
        <v>0.99</v>
      </c>
      <c r="AO301" s="137">
        <v>1</v>
      </c>
      <c r="AP301" s="137" t="s">
        <v>35</v>
      </c>
      <c r="AQ301" s="137" t="s">
        <v>35</v>
      </c>
      <c r="AR301" s="137">
        <v>1</v>
      </c>
      <c r="AS301" s="158">
        <v>0.0922287257019438</v>
      </c>
      <c r="AT301" s="141" t="s">
        <v>35</v>
      </c>
      <c r="AU301" s="141" t="s">
        <v>35</v>
      </c>
      <c r="AV301" s="141" t="s">
        <v>35</v>
      </c>
      <c r="AW301" s="141" t="s">
        <v>35</v>
      </c>
      <c r="AX301" s="88"/>
      <c r="AY301" s="93"/>
    </row>
    <row r="302" s="86" customFormat="1" ht="14.5" spans="1:51">
      <c r="A302" s="91"/>
      <c r="B302" s="88"/>
      <c r="C302" s="163" t="s">
        <v>260</v>
      </c>
      <c r="D302" s="153" t="s">
        <v>125</v>
      </c>
      <c r="E302" s="130" t="s">
        <v>261</v>
      </c>
      <c r="F302" s="164" t="s">
        <v>326</v>
      </c>
      <c r="G302" s="164" t="s">
        <v>326</v>
      </c>
      <c r="H302" s="164" t="s">
        <v>326</v>
      </c>
      <c r="I302" s="164" t="s">
        <v>326</v>
      </c>
      <c r="J302" s="132">
        <v>0.9</v>
      </c>
      <c r="K302" s="133" t="s">
        <v>35</v>
      </c>
      <c r="L302" s="133" t="s">
        <v>35</v>
      </c>
      <c r="M302" s="134" t="s">
        <v>35</v>
      </c>
      <c r="N302" s="133" t="s">
        <v>35</v>
      </c>
      <c r="O302" s="135">
        <v>0.9</v>
      </c>
      <c r="P302" s="133">
        <v>1</v>
      </c>
      <c r="Q302" s="133">
        <v>0.896551724137931</v>
      </c>
      <c r="R302" s="133">
        <v>1</v>
      </c>
      <c r="S302" s="133">
        <v>0.966507177033493</v>
      </c>
      <c r="T302" s="135">
        <v>0.9</v>
      </c>
      <c r="U302" s="133">
        <v>0.971428571428571</v>
      </c>
      <c r="V302" s="133">
        <v>0.896551724137931</v>
      </c>
      <c r="W302" s="133">
        <v>1</v>
      </c>
      <c r="X302" s="133">
        <v>0.971291866028708</v>
      </c>
      <c r="Y302" s="135">
        <v>0.92</v>
      </c>
      <c r="Z302" s="135">
        <v>1</v>
      </c>
      <c r="AA302" s="135">
        <v>1</v>
      </c>
      <c r="AB302" s="135">
        <v>1</v>
      </c>
      <c r="AC302" s="135">
        <v>0.986046511627907</v>
      </c>
      <c r="AD302" s="135">
        <v>0.92</v>
      </c>
      <c r="AE302" s="133">
        <v>1</v>
      </c>
      <c r="AF302" s="133">
        <v>0.994964028776978</v>
      </c>
      <c r="AG302" s="133">
        <v>0.99951690821256</v>
      </c>
      <c r="AH302" s="133">
        <v>0.954652628155616</v>
      </c>
      <c r="AI302" s="135">
        <v>0.92</v>
      </c>
      <c r="AJ302" s="133">
        <v>1</v>
      </c>
      <c r="AK302" s="133">
        <v>0.9375</v>
      </c>
      <c r="AL302" s="133">
        <v>1</v>
      </c>
      <c r="AM302" s="133">
        <v>0.980421686746988</v>
      </c>
      <c r="AN302" s="132">
        <v>0.99</v>
      </c>
      <c r="AO302" s="137">
        <v>1</v>
      </c>
      <c r="AP302" s="137">
        <v>1</v>
      </c>
      <c r="AQ302" s="137" t="s">
        <v>35</v>
      </c>
      <c r="AR302" s="137">
        <v>1</v>
      </c>
      <c r="AS302" s="158">
        <v>0.0922287257019438</v>
      </c>
      <c r="AT302" s="141" t="s">
        <v>35</v>
      </c>
      <c r="AU302" s="141" t="s">
        <v>35</v>
      </c>
      <c r="AV302" s="141">
        <v>0</v>
      </c>
      <c r="AW302" s="141">
        <v>0</v>
      </c>
      <c r="AX302" s="88"/>
      <c r="AY302" s="93"/>
    </row>
    <row r="303" s="86" customFormat="1" ht="14.5" spans="1:51">
      <c r="A303" s="91"/>
      <c r="B303" s="88"/>
      <c r="C303" s="163" t="s">
        <v>260</v>
      </c>
      <c r="D303" s="153" t="s">
        <v>125</v>
      </c>
      <c r="E303" s="130" t="s">
        <v>261</v>
      </c>
      <c r="F303" s="164" t="s">
        <v>327</v>
      </c>
      <c r="G303" s="164" t="s">
        <v>327</v>
      </c>
      <c r="H303" s="164" t="s">
        <v>327</v>
      </c>
      <c r="I303" s="164" t="s">
        <v>327</v>
      </c>
      <c r="J303" s="132">
        <v>0.9</v>
      </c>
      <c r="K303" s="133" t="s">
        <v>35</v>
      </c>
      <c r="L303" s="133" t="s">
        <v>35</v>
      </c>
      <c r="M303" s="134" t="s">
        <v>35</v>
      </c>
      <c r="N303" s="133" t="s">
        <v>35</v>
      </c>
      <c r="O303" s="135">
        <v>0.9</v>
      </c>
      <c r="P303" s="133" t="s">
        <v>35</v>
      </c>
      <c r="Q303" s="133" t="s">
        <v>35</v>
      </c>
      <c r="R303" s="133" t="s">
        <v>35</v>
      </c>
      <c r="S303" s="133">
        <v>0.666666666666667</v>
      </c>
      <c r="T303" s="135">
        <v>0.9</v>
      </c>
      <c r="U303" s="133" t="s">
        <v>35</v>
      </c>
      <c r="V303" s="133" t="s">
        <v>35</v>
      </c>
      <c r="W303" s="133" t="s">
        <v>35</v>
      </c>
      <c r="X303" s="133">
        <v>0</v>
      </c>
      <c r="Y303" s="135">
        <v>0.92</v>
      </c>
      <c r="Z303" s="135" t="s">
        <v>35</v>
      </c>
      <c r="AA303" s="135" t="s">
        <v>35</v>
      </c>
      <c r="AB303" s="135" t="s">
        <v>35</v>
      </c>
      <c r="AC303" s="135">
        <v>0</v>
      </c>
      <c r="AD303" s="135">
        <v>0.92</v>
      </c>
      <c r="AE303" s="133">
        <v>0.999804534792807</v>
      </c>
      <c r="AF303" s="133">
        <v>0.998656816655473</v>
      </c>
      <c r="AG303" s="133">
        <v>0.999490316004077</v>
      </c>
      <c r="AH303" s="133">
        <v>0.994634383367622</v>
      </c>
      <c r="AI303" s="135">
        <v>0.92</v>
      </c>
      <c r="AJ303" s="133" t="s">
        <v>35</v>
      </c>
      <c r="AK303" s="133" t="s">
        <v>35</v>
      </c>
      <c r="AL303" s="133" t="s">
        <v>35</v>
      </c>
      <c r="AM303" s="133">
        <v>0.2</v>
      </c>
      <c r="AN303" s="132">
        <v>0.99</v>
      </c>
      <c r="AO303" s="137">
        <v>1</v>
      </c>
      <c r="AP303" s="137">
        <v>1</v>
      </c>
      <c r="AQ303" s="137">
        <v>1</v>
      </c>
      <c r="AR303" s="137">
        <v>1</v>
      </c>
      <c r="AS303" s="158">
        <v>0.0922287257019438</v>
      </c>
      <c r="AT303" s="141" t="s">
        <v>35</v>
      </c>
      <c r="AU303" s="141" t="s">
        <v>35</v>
      </c>
      <c r="AV303" s="141" t="s">
        <v>35</v>
      </c>
      <c r="AW303" s="141" t="s">
        <v>35</v>
      </c>
      <c r="AX303" s="88"/>
      <c r="AY303" s="93"/>
    </row>
    <row r="304" s="86" customFormat="1" ht="14.5" spans="1:51">
      <c r="A304" s="91"/>
      <c r="B304" s="88"/>
      <c r="C304" s="163" t="s">
        <v>260</v>
      </c>
      <c r="D304" s="153" t="s">
        <v>125</v>
      </c>
      <c r="E304" s="130" t="s">
        <v>261</v>
      </c>
      <c r="F304" s="164" t="s">
        <v>328</v>
      </c>
      <c r="G304" s="164" t="s">
        <v>328</v>
      </c>
      <c r="H304" s="164" t="s">
        <v>328</v>
      </c>
      <c r="I304" s="164" t="s">
        <v>328</v>
      </c>
      <c r="J304" s="132">
        <v>0.9</v>
      </c>
      <c r="K304" s="133" t="s">
        <v>35</v>
      </c>
      <c r="L304" s="133" t="s">
        <v>35</v>
      </c>
      <c r="M304" s="134" t="s">
        <v>35</v>
      </c>
      <c r="N304" s="133" t="s">
        <v>35</v>
      </c>
      <c r="O304" s="135">
        <v>0.9</v>
      </c>
      <c r="P304" s="133">
        <v>1</v>
      </c>
      <c r="Q304" s="133" t="s">
        <v>35</v>
      </c>
      <c r="R304" s="133">
        <v>0.06</v>
      </c>
      <c r="S304" s="133">
        <v>0.13953488372093</v>
      </c>
      <c r="T304" s="135">
        <v>0.9</v>
      </c>
      <c r="U304" s="133">
        <v>0</v>
      </c>
      <c r="V304" s="133" t="s">
        <v>35</v>
      </c>
      <c r="W304" s="133">
        <v>0.94</v>
      </c>
      <c r="X304" s="133">
        <v>0.848837209302326</v>
      </c>
      <c r="Y304" s="135">
        <v>0.92</v>
      </c>
      <c r="Z304" s="135" t="s">
        <v>35</v>
      </c>
      <c r="AA304" s="135" t="s">
        <v>35</v>
      </c>
      <c r="AB304" s="135">
        <v>1</v>
      </c>
      <c r="AC304" s="135">
        <v>0.966666666666667</v>
      </c>
      <c r="AD304" s="135">
        <v>0.92</v>
      </c>
      <c r="AE304" s="133">
        <v>0.970870065159065</v>
      </c>
      <c r="AF304" s="133">
        <v>0.981454005934718</v>
      </c>
      <c r="AG304" s="133">
        <v>1</v>
      </c>
      <c r="AH304" s="133">
        <v>0.982487764376857</v>
      </c>
      <c r="AI304" s="135">
        <v>0.92</v>
      </c>
      <c r="AJ304" s="133">
        <v>0</v>
      </c>
      <c r="AK304" s="133" t="s">
        <v>35</v>
      </c>
      <c r="AL304" s="133">
        <v>0.946666666666667</v>
      </c>
      <c r="AM304" s="133">
        <v>0.87603305785124</v>
      </c>
      <c r="AN304" s="132">
        <v>0.99</v>
      </c>
      <c r="AO304" s="137">
        <v>1</v>
      </c>
      <c r="AP304" s="137">
        <v>1</v>
      </c>
      <c r="AQ304" s="137">
        <v>1</v>
      </c>
      <c r="AR304" s="137">
        <v>1</v>
      </c>
      <c r="AS304" s="158">
        <v>0.0922287257019438</v>
      </c>
      <c r="AT304" s="141" t="s">
        <v>35</v>
      </c>
      <c r="AU304" s="141" t="s">
        <v>35</v>
      </c>
      <c r="AV304" s="141" t="s">
        <v>35</v>
      </c>
      <c r="AW304" s="141">
        <v>0</v>
      </c>
      <c r="AX304" s="88"/>
      <c r="AY304" s="93"/>
    </row>
    <row r="305" s="86" customFormat="1" ht="14.5" spans="1:51">
      <c r="A305" s="91"/>
      <c r="B305" s="88"/>
      <c r="C305" s="163" t="s">
        <v>260</v>
      </c>
      <c r="D305" s="153" t="s">
        <v>125</v>
      </c>
      <c r="E305" s="130" t="s">
        <v>261</v>
      </c>
      <c r="F305" s="164" t="s">
        <v>329</v>
      </c>
      <c r="G305" s="164" t="s">
        <v>329</v>
      </c>
      <c r="H305" s="164" t="s">
        <v>329</v>
      </c>
      <c r="I305" s="164" t="s">
        <v>329</v>
      </c>
      <c r="J305" s="132">
        <v>0.9</v>
      </c>
      <c r="K305" s="133" t="s">
        <v>35</v>
      </c>
      <c r="L305" s="133" t="s">
        <v>35</v>
      </c>
      <c r="M305" s="134" t="s">
        <v>35</v>
      </c>
      <c r="N305" s="133" t="s">
        <v>35</v>
      </c>
      <c r="O305" s="135">
        <v>0.9</v>
      </c>
      <c r="P305" s="133" t="s">
        <v>35</v>
      </c>
      <c r="Q305" s="133" t="s">
        <v>35</v>
      </c>
      <c r="R305" s="133" t="s">
        <v>35</v>
      </c>
      <c r="S305" s="133">
        <v>0</v>
      </c>
      <c r="T305" s="135">
        <v>0.9</v>
      </c>
      <c r="U305" s="133" t="s">
        <v>35</v>
      </c>
      <c r="V305" s="133" t="s">
        <v>35</v>
      </c>
      <c r="W305" s="133" t="s">
        <v>35</v>
      </c>
      <c r="X305" s="133">
        <v>1</v>
      </c>
      <c r="Y305" s="135">
        <v>0.92</v>
      </c>
      <c r="Z305" s="135" t="s">
        <v>35</v>
      </c>
      <c r="AA305" s="135" t="s">
        <v>35</v>
      </c>
      <c r="AB305" s="135" t="s">
        <v>35</v>
      </c>
      <c r="AC305" s="135">
        <v>0</v>
      </c>
      <c r="AD305" s="135">
        <v>0.92</v>
      </c>
      <c r="AE305" s="133">
        <v>0.81415420023015</v>
      </c>
      <c r="AF305" s="133">
        <v>0.999608916699257</v>
      </c>
      <c r="AG305" s="133">
        <v>0.999349804941482</v>
      </c>
      <c r="AH305" s="133">
        <v>0.98573480834866</v>
      </c>
      <c r="AI305" s="135">
        <v>0.92</v>
      </c>
      <c r="AJ305" s="133" t="s">
        <v>35</v>
      </c>
      <c r="AK305" s="133" t="s">
        <v>35</v>
      </c>
      <c r="AL305" s="133" t="s">
        <v>35</v>
      </c>
      <c r="AM305" s="133">
        <v>0.333333333333333</v>
      </c>
      <c r="AN305" s="132">
        <v>0.99</v>
      </c>
      <c r="AO305" s="137">
        <v>1</v>
      </c>
      <c r="AP305" s="137" t="s">
        <v>35</v>
      </c>
      <c r="AQ305" s="137" t="s">
        <v>35</v>
      </c>
      <c r="AR305" s="137">
        <v>1</v>
      </c>
      <c r="AS305" s="158">
        <v>0.0922287257019438</v>
      </c>
      <c r="AT305" s="141" t="s">
        <v>35</v>
      </c>
      <c r="AU305" s="141" t="s">
        <v>35</v>
      </c>
      <c r="AV305" s="141" t="s">
        <v>35</v>
      </c>
      <c r="AW305" s="141" t="s">
        <v>35</v>
      </c>
      <c r="AX305" s="88"/>
      <c r="AY305" s="93"/>
    </row>
    <row r="306" s="86" customFormat="1" ht="14.5" spans="1:51">
      <c r="A306" s="91"/>
      <c r="B306" s="88"/>
      <c r="C306" s="163" t="s">
        <v>260</v>
      </c>
      <c r="D306" s="153" t="s">
        <v>125</v>
      </c>
      <c r="E306" s="130" t="s">
        <v>261</v>
      </c>
      <c r="F306" s="164" t="s">
        <v>330</v>
      </c>
      <c r="G306" s="164" t="s">
        <v>330</v>
      </c>
      <c r="H306" s="164" t="s">
        <v>330</v>
      </c>
      <c r="I306" s="164" t="s">
        <v>330</v>
      </c>
      <c r="J306" s="132">
        <v>0.9</v>
      </c>
      <c r="K306" s="133" t="s">
        <v>35</v>
      </c>
      <c r="L306" s="133" t="s">
        <v>35</v>
      </c>
      <c r="M306" s="134" t="s">
        <v>35</v>
      </c>
      <c r="N306" s="133" t="s">
        <v>35</v>
      </c>
      <c r="O306" s="135">
        <v>0.9</v>
      </c>
      <c r="P306" s="133" t="s">
        <v>35</v>
      </c>
      <c r="Q306" s="133" t="s">
        <v>35</v>
      </c>
      <c r="R306" s="133" t="s">
        <v>35</v>
      </c>
      <c r="S306" s="133">
        <v>0</v>
      </c>
      <c r="T306" s="135">
        <v>0.9</v>
      </c>
      <c r="U306" s="133" t="s">
        <v>35</v>
      </c>
      <c r="V306" s="133" t="s">
        <v>35</v>
      </c>
      <c r="W306" s="133" t="s">
        <v>35</v>
      </c>
      <c r="X306" s="133">
        <v>0</v>
      </c>
      <c r="Y306" s="135">
        <v>0.92</v>
      </c>
      <c r="Z306" s="135" t="s">
        <v>35</v>
      </c>
      <c r="AA306" s="135">
        <v>0</v>
      </c>
      <c r="AB306" s="135" t="s">
        <v>35</v>
      </c>
      <c r="AC306" s="135">
        <v>0</v>
      </c>
      <c r="AD306" s="135">
        <v>0.92</v>
      </c>
      <c r="AE306" s="133">
        <v>1</v>
      </c>
      <c r="AF306" s="133">
        <v>0.810185185185185</v>
      </c>
      <c r="AG306" s="133">
        <v>0.961448598130841</v>
      </c>
      <c r="AH306" s="133">
        <v>0.956905173197563</v>
      </c>
      <c r="AI306" s="135">
        <v>0.92</v>
      </c>
      <c r="AJ306" s="133" t="s">
        <v>35</v>
      </c>
      <c r="AK306" s="133">
        <v>0</v>
      </c>
      <c r="AL306" s="133" t="s">
        <v>35</v>
      </c>
      <c r="AM306" s="133">
        <v>0</v>
      </c>
      <c r="AN306" s="132">
        <v>0.99</v>
      </c>
      <c r="AO306" s="137">
        <v>1</v>
      </c>
      <c r="AP306" s="137" t="s">
        <v>35</v>
      </c>
      <c r="AQ306" s="137">
        <v>1</v>
      </c>
      <c r="AR306" s="137">
        <v>1</v>
      </c>
      <c r="AS306" s="158">
        <v>0.0922287257019438</v>
      </c>
      <c r="AT306" s="141" t="s">
        <v>35</v>
      </c>
      <c r="AU306" s="141" t="s">
        <v>35</v>
      </c>
      <c r="AV306" s="141" t="s">
        <v>35</v>
      </c>
      <c r="AW306" s="141" t="s">
        <v>35</v>
      </c>
      <c r="AX306" s="88"/>
      <c r="AY306" s="93"/>
    </row>
    <row r="307" s="86" customFormat="1" ht="14.5" spans="1:51">
      <c r="A307" s="91"/>
      <c r="B307" s="88"/>
      <c r="C307" s="163" t="s">
        <v>260</v>
      </c>
      <c r="D307" s="153" t="s">
        <v>25</v>
      </c>
      <c r="E307" s="130" t="s">
        <v>261</v>
      </c>
      <c r="F307" s="164" t="s">
        <v>331</v>
      </c>
      <c r="G307" s="164" t="s">
        <v>331</v>
      </c>
      <c r="H307" s="164" t="s">
        <v>331</v>
      </c>
      <c r="I307" s="164" t="s">
        <v>331</v>
      </c>
      <c r="J307" s="132">
        <v>0.9</v>
      </c>
      <c r="K307" s="133">
        <v>0.973913043478261</v>
      </c>
      <c r="L307" s="133">
        <v>0.98876404494382</v>
      </c>
      <c r="M307" s="134">
        <v>0.990990990990991</v>
      </c>
      <c r="N307" s="133">
        <v>0.977630910015252</v>
      </c>
      <c r="O307" s="135">
        <v>0.9</v>
      </c>
      <c r="P307" s="133">
        <v>0.965584415584416</v>
      </c>
      <c r="Q307" s="133">
        <v>0.985507246376812</v>
      </c>
      <c r="R307" s="133">
        <v>0.962350936967632</v>
      </c>
      <c r="S307" s="133">
        <v>0.957763667030459</v>
      </c>
      <c r="T307" s="135">
        <v>0.9</v>
      </c>
      <c r="U307" s="133">
        <v>0.932142857142857</v>
      </c>
      <c r="V307" s="133">
        <v>0.941238471673254</v>
      </c>
      <c r="W307" s="133">
        <v>0.939182282793867</v>
      </c>
      <c r="X307" s="133">
        <v>0.941452525052089</v>
      </c>
      <c r="Y307" s="135">
        <v>0.92</v>
      </c>
      <c r="Z307" s="135">
        <v>0.975232198142415</v>
      </c>
      <c r="AA307" s="135">
        <v>0.983631713554987</v>
      </c>
      <c r="AB307" s="135">
        <v>0.987016293279022</v>
      </c>
      <c r="AC307" s="135">
        <v>0.98703761853922</v>
      </c>
      <c r="AD307" s="135">
        <v>0.92</v>
      </c>
      <c r="AE307" s="133">
        <v>0.973530422825713</v>
      </c>
      <c r="AF307" s="133">
        <v>0.987209302325581</v>
      </c>
      <c r="AG307" s="133">
        <v>0.98501872659176</v>
      </c>
      <c r="AH307" s="133">
        <v>0.990771523558409</v>
      </c>
      <c r="AI307" s="135">
        <v>0.92</v>
      </c>
      <c r="AJ307" s="133">
        <v>0.986584327086882</v>
      </c>
      <c r="AK307" s="133">
        <v>0.989913043478261</v>
      </c>
      <c r="AL307" s="133">
        <v>0.992345376607471</v>
      </c>
      <c r="AM307" s="133">
        <v>0.991808820758377</v>
      </c>
      <c r="AN307" s="132">
        <v>0.99</v>
      </c>
      <c r="AO307" s="137">
        <v>1</v>
      </c>
      <c r="AP307" s="137">
        <v>1</v>
      </c>
      <c r="AQ307" s="137">
        <v>1</v>
      </c>
      <c r="AR307" s="137">
        <v>1</v>
      </c>
      <c r="AS307" s="158">
        <v>0.0922287257019438</v>
      </c>
      <c r="AT307" s="141">
        <v>0.0714285714285714</v>
      </c>
      <c r="AU307" s="141">
        <v>0.142857142857143</v>
      </c>
      <c r="AV307" s="141">
        <v>0.0357142857142857</v>
      </c>
      <c r="AW307" s="141">
        <v>0.0534351145038168</v>
      </c>
      <c r="AX307" s="88"/>
      <c r="AY307" s="93"/>
    </row>
    <row r="308" s="86" customFormat="1" ht="14.5" spans="1:51">
      <c r="A308" s="91"/>
      <c r="B308" s="88"/>
      <c r="C308" s="163" t="s">
        <v>260</v>
      </c>
      <c r="D308" s="153" t="s">
        <v>125</v>
      </c>
      <c r="E308" s="130" t="s">
        <v>261</v>
      </c>
      <c r="F308" s="164" t="s">
        <v>332</v>
      </c>
      <c r="G308" s="164" t="s">
        <v>332</v>
      </c>
      <c r="H308" s="164" t="s">
        <v>332</v>
      </c>
      <c r="I308" s="164" t="s">
        <v>332</v>
      </c>
      <c r="J308" s="132">
        <v>0.9</v>
      </c>
      <c r="K308" s="133" t="s">
        <v>35</v>
      </c>
      <c r="L308" s="133" t="s">
        <v>35</v>
      </c>
      <c r="M308" s="134" t="s">
        <v>35</v>
      </c>
      <c r="N308" s="133" t="s">
        <v>35</v>
      </c>
      <c r="O308" s="135">
        <v>0.9</v>
      </c>
      <c r="P308" s="133" t="s">
        <v>35</v>
      </c>
      <c r="Q308" s="133" t="s">
        <v>35</v>
      </c>
      <c r="R308" s="133" t="s">
        <v>35</v>
      </c>
      <c r="S308" s="133">
        <v>0</v>
      </c>
      <c r="T308" s="135">
        <v>0.9</v>
      </c>
      <c r="U308" s="133" t="s">
        <v>35</v>
      </c>
      <c r="V308" s="133" t="s">
        <v>35</v>
      </c>
      <c r="W308" s="133" t="s">
        <v>35</v>
      </c>
      <c r="X308" s="133">
        <v>1</v>
      </c>
      <c r="Y308" s="135">
        <v>0.92</v>
      </c>
      <c r="Z308" s="135" t="s">
        <v>35</v>
      </c>
      <c r="AA308" s="135" t="s">
        <v>35</v>
      </c>
      <c r="AB308" s="135" t="s">
        <v>35</v>
      </c>
      <c r="AC308" s="135" t="s">
        <v>35</v>
      </c>
      <c r="AD308" s="135">
        <v>0.92</v>
      </c>
      <c r="AE308" s="133">
        <v>1</v>
      </c>
      <c r="AF308" s="133">
        <v>1</v>
      </c>
      <c r="AG308" s="133">
        <v>0.98125</v>
      </c>
      <c r="AH308" s="133">
        <v>0.986862442040185</v>
      </c>
      <c r="AI308" s="135">
        <v>0.92</v>
      </c>
      <c r="AJ308" s="133" t="s">
        <v>35</v>
      </c>
      <c r="AK308" s="133" t="s">
        <v>35</v>
      </c>
      <c r="AL308" s="133" t="s">
        <v>35</v>
      </c>
      <c r="AM308" s="133">
        <v>1</v>
      </c>
      <c r="AN308" s="132">
        <v>0.99</v>
      </c>
      <c r="AO308" s="137" t="s">
        <v>35</v>
      </c>
      <c r="AP308" s="137" t="s">
        <v>35</v>
      </c>
      <c r="AQ308" s="137">
        <v>1</v>
      </c>
      <c r="AR308" s="137">
        <v>1</v>
      </c>
      <c r="AS308" s="158">
        <v>0.0922287257019438</v>
      </c>
      <c r="AT308" s="141" t="s">
        <v>35</v>
      </c>
      <c r="AU308" s="141" t="s">
        <v>35</v>
      </c>
      <c r="AV308" s="141" t="s">
        <v>35</v>
      </c>
      <c r="AW308" s="141" t="s">
        <v>35</v>
      </c>
      <c r="AX308" s="88"/>
      <c r="AY308" s="93"/>
    </row>
    <row r="309" s="86" customFormat="1" ht="14.5" spans="1:51">
      <c r="A309" s="91"/>
      <c r="B309" s="88"/>
      <c r="C309" s="163" t="s">
        <v>260</v>
      </c>
      <c r="D309" s="153" t="s">
        <v>125</v>
      </c>
      <c r="E309" s="130" t="s">
        <v>261</v>
      </c>
      <c r="F309" s="164" t="s">
        <v>333</v>
      </c>
      <c r="G309" s="164" t="s">
        <v>333</v>
      </c>
      <c r="H309" s="164" t="s">
        <v>333</v>
      </c>
      <c r="I309" s="164" t="s">
        <v>333</v>
      </c>
      <c r="J309" s="132">
        <v>0.9</v>
      </c>
      <c r="K309" s="133" t="s">
        <v>35</v>
      </c>
      <c r="L309" s="133" t="s">
        <v>35</v>
      </c>
      <c r="M309" s="134" t="s">
        <v>35</v>
      </c>
      <c r="N309" s="133" t="s">
        <v>35</v>
      </c>
      <c r="O309" s="135">
        <v>0.9</v>
      </c>
      <c r="P309" s="133">
        <v>1</v>
      </c>
      <c r="Q309" s="133">
        <v>0.5</v>
      </c>
      <c r="R309" s="133">
        <v>1</v>
      </c>
      <c r="S309" s="133">
        <v>0.882352941176471</v>
      </c>
      <c r="T309" s="135">
        <v>0.9</v>
      </c>
      <c r="U309" s="133">
        <v>1</v>
      </c>
      <c r="V309" s="133">
        <v>0</v>
      </c>
      <c r="W309" s="133">
        <v>0</v>
      </c>
      <c r="X309" s="133">
        <v>0.764705882352941</v>
      </c>
      <c r="Y309" s="135">
        <v>0.92</v>
      </c>
      <c r="Z309" s="135" t="s">
        <v>35</v>
      </c>
      <c r="AA309" s="135" t="s">
        <v>35</v>
      </c>
      <c r="AB309" s="135" t="s">
        <v>35</v>
      </c>
      <c r="AC309" s="135">
        <v>1</v>
      </c>
      <c r="AD309" s="135">
        <v>0.92</v>
      </c>
      <c r="AE309" s="133">
        <v>0.999012833168806</v>
      </c>
      <c r="AF309" s="133">
        <v>0.998839009287926</v>
      </c>
      <c r="AG309" s="133">
        <v>0.99904912836767</v>
      </c>
      <c r="AH309" s="133">
        <v>0.997484458961121</v>
      </c>
      <c r="AI309" s="135">
        <v>0.92</v>
      </c>
      <c r="AJ309" s="133">
        <v>1</v>
      </c>
      <c r="AK309" s="133">
        <v>0</v>
      </c>
      <c r="AL309" s="133">
        <v>0</v>
      </c>
      <c r="AM309" s="133">
        <v>0.782608695652174</v>
      </c>
      <c r="AN309" s="132">
        <v>0.99</v>
      </c>
      <c r="AO309" s="137">
        <v>1</v>
      </c>
      <c r="AP309" s="137" t="s">
        <v>35</v>
      </c>
      <c r="AQ309" s="137" t="s">
        <v>35</v>
      </c>
      <c r="AR309" s="137">
        <v>1</v>
      </c>
      <c r="AS309" s="158">
        <v>0.0922287257019438</v>
      </c>
      <c r="AT309" s="141" t="s">
        <v>35</v>
      </c>
      <c r="AU309" s="141" t="s">
        <v>35</v>
      </c>
      <c r="AV309" s="141" t="s">
        <v>35</v>
      </c>
      <c r="AW309" s="141" t="s">
        <v>35</v>
      </c>
      <c r="AX309" s="88"/>
      <c r="AY309" s="93"/>
    </row>
    <row r="310" s="86" customFormat="1" ht="14.5" spans="1:51">
      <c r="A310" s="91"/>
      <c r="B310" s="88"/>
      <c r="C310" s="163" t="s">
        <v>260</v>
      </c>
      <c r="D310" s="153" t="s">
        <v>25</v>
      </c>
      <c r="E310" s="130" t="s">
        <v>261</v>
      </c>
      <c r="F310" s="164" t="s">
        <v>334</v>
      </c>
      <c r="G310" s="164" t="s">
        <v>334</v>
      </c>
      <c r="H310" s="164" t="s">
        <v>334</v>
      </c>
      <c r="I310" s="164" t="s">
        <v>334</v>
      </c>
      <c r="J310" s="132">
        <v>0.9</v>
      </c>
      <c r="K310" s="133">
        <v>0.964705882352941</v>
      </c>
      <c r="L310" s="133">
        <v>0.840579710144927</v>
      </c>
      <c r="M310" s="134">
        <v>0.948051948051948</v>
      </c>
      <c r="N310" s="133">
        <v>0.954266211604096</v>
      </c>
      <c r="O310" s="135">
        <v>0.9</v>
      </c>
      <c r="P310" s="133">
        <v>0.973705501618123</v>
      </c>
      <c r="Q310" s="133">
        <v>0.982148653034729</v>
      </c>
      <c r="R310" s="133">
        <v>0.976821930020058</v>
      </c>
      <c r="S310" s="133">
        <v>0.966223777123233</v>
      </c>
      <c r="T310" s="135">
        <v>0.9</v>
      </c>
      <c r="U310" s="133">
        <v>0.940533980582524</v>
      </c>
      <c r="V310" s="133">
        <v>0.923076923076923</v>
      </c>
      <c r="W310" s="133">
        <v>0.947403610430131</v>
      </c>
      <c r="X310" s="133">
        <v>0.937129406922454</v>
      </c>
      <c r="Y310" s="135">
        <v>0.92</v>
      </c>
      <c r="Z310" s="135">
        <v>0.97280701754386</v>
      </c>
      <c r="AA310" s="135">
        <v>0.983345401882694</v>
      </c>
      <c r="AB310" s="135">
        <v>0.990220048899755</v>
      </c>
      <c r="AC310" s="135">
        <v>0.99134817159173</v>
      </c>
      <c r="AD310" s="135">
        <v>0.92</v>
      </c>
      <c r="AE310" s="133">
        <v>0.930766632894293</v>
      </c>
      <c r="AF310" s="133">
        <v>0.989840839823908</v>
      </c>
      <c r="AG310" s="133">
        <v>0.995932479153956</v>
      </c>
      <c r="AH310" s="133">
        <v>0.937063636363636</v>
      </c>
      <c r="AI310" s="135">
        <v>0.92</v>
      </c>
      <c r="AJ310" s="133">
        <v>0.985326688815061</v>
      </c>
      <c r="AK310" s="133">
        <v>0.990593505039194</v>
      </c>
      <c r="AL310" s="133">
        <v>0.994829931972789</v>
      </c>
      <c r="AM310" s="133">
        <v>0.994348952201554</v>
      </c>
      <c r="AN310" s="132">
        <v>0.99</v>
      </c>
      <c r="AO310" s="137">
        <v>1</v>
      </c>
      <c r="AP310" s="137">
        <v>1</v>
      </c>
      <c r="AQ310" s="137">
        <v>1</v>
      </c>
      <c r="AR310" s="137">
        <v>1</v>
      </c>
      <c r="AS310" s="158">
        <v>0.0922287257019438</v>
      </c>
      <c r="AT310" s="141">
        <v>0.0740740740740741</v>
      </c>
      <c r="AU310" s="141">
        <v>0.0555555555555556</v>
      </c>
      <c r="AV310" s="141">
        <v>0.0454545454545455</v>
      </c>
      <c r="AW310" s="141">
        <v>0.0832214765100671</v>
      </c>
      <c r="AX310" s="88"/>
      <c r="AY310" s="93"/>
    </row>
    <row r="311" s="86" customFormat="1" ht="14.5" spans="1:51">
      <c r="A311" s="91"/>
      <c r="B311" s="88"/>
      <c r="C311" s="163" t="s">
        <v>260</v>
      </c>
      <c r="D311" s="153" t="s">
        <v>25</v>
      </c>
      <c r="E311" s="130" t="s">
        <v>261</v>
      </c>
      <c r="F311" s="164" t="s">
        <v>335</v>
      </c>
      <c r="G311" s="164" t="s">
        <v>335</v>
      </c>
      <c r="H311" s="164" t="s">
        <v>335</v>
      </c>
      <c r="I311" s="164" t="s">
        <v>335</v>
      </c>
      <c r="J311" s="132">
        <v>0.9</v>
      </c>
      <c r="K311" s="133">
        <v>0.934782608695652</v>
      </c>
      <c r="L311" s="133">
        <v>0.963855421686747</v>
      </c>
      <c r="M311" s="134">
        <v>0.936842105263158</v>
      </c>
      <c r="N311" s="133">
        <v>0.974404761904762</v>
      </c>
      <c r="O311" s="135">
        <v>0.9</v>
      </c>
      <c r="P311" s="133">
        <v>0.964223385689354</v>
      </c>
      <c r="Q311" s="133">
        <v>0.969350224765018</v>
      </c>
      <c r="R311" s="133">
        <v>0.965758414687454</v>
      </c>
      <c r="S311" s="133">
        <v>0.967448254396431</v>
      </c>
      <c r="T311" s="135">
        <v>0.9</v>
      </c>
      <c r="U311" s="133">
        <v>0.918848167539267</v>
      </c>
      <c r="V311" s="133">
        <v>0.921945239068247</v>
      </c>
      <c r="W311" s="133">
        <v>0.912428966924086</v>
      </c>
      <c r="X311" s="133">
        <v>0.933530459442168</v>
      </c>
      <c r="Y311" s="135">
        <v>0.92</v>
      </c>
      <c r="Z311" s="135">
        <v>0.917269906928645</v>
      </c>
      <c r="AA311" s="135">
        <v>0.920343137254902</v>
      </c>
      <c r="AB311" s="135">
        <v>0.929335192933519</v>
      </c>
      <c r="AC311" s="135">
        <v>0.942592286956043</v>
      </c>
      <c r="AD311" s="135">
        <v>0.92</v>
      </c>
      <c r="AE311" s="133">
        <v>0.986954055587068</v>
      </c>
      <c r="AF311" s="133">
        <v>0.909090909090909</v>
      </c>
      <c r="AG311" s="133">
        <v>0.971504897595726</v>
      </c>
      <c r="AH311" s="133">
        <v>0.967898671096346</v>
      </c>
      <c r="AI311" s="135">
        <v>0.92</v>
      </c>
      <c r="AJ311" s="133">
        <v>0.952802359882006</v>
      </c>
      <c r="AK311" s="133">
        <v>0.965499124343257</v>
      </c>
      <c r="AL311" s="133">
        <v>0.962835589083648</v>
      </c>
      <c r="AM311" s="133">
        <v>0.970980175487062</v>
      </c>
      <c r="AN311" s="132">
        <v>0.99</v>
      </c>
      <c r="AO311" s="137">
        <v>1</v>
      </c>
      <c r="AP311" s="137">
        <v>1</v>
      </c>
      <c r="AQ311" s="137">
        <v>1</v>
      </c>
      <c r="AR311" s="137">
        <v>1</v>
      </c>
      <c r="AS311" s="158">
        <v>0.0922287257019438</v>
      </c>
      <c r="AT311" s="141">
        <v>0.1</v>
      </c>
      <c r="AU311" s="141">
        <v>0.0769230769230769</v>
      </c>
      <c r="AV311" s="141">
        <v>0</v>
      </c>
      <c r="AW311" s="141">
        <v>0.051980198019802</v>
      </c>
      <c r="AX311" s="88"/>
      <c r="AY311" s="93"/>
    </row>
    <row r="312" s="86" customFormat="1" ht="14.5" spans="1:51">
      <c r="A312" s="91"/>
      <c r="B312" s="88"/>
      <c r="C312" s="163" t="s">
        <v>260</v>
      </c>
      <c r="D312" s="153" t="s">
        <v>25</v>
      </c>
      <c r="E312" s="130" t="s">
        <v>261</v>
      </c>
      <c r="F312" s="164" t="s">
        <v>336</v>
      </c>
      <c r="G312" s="164" t="s">
        <v>336</v>
      </c>
      <c r="H312" s="164" t="s">
        <v>336</v>
      </c>
      <c r="I312" s="164" t="s">
        <v>336</v>
      </c>
      <c r="J312" s="132">
        <v>0.9</v>
      </c>
      <c r="K312" s="133">
        <v>0.938775510204082</v>
      </c>
      <c r="L312" s="133">
        <v>0.943396226415094</v>
      </c>
      <c r="M312" s="134">
        <v>0.951351351351351</v>
      </c>
      <c r="N312" s="133">
        <v>0.961272891023717</v>
      </c>
      <c r="O312" s="135">
        <v>0.9</v>
      </c>
      <c r="P312" s="133">
        <v>0.971539961013645</v>
      </c>
      <c r="Q312" s="133">
        <v>0.976798505138586</v>
      </c>
      <c r="R312" s="133">
        <v>0.977973101768506</v>
      </c>
      <c r="S312" s="133">
        <v>0.958048671716765</v>
      </c>
      <c r="T312" s="135">
        <v>0.9</v>
      </c>
      <c r="U312" s="133">
        <v>0.954191033138402</v>
      </c>
      <c r="V312" s="133">
        <v>0.956555590158829</v>
      </c>
      <c r="W312" s="133">
        <v>0.954145928200784</v>
      </c>
      <c r="X312" s="133">
        <v>0.9483861776784</v>
      </c>
      <c r="Y312" s="135">
        <v>0.92</v>
      </c>
      <c r="Z312" s="135">
        <v>0.959882223040118</v>
      </c>
      <c r="AA312" s="135">
        <v>0.95369211514393</v>
      </c>
      <c r="AB312" s="135">
        <v>0.965069284064665</v>
      </c>
      <c r="AC312" s="135">
        <v>0.972803221087871</v>
      </c>
      <c r="AD312" s="135">
        <v>0.92</v>
      </c>
      <c r="AE312" s="133">
        <v>0.998478798250618</v>
      </c>
      <c r="AF312" s="133">
        <v>0.827420324714372</v>
      </c>
      <c r="AG312" s="133">
        <v>0.98197706171491</v>
      </c>
      <c r="AH312" s="133">
        <v>0.978327099794417</v>
      </c>
      <c r="AI312" s="135">
        <v>0.92</v>
      </c>
      <c r="AJ312" s="133">
        <v>0.977316171785396</v>
      </c>
      <c r="AK312" s="133">
        <v>0.973613131103262</v>
      </c>
      <c r="AL312" s="133">
        <v>0.980636491356667</v>
      </c>
      <c r="AM312" s="133">
        <v>0.983874148318396</v>
      </c>
      <c r="AN312" s="132">
        <v>0.99</v>
      </c>
      <c r="AO312" s="137">
        <v>1</v>
      </c>
      <c r="AP312" s="137">
        <v>1</v>
      </c>
      <c r="AQ312" s="137">
        <v>1</v>
      </c>
      <c r="AR312" s="137">
        <v>1</v>
      </c>
      <c r="AS312" s="158">
        <v>0.0922287257019438</v>
      </c>
      <c r="AT312" s="141">
        <v>0.0909090909090909</v>
      </c>
      <c r="AU312" s="141">
        <v>0</v>
      </c>
      <c r="AV312" s="141">
        <v>0.04</v>
      </c>
      <c r="AW312" s="141">
        <v>0.0775716694772344</v>
      </c>
      <c r="AX312" s="88"/>
      <c r="AY312" s="93"/>
    </row>
    <row r="313" s="86" customFormat="1" ht="14.5" spans="1:51">
      <c r="A313" s="91"/>
      <c r="B313" s="88"/>
      <c r="C313" s="163" t="s">
        <v>260</v>
      </c>
      <c r="D313" s="153" t="s">
        <v>25</v>
      </c>
      <c r="E313" s="130" t="s">
        <v>261</v>
      </c>
      <c r="F313" s="164" t="s">
        <v>337</v>
      </c>
      <c r="G313" s="164" t="s">
        <v>337</v>
      </c>
      <c r="H313" s="164" t="s">
        <v>337</v>
      </c>
      <c r="I313" s="164" t="s">
        <v>337</v>
      </c>
      <c r="J313" s="132">
        <v>0.9</v>
      </c>
      <c r="K313" s="133">
        <v>0.97</v>
      </c>
      <c r="L313" s="133">
        <v>0.974683544303797</v>
      </c>
      <c r="M313" s="134">
        <v>0.989690721649485</v>
      </c>
      <c r="N313" s="133">
        <v>0.979718309859155</v>
      </c>
      <c r="O313" s="135">
        <v>0.9</v>
      </c>
      <c r="P313" s="133">
        <v>0.979607541362062</v>
      </c>
      <c r="Q313" s="133">
        <v>0.979473039215686</v>
      </c>
      <c r="R313" s="133">
        <v>0.985180546858693</v>
      </c>
      <c r="S313" s="133">
        <v>0.972814789150663</v>
      </c>
      <c r="T313" s="135">
        <v>0.9</v>
      </c>
      <c r="U313" s="133">
        <v>0.948056944978838</v>
      </c>
      <c r="V313" s="133">
        <v>0.948835784313726</v>
      </c>
      <c r="W313" s="133">
        <v>0.954915466499687</v>
      </c>
      <c r="X313" s="133">
        <v>0.954241734310038</v>
      </c>
      <c r="Y313" s="135">
        <v>0.92</v>
      </c>
      <c r="Z313" s="135">
        <v>0.952380952380952</v>
      </c>
      <c r="AA313" s="135">
        <v>0.966953073364177</v>
      </c>
      <c r="AB313" s="135">
        <v>0.970443349753695</v>
      </c>
      <c r="AC313" s="135">
        <v>0.976700754552164</v>
      </c>
      <c r="AD313" s="135">
        <v>0.92</v>
      </c>
      <c r="AE313" s="133">
        <v>1</v>
      </c>
      <c r="AF313" s="133">
        <v>0.995923913043478</v>
      </c>
      <c r="AG313" s="133">
        <v>0.998714102014574</v>
      </c>
      <c r="AH313" s="133">
        <v>0.997979751068178</v>
      </c>
      <c r="AI313" s="135">
        <v>0.92</v>
      </c>
      <c r="AJ313" s="133">
        <v>0.976290442084465</v>
      </c>
      <c r="AK313" s="133">
        <v>0.980958359489433</v>
      </c>
      <c r="AL313" s="133">
        <v>0.983256491142926</v>
      </c>
      <c r="AM313" s="133">
        <v>0.9860969612997</v>
      </c>
      <c r="AN313" s="132">
        <v>0.99</v>
      </c>
      <c r="AO313" s="137">
        <v>1</v>
      </c>
      <c r="AP313" s="137">
        <v>1</v>
      </c>
      <c r="AQ313" s="137">
        <v>1</v>
      </c>
      <c r="AR313" s="137">
        <v>1</v>
      </c>
      <c r="AS313" s="158">
        <v>0.0922287257019438</v>
      </c>
      <c r="AT313" s="141">
        <v>0.2</v>
      </c>
      <c r="AU313" s="141">
        <v>0.142857142857143</v>
      </c>
      <c r="AV313" s="141">
        <v>0.105263157894737</v>
      </c>
      <c r="AW313" s="141">
        <v>0.0693333333333333</v>
      </c>
      <c r="AX313" s="88"/>
      <c r="AY313" s="93"/>
    </row>
    <row r="314" s="86" customFormat="1" ht="14.5" spans="1:51">
      <c r="A314" s="91"/>
      <c r="B314" s="88"/>
      <c r="C314" s="163" t="s">
        <v>260</v>
      </c>
      <c r="D314" s="153" t="s">
        <v>25</v>
      </c>
      <c r="E314" s="130" t="s">
        <v>261</v>
      </c>
      <c r="F314" s="164" t="s">
        <v>338</v>
      </c>
      <c r="G314" s="164" t="s">
        <v>338</v>
      </c>
      <c r="H314" s="164" t="s">
        <v>338</v>
      </c>
      <c r="I314" s="164" t="s">
        <v>338</v>
      </c>
      <c r="J314" s="132">
        <v>0.9</v>
      </c>
      <c r="K314" s="133">
        <v>0.975609756097561</v>
      </c>
      <c r="L314" s="133">
        <v>1</v>
      </c>
      <c r="M314" s="134">
        <v>1</v>
      </c>
      <c r="N314" s="133">
        <v>0.990456714383095</v>
      </c>
      <c r="O314" s="135">
        <v>0.9</v>
      </c>
      <c r="P314" s="133">
        <v>0.990328820116054</v>
      </c>
      <c r="Q314" s="133">
        <v>0.989421894218942</v>
      </c>
      <c r="R314" s="133">
        <v>0.987403275148461</v>
      </c>
      <c r="S314" s="133">
        <v>0.977240211584654</v>
      </c>
      <c r="T314" s="135">
        <v>0.9</v>
      </c>
      <c r="U314" s="133">
        <v>0.982591876208897</v>
      </c>
      <c r="V314" s="133">
        <v>0.980565805658057</v>
      </c>
      <c r="W314" s="133">
        <v>0.980565053086198</v>
      </c>
      <c r="X314" s="133">
        <v>0.968669195532046</v>
      </c>
      <c r="Y314" s="135">
        <v>0.92</v>
      </c>
      <c r="Z314" s="135">
        <v>0.973370064279155</v>
      </c>
      <c r="AA314" s="135">
        <v>0.973249409913454</v>
      </c>
      <c r="AB314" s="135">
        <v>0.972658522396742</v>
      </c>
      <c r="AC314" s="135">
        <v>0.97774152457148</v>
      </c>
      <c r="AD314" s="135">
        <v>0.92</v>
      </c>
      <c r="AE314" s="133">
        <v>0.984749455337691</v>
      </c>
      <c r="AF314" s="133">
        <v>0.988664987405542</v>
      </c>
      <c r="AG314" s="133">
        <v>0.982822085889571</v>
      </c>
      <c r="AH314" s="133">
        <v>0.971585405230869</v>
      </c>
      <c r="AI314" s="135">
        <v>0.92</v>
      </c>
      <c r="AJ314" s="133">
        <v>0.9854292049414</v>
      </c>
      <c r="AK314" s="133">
        <v>0.987263532496722</v>
      </c>
      <c r="AL314" s="133">
        <v>0.989967014843321</v>
      </c>
      <c r="AM314" s="133">
        <v>0.986779223785822</v>
      </c>
      <c r="AN314" s="132">
        <v>0.99</v>
      </c>
      <c r="AO314" s="137">
        <v>1</v>
      </c>
      <c r="AP314" s="137">
        <v>1</v>
      </c>
      <c r="AQ314" s="137">
        <v>1</v>
      </c>
      <c r="AR314" s="137">
        <v>1</v>
      </c>
      <c r="AS314" s="158">
        <v>0.0922287257019438</v>
      </c>
      <c r="AT314" s="141">
        <v>0.0909090909090909</v>
      </c>
      <c r="AU314" s="141">
        <v>0</v>
      </c>
      <c r="AV314" s="141">
        <v>0</v>
      </c>
      <c r="AW314" s="141">
        <v>0.0909090909090909</v>
      </c>
      <c r="AX314" s="88"/>
      <c r="AY314" s="93"/>
    </row>
    <row r="315" s="86" customFormat="1" ht="14.5" spans="1:51">
      <c r="A315" s="91"/>
      <c r="B315" s="88"/>
      <c r="C315" s="163" t="s">
        <v>260</v>
      </c>
      <c r="D315" s="153" t="s">
        <v>125</v>
      </c>
      <c r="E315" s="130" t="s">
        <v>261</v>
      </c>
      <c r="F315" s="164" t="s">
        <v>339</v>
      </c>
      <c r="G315" s="164" t="s">
        <v>339</v>
      </c>
      <c r="H315" s="164" t="s">
        <v>339</v>
      </c>
      <c r="I315" s="164" t="s">
        <v>339</v>
      </c>
      <c r="J315" s="132">
        <v>0.9</v>
      </c>
      <c r="K315" s="133" t="s">
        <v>35</v>
      </c>
      <c r="L315" s="133" t="s">
        <v>35</v>
      </c>
      <c r="M315" s="134" t="s">
        <v>35</v>
      </c>
      <c r="N315" s="133" t="s">
        <v>35</v>
      </c>
      <c r="O315" s="135">
        <v>0.9</v>
      </c>
      <c r="P315" s="133" t="s">
        <v>35</v>
      </c>
      <c r="Q315" s="133" t="s">
        <v>35</v>
      </c>
      <c r="R315" s="133" t="s">
        <v>35</v>
      </c>
      <c r="S315" s="133">
        <v>0</v>
      </c>
      <c r="T315" s="135">
        <v>0.9</v>
      </c>
      <c r="U315" s="133" t="s">
        <v>35</v>
      </c>
      <c r="V315" s="133" t="s">
        <v>35</v>
      </c>
      <c r="W315" s="133" t="s">
        <v>35</v>
      </c>
      <c r="X315" s="133">
        <v>0</v>
      </c>
      <c r="Y315" s="135">
        <v>0.92</v>
      </c>
      <c r="Z315" s="135" t="s">
        <v>35</v>
      </c>
      <c r="AA315" s="135" t="s">
        <v>35</v>
      </c>
      <c r="AB315" s="135" t="s">
        <v>35</v>
      </c>
      <c r="AC315" s="135" t="s">
        <v>35</v>
      </c>
      <c r="AD315" s="135">
        <v>0.92</v>
      </c>
      <c r="AE315" s="133">
        <v>0.946043165467626</v>
      </c>
      <c r="AF315" s="133">
        <v>0.982578397212544</v>
      </c>
      <c r="AG315" s="133">
        <v>0.993957703927492</v>
      </c>
      <c r="AH315" s="133">
        <v>0.974289580514208</v>
      </c>
      <c r="AI315" s="135">
        <v>0.92</v>
      </c>
      <c r="AJ315" s="133" t="s">
        <v>35</v>
      </c>
      <c r="AK315" s="133">
        <v>1</v>
      </c>
      <c r="AL315" s="133" t="s">
        <v>35</v>
      </c>
      <c r="AM315" s="133">
        <v>0.5</v>
      </c>
      <c r="AN315" s="132">
        <v>0.99</v>
      </c>
      <c r="AO315" s="137">
        <v>1</v>
      </c>
      <c r="AP315" s="137" t="s">
        <v>35</v>
      </c>
      <c r="AQ315" s="137" t="s">
        <v>35</v>
      </c>
      <c r="AR315" s="137">
        <v>1</v>
      </c>
      <c r="AS315" s="158">
        <v>0.0922287257019438</v>
      </c>
      <c r="AT315" s="141" t="s">
        <v>35</v>
      </c>
      <c r="AU315" s="141" t="s">
        <v>35</v>
      </c>
      <c r="AV315" s="141" t="s">
        <v>35</v>
      </c>
      <c r="AW315" s="141" t="s">
        <v>35</v>
      </c>
      <c r="AX315" s="88"/>
      <c r="AY315" s="93"/>
    </row>
    <row r="316" s="86" customFormat="1" ht="14.5" spans="1:51">
      <c r="A316" s="91"/>
      <c r="B316" s="88"/>
      <c r="C316" s="163" t="s">
        <v>260</v>
      </c>
      <c r="D316" s="153" t="s">
        <v>125</v>
      </c>
      <c r="E316" s="130" t="s">
        <v>261</v>
      </c>
      <c r="F316" s="164" t="s">
        <v>340</v>
      </c>
      <c r="G316" s="164" t="s">
        <v>340</v>
      </c>
      <c r="H316" s="164" t="s">
        <v>340</v>
      </c>
      <c r="I316" s="164" t="s">
        <v>340</v>
      </c>
      <c r="J316" s="132">
        <v>0.9</v>
      </c>
      <c r="K316" s="133" t="s">
        <v>35</v>
      </c>
      <c r="L316" s="133" t="s">
        <v>35</v>
      </c>
      <c r="M316" s="134" t="s">
        <v>35</v>
      </c>
      <c r="N316" s="133" t="s">
        <v>35</v>
      </c>
      <c r="O316" s="135">
        <v>0.9</v>
      </c>
      <c r="P316" s="133" t="s">
        <v>35</v>
      </c>
      <c r="Q316" s="133" t="s">
        <v>35</v>
      </c>
      <c r="R316" s="133" t="s">
        <v>35</v>
      </c>
      <c r="S316" s="133">
        <v>0.0810810810810811</v>
      </c>
      <c r="T316" s="135">
        <v>0.9</v>
      </c>
      <c r="U316" s="133" t="s">
        <v>35</v>
      </c>
      <c r="V316" s="133" t="s">
        <v>35</v>
      </c>
      <c r="W316" s="133" t="s">
        <v>35</v>
      </c>
      <c r="X316" s="133">
        <v>0.864864864864865</v>
      </c>
      <c r="Y316" s="135">
        <v>0.92</v>
      </c>
      <c r="Z316" s="135" t="s">
        <v>35</v>
      </c>
      <c r="AA316" s="135" t="s">
        <v>35</v>
      </c>
      <c r="AB316" s="135" t="s">
        <v>35</v>
      </c>
      <c r="AC316" s="135">
        <v>0</v>
      </c>
      <c r="AD316" s="135">
        <v>0.92</v>
      </c>
      <c r="AE316" s="133">
        <v>0.999806189030299</v>
      </c>
      <c r="AF316" s="133">
        <v>0.904128672745694</v>
      </c>
      <c r="AG316" s="133">
        <v>0.99993687267218</v>
      </c>
      <c r="AH316" s="133">
        <v>0.997156153050672</v>
      </c>
      <c r="AI316" s="135">
        <v>0.92</v>
      </c>
      <c r="AJ316" s="133" t="s">
        <v>35</v>
      </c>
      <c r="AK316" s="133" t="s">
        <v>35</v>
      </c>
      <c r="AL316" s="133" t="s">
        <v>35</v>
      </c>
      <c r="AM316" s="133">
        <v>0.837209302325581</v>
      </c>
      <c r="AN316" s="132">
        <v>0.99</v>
      </c>
      <c r="AO316" s="137">
        <v>1</v>
      </c>
      <c r="AP316" s="137" t="s">
        <v>35</v>
      </c>
      <c r="AQ316" s="137" t="s">
        <v>35</v>
      </c>
      <c r="AR316" s="137">
        <v>1</v>
      </c>
      <c r="AS316" s="158">
        <v>0.0922287257019438</v>
      </c>
      <c r="AT316" s="141" t="s">
        <v>35</v>
      </c>
      <c r="AU316" s="141" t="s">
        <v>35</v>
      </c>
      <c r="AV316" s="141" t="s">
        <v>35</v>
      </c>
      <c r="AW316" s="141">
        <v>0</v>
      </c>
      <c r="AX316" s="88"/>
      <c r="AY316" s="93"/>
    </row>
    <row r="317" s="86" customFormat="1" ht="14.5" spans="1:51">
      <c r="A317" s="91"/>
      <c r="B317" s="88"/>
      <c r="C317" s="163" t="s">
        <v>260</v>
      </c>
      <c r="D317" s="153" t="s">
        <v>125</v>
      </c>
      <c r="E317" s="130" t="s">
        <v>261</v>
      </c>
      <c r="F317" s="164" t="s">
        <v>341</v>
      </c>
      <c r="G317" s="164" t="s">
        <v>341</v>
      </c>
      <c r="H317" s="164" t="s">
        <v>341</v>
      </c>
      <c r="I317" s="164" t="s">
        <v>341</v>
      </c>
      <c r="J317" s="132">
        <v>0.9</v>
      </c>
      <c r="K317" s="133" t="s">
        <v>35</v>
      </c>
      <c r="L317" s="133" t="s">
        <v>35</v>
      </c>
      <c r="M317" s="134" t="s">
        <v>35</v>
      </c>
      <c r="N317" s="133" t="s">
        <v>35</v>
      </c>
      <c r="O317" s="135">
        <v>0.9</v>
      </c>
      <c r="P317" s="133" t="s">
        <v>35</v>
      </c>
      <c r="Q317" s="133">
        <v>0</v>
      </c>
      <c r="R317" s="133">
        <v>1</v>
      </c>
      <c r="S317" s="133">
        <v>0.75</v>
      </c>
      <c r="T317" s="135">
        <v>0.9</v>
      </c>
      <c r="U317" s="133" t="s">
        <v>35</v>
      </c>
      <c r="V317" s="133">
        <v>0</v>
      </c>
      <c r="W317" s="133">
        <v>1</v>
      </c>
      <c r="X317" s="133">
        <v>0.25</v>
      </c>
      <c r="Y317" s="135">
        <v>0.92</v>
      </c>
      <c r="Z317" s="135" t="s">
        <v>35</v>
      </c>
      <c r="AA317" s="135" t="s">
        <v>35</v>
      </c>
      <c r="AB317" s="135" t="s">
        <v>35</v>
      </c>
      <c r="AC317" s="135">
        <v>1</v>
      </c>
      <c r="AD317" s="135">
        <v>0.92</v>
      </c>
      <c r="AE317" s="133">
        <v>0.998040496407577</v>
      </c>
      <c r="AF317" s="133">
        <v>0.998466257668712</v>
      </c>
      <c r="AG317" s="133">
        <v>0.999829989799388</v>
      </c>
      <c r="AH317" s="133">
        <v>0.998533689662512</v>
      </c>
      <c r="AI317" s="135">
        <v>0.92</v>
      </c>
      <c r="AJ317" s="133">
        <v>0</v>
      </c>
      <c r="AK317" s="133">
        <v>0</v>
      </c>
      <c r="AL317" s="133">
        <v>1</v>
      </c>
      <c r="AM317" s="133">
        <v>0.285714285714286</v>
      </c>
      <c r="AN317" s="132">
        <v>0.99</v>
      </c>
      <c r="AO317" s="137" t="s">
        <v>35</v>
      </c>
      <c r="AP317" s="137">
        <v>1</v>
      </c>
      <c r="AQ317" s="137">
        <v>1</v>
      </c>
      <c r="AR317" s="137">
        <v>1</v>
      </c>
      <c r="AS317" s="158">
        <v>0.0922287257019438</v>
      </c>
      <c r="AT317" s="141" t="s">
        <v>35</v>
      </c>
      <c r="AU317" s="141" t="s">
        <v>35</v>
      </c>
      <c r="AV317" s="141" t="s">
        <v>35</v>
      </c>
      <c r="AW317" s="141">
        <v>0</v>
      </c>
      <c r="AX317" s="88"/>
      <c r="AY317" s="93"/>
    </row>
    <row r="318" s="86" customFormat="1" ht="14.5" spans="1:51">
      <c r="A318" s="91"/>
      <c r="B318" s="88"/>
      <c r="C318" s="163" t="s">
        <v>260</v>
      </c>
      <c r="D318" s="153" t="s">
        <v>125</v>
      </c>
      <c r="E318" s="130" t="s">
        <v>261</v>
      </c>
      <c r="F318" s="164" t="s">
        <v>342</v>
      </c>
      <c r="G318" s="164" t="s">
        <v>342</v>
      </c>
      <c r="H318" s="164" t="s">
        <v>342</v>
      </c>
      <c r="I318" s="164" t="s">
        <v>342</v>
      </c>
      <c r="J318" s="132">
        <v>0.9</v>
      </c>
      <c r="K318" s="133" t="s">
        <v>35</v>
      </c>
      <c r="L318" s="133" t="s">
        <v>35</v>
      </c>
      <c r="M318" s="134" t="s">
        <v>35</v>
      </c>
      <c r="N318" s="133" t="s">
        <v>35</v>
      </c>
      <c r="O318" s="135">
        <v>0.9</v>
      </c>
      <c r="P318" s="133" t="s">
        <v>35</v>
      </c>
      <c r="Q318" s="133">
        <v>0</v>
      </c>
      <c r="R318" s="133" t="s">
        <v>35</v>
      </c>
      <c r="S318" s="133">
        <v>0</v>
      </c>
      <c r="T318" s="135">
        <v>0.9</v>
      </c>
      <c r="U318" s="133" t="s">
        <v>35</v>
      </c>
      <c r="V318" s="133">
        <v>0</v>
      </c>
      <c r="W318" s="133" t="s">
        <v>35</v>
      </c>
      <c r="X318" s="133">
        <v>0.333333333333333</v>
      </c>
      <c r="Y318" s="135">
        <v>0.92</v>
      </c>
      <c r="Z318" s="135" t="s">
        <v>35</v>
      </c>
      <c r="AA318" s="135" t="s">
        <v>35</v>
      </c>
      <c r="AB318" s="135" t="s">
        <v>35</v>
      </c>
      <c r="AC318" s="135">
        <v>0</v>
      </c>
      <c r="AD318" s="135">
        <v>0.92</v>
      </c>
      <c r="AE318" s="133">
        <v>0.882495457298607</v>
      </c>
      <c r="AF318" s="133">
        <v>0.95106844224218</v>
      </c>
      <c r="AG318" s="133">
        <v>0.974336477297653</v>
      </c>
      <c r="AH318" s="133">
        <v>0.960593158516043</v>
      </c>
      <c r="AI318" s="135">
        <v>0.92</v>
      </c>
      <c r="AJ318" s="133" t="s">
        <v>35</v>
      </c>
      <c r="AK318" s="133">
        <v>0</v>
      </c>
      <c r="AL318" s="133" t="s">
        <v>35</v>
      </c>
      <c r="AM318" s="133">
        <v>0.428571428571429</v>
      </c>
      <c r="AN318" s="132">
        <v>0.99</v>
      </c>
      <c r="AO318" s="137">
        <v>1</v>
      </c>
      <c r="AP318" s="137">
        <v>1</v>
      </c>
      <c r="AQ318" s="137">
        <v>1</v>
      </c>
      <c r="AR318" s="137">
        <v>1</v>
      </c>
      <c r="AS318" s="158">
        <v>0.0922287257019438</v>
      </c>
      <c r="AT318" s="141" t="s">
        <v>35</v>
      </c>
      <c r="AU318" s="141" t="s">
        <v>35</v>
      </c>
      <c r="AV318" s="141" t="s">
        <v>35</v>
      </c>
      <c r="AW318" s="141" t="s">
        <v>35</v>
      </c>
      <c r="AX318" s="88"/>
      <c r="AY318" s="93"/>
    </row>
    <row r="319" s="86" customFormat="1" ht="14.5" spans="1:51">
      <c r="A319" s="91"/>
      <c r="B319" s="88"/>
      <c r="C319" s="163" t="s">
        <v>260</v>
      </c>
      <c r="D319" s="153" t="s">
        <v>125</v>
      </c>
      <c r="E319" s="130" t="s">
        <v>261</v>
      </c>
      <c r="F319" s="164" t="s">
        <v>343</v>
      </c>
      <c r="G319" s="164" t="s">
        <v>343</v>
      </c>
      <c r="H319" s="164" t="s">
        <v>343</v>
      </c>
      <c r="I319" s="164" t="s">
        <v>343</v>
      </c>
      <c r="J319" s="132">
        <v>0.9</v>
      </c>
      <c r="K319" s="133" t="s">
        <v>35</v>
      </c>
      <c r="L319" s="133" t="s">
        <v>35</v>
      </c>
      <c r="M319" s="134" t="s">
        <v>35</v>
      </c>
      <c r="N319" s="133" t="s">
        <v>35</v>
      </c>
      <c r="O319" s="135">
        <v>0.9</v>
      </c>
      <c r="P319" s="133" t="s">
        <v>35</v>
      </c>
      <c r="Q319" s="133" t="s">
        <v>35</v>
      </c>
      <c r="R319" s="133" t="s">
        <v>35</v>
      </c>
      <c r="S319" s="133">
        <v>0.0714285714285714</v>
      </c>
      <c r="T319" s="135">
        <v>0.9</v>
      </c>
      <c r="U319" s="133" t="s">
        <v>35</v>
      </c>
      <c r="V319" s="133" t="s">
        <v>35</v>
      </c>
      <c r="W319" s="133" t="s">
        <v>35</v>
      </c>
      <c r="X319" s="133">
        <v>0.928571428571429</v>
      </c>
      <c r="Y319" s="135">
        <v>0.92</v>
      </c>
      <c r="Z319" s="135">
        <v>0</v>
      </c>
      <c r="AA319" s="135" t="s">
        <v>35</v>
      </c>
      <c r="AB319" s="135" t="s">
        <v>35</v>
      </c>
      <c r="AC319" s="135">
        <v>0.25</v>
      </c>
      <c r="AD319" s="135">
        <v>0.92</v>
      </c>
      <c r="AE319" s="133">
        <v>0.999756008295718</v>
      </c>
      <c r="AF319" s="133">
        <v>0.998169336384439</v>
      </c>
      <c r="AG319" s="133">
        <v>0.999652657172629</v>
      </c>
      <c r="AH319" s="133">
        <v>0.981764305587858</v>
      </c>
      <c r="AI319" s="135">
        <v>0.92</v>
      </c>
      <c r="AJ319" s="133">
        <v>0</v>
      </c>
      <c r="AK319" s="133" t="s">
        <v>35</v>
      </c>
      <c r="AL319" s="133" t="s">
        <v>35</v>
      </c>
      <c r="AM319" s="133">
        <v>0.846153846153846</v>
      </c>
      <c r="AN319" s="132">
        <v>0.99</v>
      </c>
      <c r="AO319" s="137">
        <v>1</v>
      </c>
      <c r="AP319" s="137" t="s">
        <v>35</v>
      </c>
      <c r="AQ319" s="137">
        <v>1</v>
      </c>
      <c r="AR319" s="137">
        <v>1</v>
      </c>
      <c r="AS319" s="158">
        <v>0.0922287257019438</v>
      </c>
      <c r="AT319" s="141" t="s">
        <v>35</v>
      </c>
      <c r="AU319" s="141" t="s">
        <v>35</v>
      </c>
      <c r="AV319" s="141" t="s">
        <v>35</v>
      </c>
      <c r="AW319" s="141" t="s">
        <v>35</v>
      </c>
      <c r="AX319" s="88"/>
      <c r="AY319" s="93"/>
    </row>
    <row r="320" s="86" customFormat="1" ht="14.5" spans="1:51">
      <c r="A320" s="91"/>
      <c r="B320" s="88"/>
      <c r="C320" s="163" t="s">
        <v>260</v>
      </c>
      <c r="D320" s="153" t="s">
        <v>125</v>
      </c>
      <c r="E320" s="130" t="s">
        <v>261</v>
      </c>
      <c r="F320" s="164" t="s">
        <v>344</v>
      </c>
      <c r="G320" s="164" t="s">
        <v>344</v>
      </c>
      <c r="H320" s="164" t="s">
        <v>344</v>
      </c>
      <c r="I320" s="164" t="s">
        <v>344</v>
      </c>
      <c r="J320" s="132">
        <v>0.9</v>
      </c>
      <c r="K320" s="133" t="s">
        <v>35</v>
      </c>
      <c r="L320" s="133" t="s">
        <v>35</v>
      </c>
      <c r="M320" s="134" t="s">
        <v>35</v>
      </c>
      <c r="N320" s="133" t="s">
        <v>35</v>
      </c>
      <c r="O320" s="135">
        <v>0.9</v>
      </c>
      <c r="P320" s="133">
        <v>1</v>
      </c>
      <c r="Q320" s="133">
        <v>1</v>
      </c>
      <c r="R320" s="133">
        <v>1</v>
      </c>
      <c r="S320" s="133">
        <v>0.583333333333333</v>
      </c>
      <c r="T320" s="135">
        <v>0.9</v>
      </c>
      <c r="U320" s="133">
        <v>1</v>
      </c>
      <c r="V320" s="133">
        <v>1</v>
      </c>
      <c r="W320" s="133">
        <v>1</v>
      </c>
      <c r="X320" s="133">
        <v>0.916666666666667</v>
      </c>
      <c r="Y320" s="135">
        <v>0.92</v>
      </c>
      <c r="Z320" s="135" t="s">
        <v>35</v>
      </c>
      <c r="AA320" s="135" t="s">
        <v>35</v>
      </c>
      <c r="AB320" s="135" t="s">
        <v>35</v>
      </c>
      <c r="AC320" s="135">
        <v>0</v>
      </c>
      <c r="AD320" s="135">
        <v>0.92</v>
      </c>
      <c r="AE320" s="133">
        <v>0.97936392328235</v>
      </c>
      <c r="AF320" s="133">
        <v>0.761627906976744</v>
      </c>
      <c r="AG320" s="133">
        <v>0.971291866028708</v>
      </c>
      <c r="AH320" s="133">
        <v>0.940419916351881</v>
      </c>
      <c r="AI320" s="135">
        <v>0.92</v>
      </c>
      <c r="AJ320" s="133">
        <v>1</v>
      </c>
      <c r="AK320" s="133">
        <v>1</v>
      </c>
      <c r="AL320" s="133">
        <v>1</v>
      </c>
      <c r="AM320" s="133">
        <v>0.882352941176471</v>
      </c>
      <c r="AN320" s="132">
        <v>0.99</v>
      </c>
      <c r="AO320" s="137" t="s">
        <v>35</v>
      </c>
      <c r="AP320" s="137" t="s">
        <v>35</v>
      </c>
      <c r="AQ320" s="137" t="s">
        <v>35</v>
      </c>
      <c r="AR320" s="137">
        <v>1</v>
      </c>
      <c r="AS320" s="158">
        <v>0.0922287257019438</v>
      </c>
      <c r="AT320" s="141" t="s">
        <v>35</v>
      </c>
      <c r="AU320" s="141" t="s">
        <v>35</v>
      </c>
      <c r="AV320" s="141" t="s">
        <v>35</v>
      </c>
      <c r="AW320" s="141" t="s">
        <v>35</v>
      </c>
      <c r="AX320" s="88"/>
      <c r="AY320" s="93"/>
    </row>
    <row r="321" s="86" customFormat="1" ht="14.5" spans="1:51">
      <c r="A321" s="91"/>
      <c r="B321" s="88"/>
      <c r="C321" s="163" t="s">
        <v>260</v>
      </c>
      <c r="D321" s="153" t="s">
        <v>25</v>
      </c>
      <c r="E321" s="130" t="s">
        <v>261</v>
      </c>
      <c r="F321" s="164" t="s">
        <v>345</v>
      </c>
      <c r="G321" s="164" t="s">
        <v>345</v>
      </c>
      <c r="H321" s="164" t="s">
        <v>345</v>
      </c>
      <c r="I321" s="164" t="s">
        <v>345</v>
      </c>
      <c r="J321" s="132">
        <v>0.9</v>
      </c>
      <c r="K321" s="133">
        <v>0.963636363636364</v>
      </c>
      <c r="L321" s="133">
        <v>0.97752808988764</v>
      </c>
      <c r="M321" s="134">
        <v>0.990291262135922</v>
      </c>
      <c r="N321" s="133">
        <v>0.970498474059003</v>
      </c>
      <c r="O321" s="135">
        <v>0.9</v>
      </c>
      <c r="P321" s="133">
        <v>0.973354649613642</v>
      </c>
      <c r="Q321" s="133">
        <v>0.978807947019868</v>
      </c>
      <c r="R321" s="133">
        <v>0.95360253365004</v>
      </c>
      <c r="S321" s="133">
        <v>0.969427677708798</v>
      </c>
      <c r="T321" s="135">
        <v>0.9</v>
      </c>
      <c r="U321" s="133">
        <v>0.962163602451372</v>
      </c>
      <c r="V321" s="133">
        <v>0.960927152317881</v>
      </c>
      <c r="W321" s="133">
        <v>0.952177355502771</v>
      </c>
      <c r="X321" s="133">
        <v>0.959335750294149</v>
      </c>
      <c r="Y321" s="135">
        <v>0.92</v>
      </c>
      <c r="Z321" s="135">
        <v>0.957754010695187</v>
      </c>
      <c r="AA321" s="135">
        <v>0.965963566634708</v>
      </c>
      <c r="AB321" s="135">
        <v>0.973690128176299</v>
      </c>
      <c r="AC321" s="135">
        <v>0.979626028787712</v>
      </c>
      <c r="AD321" s="135">
        <v>0.92</v>
      </c>
      <c r="AE321" s="133">
        <v>0.900577383467117</v>
      </c>
      <c r="AF321" s="133">
        <v>0.75910071237174</v>
      </c>
      <c r="AG321" s="133">
        <v>0.955847034915943</v>
      </c>
      <c r="AH321" s="133">
        <v>0.865726971716474</v>
      </c>
      <c r="AI321" s="135">
        <v>0.92</v>
      </c>
      <c r="AJ321" s="133">
        <v>0.979370442824115</v>
      </c>
      <c r="AK321" s="133">
        <v>0.98036253776435</v>
      </c>
      <c r="AL321" s="133">
        <v>0.985225794461996</v>
      </c>
      <c r="AM321" s="133">
        <v>0.988091532591313</v>
      </c>
      <c r="AN321" s="132">
        <v>0.99</v>
      </c>
      <c r="AO321" s="137">
        <v>1</v>
      </c>
      <c r="AP321" s="137">
        <v>1</v>
      </c>
      <c r="AQ321" s="137">
        <v>1</v>
      </c>
      <c r="AR321" s="137">
        <v>1</v>
      </c>
      <c r="AS321" s="158">
        <v>0.0922287257019438</v>
      </c>
      <c r="AT321" s="141">
        <v>0.027027027027027</v>
      </c>
      <c r="AU321" s="141">
        <v>0.0625</v>
      </c>
      <c r="AV321" s="141">
        <v>0.027027027027027</v>
      </c>
      <c r="AW321" s="141">
        <v>0.031434184675835</v>
      </c>
      <c r="AX321" s="88"/>
      <c r="AY321" s="93"/>
    </row>
    <row r="322" s="86" customFormat="1" ht="14.5" spans="1:51">
      <c r="A322" s="91"/>
      <c r="B322" s="88"/>
      <c r="C322" s="163" t="s">
        <v>260</v>
      </c>
      <c r="D322" s="153" t="s">
        <v>125</v>
      </c>
      <c r="E322" s="130" t="s">
        <v>261</v>
      </c>
      <c r="F322" s="164" t="s">
        <v>346</v>
      </c>
      <c r="G322" s="164" t="s">
        <v>346</v>
      </c>
      <c r="H322" s="164" t="s">
        <v>346</v>
      </c>
      <c r="I322" s="164" t="s">
        <v>346</v>
      </c>
      <c r="J322" s="132">
        <v>0.9</v>
      </c>
      <c r="K322" s="133" t="s">
        <v>35</v>
      </c>
      <c r="L322" s="133" t="s">
        <v>35</v>
      </c>
      <c r="M322" s="134" t="s">
        <v>35</v>
      </c>
      <c r="N322" s="133" t="s">
        <v>35</v>
      </c>
      <c r="O322" s="135">
        <v>0.9</v>
      </c>
      <c r="P322" s="133" t="s">
        <v>35</v>
      </c>
      <c r="Q322" s="133" t="s">
        <v>35</v>
      </c>
      <c r="R322" s="133" t="s">
        <v>35</v>
      </c>
      <c r="S322" s="133">
        <v>0</v>
      </c>
      <c r="T322" s="135">
        <v>0.9</v>
      </c>
      <c r="U322" s="133" t="s">
        <v>35</v>
      </c>
      <c r="V322" s="133" t="s">
        <v>35</v>
      </c>
      <c r="W322" s="133" t="s">
        <v>35</v>
      </c>
      <c r="X322" s="133">
        <v>0.555555555555556</v>
      </c>
      <c r="Y322" s="135">
        <v>0.92</v>
      </c>
      <c r="Z322" s="135" t="s">
        <v>35</v>
      </c>
      <c r="AA322" s="135" t="s">
        <v>35</v>
      </c>
      <c r="AB322" s="135" t="s">
        <v>35</v>
      </c>
      <c r="AC322" s="135">
        <v>0</v>
      </c>
      <c r="AD322" s="135">
        <v>0.92</v>
      </c>
      <c r="AE322" s="133">
        <v>0.999259624876604</v>
      </c>
      <c r="AF322" s="133">
        <v>0.995492111194591</v>
      </c>
      <c r="AG322" s="133">
        <v>0.841553398058252</v>
      </c>
      <c r="AH322" s="133">
        <v>0.900780937124549</v>
      </c>
      <c r="AI322" s="135">
        <v>0.92</v>
      </c>
      <c r="AJ322" s="133" t="s">
        <v>35</v>
      </c>
      <c r="AK322" s="133" t="s">
        <v>35</v>
      </c>
      <c r="AL322" s="133" t="s">
        <v>35</v>
      </c>
      <c r="AM322" s="133">
        <v>0.8</v>
      </c>
      <c r="AN322" s="132">
        <v>0.99</v>
      </c>
      <c r="AO322" s="137">
        <v>1</v>
      </c>
      <c r="AP322" s="137">
        <v>1</v>
      </c>
      <c r="AQ322" s="137">
        <v>1</v>
      </c>
      <c r="AR322" s="137">
        <v>1</v>
      </c>
      <c r="AS322" s="158">
        <v>0.0922287257019438</v>
      </c>
      <c r="AT322" s="141" t="s">
        <v>35</v>
      </c>
      <c r="AU322" s="141" t="s">
        <v>35</v>
      </c>
      <c r="AV322" s="141" t="s">
        <v>35</v>
      </c>
      <c r="AW322" s="141" t="s">
        <v>35</v>
      </c>
      <c r="AX322" s="88"/>
      <c r="AY322" s="93"/>
    </row>
    <row r="323" s="86" customFormat="1" ht="14.5" spans="1:51">
      <c r="A323" s="91"/>
      <c r="B323" s="88"/>
      <c r="C323" s="163" t="s">
        <v>260</v>
      </c>
      <c r="D323" s="153" t="s">
        <v>25</v>
      </c>
      <c r="E323" s="130" t="s">
        <v>261</v>
      </c>
      <c r="F323" s="164" t="s">
        <v>347</v>
      </c>
      <c r="G323" s="164" t="s">
        <v>347</v>
      </c>
      <c r="H323" s="164" t="s">
        <v>347</v>
      </c>
      <c r="I323" s="164" t="s">
        <v>347</v>
      </c>
      <c r="J323" s="132">
        <v>0.9</v>
      </c>
      <c r="K323" s="133">
        <v>0.833333333333333</v>
      </c>
      <c r="L323" s="133">
        <v>0.857142857142857</v>
      </c>
      <c r="M323" s="134">
        <v>0.84</v>
      </c>
      <c r="N323" s="133">
        <v>0.761710794297352</v>
      </c>
      <c r="O323" s="135">
        <v>0.9</v>
      </c>
      <c r="P323" s="133">
        <v>0.969891095451634</v>
      </c>
      <c r="Q323" s="133">
        <v>0.970664928292047</v>
      </c>
      <c r="R323" s="133">
        <v>0.985543163981826</v>
      </c>
      <c r="S323" s="133">
        <v>0.956727981868972</v>
      </c>
      <c r="T323" s="135">
        <v>0.9</v>
      </c>
      <c r="U323" s="133">
        <v>0.935297885970532</v>
      </c>
      <c r="V323" s="133">
        <v>0.926988265971317</v>
      </c>
      <c r="W323" s="133">
        <v>0.922346137959521</v>
      </c>
      <c r="X323" s="133">
        <v>0.92180994044168</v>
      </c>
      <c r="Y323" s="135">
        <v>0.92</v>
      </c>
      <c r="Z323" s="135">
        <v>0.94885598923284</v>
      </c>
      <c r="AA323" s="135">
        <v>0.889165628891656</v>
      </c>
      <c r="AB323" s="135">
        <v>0.91503708698584</v>
      </c>
      <c r="AC323" s="135">
        <v>0.938518437145264</v>
      </c>
      <c r="AD323" s="135">
        <v>0.92</v>
      </c>
      <c r="AE323" s="133">
        <v>0.999924514059256</v>
      </c>
      <c r="AF323" s="133">
        <v>1</v>
      </c>
      <c r="AG323" s="133">
        <v>0.999938935026869</v>
      </c>
      <c r="AH323" s="133">
        <v>0.999968455917144</v>
      </c>
      <c r="AI323" s="135">
        <v>0.92</v>
      </c>
      <c r="AJ323" s="133">
        <v>0.961388286334056</v>
      </c>
      <c r="AK323" s="133">
        <v>0.944420692603677</v>
      </c>
      <c r="AL323" s="133">
        <v>0.955697823303457</v>
      </c>
      <c r="AM323" s="133">
        <v>0.963351667713616</v>
      </c>
      <c r="AN323" s="132">
        <v>0.99</v>
      </c>
      <c r="AO323" s="137">
        <v>1</v>
      </c>
      <c r="AP323" s="137">
        <v>1</v>
      </c>
      <c r="AQ323" s="137">
        <v>1</v>
      </c>
      <c r="AR323" s="137">
        <v>1</v>
      </c>
      <c r="AS323" s="158">
        <v>0.0922287257019438</v>
      </c>
      <c r="AT323" s="141">
        <v>0</v>
      </c>
      <c r="AU323" s="141">
        <v>0</v>
      </c>
      <c r="AV323" s="141">
        <v>0</v>
      </c>
      <c r="AW323" s="141">
        <v>0.0797546012269939</v>
      </c>
      <c r="AX323" s="88"/>
      <c r="AY323" s="93"/>
    </row>
    <row r="324" s="86" customFormat="1" ht="14.5" spans="1:51">
      <c r="A324" s="91"/>
      <c r="B324" s="88"/>
      <c r="C324" s="163" t="s">
        <v>260</v>
      </c>
      <c r="D324" s="153" t="s">
        <v>25</v>
      </c>
      <c r="E324" s="130" t="s">
        <v>261</v>
      </c>
      <c r="F324" s="164" t="s">
        <v>348</v>
      </c>
      <c r="G324" s="164" t="s">
        <v>348</v>
      </c>
      <c r="H324" s="164" t="s">
        <v>348</v>
      </c>
      <c r="I324" s="164" t="s">
        <v>348</v>
      </c>
      <c r="J324" s="132">
        <v>0.9</v>
      </c>
      <c r="K324" s="133">
        <v>0.866666666666667</v>
      </c>
      <c r="L324" s="133">
        <v>0.869565217391304</v>
      </c>
      <c r="M324" s="134">
        <v>0.958333333333333</v>
      </c>
      <c r="N324" s="133">
        <v>0.924453280318091</v>
      </c>
      <c r="O324" s="135">
        <v>0.9</v>
      </c>
      <c r="P324" s="133">
        <v>0.992277992277992</v>
      </c>
      <c r="Q324" s="133">
        <v>0.982414068745004</v>
      </c>
      <c r="R324" s="133">
        <v>0.98679638637943</v>
      </c>
      <c r="S324" s="133">
        <v>0.968318347044194</v>
      </c>
      <c r="T324" s="135">
        <v>0.9</v>
      </c>
      <c r="U324" s="133">
        <v>0.938223938223938</v>
      </c>
      <c r="V324" s="133">
        <v>0.91207034372502</v>
      </c>
      <c r="W324" s="133">
        <v>0.924252953439889</v>
      </c>
      <c r="X324" s="133">
        <v>0.919265352974938</v>
      </c>
      <c r="Y324" s="135">
        <v>0.92</v>
      </c>
      <c r="Z324" s="135">
        <v>0.933174224343675</v>
      </c>
      <c r="AA324" s="135">
        <v>0.946640316205534</v>
      </c>
      <c r="AB324" s="135">
        <v>0.937443336355394</v>
      </c>
      <c r="AC324" s="135">
        <v>0.959143689969895</v>
      </c>
      <c r="AD324" s="135">
        <v>0.92</v>
      </c>
      <c r="AE324" s="133">
        <v>0.866666666666667</v>
      </c>
      <c r="AF324" s="133">
        <v>0.785714285714286</v>
      </c>
      <c r="AG324" s="133">
        <v>0.993975903614458</v>
      </c>
      <c r="AH324" s="133">
        <v>0.970099667774086</v>
      </c>
      <c r="AI324" s="135">
        <v>0.92</v>
      </c>
      <c r="AJ324" s="133">
        <v>0.973901098901099</v>
      </c>
      <c r="AK324" s="133">
        <v>0.963005122367672</v>
      </c>
      <c r="AL324" s="133">
        <v>0.959874114870181</v>
      </c>
      <c r="AM324" s="133">
        <v>0.973701540095592</v>
      </c>
      <c r="AN324" s="132">
        <v>0.99</v>
      </c>
      <c r="AO324" s="137">
        <v>1</v>
      </c>
      <c r="AP324" s="137">
        <v>1</v>
      </c>
      <c r="AQ324" s="137">
        <v>1</v>
      </c>
      <c r="AR324" s="137">
        <v>1</v>
      </c>
      <c r="AS324" s="158">
        <v>0.0922287257019438</v>
      </c>
      <c r="AT324" s="141">
        <v>0</v>
      </c>
      <c r="AU324" s="141">
        <v>0</v>
      </c>
      <c r="AV324" s="141">
        <v>0.25</v>
      </c>
      <c r="AW324" s="141">
        <v>0.0808080808080808</v>
      </c>
      <c r="AX324" s="88"/>
      <c r="AY324" s="93"/>
    </row>
    <row r="325" s="86" customFormat="1" ht="14.5" spans="1:51">
      <c r="A325" s="91"/>
      <c r="B325" s="88"/>
      <c r="C325" s="163" t="s">
        <v>260</v>
      </c>
      <c r="D325" s="153" t="s">
        <v>125</v>
      </c>
      <c r="E325" s="130" t="s">
        <v>261</v>
      </c>
      <c r="F325" s="164" t="s">
        <v>349</v>
      </c>
      <c r="G325" s="164" t="s">
        <v>349</v>
      </c>
      <c r="H325" s="164" t="s">
        <v>349</v>
      </c>
      <c r="I325" s="164" t="s">
        <v>349</v>
      </c>
      <c r="J325" s="132">
        <v>0.9</v>
      </c>
      <c r="K325" s="133" t="s">
        <v>35</v>
      </c>
      <c r="L325" s="133" t="s">
        <v>35</v>
      </c>
      <c r="M325" s="134" t="s">
        <v>35</v>
      </c>
      <c r="N325" s="133" t="s">
        <v>35</v>
      </c>
      <c r="O325" s="135">
        <v>0.9</v>
      </c>
      <c r="P325" s="133" t="s">
        <v>35</v>
      </c>
      <c r="Q325" s="133" t="s">
        <v>35</v>
      </c>
      <c r="R325" s="133" t="s">
        <v>35</v>
      </c>
      <c r="S325" s="133">
        <v>1</v>
      </c>
      <c r="T325" s="135">
        <v>0.9</v>
      </c>
      <c r="U325" s="133" t="s">
        <v>35</v>
      </c>
      <c r="V325" s="133" t="s">
        <v>35</v>
      </c>
      <c r="W325" s="133" t="s">
        <v>35</v>
      </c>
      <c r="X325" s="133">
        <v>0.916666666666667</v>
      </c>
      <c r="Y325" s="135">
        <v>0.92</v>
      </c>
      <c r="Z325" s="135" t="s">
        <v>35</v>
      </c>
      <c r="AA325" s="135" t="s">
        <v>35</v>
      </c>
      <c r="AB325" s="135" t="s">
        <v>35</v>
      </c>
      <c r="AC325" s="135">
        <v>1</v>
      </c>
      <c r="AD325" s="135">
        <v>0.92</v>
      </c>
      <c r="AE325" s="133">
        <v>0.999857994887816</v>
      </c>
      <c r="AF325" s="133">
        <v>1</v>
      </c>
      <c r="AG325" s="133">
        <v>1</v>
      </c>
      <c r="AH325" s="133">
        <v>0.999875868183833</v>
      </c>
      <c r="AI325" s="135">
        <v>0.92</v>
      </c>
      <c r="AJ325" s="133" t="s">
        <v>35</v>
      </c>
      <c r="AK325" s="133" t="s">
        <v>35</v>
      </c>
      <c r="AL325" s="133" t="s">
        <v>35</v>
      </c>
      <c r="AM325" s="133">
        <v>0.928571428571429</v>
      </c>
      <c r="AN325" s="132">
        <v>0.99</v>
      </c>
      <c r="AO325" s="137">
        <v>1</v>
      </c>
      <c r="AP325" s="137" t="s">
        <v>35</v>
      </c>
      <c r="AQ325" s="137" t="s">
        <v>35</v>
      </c>
      <c r="AR325" s="137">
        <v>1</v>
      </c>
      <c r="AS325" s="158">
        <v>0.0922287257019438</v>
      </c>
      <c r="AT325" s="141" t="s">
        <v>35</v>
      </c>
      <c r="AU325" s="141" t="s">
        <v>35</v>
      </c>
      <c r="AV325" s="141" t="s">
        <v>35</v>
      </c>
      <c r="AW325" s="141">
        <v>0</v>
      </c>
      <c r="AX325" s="88"/>
      <c r="AY325" s="93"/>
    </row>
    <row r="326" ht="14.5" spans="1:51">
      <c r="A326" s="91"/>
      <c r="C326" s="166"/>
      <c r="D326" s="167"/>
      <c r="E326" s="166"/>
      <c r="F326" s="166"/>
      <c r="G326" s="166"/>
      <c r="H326" s="166"/>
      <c r="I326" s="166"/>
      <c r="J326" s="168"/>
      <c r="K326" s="169"/>
      <c r="L326" s="169"/>
      <c r="M326" s="134"/>
      <c r="N326" s="169"/>
      <c r="O326" s="150"/>
      <c r="P326" s="169"/>
      <c r="Q326" s="169"/>
      <c r="R326" s="133"/>
      <c r="S326" s="169"/>
      <c r="T326" s="150"/>
      <c r="U326" s="169"/>
      <c r="V326" s="169"/>
      <c r="W326" s="133"/>
      <c r="X326" s="169"/>
      <c r="Y326" s="150"/>
      <c r="Z326" s="150"/>
      <c r="AA326" s="150"/>
      <c r="AB326" s="135"/>
      <c r="AC326" s="150"/>
      <c r="AD326" s="169"/>
      <c r="AE326" s="169"/>
      <c r="AF326" s="169"/>
      <c r="AG326" s="133"/>
      <c r="AH326" s="169"/>
      <c r="AI326" s="169"/>
      <c r="AJ326" s="169"/>
      <c r="AK326" s="169"/>
      <c r="AL326" s="133"/>
      <c r="AM326" s="169"/>
      <c r="AN326" s="170"/>
      <c r="AO326" s="170"/>
      <c r="AP326" s="170"/>
      <c r="AQ326" s="137"/>
      <c r="AR326" s="170"/>
      <c r="AS326" s="169"/>
      <c r="AT326" s="170"/>
      <c r="AU326" s="170"/>
      <c r="AV326" s="141"/>
      <c r="AW326" s="170"/>
      <c r="AX326" s="95"/>
      <c r="AY326" s="93"/>
    </row>
    <row r="327" ht="14.5" spans="1:51">
      <c r="A327" s="91"/>
      <c r="B327" s="95"/>
      <c r="C327" s="163" t="s">
        <v>350</v>
      </c>
      <c r="D327" s="153" t="s">
        <v>25</v>
      </c>
      <c r="E327" s="130" t="s">
        <v>351</v>
      </c>
      <c r="F327" s="171" t="s">
        <v>352</v>
      </c>
      <c r="G327" s="171" t="s">
        <v>352</v>
      </c>
      <c r="H327" s="171" t="s">
        <v>352</v>
      </c>
      <c r="I327" s="171" t="s">
        <v>352</v>
      </c>
      <c r="J327" s="132">
        <v>0.9</v>
      </c>
      <c r="K327" s="133">
        <v>0.956521739130435</v>
      </c>
      <c r="L327" s="133">
        <v>0.914285714285714</v>
      </c>
      <c r="M327" s="134">
        <v>0.905882352941176</v>
      </c>
      <c r="N327" s="133">
        <v>0.925902864259029</v>
      </c>
      <c r="O327" s="135">
        <v>0.9</v>
      </c>
      <c r="P327" s="133">
        <v>0.940415523324187</v>
      </c>
      <c r="Q327" s="133">
        <v>0.921044992743106</v>
      </c>
      <c r="R327" s="133">
        <v>0.914982425307557</v>
      </c>
      <c r="S327" s="133">
        <v>0.92825382384716</v>
      </c>
      <c r="T327" s="135">
        <v>0.9</v>
      </c>
      <c r="U327" s="133">
        <v>0.901607212857703</v>
      </c>
      <c r="V327" s="133">
        <v>0.859216255442671</v>
      </c>
      <c r="W327" s="133">
        <v>0.900263620386643</v>
      </c>
      <c r="X327" s="133">
        <v>0.91179848751919</v>
      </c>
      <c r="Y327" s="135">
        <v>0.92</v>
      </c>
      <c r="Z327" s="135">
        <v>0.903559127439724</v>
      </c>
      <c r="AA327" s="135">
        <v>0.861025324274243</v>
      </c>
      <c r="AB327" s="135">
        <v>0.91747572815534</v>
      </c>
      <c r="AC327" s="135">
        <v>0.939747882108253</v>
      </c>
      <c r="AD327" s="135">
        <v>0.92</v>
      </c>
      <c r="AE327" s="133">
        <v>0.99456054967077</v>
      </c>
      <c r="AF327" s="133">
        <v>0.989144823934339</v>
      </c>
      <c r="AG327" s="133">
        <v>0.981699674103785</v>
      </c>
      <c r="AH327" s="133">
        <v>0.980776502570287</v>
      </c>
      <c r="AI327" s="135">
        <v>0.92</v>
      </c>
      <c r="AJ327" s="133">
        <v>0.933162552398696</v>
      </c>
      <c r="AK327" s="133">
        <v>0.904066324516384</v>
      </c>
      <c r="AL327" s="133">
        <v>0.941541516693558</v>
      </c>
      <c r="AM327" s="133">
        <v>0.955451649983237</v>
      </c>
      <c r="AN327" s="132">
        <v>0.99</v>
      </c>
      <c r="AO327" s="137">
        <v>1</v>
      </c>
      <c r="AP327" s="137">
        <v>1</v>
      </c>
      <c r="AQ327" s="137">
        <v>1</v>
      </c>
      <c r="AR327" s="137">
        <v>1</v>
      </c>
      <c r="AS327" s="158">
        <v>0.0739852556983447</v>
      </c>
      <c r="AT327" s="141">
        <v>0.0526315789473684</v>
      </c>
      <c r="AU327" s="141">
        <v>0.0545454545454545</v>
      </c>
      <c r="AV327" s="141">
        <v>0.0222222222222222</v>
      </c>
      <c r="AW327" s="141">
        <v>0.0478645066273932</v>
      </c>
      <c r="AX327" s="95"/>
      <c r="AY327" s="93"/>
    </row>
    <row r="328" ht="14.5" spans="1:51">
      <c r="A328" s="91"/>
      <c r="B328" s="95"/>
      <c r="C328" s="163" t="s">
        <v>350</v>
      </c>
      <c r="D328" s="153" t="s">
        <v>125</v>
      </c>
      <c r="E328" s="130" t="s">
        <v>351</v>
      </c>
      <c r="F328" s="171" t="s">
        <v>353</v>
      </c>
      <c r="G328" s="171" t="s">
        <v>353</v>
      </c>
      <c r="H328" s="171" t="s">
        <v>353</v>
      </c>
      <c r="I328" s="171" t="s">
        <v>353</v>
      </c>
      <c r="J328" s="132">
        <v>0.9</v>
      </c>
      <c r="K328" s="133" t="s">
        <v>35</v>
      </c>
      <c r="L328" s="133" t="s">
        <v>35</v>
      </c>
      <c r="M328" s="134" t="s">
        <v>35</v>
      </c>
      <c r="N328" s="133" t="s">
        <v>35</v>
      </c>
      <c r="O328" s="135">
        <v>0.9</v>
      </c>
      <c r="P328" s="133" t="s">
        <v>35</v>
      </c>
      <c r="Q328" s="133" t="s">
        <v>35</v>
      </c>
      <c r="R328" s="133" t="s">
        <v>35</v>
      </c>
      <c r="S328" s="133" t="s">
        <v>35</v>
      </c>
      <c r="T328" s="135">
        <v>0.9</v>
      </c>
      <c r="U328" s="133" t="s">
        <v>35</v>
      </c>
      <c r="V328" s="133" t="s">
        <v>35</v>
      </c>
      <c r="W328" s="133" t="s">
        <v>35</v>
      </c>
      <c r="X328" s="133" t="s">
        <v>35</v>
      </c>
      <c r="Y328" s="135">
        <v>0.92</v>
      </c>
      <c r="Z328" s="135" t="s">
        <v>35</v>
      </c>
      <c r="AA328" s="135" t="s">
        <v>35</v>
      </c>
      <c r="AB328" s="135" t="s">
        <v>35</v>
      </c>
      <c r="AC328" s="135">
        <v>1</v>
      </c>
      <c r="AD328" s="135">
        <v>0.92</v>
      </c>
      <c r="AE328" s="133">
        <v>0.991982182628062</v>
      </c>
      <c r="AF328" s="133">
        <v>0.974576271186441</v>
      </c>
      <c r="AG328" s="133">
        <v>0.992152466367713</v>
      </c>
      <c r="AH328" s="133">
        <v>0.920533358242066</v>
      </c>
      <c r="AI328" s="135">
        <v>0.92</v>
      </c>
      <c r="AJ328" s="133" t="s">
        <v>35</v>
      </c>
      <c r="AK328" s="133" t="s">
        <v>35</v>
      </c>
      <c r="AL328" s="133" t="s">
        <v>35</v>
      </c>
      <c r="AM328" s="133">
        <v>1</v>
      </c>
      <c r="AN328" s="132">
        <v>0.99</v>
      </c>
      <c r="AO328" s="137">
        <v>1</v>
      </c>
      <c r="AP328" s="137">
        <v>1</v>
      </c>
      <c r="AQ328" s="137">
        <v>1</v>
      </c>
      <c r="AR328" s="137">
        <v>1</v>
      </c>
      <c r="AS328" s="158">
        <v>0.0739852556983447</v>
      </c>
      <c r="AT328" s="141" t="s">
        <v>35</v>
      </c>
      <c r="AU328" s="141" t="s">
        <v>35</v>
      </c>
      <c r="AV328" s="141" t="s">
        <v>35</v>
      </c>
      <c r="AW328" s="141" t="s">
        <v>35</v>
      </c>
      <c r="AX328" s="95"/>
      <c r="AY328" s="93"/>
    </row>
    <row r="329" ht="14.5" spans="1:51">
      <c r="A329" s="91"/>
      <c r="B329" s="95"/>
      <c r="C329" s="163" t="s">
        <v>350</v>
      </c>
      <c r="D329" s="153" t="s">
        <v>25</v>
      </c>
      <c r="E329" s="130" t="s">
        <v>351</v>
      </c>
      <c r="F329" s="171" t="s">
        <v>354</v>
      </c>
      <c r="G329" s="171" t="s">
        <v>354</v>
      </c>
      <c r="H329" s="171" t="s">
        <v>354</v>
      </c>
      <c r="I329" s="171" t="s">
        <v>354</v>
      </c>
      <c r="J329" s="132">
        <v>0.9</v>
      </c>
      <c r="K329" s="133">
        <v>0.886792452830189</v>
      </c>
      <c r="L329" s="133">
        <v>0.752808988764045</v>
      </c>
      <c r="M329" s="134">
        <v>0.857142857142857</v>
      </c>
      <c r="N329" s="133">
        <v>0.872736954206603</v>
      </c>
      <c r="O329" s="135">
        <v>0.9</v>
      </c>
      <c r="P329" s="133">
        <v>0.926152948044367</v>
      </c>
      <c r="Q329" s="133">
        <v>0.934126646833829</v>
      </c>
      <c r="R329" s="133">
        <v>0.940749235474006</v>
      </c>
      <c r="S329" s="133">
        <v>0.932005706354102</v>
      </c>
      <c r="T329" s="135">
        <v>0.9</v>
      </c>
      <c r="U329" s="133">
        <v>0.852597781669586</v>
      </c>
      <c r="V329" s="133">
        <v>0.805142371440714</v>
      </c>
      <c r="W329" s="133">
        <v>0.865825688073395</v>
      </c>
      <c r="X329" s="133">
        <v>0.861698025909932</v>
      </c>
      <c r="Y329" s="135">
        <v>0.92</v>
      </c>
      <c r="Z329" s="135">
        <v>0.924764890282132</v>
      </c>
      <c r="AA329" s="135">
        <v>0.865573770491803</v>
      </c>
      <c r="AB329" s="135">
        <v>0.927300680869756</v>
      </c>
      <c r="AC329" s="135">
        <v>0.940458254250885</v>
      </c>
      <c r="AD329" s="135">
        <v>0.92</v>
      </c>
      <c r="AE329" s="133">
        <v>0.989190687361419</v>
      </c>
      <c r="AF329" s="133">
        <v>0.990591589451176</v>
      </c>
      <c r="AG329" s="133">
        <v>0.909502262443439</v>
      </c>
      <c r="AH329" s="133">
        <v>0.988404596108892</v>
      </c>
      <c r="AI329" s="135">
        <v>0.92</v>
      </c>
      <c r="AJ329" s="133">
        <v>0.941798941798942</v>
      </c>
      <c r="AK329" s="133">
        <v>0.913208649912332</v>
      </c>
      <c r="AL329" s="133">
        <v>0.946617766911165</v>
      </c>
      <c r="AM329" s="133">
        <v>0.954757162035758</v>
      </c>
      <c r="AN329" s="132">
        <v>0.99</v>
      </c>
      <c r="AO329" s="137">
        <v>1</v>
      </c>
      <c r="AP329" s="137">
        <v>1</v>
      </c>
      <c r="AQ329" s="137">
        <v>1</v>
      </c>
      <c r="AR329" s="137">
        <v>1</v>
      </c>
      <c r="AS329" s="158">
        <v>0.0739852556983447</v>
      </c>
      <c r="AT329" s="141">
        <v>0.176470588235294</v>
      </c>
      <c r="AU329" s="141">
        <v>0.0526315789473684</v>
      </c>
      <c r="AV329" s="141">
        <v>0.0240963855421687</v>
      </c>
      <c r="AW329" s="141">
        <v>0.0577489687684149</v>
      </c>
      <c r="AX329" s="95"/>
      <c r="AY329" s="93"/>
    </row>
    <row r="330" ht="14.5" spans="1:51">
      <c r="A330" s="91"/>
      <c r="B330" s="95"/>
      <c r="C330" s="163" t="s">
        <v>350</v>
      </c>
      <c r="D330" s="153" t="s">
        <v>125</v>
      </c>
      <c r="E330" s="130" t="s">
        <v>351</v>
      </c>
      <c r="F330" s="171" t="s">
        <v>355</v>
      </c>
      <c r="G330" s="171" t="s">
        <v>355</v>
      </c>
      <c r="H330" s="171" t="s">
        <v>355</v>
      </c>
      <c r="I330" s="171" t="s">
        <v>355</v>
      </c>
      <c r="J330" s="132">
        <v>0.9</v>
      </c>
      <c r="K330" s="133" t="s">
        <v>35</v>
      </c>
      <c r="L330" s="133" t="s">
        <v>35</v>
      </c>
      <c r="M330" s="134" t="s">
        <v>35</v>
      </c>
      <c r="N330" s="133" t="s">
        <v>35</v>
      </c>
      <c r="O330" s="135">
        <v>0.9</v>
      </c>
      <c r="P330" s="133" t="s">
        <v>35</v>
      </c>
      <c r="Q330" s="133" t="s">
        <v>35</v>
      </c>
      <c r="R330" s="133" t="s">
        <v>35</v>
      </c>
      <c r="S330" s="133" t="s">
        <v>35</v>
      </c>
      <c r="T330" s="135">
        <v>0.9</v>
      </c>
      <c r="U330" s="133" t="s">
        <v>35</v>
      </c>
      <c r="V330" s="133" t="s">
        <v>35</v>
      </c>
      <c r="W330" s="133" t="s">
        <v>35</v>
      </c>
      <c r="X330" s="133" t="s">
        <v>35</v>
      </c>
      <c r="Y330" s="135">
        <v>0.92</v>
      </c>
      <c r="Z330" s="135" t="s">
        <v>35</v>
      </c>
      <c r="AA330" s="135" t="s">
        <v>35</v>
      </c>
      <c r="AB330" s="135" t="s">
        <v>35</v>
      </c>
      <c r="AC330" s="135" t="s">
        <v>35</v>
      </c>
      <c r="AD330" s="135">
        <v>0.92</v>
      </c>
      <c r="AE330" s="133">
        <v>1</v>
      </c>
      <c r="AF330" s="133">
        <v>1</v>
      </c>
      <c r="AG330" s="133">
        <v>1</v>
      </c>
      <c r="AH330" s="133">
        <v>0.999170124481328</v>
      </c>
      <c r="AI330" s="135">
        <v>0.92</v>
      </c>
      <c r="AJ330" s="133" t="s">
        <v>35</v>
      </c>
      <c r="AK330" s="133" t="s">
        <v>35</v>
      </c>
      <c r="AL330" s="133" t="s">
        <v>35</v>
      </c>
      <c r="AM330" s="133" t="s">
        <v>35</v>
      </c>
      <c r="AN330" s="132">
        <v>0.99</v>
      </c>
      <c r="AO330" s="137">
        <v>1</v>
      </c>
      <c r="AP330" s="137">
        <v>1</v>
      </c>
      <c r="AQ330" s="137">
        <v>1</v>
      </c>
      <c r="AR330" s="137">
        <v>1</v>
      </c>
      <c r="AS330" s="158">
        <v>0.0739852556983447</v>
      </c>
      <c r="AT330" s="141" t="s">
        <v>35</v>
      </c>
      <c r="AU330" s="141" t="s">
        <v>35</v>
      </c>
      <c r="AV330" s="141" t="s">
        <v>35</v>
      </c>
      <c r="AW330" s="141" t="s">
        <v>35</v>
      </c>
      <c r="AX330" s="95"/>
      <c r="AY330" s="93"/>
    </row>
    <row r="331" ht="14.5" spans="1:51">
      <c r="A331" s="91"/>
      <c r="B331" s="95"/>
      <c r="C331" s="163" t="s">
        <v>350</v>
      </c>
      <c r="D331" s="153" t="s">
        <v>25</v>
      </c>
      <c r="E331" s="130" t="s">
        <v>351</v>
      </c>
      <c r="F331" s="171" t="s">
        <v>356</v>
      </c>
      <c r="G331" s="171" t="s">
        <v>356</v>
      </c>
      <c r="H331" s="171" t="s">
        <v>356</v>
      </c>
      <c r="I331" s="171" t="s">
        <v>356</v>
      </c>
      <c r="J331" s="132">
        <v>0.9</v>
      </c>
      <c r="K331" s="133">
        <v>0.892857142857143</v>
      </c>
      <c r="L331" s="133">
        <v>0.906666666666667</v>
      </c>
      <c r="M331" s="134">
        <v>0.905405405405405</v>
      </c>
      <c r="N331" s="133">
        <v>0.932038834951456</v>
      </c>
      <c r="O331" s="135">
        <v>0.9</v>
      </c>
      <c r="P331" s="133">
        <v>0.943604865462588</v>
      </c>
      <c r="Q331" s="133">
        <v>0.937634989200864</v>
      </c>
      <c r="R331" s="133">
        <v>0.947423108894431</v>
      </c>
      <c r="S331" s="133">
        <v>0.953746753790735</v>
      </c>
      <c r="T331" s="135">
        <v>0.9</v>
      </c>
      <c r="U331" s="133">
        <v>0.890158496129746</v>
      </c>
      <c r="V331" s="133">
        <v>0.902267818574514</v>
      </c>
      <c r="W331" s="133">
        <v>0.918744804655029</v>
      </c>
      <c r="X331" s="133">
        <v>0.925201055541593</v>
      </c>
      <c r="Y331" s="135">
        <v>0.92</v>
      </c>
      <c r="Z331" s="135">
        <v>0.91051912568306</v>
      </c>
      <c r="AA331" s="135">
        <v>0.885390428211587</v>
      </c>
      <c r="AB331" s="135">
        <v>0.926088146728716</v>
      </c>
      <c r="AC331" s="135">
        <v>0.942941445932473</v>
      </c>
      <c r="AD331" s="135">
        <v>0.92</v>
      </c>
      <c r="AE331" s="133">
        <v>0.970162840093052</v>
      </c>
      <c r="AF331" s="133">
        <v>0.983352208380521</v>
      </c>
      <c r="AG331" s="133">
        <v>0.978451454321999</v>
      </c>
      <c r="AH331" s="133">
        <v>0.966084722683649</v>
      </c>
      <c r="AI331" s="135">
        <v>0.92</v>
      </c>
      <c r="AJ331" s="133">
        <v>0.942413381123059</v>
      </c>
      <c r="AK331" s="133">
        <v>0.932200188857413</v>
      </c>
      <c r="AL331" s="133">
        <v>0.947449039707788</v>
      </c>
      <c r="AM331" s="133">
        <v>0.9614085468476</v>
      </c>
      <c r="AN331" s="132">
        <v>0.99</v>
      </c>
      <c r="AO331" s="137">
        <v>1</v>
      </c>
      <c r="AP331" s="137">
        <v>1</v>
      </c>
      <c r="AQ331" s="137">
        <v>1</v>
      </c>
      <c r="AR331" s="137">
        <v>0.999407582938389</v>
      </c>
      <c r="AS331" s="158">
        <v>0.0739852556983447</v>
      </c>
      <c r="AT331" s="141">
        <v>0.0714285714285714</v>
      </c>
      <c r="AU331" s="141">
        <v>0.125</v>
      </c>
      <c r="AV331" s="141">
        <v>0.0232558139534884</v>
      </c>
      <c r="AW331" s="141">
        <v>0.0532994923857868</v>
      </c>
      <c r="AX331" s="95"/>
      <c r="AY331" s="93"/>
    </row>
    <row r="332" ht="14.5" spans="1:51">
      <c r="A332" s="91"/>
      <c r="B332" s="95"/>
      <c r="C332" s="163" t="s">
        <v>350</v>
      </c>
      <c r="D332" s="153" t="s">
        <v>25</v>
      </c>
      <c r="E332" s="130" t="s">
        <v>351</v>
      </c>
      <c r="F332" s="171" t="s">
        <v>357</v>
      </c>
      <c r="G332" s="171" t="s">
        <v>357</v>
      </c>
      <c r="H332" s="171" t="s">
        <v>357</v>
      </c>
      <c r="I332" s="171" t="s">
        <v>357</v>
      </c>
      <c r="J332" s="132">
        <v>0.9</v>
      </c>
      <c r="K332" s="133">
        <v>1</v>
      </c>
      <c r="L332" s="133">
        <v>1</v>
      </c>
      <c r="M332" s="134">
        <v>0.95</v>
      </c>
      <c r="N332" s="133">
        <v>0.97442799461642</v>
      </c>
      <c r="O332" s="135">
        <v>0.9</v>
      </c>
      <c r="P332" s="133">
        <v>0.939902166317261</v>
      </c>
      <c r="Q332" s="133">
        <v>0.929350649350649</v>
      </c>
      <c r="R332" s="133">
        <v>0.929558011049724</v>
      </c>
      <c r="S332" s="133">
        <v>0.939736965711602</v>
      </c>
      <c r="T332" s="135">
        <v>0.9</v>
      </c>
      <c r="U332" s="133">
        <v>0.910552061495458</v>
      </c>
      <c r="V332" s="133">
        <v>0.88987012987013</v>
      </c>
      <c r="W332" s="133">
        <v>0.912523020257827</v>
      </c>
      <c r="X332" s="133">
        <v>0.922263973696571</v>
      </c>
      <c r="Y332" s="135">
        <v>0.92</v>
      </c>
      <c r="Z332" s="135">
        <v>0.949023861171367</v>
      </c>
      <c r="AA332" s="135">
        <v>0.943262411347518</v>
      </c>
      <c r="AB332" s="135">
        <v>0.966343702192759</v>
      </c>
      <c r="AC332" s="135">
        <v>0.97360847897803</v>
      </c>
      <c r="AD332" s="135">
        <v>0.92</v>
      </c>
      <c r="AE332" s="133">
        <v>0.998362445414847</v>
      </c>
      <c r="AF332" s="133">
        <v>0.987140061504054</v>
      </c>
      <c r="AG332" s="133">
        <v>0.992277992277992</v>
      </c>
      <c r="AH332" s="133">
        <v>0.981327357175239</v>
      </c>
      <c r="AI332" s="135">
        <v>0.92</v>
      </c>
      <c r="AJ332" s="133">
        <v>0.953310696095076</v>
      </c>
      <c r="AK332" s="133">
        <v>0.951298701298701</v>
      </c>
      <c r="AL332" s="133">
        <v>0.974191992281717</v>
      </c>
      <c r="AM332" s="133">
        <v>0.978697269600618</v>
      </c>
      <c r="AN332" s="132">
        <v>0.99</v>
      </c>
      <c r="AO332" s="137">
        <v>1</v>
      </c>
      <c r="AP332" s="137">
        <v>1</v>
      </c>
      <c r="AQ332" s="137">
        <v>1</v>
      </c>
      <c r="AR332" s="137">
        <v>1</v>
      </c>
      <c r="AS332" s="158">
        <v>0.0739852556983447</v>
      </c>
      <c r="AT332" s="141">
        <v>0.0434782608695652</v>
      </c>
      <c r="AU332" s="141">
        <v>0.0769230769230769</v>
      </c>
      <c r="AV332" s="141">
        <v>0</v>
      </c>
      <c r="AW332" s="141">
        <v>0.0326086956521739</v>
      </c>
      <c r="AX332" s="95"/>
      <c r="AY332" s="93"/>
    </row>
    <row r="333" ht="14.5" spans="1:51">
      <c r="A333" s="91"/>
      <c r="B333" s="95"/>
      <c r="C333" s="163" t="s">
        <v>350</v>
      </c>
      <c r="D333" s="153" t="s">
        <v>25</v>
      </c>
      <c r="E333" s="130" t="s">
        <v>351</v>
      </c>
      <c r="F333" s="171" t="s">
        <v>358</v>
      </c>
      <c r="G333" s="171" t="s">
        <v>358</v>
      </c>
      <c r="H333" s="171" t="s">
        <v>358</v>
      </c>
      <c r="I333" s="171" t="s">
        <v>358</v>
      </c>
      <c r="J333" s="132">
        <v>0.9</v>
      </c>
      <c r="K333" s="133">
        <v>0.90625</v>
      </c>
      <c r="L333" s="133">
        <v>0.966666666666667</v>
      </c>
      <c r="M333" s="134">
        <v>0.939393939393939</v>
      </c>
      <c r="N333" s="133">
        <v>0.942724458204334</v>
      </c>
      <c r="O333" s="135">
        <v>0.9</v>
      </c>
      <c r="P333" s="133">
        <v>0.960800667222686</v>
      </c>
      <c r="Q333" s="133">
        <v>0.963615023474178</v>
      </c>
      <c r="R333" s="133">
        <v>0.974690082644628</v>
      </c>
      <c r="S333" s="133">
        <v>0.964323328067404</v>
      </c>
      <c r="T333" s="135">
        <v>0.9</v>
      </c>
      <c r="U333" s="133">
        <v>0.901584653878232</v>
      </c>
      <c r="V333" s="133">
        <v>0.890258215962441</v>
      </c>
      <c r="W333" s="133">
        <v>0.923553719008264</v>
      </c>
      <c r="X333" s="133">
        <v>0.92422327540811</v>
      </c>
      <c r="Y333" s="135">
        <v>0.92</v>
      </c>
      <c r="Z333" s="135">
        <v>0.940944881889764</v>
      </c>
      <c r="AA333" s="135">
        <v>0.93360433604336</v>
      </c>
      <c r="AB333" s="135">
        <v>0.955390334572491</v>
      </c>
      <c r="AC333" s="135">
        <v>0.963589932603201</v>
      </c>
      <c r="AD333" s="135">
        <v>0.92</v>
      </c>
      <c r="AE333" s="133">
        <v>0.999222395023328</v>
      </c>
      <c r="AF333" s="133">
        <v>0.986979166666667</v>
      </c>
      <c r="AG333" s="133">
        <v>1</v>
      </c>
      <c r="AH333" s="133">
        <v>0.994143076279459</v>
      </c>
      <c r="AI333" s="135">
        <v>0.92</v>
      </c>
      <c r="AJ333" s="133">
        <v>0.94557477110885</v>
      </c>
      <c r="AK333" s="133">
        <v>0.95374539500614</v>
      </c>
      <c r="AL333" s="133">
        <v>0.968276249298147</v>
      </c>
      <c r="AM333" s="133">
        <v>0.972852938084726</v>
      </c>
      <c r="AN333" s="132">
        <v>0.99</v>
      </c>
      <c r="AO333" s="137">
        <v>1</v>
      </c>
      <c r="AP333" s="137">
        <v>1</v>
      </c>
      <c r="AQ333" s="137">
        <v>1</v>
      </c>
      <c r="AR333" s="137">
        <v>1</v>
      </c>
      <c r="AS333" s="158">
        <v>0.0739852556983447</v>
      </c>
      <c r="AT333" s="141">
        <v>0.0277777777777778</v>
      </c>
      <c r="AU333" s="141">
        <v>0</v>
      </c>
      <c r="AV333" s="141">
        <v>0.0277777777777778</v>
      </c>
      <c r="AW333" s="141">
        <v>0.0423600605143722</v>
      </c>
      <c r="AX333" s="95"/>
      <c r="AY333" s="93"/>
    </row>
    <row r="334" ht="14.5" spans="1:51">
      <c r="A334" s="91"/>
      <c r="B334" s="95"/>
      <c r="C334" s="163" t="s">
        <v>350</v>
      </c>
      <c r="D334" s="153" t="s">
        <v>25</v>
      </c>
      <c r="E334" s="130" t="s">
        <v>351</v>
      </c>
      <c r="F334" s="171" t="s">
        <v>359</v>
      </c>
      <c r="G334" s="171" t="s">
        <v>359</v>
      </c>
      <c r="H334" s="171" t="s">
        <v>359</v>
      </c>
      <c r="I334" s="171" t="s">
        <v>359</v>
      </c>
      <c r="J334" s="132">
        <v>0.9</v>
      </c>
      <c r="K334" s="133">
        <v>0.944444444444444</v>
      </c>
      <c r="L334" s="133">
        <v>0.875</v>
      </c>
      <c r="M334" s="134">
        <v>0.98</v>
      </c>
      <c r="N334" s="133">
        <v>0.926559356136821</v>
      </c>
      <c r="O334" s="135">
        <v>0.9</v>
      </c>
      <c r="P334" s="133">
        <v>0.975838926174497</v>
      </c>
      <c r="Q334" s="133">
        <v>0.980821917808219</v>
      </c>
      <c r="R334" s="133">
        <v>0.977096546863989</v>
      </c>
      <c r="S334" s="133">
        <v>0.972346651253522</v>
      </c>
      <c r="T334" s="135">
        <v>0.9</v>
      </c>
      <c r="U334" s="133">
        <v>0.895302013422819</v>
      </c>
      <c r="V334" s="133">
        <v>0.881735159817352</v>
      </c>
      <c r="W334" s="133">
        <v>0.921775898520085</v>
      </c>
      <c r="X334" s="133">
        <v>0.905967776894733</v>
      </c>
      <c r="Y334" s="135">
        <v>0.92</v>
      </c>
      <c r="Z334" s="135">
        <v>0.925851703406814</v>
      </c>
      <c r="AA334" s="135">
        <v>0.886075949367089</v>
      </c>
      <c r="AB334" s="135">
        <v>0.945092952875054</v>
      </c>
      <c r="AC334" s="135">
        <v>0.958310711238657</v>
      </c>
      <c r="AD334" s="135">
        <v>0.92</v>
      </c>
      <c r="AE334" s="133">
        <v>0.995327102803738</v>
      </c>
      <c r="AF334" s="133">
        <v>0.992774566473988</v>
      </c>
      <c r="AG334" s="133">
        <v>0.998122653316646</v>
      </c>
      <c r="AH334" s="133">
        <v>0.988491714034105</v>
      </c>
      <c r="AI334" s="135">
        <v>0.92</v>
      </c>
      <c r="AJ334" s="133">
        <v>0.951082598235766</v>
      </c>
      <c r="AK334" s="133">
        <v>0.931013051584835</v>
      </c>
      <c r="AL334" s="133">
        <v>0.962633107454017</v>
      </c>
      <c r="AM334" s="133">
        <v>0.966125900757943</v>
      </c>
      <c r="AN334" s="132">
        <v>0.99</v>
      </c>
      <c r="AO334" s="137">
        <v>1</v>
      </c>
      <c r="AP334" s="137">
        <v>1</v>
      </c>
      <c r="AQ334" s="137">
        <v>1</v>
      </c>
      <c r="AR334" s="137">
        <v>1</v>
      </c>
      <c r="AS334" s="158">
        <v>0.0739852556983447</v>
      </c>
      <c r="AT334" s="141">
        <v>0.0769230769230769</v>
      </c>
      <c r="AU334" s="141">
        <v>0.037037037037037</v>
      </c>
      <c r="AV334" s="141">
        <v>0.0555555555555556</v>
      </c>
      <c r="AW334" s="141">
        <v>0.0467571644042232</v>
      </c>
      <c r="AX334" s="95"/>
      <c r="AY334" s="93"/>
    </row>
    <row r="335" ht="14.5" spans="1:51">
      <c r="A335" s="91"/>
      <c r="B335" s="95"/>
      <c r="C335" s="163" t="s">
        <v>350</v>
      </c>
      <c r="D335" s="153" t="s">
        <v>25</v>
      </c>
      <c r="E335" s="130" t="s">
        <v>351</v>
      </c>
      <c r="F335" s="171" t="s">
        <v>360</v>
      </c>
      <c r="G335" s="171" t="s">
        <v>360</v>
      </c>
      <c r="H335" s="171" t="s">
        <v>360</v>
      </c>
      <c r="I335" s="171" t="s">
        <v>360</v>
      </c>
      <c r="J335" s="132">
        <v>0.9</v>
      </c>
      <c r="K335" s="133">
        <v>0.939024390243902</v>
      </c>
      <c r="L335" s="133">
        <v>0.884057971014493</v>
      </c>
      <c r="M335" s="134">
        <v>0.935064935064935</v>
      </c>
      <c r="N335" s="133">
        <v>0.927184466019418</v>
      </c>
      <c r="O335" s="135">
        <v>0.9</v>
      </c>
      <c r="P335" s="133">
        <v>0.984008925251023</v>
      </c>
      <c r="Q335" s="133">
        <v>0.98700495049505</v>
      </c>
      <c r="R335" s="133">
        <v>0.979667282809612</v>
      </c>
      <c r="S335" s="133">
        <v>0.976068215009186</v>
      </c>
      <c r="T335" s="135">
        <v>0.9</v>
      </c>
      <c r="U335" s="133">
        <v>0.903309780587579</v>
      </c>
      <c r="V335" s="133">
        <v>0.885210396039604</v>
      </c>
      <c r="W335" s="133">
        <v>0.917513863216266</v>
      </c>
      <c r="X335" s="133">
        <v>0.915885428934847</v>
      </c>
      <c r="Y335" s="135">
        <v>0.92</v>
      </c>
      <c r="Z335" s="135">
        <v>0.949380721593969</v>
      </c>
      <c r="AA335" s="135">
        <v>0.954237288135593</v>
      </c>
      <c r="AB335" s="135">
        <v>0.94940796555436</v>
      </c>
      <c r="AC335" s="135">
        <v>0.966276167173327</v>
      </c>
      <c r="AD335" s="135">
        <v>0.92</v>
      </c>
      <c r="AE335" s="133">
        <v>0.94741017794401</v>
      </c>
      <c r="AF335" s="133">
        <v>0.989825164803669</v>
      </c>
      <c r="AG335" s="133">
        <v>0.99398438499936</v>
      </c>
      <c r="AH335" s="133">
        <v>0.960324477491105</v>
      </c>
      <c r="AI335" s="135">
        <v>0.92</v>
      </c>
      <c r="AJ335" s="133">
        <v>0.961150131694469</v>
      </c>
      <c r="AK335" s="133">
        <v>0.957217113154738</v>
      </c>
      <c r="AL335" s="133">
        <v>0.962917028401339</v>
      </c>
      <c r="AM335" s="133">
        <v>0.973656480505796</v>
      </c>
      <c r="AN335" s="132">
        <v>0.99</v>
      </c>
      <c r="AO335" s="137">
        <v>1</v>
      </c>
      <c r="AP335" s="137">
        <v>1</v>
      </c>
      <c r="AQ335" s="137">
        <v>1</v>
      </c>
      <c r="AR335" s="137">
        <v>1</v>
      </c>
      <c r="AS335" s="158">
        <v>0.0739852556983447</v>
      </c>
      <c r="AT335" s="141">
        <v>0.05</v>
      </c>
      <c r="AU335" s="141">
        <v>0.102564102564103</v>
      </c>
      <c r="AV335" s="141">
        <v>0.0222222222222222</v>
      </c>
      <c r="AW335" s="141">
        <v>0.0357917570498915</v>
      </c>
      <c r="AX335" s="95"/>
      <c r="AY335" s="93"/>
    </row>
    <row r="336" ht="14.5" spans="1:51">
      <c r="A336" s="91"/>
      <c r="B336" s="95"/>
      <c r="C336" s="163" t="s">
        <v>350</v>
      </c>
      <c r="D336" s="153" t="s">
        <v>125</v>
      </c>
      <c r="E336" s="130" t="s">
        <v>351</v>
      </c>
      <c r="F336" s="171" t="s">
        <v>361</v>
      </c>
      <c r="G336" s="171" t="s">
        <v>361</v>
      </c>
      <c r="H336" s="171" t="s">
        <v>361</v>
      </c>
      <c r="I336" s="171" t="s">
        <v>361</v>
      </c>
      <c r="J336" s="132">
        <v>0.9</v>
      </c>
      <c r="K336" s="133" t="s">
        <v>35</v>
      </c>
      <c r="L336" s="133" t="s">
        <v>35</v>
      </c>
      <c r="M336" s="134" t="s">
        <v>35</v>
      </c>
      <c r="N336" s="133" t="s">
        <v>35</v>
      </c>
      <c r="O336" s="135">
        <v>0.9</v>
      </c>
      <c r="P336" s="133" t="s">
        <v>35</v>
      </c>
      <c r="Q336" s="133" t="s">
        <v>35</v>
      </c>
      <c r="R336" s="133" t="s">
        <v>35</v>
      </c>
      <c r="S336" s="133" t="s">
        <v>35</v>
      </c>
      <c r="T336" s="135">
        <v>0.9</v>
      </c>
      <c r="U336" s="133" t="s">
        <v>35</v>
      </c>
      <c r="V336" s="133" t="s">
        <v>35</v>
      </c>
      <c r="W336" s="133" t="s">
        <v>35</v>
      </c>
      <c r="X336" s="133" t="s">
        <v>35</v>
      </c>
      <c r="Y336" s="135">
        <v>0.92</v>
      </c>
      <c r="Z336" s="135" t="s">
        <v>35</v>
      </c>
      <c r="AA336" s="135" t="s">
        <v>35</v>
      </c>
      <c r="AB336" s="135" t="s">
        <v>35</v>
      </c>
      <c r="AC336" s="135" t="s">
        <v>35</v>
      </c>
      <c r="AD336" s="135">
        <v>0.92</v>
      </c>
      <c r="AE336" s="133">
        <v>0.996632996632997</v>
      </c>
      <c r="AF336" s="133">
        <v>0.998242530755712</v>
      </c>
      <c r="AG336" s="133">
        <v>1</v>
      </c>
      <c r="AH336" s="133">
        <v>0.97973819802256</v>
      </c>
      <c r="AI336" s="135">
        <v>0.92</v>
      </c>
      <c r="AJ336" s="133" t="s">
        <v>35</v>
      </c>
      <c r="AK336" s="133" t="s">
        <v>35</v>
      </c>
      <c r="AL336" s="133" t="s">
        <v>35</v>
      </c>
      <c r="AM336" s="133">
        <v>1</v>
      </c>
      <c r="AN336" s="132">
        <v>0.99</v>
      </c>
      <c r="AO336" s="137">
        <v>1</v>
      </c>
      <c r="AP336" s="137" t="s">
        <v>35</v>
      </c>
      <c r="AQ336" s="137" t="s">
        <v>35</v>
      </c>
      <c r="AR336" s="137">
        <v>1</v>
      </c>
      <c r="AS336" s="158">
        <v>0.0739852556983447</v>
      </c>
      <c r="AT336" s="141" t="s">
        <v>35</v>
      </c>
      <c r="AU336" s="141" t="s">
        <v>35</v>
      </c>
      <c r="AV336" s="141" t="s">
        <v>35</v>
      </c>
      <c r="AW336" s="141" t="s">
        <v>35</v>
      </c>
      <c r="AX336" s="95"/>
      <c r="AY336" s="93"/>
    </row>
    <row r="337" ht="14.5" spans="1:51">
      <c r="A337" s="91"/>
      <c r="B337" s="95"/>
      <c r="C337" s="163" t="s">
        <v>350</v>
      </c>
      <c r="D337" s="153" t="s">
        <v>25</v>
      </c>
      <c r="E337" s="130" t="s">
        <v>351</v>
      </c>
      <c r="F337" s="171" t="s">
        <v>362</v>
      </c>
      <c r="G337" s="171" t="s">
        <v>362</v>
      </c>
      <c r="H337" s="171" t="s">
        <v>362</v>
      </c>
      <c r="I337" s="171" t="s">
        <v>362</v>
      </c>
      <c r="J337" s="132">
        <v>0.9</v>
      </c>
      <c r="K337" s="133">
        <v>0.9453125</v>
      </c>
      <c r="L337" s="133">
        <v>0.863636363636364</v>
      </c>
      <c r="M337" s="134">
        <v>0.803418803418803</v>
      </c>
      <c r="N337" s="133">
        <v>0.898963730569948</v>
      </c>
      <c r="O337" s="135">
        <v>0.9</v>
      </c>
      <c r="P337" s="133">
        <v>0.96688132474701</v>
      </c>
      <c r="Q337" s="133">
        <v>0.951046590141796</v>
      </c>
      <c r="R337" s="133">
        <v>0.949333703498057</v>
      </c>
      <c r="S337" s="133">
        <v>0.958331473795391</v>
      </c>
      <c r="T337" s="135">
        <v>0.9</v>
      </c>
      <c r="U337" s="133">
        <v>0.892824287028519</v>
      </c>
      <c r="V337" s="133">
        <v>0.885887913571911</v>
      </c>
      <c r="W337" s="133">
        <v>0.897695724597446</v>
      </c>
      <c r="X337" s="133">
        <v>0.9169381592062</v>
      </c>
      <c r="Y337" s="135">
        <v>0.92</v>
      </c>
      <c r="Z337" s="135">
        <v>0.924466338259442</v>
      </c>
      <c r="AA337" s="135">
        <v>0.887684729064039</v>
      </c>
      <c r="AB337" s="135">
        <v>0.929637214745465</v>
      </c>
      <c r="AC337" s="135">
        <v>0.950205156099952</v>
      </c>
      <c r="AD337" s="135">
        <v>0.92</v>
      </c>
      <c r="AE337" s="133">
        <v>0.99849510910459</v>
      </c>
      <c r="AF337" s="133">
        <v>0.9957928802589</v>
      </c>
      <c r="AG337" s="133">
        <v>0.991573980451635</v>
      </c>
      <c r="AH337" s="133">
        <v>0.986150553130166</v>
      </c>
      <c r="AI337" s="135">
        <v>0.92</v>
      </c>
      <c r="AJ337" s="133">
        <v>0.946088366436968</v>
      </c>
      <c r="AK337" s="133">
        <v>0.930657748049052</v>
      </c>
      <c r="AL337" s="133">
        <v>0.949129662522202</v>
      </c>
      <c r="AM337" s="133">
        <v>0.96327449688316</v>
      </c>
      <c r="AN337" s="132">
        <v>0.99</v>
      </c>
      <c r="AO337" s="137">
        <v>1</v>
      </c>
      <c r="AP337" s="137">
        <v>1</v>
      </c>
      <c r="AQ337" s="137">
        <v>1</v>
      </c>
      <c r="AR337" s="137">
        <v>1</v>
      </c>
      <c r="AS337" s="158">
        <v>0.0739852556983447</v>
      </c>
      <c r="AT337" s="141">
        <v>0.0454545454545455</v>
      </c>
      <c r="AU337" s="141">
        <v>0.0731707317073171</v>
      </c>
      <c r="AV337" s="141">
        <v>0.0232558139534884</v>
      </c>
      <c r="AW337" s="141">
        <v>0.0445075757575758</v>
      </c>
      <c r="AX337" s="95"/>
      <c r="AY337" s="93"/>
    </row>
    <row r="338" ht="14.5" spans="1:51">
      <c r="A338" s="91"/>
      <c r="B338" s="95"/>
      <c r="C338" s="163" t="s">
        <v>350</v>
      </c>
      <c r="D338" s="153" t="s">
        <v>25</v>
      </c>
      <c r="E338" s="130" t="s">
        <v>351</v>
      </c>
      <c r="F338" s="171" t="s">
        <v>363</v>
      </c>
      <c r="G338" s="171" t="s">
        <v>363</v>
      </c>
      <c r="H338" s="171" t="s">
        <v>363</v>
      </c>
      <c r="I338" s="171" t="s">
        <v>363</v>
      </c>
      <c r="J338" s="132">
        <v>0.9</v>
      </c>
      <c r="K338" s="133">
        <v>0.982142857142857</v>
      </c>
      <c r="L338" s="133">
        <v>0.94</v>
      </c>
      <c r="M338" s="134">
        <v>0.964912280701754</v>
      </c>
      <c r="N338" s="133">
        <v>0.963311382878645</v>
      </c>
      <c r="O338" s="135">
        <v>0.9</v>
      </c>
      <c r="P338" s="133">
        <v>0.967509025270758</v>
      </c>
      <c r="Q338" s="133">
        <v>0.954482117974919</v>
      </c>
      <c r="R338" s="133">
        <v>0.951713969775157</v>
      </c>
      <c r="S338" s="133">
        <v>0.961777793856952</v>
      </c>
      <c r="T338" s="135">
        <v>0.9</v>
      </c>
      <c r="U338" s="133">
        <v>0.912154031287605</v>
      </c>
      <c r="V338" s="133">
        <v>0.899674872271249</v>
      </c>
      <c r="W338" s="133">
        <v>0.910062661260597</v>
      </c>
      <c r="X338" s="133">
        <v>0.920010129879527</v>
      </c>
      <c r="Y338" s="135">
        <v>0.92</v>
      </c>
      <c r="Z338" s="135">
        <v>0.951243781094527</v>
      </c>
      <c r="AA338" s="135">
        <v>0.930792377131394</v>
      </c>
      <c r="AB338" s="135">
        <v>0.943551888840643</v>
      </c>
      <c r="AC338" s="135">
        <v>0.961552987385754</v>
      </c>
      <c r="AD338" s="135">
        <v>0.92</v>
      </c>
      <c r="AE338" s="133">
        <v>0.995239838886855</v>
      </c>
      <c r="AF338" s="133">
        <v>1</v>
      </c>
      <c r="AG338" s="133">
        <v>0.998685939553219</v>
      </c>
      <c r="AH338" s="133">
        <v>0.989467524868344</v>
      </c>
      <c r="AI338" s="135">
        <v>0.92</v>
      </c>
      <c r="AJ338" s="133">
        <v>0.96109240553685</v>
      </c>
      <c r="AK338" s="133">
        <v>0.949571836346337</v>
      </c>
      <c r="AL338" s="133">
        <v>0.958283671036949</v>
      </c>
      <c r="AM338" s="133">
        <v>0.970882922778854</v>
      </c>
      <c r="AN338" s="132">
        <v>0.99</v>
      </c>
      <c r="AO338" s="137">
        <v>1</v>
      </c>
      <c r="AP338" s="137">
        <v>1</v>
      </c>
      <c r="AQ338" s="137">
        <v>1</v>
      </c>
      <c r="AR338" s="137">
        <v>1</v>
      </c>
      <c r="AS338" s="158">
        <v>0.0739852556983447</v>
      </c>
      <c r="AT338" s="141">
        <v>0.0333333333333333</v>
      </c>
      <c r="AU338" s="141">
        <v>0.214285714285714</v>
      </c>
      <c r="AV338" s="141">
        <v>0.0512820512820513</v>
      </c>
      <c r="AW338" s="141">
        <v>0.0537084398976982</v>
      </c>
      <c r="AX338" s="95"/>
      <c r="AY338" s="93"/>
    </row>
    <row r="339" ht="14.5" spans="1:51">
      <c r="A339" s="91"/>
      <c r="B339" s="95"/>
      <c r="C339" s="163" t="s">
        <v>350</v>
      </c>
      <c r="D339" s="153" t="s">
        <v>125</v>
      </c>
      <c r="E339" s="130" t="s">
        <v>351</v>
      </c>
      <c r="F339" s="171" t="s">
        <v>364</v>
      </c>
      <c r="G339" s="171" t="s">
        <v>364</v>
      </c>
      <c r="H339" s="171" t="s">
        <v>364</v>
      </c>
      <c r="I339" s="171" t="s">
        <v>364</v>
      </c>
      <c r="J339" s="132">
        <v>0.9</v>
      </c>
      <c r="K339" s="133" t="s">
        <v>35</v>
      </c>
      <c r="L339" s="133" t="s">
        <v>35</v>
      </c>
      <c r="M339" s="134" t="s">
        <v>35</v>
      </c>
      <c r="N339" s="133" t="s">
        <v>35</v>
      </c>
      <c r="O339" s="135">
        <v>0.9</v>
      </c>
      <c r="P339" s="133" t="s">
        <v>35</v>
      </c>
      <c r="Q339" s="133" t="s">
        <v>35</v>
      </c>
      <c r="R339" s="133" t="s">
        <v>35</v>
      </c>
      <c r="S339" s="133">
        <v>0</v>
      </c>
      <c r="T339" s="135">
        <v>0.9</v>
      </c>
      <c r="U339" s="133" t="s">
        <v>35</v>
      </c>
      <c r="V339" s="133" t="s">
        <v>35</v>
      </c>
      <c r="W339" s="133" t="s">
        <v>35</v>
      </c>
      <c r="X339" s="133">
        <v>0</v>
      </c>
      <c r="Y339" s="135">
        <v>0.92</v>
      </c>
      <c r="Z339" s="135" t="s">
        <v>35</v>
      </c>
      <c r="AA339" s="135" t="s">
        <v>35</v>
      </c>
      <c r="AB339" s="135" t="s">
        <v>35</v>
      </c>
      <c r="AC339" s="135" t="s">
        <v>35</v>
      </c>
      <c r="AD339" s="135">
        <v>0.92</v>
      </c>
      <c r="AE339" s="133">
        <v>1</v>
      </c>
      <c r="AF339" s="133">
        <v>1</v>
      </c>
      <c r="AG339" s="133">
        <v>1</v>
      </c>
      <c r="AH339" s="133">
        <v>0.99965034965035</v>
      </c>
      <c r="AI339" s="135">
        <v>0.92</v>
      </c>
      <c r="AJ339" s="133" t="s">
        <v>35</v>
      </c>
      <c r="AK339" s="133" t="s">
        <v>35</v>
      </c>
      <c r="AL339" s="133" t="s">
        <v>35</v>
      </c>
      <c r="AM339" s="133">
        <v>0</v>
      </c>
      <c r="AN339" s="132">
        <v>0.99</v>
      </c>
      <c r="AO339" s="137" t="s">
        <v>35</v>
      </c>
      <c r="AP339" s="137" t="s">
        <v>35</v>
      </c>
      <c r="AQ339" s="137">
        <v>1</v>
      </c>
      <c r="AR339" s="137">
        <v>1</v>
      </c>
      <c r="AS339" s="158">
        <v>0.0739852556983447</v>
      </c>
      <c r="AT339" s="141" t="s">
        <v>35</v>
      </c>
      <c r="AU339" s="141" t="s">
        <v>35</v>
      </c>
      <c r="AV339" s="141" t="s">
        <v>35</v>
      </c>
      <c r="AW339" s="141" t="s">
        <v>35</v>
      </c>
      <c r="AX339" s="95"/>
      <c r="AY339" s="93"/>
    </row>
    <row r="340" ht="14.5" spans="1:51">
      <c r="A340" s="91"/>
      <c r="B340" s="95"/>
      <c r="C340" s="163" t="s">
        <v>350</v>
      </c>
      <c r="D340" s="153" t="s">
        <v>25</v>
      </c>
      <c r="E340" s="130" t="s">
        <v>351</v>
      </c>
      <c r="F340" s="171" t="s">
        <v>365</v>
      </c>
      <c r="G340" s="171" t="s">
        <v>365</v>
      </c>
      <c r="H340" s="171" t="s">
        <v>365</v>
      </c>
      <c r="I340" s="171" t="s">
        <v>365</v>
      </c>
      <c r="J340" s="132">
        <v>0.9</v>
      </c>
      <c r="K340" s="133">
        <v>0.967741935483871</v>
      </c>
      <c r="L340" s="133">
        <v>0.949367088607595</v>
      </c>
      <c r="M340" s="134">
        <v>0.951219512195122</v>
      </c>
      <c r="N340" s="133">
        <v>0.969485060394151</v>
      </c>
      <c r="O340" s="135">
        <v>0.9</v>
      </c>
      <c r="P340" s="133">
        <v>0.974499089253188</v>
      </c>
      <c r="Q340" s="133">
        <v>0.975836431226766</v>
      </c>
      <c r="R340" s="133">
        <v>0.975727220188788</v>
      </c>
      <c r="S340" s="133">
        <v>0.972848052728667</v>
      </c>
      <c r="T340" s="135">
        <v>0.9</v>
      </c>
      <c r="U340" s="133">
        <v>0.941712204007286</v>
      </c>
      <c r="V340" s="133">
        <v>0.922165427509294</v>
      </c>
      <c r="W340" s="133">
        <v>0.948757464842997</v>
      </c>
      <c r="X340" s="133">
        <v>0.938234501627044</v>
      </c>
      <c r="Y340" s="135">
        <v>0.92</v>
      </c>
      <c r="Z340" s="135">
        <v>0.957017543859649</v>
      </c>
      <c r="AA340" s="135">
        <v>0.95599128540305</v>
      </c>
      <c r="AB340" s="135">
        <v>0.971265539025881</v>
      </c>
      <c r="AC340" s="135">
        <v>0.973042549057703</v>
      </c>
      <c r="AD340" s="135">
        <v>0.92</v>
      </c>
      <c r="AE340" s="133">
        <v>0.999196399871424</v>
      </c>
      <c r="AF340" s="133">
        <v>0.996345363179534</v>
      </c>
      <c r="AG340" s="133">
        <v>0.997247512174465</v>
      </c>
      <c r="AH340" s="133">
        <v>0.997839509333115</v>
      </c>
      <c r="AI340" s="135">
        <v>0.92</v>
      </c>
      <c r="AJ340" s="133">
        <v>0.968117499552212</v>
      </c>
      <c r="AK340" s="133">
        <v>0.965010602847622</v>
      </c>
      <c r="AL340" s="133">
        <v>0.978256572445147</v>
      </c>
      <c r="AM340" s="133">
        <v>0.979111082189106</v>
      </c>
      <c r="AN340" s="132">
        <v>0.99</v>
      </c>
      <c r="AO340" s="137">
        <v>1</v>
      </c>
      <c r="AP340" s="137">
        <v>1</v>
      </c>
      <c r="AQ340" s="137">
        <v>1</v>
      </c>
      <c r="AR340" s="137">
        <v>1</v>
      </c>
      <c r="AS340" s="158">
        <v>0.0739852556983447</v>
      </c>
      <c r="AT340" s="141">
        <v>0.0645161290322581</v>
      </c>
      <c r="AU340" s="141">
        <v>0.0967741935483871</v>
      </c>
      <c r="AV340" s="141">
        <v>0.0612244897959184</v>
      </c>
      <c r="AW340" s="141">
        <v>0.0595382746051033</v>
      </c>
      <c r="AX340" s="95"/>
      <c r="AY340" s="93"/>
    </row>
    <row r="341" ht="14.5" spans="1:51">
      <c r="A341" s="91"/>
      <c r="B341" s="95"/>
      <c r="C341" s="163" t="s">
        <v>350</v>
      </c>
      <c r="D341" s="153" t="s">
        <v>125</v>
      </c>
      <c r="E341" s="130" t="s">
        <v>351</v>
      </c>
      <c r="F341" s="171" t="s">
        <v>366</v>
      </c>
      <c r="G341" s="171" t="s">
        <v>366</v>
      </c>
      <c r="H341" s="171" t="s">
        <v>366</v>
      </c>
      <c r="I341" s="171" t="s">
        <v>366</v>
      </c>
      <c r="J341" s="132">
        <v>0.9</v>
      </c>
      <c r="K341" s="133" t="s">
        <v>35</v>
      </c>
      <c r="L341" s="133" t="s">
        <v>35</v>
      </c>
      <c r="M341" s="134" t="s">
        <v>35</v>
      </c>
      <c r="N341" s="133" t="s">
        <v>35</v>
      </c>
      <c r="O341" s="135">
        <v>0.9</v>
      </c>
      <c r="P341" s="133" t="s">
        <v>35</v>
      </c>
      <c r="Q341" s="133" t="s">
        <v>35</v>
      </c>
      <c r="R341" s="133" t="s">
        <v>35</v>
      </c>
      <c r="S341" s="133" t="s">
        <v>35</v>
      </c>
      <c r="T341" s="135">
        <v>0.9</v>
      </c>
      <c r="U341" s="133" t="s">
        <v>35</v>
      </c>
      <c r="V341" s="133" t="s">
        <v>35</v>
      </c>
      <c r="W341" s="133" t="s">
        <v>35</v>
      </c>
      <c r="X341" s="133" t="s">
        <v>35</v>
      </c>
      <c r="Y341" s="135">
        <v>0.92</v>
      </c>
      <c r="Z341" s="135" t="s">
        <v>35</v>
      </c>
      <c r="AA341" s="135" t="s">
        <v>35</v>
      </c>
      <c r="AB341" s="135" t="s">
        <v>35</v>
      </c>
      <c r="AC341" s="135" t="s">
        <v>35</v>
      </c>
      <c r="AD341" s="135">
        <v>0.92</v>
      </c>
      <c r="AE341" s="133">
        <v>0.99009900990099</v>
      </c>
      <c r="AF341" s="133">
        <v>0.99</v>
      </c>
      <c r="AG341" s="133">
        <v>0.991666666666667</v>
      </c>
      <c r="AH341" s="133">
        <v>0.983546168958743</v>
      </c>
      <c r="AI341" s="135">
        <v>0.92</v>
      </c>
      <c r="AJ341" s="133" t="s">
        <v>35</v>
      </c>
      <c r="AK341" s="133" t="s">
        <v>35</v>
      </c>
      <c r="AL341" s="133" t="s">
        <v>35</v>
      </c>
      <c r="AM341" s="133" t="s">
        <v>35</v>
      </c>
      <c r="AN341" s="132">
        <v>0.99</v>
      </c>
      <c r="AO341" s="137" t="s">
        <v>35</v>
      </c>
      <c r="AP341" s="137" t="s">
        <v>35</v>
      </c>
      <c r="AQ341" s="137" t="s">
        <v>35</v>
      </c>
      <c r="AR341" s="137" t="s">
        <v>35</v>
      </c>
      <c r="AS341" s="158">
        <v>0.0739852556983447</v>
      </c>
      <c r="AT341" s="141" t="s">
        <v>35</v>
      </c>
      <c r="AU341" s="141" t="s">
        <v>35</v>
      </c>
      <c r="AV341" s="141" t="s">
        <v>35</v>
      </c>
      <c r="AW341" s="141" t="s">
        <v>35</v>
      </c>
      <c r="AX341" s="95"/>
      <c r="AY341" s="93"/>
    </row>
    <row r="342" ht="14.5" spans="1:51">
      <c r="A342" s="91"/>
      <c r="B342" s="95"/>
      <c r="C342" s="163" t="s">
        <v>350</v>
      </c>
      <c r="D342" s="153" t="s">
        <v>25</v>
      </c>
      <c r="E342" s="130" t="s">
        <v>351</v>
      </c>
      <c r="F342" s="171" t="s">
        <v>367</v>
      </c>
      <c r="G342" s="171" t="s">
        <v>367</v>
      </c>
      <c r="H342" s="171" t="s">
        <v>367</v>
      </c>
      <c r="I342" s="171" t="s">
        <v>367</v>
      </c>
      <c r="J342" s="132">
        <v>0.9</v>
      </c>
      <c r="K342" s="133">
        <v>0.879310344827586</v>
      </c>
      <c r="L342" s="133">
        <v>0.821428571428571</v>
      </c>
      <c r="M342" s="134">
        <v>0.892857142857143</v>
      </c>
      <c r="N342" s="133">
        <v>0.893596059113301</v>
      </c>
      <c r="O342" s="135">
        <v>0.9</v>
      </c>
      <c r="P342" s="133">
        <v>0.931358721203573</v>
      </c>
      <c r="Q342" s="133">
        <v>0.92039972432805</v>
      </c>
      <c r="R342" s="133">
        <v>0.917871602082128</v>
      </c>
      <c r="S342" s="133">
        <v>0.911432122718729</v>
      </c>
      <c r="T342" s="135">
        <v>0.9</v>
      </c>
      <c r="U342" s="133">
        <v>0.907851433944523</v>
      </c>
      <c r="V342" s="133">
        <v>0.891798759476223</v>
      </c>
      <c r="W342" s="133">
        <v>0.898785425101215</v>
      </c>
      <c r="X342" s="133">
        <v>0.900488085854605</v>
      </c>
      <c r="Y342" s="135">
        <v>0.92</v>
      </c>
      <c r="Z342" s="135">
        <v>0.947867298578199</v>
      </c>
      <c r="AA342" s="135">
        <v>0.907716785998409</v>
      </c>
      <c r="AB342" s="135">
        <v>0.946428571428571</v>
      </c>
      <c r="AC342" s="135">
        <v>0.940513276961875</v>
      </c>
      <c r="AD342" s="135">
        <v>0.92</v>
      </c>
      <c r="AE342" s="133">
        <v>0.991494002181025</v>
      </c>
      <c r="AF342" s="133">
        <v>0.998345740281224</v>
      </c>
      <c r="AG342" s="133">
        <v>0.994994637111191</v>
      </c>
      <c r="AH342" s="133">
        <v>0.940388349514563</v>
      </c>
      <c r="AI342" s="135">
        <v>0.92</v>
      </c>
      <c r="AJ342" s="133">
        <v>0.959941089837997</v>
      </c>
      <c r="AK342" s="133">
        <v>0.937980769230769</v>
      </c>
      <c r="AL342" s="133">
        <v>0.95771878072763</v>
      </c>
      <c r="AM342" s="133">
        <v>0.954989273771216</v>
      </c>
      <c r="AN342" s="132">
        <v>0.99</v>
      </c>
      <c r="AO342" s="137">
        <v>1</v>
      </c>
      <c r="AP342" s="137">
        <v>1</v>
      </c>
      <c r="AQ342" s="137">
        <v>1</v>
      </c>
      <c r="AR342" s="137">
        <v>1</v>
      </c>
      <c r="AS342" s="158">
        <v>0.0739852556983447</v>
      </c>
      <c r="AT342" s="141">
        <v>0.0740740740740741</v>
      </c>
      <c r="AU342" s="141">
        <v>0.0606060606060606</v>
      </c>
      <c r="AV342" s="141">
        <v>0</v>
      </c>
      <c r="AW342" s="141">
        <v>0.0455172413793103</v>
      </c>
      <c r="AX342" s="95"/>
      <c r="AY342" s="93"/>
    </row>
    <row r="343" ht="14.5" spans="1:51">
      <c r="A343" s="91"/>
      <c r="B343" s="95"/>
      <c r="C343" s="163" t="s">
        <v>350</v>
      </c>
      <c r="D343" s="153" t="s">
        <v>125</v>
      </c>
      <c r="E343" s="130" t="s">
        <v>351</v>
      </c>
      <c r="F343" s="171" t="s">
        <v>368</v>
      </c>
      <c r="G343" s="171" t="s">
        <v>368</v>
      </c>
      <c r="H343" s="171" t="s">
        <v>368</v>
      </c>
      <c r="I343" s="171" t="s">
        <v>368</v>
      </c>
      <c r="J343" s="132">
        <v>0.9</v>
      </c>
      <c r="K343" s="133" t="s">
        <v>35</v>
      </c>
      <c r="L343" s="133" t="s">
        <v>35</v>
      </c>
      <c r="M343" s="134" t="s">
        <v>35</v>
      </c>
      <c r="N343" s="133" t="s">
        <v>35</v>
      </c>
      <c r="O343" s="135">
        <v>0.9</v>
      </c>
      <c r="P343" s="133" t="s">
        <v>35</v>
      </c>
      <c r="Q343" s="133" t="s">
        <v>35</v>
      </c>
      <c r="R343" s="133" t="s">
        <v>35</v>
      </c>
      <c r="S343" s="133" t="s">
        <v>35</v>
      </c>
      <c r="T343" s="135">
        <v>0.9</v>
      </c>
      <c r="U343" s="133" t="s">
        <v>35</v>
      </c>
      <c r="V343" s="133" t="s">
        <v>35</v>
      </c>
      <c r="W343" s="133" t="s">
        <v>35</v>
      </c>
      <c r="X343" s="133" t="s">
        <v>35</v>
      </c>
      <c r="Y343" s="135">
        <v>0.92</v>
      </c>
      <c r="Z343" s="135" t="s">
        <v>35</v>
      </c>
      <c r="AA343" s="135" t="s">
        <v>35</v>
      </c>
      <c r="AB343" s="135" t="s">
        <v>35</v>
      </c>
      <c r="AC343" s="135" t="s">
        <v>35</v>
      </c>
      <c r="AD343" s="135">
        <v>0.92</v>
      </c>
      <c r="AE343" s="133">
        <v>1</v>
      </c>
      <c r="AF343" s="133">
        <v>1</v>
      </c>
      <c r="AG343" s="133">
        <v>1</v>
      </c>
      <c r="AH343" s="133">
        <v>0.990392826643894</v>
      </c>
      <c r="AI343" s="135">
        <v>0.92</v>
      </c>
      <c r="AJ343" s="133" t="s">
        <v>35</v>
      </c>
      <c r="AK343" s="133" t="s">
        <v>35</v>
      </c>
      <c r="AL343" s="133" t="s">
        <v>35</v>
      </c>
      <c r="AM343" s="133" t="s">
        <v>35</v>
      </c>
      <c r="AN343" s="132">
        <v>0.99</v>
      </c>
      <c r="AO343" s="137">
        <v>1</v>
      </c>
      <c r="AP343" s="137">
        <v>1</v>
      </c>
      <c r="AQ343" s="137">
        <v>1</v>
      </c>
      <c r="AR343" s="137">
        <v>1</v>
      </c>
      <c r="AS343" s="158">
        <v>0.0739852556983447</v>
      </c>
      <c r="AT343" s="141" t="s">
        <v>35</v>
      </c>
      <c r="AU343" s="141" t="s">
        <v>35</v>
      </c>
      <c r="AV343" s="141" t="s">
        <v>35</v>
      </c>
      <c r="AW343" s="141" t="s">
        <v>35</v>
      </c>
      <c r="AX343" s="95"/>
      <c r="AY343" s="93"/>
    </row>
    <row r="344" ht="14.5" spans="1:51">
      <c r="A344" s="91"/>
      <c r="B344" s="95"/>
      <c r="C344" s="163" t="s">
        <v>350</v>
      </c>
      <c r="D344" s="153" t="s">
        <v>25</v>
      </c>
      <c r="E344" s="130" t="s">
        <v>351</v>
      </c>
      <c r="F344" s="171" t="s">
        <v>369</v>
      </c>
      <c r="G344" s="171" t="s">
        <v>369</v>
      </c>
      <c r="H344" s="171" t="s">
        <v>369</v>
      </c>
      <c r="I344" s="171" t="s">
        <v>369</v>
      </c>
      <c r="J344" s="132">
        <v>0.9</v>
      </c>
      <c r="K344" s="133">
        <v>0.962962962962963</v>
      </c>
      <c r="L344" s="133">
        <v>0.901639344262295</v>
      </c>
      <c r="M344" s="134">
        <v>0.929577464788732</v>
      </c>
      <c r="N344" s="133">
        <v>0.936910804931109</v>
      </c>
      <c r="O344" s="135">
        <v>0.9</v>
      </c>
      <c r="P344" s="133">
        <v>0.946276776606596</v>
      </c>
      <c r="Q344" s="133">
        <v>0.92157394843962</v>
      </c>
      <c r="R344" s="133">
        <v>0.925903119868637</v>
      </c>
      <c r="S344" s="133">
        <v>0.935425043394195</v>
      </c>
      <c r="T344" s="135">
        <v>0.9</v>
      </c>
      <c r="U344" s="133">
        <v>0.902414144848691</v>
      </c>
      <c r="V344" s="133">
        <v>0.890637720488467</v>
      </c>
      <c r="W344" s="133">
        <v>0.908661740558292</v>
      </c>
      <c r="X344" s="133">
        <v>0.919649330960385</v>
      </c>
      <c r="Y344" s="135">
        <v>0.92</v>
      </c>
      <c r="Z344" s="135">
        <v>0.943276283618582</v>
      </c>
      <c r="AA344" s="135">
        <v>0.9323499491353</v>
      </c>
      <c r="AB344" s="135">
        <v>0.945754716981132</v>
      </c>
      <c r="AC344" s="135">
        <v>0.958682993197279</v>
      </c>
      <c r="AD344" s="135">
        <v>0.92</v>
      </c>
      <c r="AE344" s="133">
        <v>0.98144013396595</v>
      </c>
      <c r="AF344" s="133">
        <v>0.996630727762803</v>
      </c>
      <c r="AG344" s="133">
        <v>0.993655034229421</v>
      </c>
      <c r="AH344" s="133">
        <v>0.990054428500742</v>
      </c>
      <c r="AI344" s="135">
        <v>0.92</v>
      </c>
      <c r="AJ344" s="133">
        <v>0.958692600761981</v>
      </c>
      <c r="AK344" s="133">
        <v>0.956698480028279</v>
      </c>
      <c r="AL344" s="133">
        <v>0.962536970095301</v>
      </c>
      <c r="AM344" s="133">
        <v>0.970086753329002</v>
      </c>
      <c r="AN344" s="132">
        <v>0.99</v>
      </c>
      <c r="AO344" s="137">
        <v>1</v>
      </c>
      <c r="AP344" s="137">
        <v>1</v>
      </c>
      <c r="AQ344" s="137">
        <v>1</v>
      </c>
      <c r="AR344" s="137">
        <v>1</v>
      </c>
      <c r="AS344" s="158">
        <v>0.0739852556983447</v>
      </c>
      <c r="AT344" s="141">
        <v>0.0689655172413793</v>
      </c>
      <c r="AU344" s="141">
        <v>0</v>
      </c>
      <c r="AV344" s="141">
        <v>0.115384615384615</v>
      </c>
      <c r="AW344" s="141">
        <v>0.0425824175824176</v>
      </c>
      <c r="AX344" s="95"/>
      <c r="AY344" s="93"/>
    </row>
    <row r="345" ht="14.5" spans="1:51">
      <c r="A345" s="91"/>
      <c r="B345" s="95"/>
      <c r="C345" s="163" t="s">
        <v>350</v>
      </c>
      <c r="D345" s="153" t="s">
        <v>125</v>
      </c>
      <c r="E345" s="130" t="s">
        <v>351</v>
      </c>
      <c r="F345" s="171" t="s">
        <v>370</v>
      </c>
      <c r="G345" s="171" t="s">
        <v>370</v>
      </c>
      <c r="H345" s="171" t="s">
        <v>370</v>
      </c>
      <c r="I345" s="171" t="s">
        <v>370</v>
      </c>
      <c r="J345" s="132">
        <v>0.9</v>
      </c>
      <c r="K345" s="133" t="s">
        <v>35</v>
      </c>
      <c r="L345" s="133" t="s">
        <v>35</v>
      </c>
      <c r="M345" s="134" t="s">
        <v>35</v>
      </c>
      <c r="N345" s="133" t="s">
        <v>35</v>
      </c>
      <c r="O345" s="135">
        <v>0.9</v>
      </c>
      <c r="P345" s="133">
        <v>1</v>
      </c>
      <c r="Q345" s="133">
        <v>1</v>
      </c>
      <c r="R345" s="133">
        <v>0.5</v>
      </c>
      <c r="S345" s="133">
        <v>0.931034482758621</v>
      </c>
      <c r="T345" s="135">
        <v>0.9</v>
      </c>
      <c r="U345" s="133">
        <v>0</v>
      </c>
      <c r="V345" s="133">
        <v>1</v>
      </c>
      <c r="W345" s="133">
        <v>1</v>
      </c>
      <c r="X345" s="133">
        <v>0.724137931034483</v>
      </c>
      <c r="Y345" s="135">
        <v>0.92</v>
      </c>
      <c r="Z345" s="135" t="s">
        <v>35</v>
      </c>
      <c r="AA345" s="135" t="s">
        <v>35</v>
      </c>
      <c r="AB345" s="135" t="s">
        <v>35</v>
      </c>
      <c r="AC345" s="135">
        <v>1</v>
      </c>
      <c r="AD345" s="135">
        <v>0.92</v>
      </c>
      <c r="AE345" s="133">
        <v>0.998239436619718</v>
      </c>
      <c r="AF345" s="133">
        <v>0.995144059566203</v>
      </c>
      <c r="AG345" s="133">
        <v>0.999091734786558</v>
      </c>
      <c r="AH345" s="133">
        <v>0.992948966442109</v>
      </c>
      <c r="AI345" s="135">
        <v>0.92</v>
      </c>
      <c r="AJ345" s="133">
        <v>0</v>
      </c>
      <c r="AK345" s="133">
        <v>1</v>
      </c>
      <c r="AL345" s="133">
        <v>1</v>
      </c>
      <c r="AM345" s="133">
        <v>0.810810810810811</v>
      </c>
      <c r="AN345" s="132">
        <v>0.99</v>
      </c>
      <c r="AO345" s="137">
        <v>1</v>
      </c>
      <c r="AP345" s="137">
        <v>1</v>
      </c>
      <c r="AQ345" s="137">
        <v>1</v>
      </c>
      <c r="AR345" s="137">
        <v>1</v>
      </c>
      <c r="AS345" s="158">
        <v>0.0739852556983447</v>
      </c>
      <c r="AT345" s="141" t="s">
        <v>35</v>
      </c>
      <c r="AU345" s="141">
        <v>0</v>
      </c>
      <c r="AV345" s="141" t="s">
        <v>35</v>
      </c>
      <c r="AW345" s="141">
        <v>0</v>
      </c>
      <c r="AX345" s="95"/>
      <c r="AY345" s="93"/>
    </row>
    <row r="346" ht="14.5" spans="1:51">
      <c r="A346" s="91"/>
      <c r="B346" s="95"/>
      <c r="C346" s="163" t="s">
        <v>350</v>
      </c>
      <c r="D346" s="153" t="s">
        <v>125</v>
      </c>
      <c r="E346" s="130" t="s">
        <v>351</v>
      </c>
      <c r="F346" s="171" t="s">
        <v>371</v>
      </c>
      <c r="G346" s="171" t="s">
        <v>371</v>
      </c>
      <c r="H346" s="171" t="s">
        <v>371</v>
      </c>
      <c r="I346" s="171" t="s">
        <v>371</v>
      </c>
      <c r="J346" s="132">
        <v>0.9</v>
      </c>
      <c r="K346" s="133" t="s">
        <v>35</v>
      </c>
      <c r="L346" s="133" t="s">
        <v>35</v>
      </c>
      <c r="M346" s="134" t="s">
        <v>35</v>
      </c>
      <c r="N346" s="133" t="s">
        <v>35</v>
      </c>
      <c r="O346" s="135">
        <v>0.9</v>
      </c>
      <c r="P346" s="133" t="s">
        <v>35</v>
      </c>
      <c r="Q346" s="133" t="s">
        <v>35</v>
      </c>
      <c r="R346" s="133" t="s">
        <v>35</v>
      </c>
      <c r="S346" s="133">
        <v>0.5</v>
      </c>
      <c r="T346" s="135">
        <v>0.9</v>
      </c>
      <c r="U346" s="133" t="s">
        <v>35</v>
      </c>
      <c r="V346" s="133" t="s">
        <v>35</v>
      </c>
      <c r="W346" s="133" t="s">
        <v>35</v>
      </c>
      <c r="X346" s="133">
        <v>0</v>
      </c>
      <c r="Y346" s="135">
        <v>0.92</v>
      </c>
      <c r="Z346" s="135" t="s">
        <v>35</v>
      </c>
      <c r="AA346" s="135" t="s">
        <v>35</v>
      </c>
      <c r="AB346" s="135" t="s">
        <v>35</v>
      </c>
      <c r="AC346" s="135" t="s">
        <v>35</v>
      </c>
      <c r="AD346" s="135">
        <v>0.92</v>
      </c>
      <c r="AE346" s="133">
        <v>0.999248120300752</v>
      </c>
      <c r="AF346" s="133">
        <v>1</v>
      </c>
      <c r="AG346" s="133">
        <v>1</v>
      </c>
      <c r="AH346" s="133">
        <v>0.96258414653238</v>
      </c>
      <c r="AI346" s="135">
        <v>0.92</v>
      </c>
      <c r="AJ346" s="133" t="s">
        <v>35</v>
      </c>
      <c r="AK346" s="133" t="s">
        <v>35</v>
      </c>
      <c r="AL346" s="133" t="s">
        <v>35</v>
      </c>
      <c r="AM346" s="133">
        <v>0</v>
      </c>
      <c r="AN346" s="132">
        <v>0.99</v>
      </c>
      <c r="AO346" s="137">
        <v>1</v>
      </c>
      <c r="AP346" s="137" t="s">
        <v>35</v>
      </c>
      <c r="AQ346" s="137" t="s">
        <v>35</v>
      </c>
      <c r="AR346" s="137">
        <v>1</v>
      </c>
      <c r="AS346" s="158">
        <v>0.0739852556983447</v>
      </c>
      <c r="AT346" s="141" t="s">
        <v>35</v>
      </c>
      <c r="AU346" s="141" t="s">
        <v>35</v>
      </c>
      <c r="AV346" s="141" t="s">
        <v>35</v>
      </c>
      <c r="AW346" s="141" t="s">
        <v>35</v>
      </c>
      <c r="AX346" s="95"/>
      <c r="AY346" s="93"/>
    </row>
    <row r="347" ht="14.5" spans="1:51">
      <c r="A347" s="91"/>
      <c r="B347" s="95"/>
      <c r="C347" s="163" t="s">
        <v>350</v>
      </c>
      <c r="D347" s="153" t="s">
        <v>125</v>
      </c>
      <c r="E347" s="130" t="s">
        <v>351</v>
      </c>
      <c r="F347" s="171" t="s">
        <v>372</v>
      </c>
      <c r="G347" s="171" t="s">
        <v>372</v>
      </c>
      <c r="H347" s="171" t="s">
        <v>372</v>
      </c>
      <c r="I347" s="171" t="s">
        <v>372</v>
      </c>
      <c r="J347" s="132">
        <v>0.9</v>
      </c>
      <c r="K347" s="133" t="s">
        <v>35</v>
      </c>
      <c r="L347" s="133" t="s">
        <v>35</v>
      </c>
      <c r="M347" s="134" t="s">
        <v>35</v>
      </c>
      <c r="N347" s="133" t="s">
        <v>35</v>
      </c>
      <c r="O347" s="135">
        <v>0.9</v>
      </c>
      <c r="P347" s="133" t="s">
        <v>35</v>
      </c>
      <c r="Q347" s="133" t="s">
        <v>35</v>
      </c>
      <c r="R347" s="133" t="s">
        <v>35</v>
      </c>
      <c r="S347" s="133">
        <v>0</v>
      </c>
      <c r="T347" s="135">
        <v>0.9</v>
      </c>
      <c r="U347" s="133" t="s">
        <v>35</v>
      </c>
      <c r="V347" s="133" t="s">
        <v>35</v>
      </c>
      <c r="W347" s="133" t="s">
        <v>35</v>
      </c>
      <c r="X347" s="133">
        <v>0.5</v>
      </c>
      <c r="Y347" s="135">
        <v>0.92</v>
      </c>
      <c r="Z347" s="135" t="s">
        <v>35</v>
      </c>
      <c r="AA347" s="135" t="s">
        <v>35</v>
      </c>
      <c r="AB347" s="135" t="s">
        <v>35</v>
      </c>
      <c r="AC347" s="135" t="s">
        <v>35</v>
      </c>
      <c r="AD347" s="135">
        <v>0.92</v>
      </c>
      <c r="AE347" s="133">
        <v>0.99955985915493</v>
      </c>
      <c r="AF347" s="133">
        <v>0.984493670886076</v>
      </c>
      <c r="AG347" s="133">
        <v>0.986784140969163</v>
      </c>
      <c r="AH347" s="133">
        <v>0.955812217160097</v>
      </c>
      <c r="AI347" s="135">
        <v>0.92</v>
      </c>
      <c r="AJ347" s="133" t="s">
        <v>35</v>
      </c>
      <c r="AK347" s="133" t="s">
        <v>35</v>
      </c>
      <c r="AL347" s="133" t="s">
        <v>35</v>
      </c>
      <c r="AM347" s="133">
        <v>0.666666666666667</v>
      </c>
      <c r="AN347" s="132">
        <v>0.99</v>
      </c>
      <c r="AO347" s="137" t="s">
        <v>35</v>
      </c>
      <c r="AP347" s="137" t="s">
        <v>35</v>
      </c>
      <c r="AQ347" s="137" t="s">
        <v>35</v>
      </c>
      <c r="AR347" s="137">
        <v>1</v>
      </c>
      <c r="AS347" s="158">
        <v>0.0739852556983447</v>
      </c>
      <c r="AT347" s="141">
        <v>0</v>
      </c>
      <c r="AU347" s="141" t="s">
        <v>35</v>
      </c>
      <c r="AV347" s="141" t="s">
        <v>35</v>
      </c>
      <c r="AW347" s="141">
        <v>0</v>
      </c>
      <c r="AX347" s="95"/>
      <c r="AY347" s="93"/>
    </row>
    <row r="348" ht="14.5" spans="1:51">
      <c r="A348" s="91"/>
      <c r="B348" s="95"/>
      <c r="C348" s="163" t="s">
        <v>350</v>
      </c>
      <c r="D348" s="153" t="s">
        <v>125</v>
      </c>
      <c r="E348" s="130" t="s">
        <v>351</v>
      </c>
      <c r="F348" s="171" t="s">
        <v>373</v>
      </c>
      <c r="G348" s="171" t="s">
        <v>373</v>
      </c>
      <c r="H348" s="171" t="s">
        <v>373</v>
      </c>
      <c r="I348" s="171" t="s">
        <v>373</v>
      </c>
      <c r="J348" s="132">
        <v>0.9</v>
      </c>
      <c r="K348" s="133" t="s">
        <v>35</v>
      </c>
      <c r="L348" s="133" t="s">
        <v>35</v>
      </c>
      <c r="M348" s="134" t="s">
        <v>35</v>
      </c>
      <c r="N348" s="133" t="s">
        <v>35</v>
      </c>
      <c r="O348" s="135">
        <v>0.9</v>
      </c>
      <c r="P348" s="133">
        <v>0.75</v>
      </c>
      <c r="Q348" s="133">
        <v>0.5</v>
      </c>
      <c r="R348" s="133">
        <v>0</v>
      </c>
      <c r="S348" s="133">
        <v>0.785714285714286</v>
      </c>
      <c r="T348" s="135">
        <v>0.9</v>
      </c>
      <c r="U348" s="133">
        <v>0.5</v>
      </c>
      <c r="V348" s="133">
        <v>0.5</v>
      </c>
      <c r="W348" s="133">
        <v>1</v>
      </c>
      <c r="X348" s="133">
        <v>0.821428571428571</v>
      </c>
      <c r="Y348" s="135">
        <v>0.92</v>
      </c>
      <c r="Z348" s="135">
        <v>1</v>
      </c>
      <c r="AA348" s="135" t="s">
        <v>35</v>
      </c>
      <c r="AB348" s="135" t="s">
        <v>35</v>
      </c>
      <c r="AC348" s="135">
        <v>0.25</v>
      </c>
      <c r="AD348" s="135">
        <v>0.92</v>
      </c>
      <c r="AE348" s="133">
        <v>0.996785781811307</v>
      </c>
      <c r="AF348" s="133">
        <v>0.991472427515634</v>
      </c>
      <c r="AG348" s="133">
        <v>0.996113602391629</v>
      </c>
      <c r="AH348" s="133">
        <v>0.822976114225673</v>
      </c>
      <c r="AI348" s="135">
        <v>0.92</v>
      </c>
      <c r="AJ348" s="133">
        <v>0.6</v>
      </c>
      <c r="AK348" s="133">
        <v>0.5</v>
      </c>
      <c r="AL348" s="133">
        <v>1</v>
      </c>
      <c r="AM348" s="133">
        <v>0.75</v>
      </c>
      <c r="AN348" s="132">
        <v>0.99</v>
      </c>
      <c r="AO348" s="137">
        <v>1</v>
      </c>
      <c r="AP348" s="137">
        <v>1</v>
      </c>
      <c r="AQ348" s="137">
        <v>1</v>
      </c>
      <c r="AR348" s="137">
        <v>1</v>
      </c>
      <c r="AS348" s="158">
        <v>0.0739852556983447</v>
      </c>
      <c r="AT348" s="141">
        <v>0</v>
      </c>
      <c r="AU348" s="141" t="s">
        <v>35</v>
      </c>
      <c r="AV348" s="141">
        <v>0</v>
      </c>
      <c r="AW348" s="141">
        <v>0</v>
      </c>
      <c r="AX348" s="95"/>
      <c r="AY348" s="93"/>
    </row>
    <row r="349" ht="14.5" spans="1:51">
      <c r="A349" s="91"/>
      <c r="B349" s="95"/>
      <c r="C349" s="163" t="s">
        <v>350</v>
      </c>
      <c r="D349" s="153" t="s">
        <v>125</v>
      </c>
      <c r="E349" s="130" t="s">
        <v>351</v>
      </c>
      <c r="F349" s="171" t="s">
        <v>374</v>
      </c>
      <c r="G349" s="171" t="s">
        <v>374</v>
      </c>
      <c r="H349" s="171" t="s">
        <v>374</v>
      </c>
      <c r="I349" s="171" t="s">
        <v>374</v>
      </c>
      <c r="J349" s="132">
        <v>0.9</v>
      </c>
      <c r="K349" s="133" t="s">
        <v>35</v>
      </c>
      <c r="L349" s="133" t="s">
        <v>35</v>
      </c>
      <c r="M349" s="134" t="s">
        <v>35</v>
      </c>
      <c r="N349" s="133" t="s">
        <v>35</v>
      </c>
      <c r="O349" s="135">
        <v>0.9</v>
      </c>
      <c r="P349" s="133">
        <v>0.0120481927710843</v>
      </c>
      <c r="Q349" s="133">
        <v>0.0246913580246914</v>
      </c>
      <c r="R349" s="133">
        <v>0.0263157894736842</v>
      </c>
      <c r="S349" s="133">
        <v>0.0202922077922078</v>
      </c>
      <c r="T349" s="135">
        <v>0.9</v>
      </c>
      <c r="U349" s="133">
        <v>0.0120481927710843</v>
      </c>
      <c r="V349" s="133">
        <v>0.0246913580246914</v>
      </c>
      <c r="W349" s="133">
        <v>0.0263157894736842</v>
      </c>
      <c r="X349" s="133">
        <v>0.0211038961038961</v>
      </c>
      <c r="Y349" s="135">
        <v>0.92</v>
      </c>
      <c r="Z349" s="135" t="s">
        <v>35</v>
      </c>
      <c r="AA349" s="135" t="s">
        <v>35</v>
      </c>
      <c r="AB349" s="135" t="s">
        <v>35</v>
      </c>
      <c r="AC349" s="135">
        <v>0.333333333333333</v>
      </c>
      <c r="AD349" s="135">
        <v>0.92</v>
      </c>
      <c r="AE349" s="133">
        <v>0.894032646507894</v>
      </c>
      <c r="AF349" s="133">
        <v>1</v>
      </c>
      <c r="AG349" s="133">
        <v>0.907259407259407</v>
      </c>
      <c r="AH349" s="133">
        <v>0.922800680073095</v>
      </c>
      <c r="AI349" s="135">
        <v>0.92</v>
      </c>
      <c r="AJ349" s="133">
        <v>0.891566265060241</v>
      </c>
      <c r="AK349" s="133">
        <v>0.0246913580246914</v>
      </c>
      <c r="AL349" s="133">
        <v>0.0263157894736842</v>
      </c>
      <c r="AM349" s="133">
        <v>0.690688259109312</v>
      </c>
      <c r="AN349" s="132">
        <v>0.99</v>
      </c>
      <c r="AO349" s="137">
        <v>1</v>
      </c>
      <c r="AP349" s="137" t="s">
        <v>35</v>
      </c>
      <c r="AQ349" s="137">
        <v>1</v>
      </c>
      <c r="AR349" s="137">
        <v>1</v>
      </c>
      <c r="AS349" s="158">
        <v>0.0739852556983447</v>
      </c>
      <c r="AT349" s="141">
        <v>0</v>
      </c>
      <c r="AU349" s="141" t="s">
        <v>35</v>
      </c>
      <c r="AV349" s="141" t="s">
        <v>35</v>
      </c>
      <c r="AW349" s="141">
        <v>0</v>
      </c>
      <c r="AX349" s="95"/>
      <c r="AY349" s="93"/>
    </row>
    <row r="350" ht="14.5" spans="1:51">
      <c r="A350" s="91"/>
      <c r="B350" s="95"/>
      <c r="C350" s="159"/>
      <c r="D350" s="160"/>
      <c r="E350" s="159"/>
      <c r="F350" s="159"/>
      <c r="G350" s="159"/>
      <c r="H350" s="159"/>
      <c r="I350" s="159"/>
      <c r="J350" s="162"/>
      <c r="K350" s="147"/>
      <c r="L350" s="147"/>
      <c r="M350" s="134"/>
      <c r="N350" s="147"/>
      <c r="O350" s="150"/>
      <c r="P350" s="147"/>
      <c r="Q350" s="147"/>
      <c r="R350" s="133"/>
      <c r="S350" s="147"/>
      <c r="T350" s="150"/>
      <c r="U350" s="147"/>
      <c r="V350" s="147"/>
      <c r="W350" s="133"/>
      <c r="X350" s="147"/>
      <c r="Y350" s="150"/>
      <c r="Z350" s="150"/>
      <c r="AA350" s="150"/>
      <c r="AB350" s="135"/>
      <c r="AC350" s="150"/>
      <c r="AD350" s="147"/>
      <c r="AE350" s="147"/>
      <c r="AF350" s="147"/>
      <c r="AG350" s="133"/>
      <c r="AH350" s="147"/>
      <c r="AI350" s="147"/>
      <c r="AJ350" s="147"/>
      <c r="AK350" s="147"/>
      <c r="AL350" s="133"/>
      <c r="AM350" s="147"/>
      <c r="AN350" s="146"/>
      <c r="AO350" s="146"/>
      <c r="AP350" s="146"/>
      <c r="AQ350" s="137"/>
      <c r="AR350" s="146"/>
      <c r="AS350" s="147"/>
      <c r="AT350" s="146"/>
      <c r="AU350" s="146"/>
      <c r="AV350" s="141"/>
      <c r="AW350" s="146"/>
      <c r="AX350" s="95"/>
      <c r="AY350" s="93"/>
    </row>
    <row r="351" ht="14.5" spans="1:51">
      <c r="A351" s="91"/>
      <c r="B351" s="95"/>
      <c r="C351" s="152" t="s">
        <v>375</v>
      </c>
      <c r="D351" s="153" t="s">
        <v>25</v>
      </c>
      <c r="E351" s="130" t="s">
        <v>376</v>
      </c>
      <c r="F351" s="154" t="s">
        <v>377</v>
      </c>
      <c r="G351" s="154" t="s">
        <v>377</v>
      </c>
      <c r="H351" s="154" t="s">
        <v>377</v>
      </c>
      <c r="I351" s="154" t="s">
        <v>377</v>
      </c>
      <c r="J351" s="132">
        <v>0.9</v>
      </c>
      <c r="K351" s="133">
        <v>0.888888888888889</v>
      </c>
      <c r="L351" s="133">
        <v>0.973684210526316</v>
      </c>
      <c r="M351" s="134">
        <v>0.853658536585366</v>
      </c>
      <c r="N351" s="133">
        <v>0.914518317503392</v>
      </c>
      <c r="O351" s="135">
        <v>0.9</v>
      </c>
      <c r="P351" s="133">
        <v>0.972952667167543</v>
      </c>
      <c r="Q351" s="133">
        <v>0.968761351253178</v>
      </c>
      <c r="R351" s="133">
        <v>0.928400954653938</v>
      </c>
      <c r="S351" s="133">
        <v>0.965495897000566</v>
      </c>
      <c r="T351" s="135">
        <v>0.9</v>
      </c>
      <c r="U351" s="133">
        <v>0.84748309541698</v>
      </c>
      <c r="V351" s="133">
        <v>0.783872139484199</v>
      </c>
      <c r="W351" s="133">
        <v>0.845465393794749</v>
      </c>
      <c r="X351" s="133">
        <v>0.823588709677419</v>
      </c>
      <c r="Y351" s="135">
        <v>0.92</v>
      </c>
      <c r="Z351" s="135">
        <v>0.866459627329193</v>
      </c>
      <c r="AA351" s="135">
        <v>0.809734513274336</v>
      </c>
      <c r="AB351" s="135">
        <v>0.850345356868764</v>
      </c>
      <c r="AC351" s="135">
        <v>0.857031655422937</v>
      </c>
      <c r="AD351" s="135">
        <v>0.92</v>
      </c>
      <c r="AE351" s="133">
        <v>0.986973947895792</v>
      </c>
      <c r="AF351" s="133">
        <v>0.921195652173913</v>
      </c>
      <c r="AG351" s="133">
        <v>0.98220640569395</v>
      </c>
      <c r="AH351" s="133">
        <v>0.971789360558839</v>
      </c>
      <c r="AI351" s="135">
        <v>0.92</v>
      </c>
      <c r="AJ351" s="133">
        <v>0.928137651821862</v>
      </c>
      <c r="AK351" s="133">
        <v>0.918706293706294</v>
      </c>
      <c r="AL351" s="133">
        <v>0.934264232008593</v>
      </c>
      <c r="AM351" s="133">
        <v>0.937713479367508</v>
      </c>
      <c r="AN351" s="132">
        <v>0.99</v>
      </c>
      <c r="AO351" s="137">
        <v>1</v>
      </c>
      <c r="AP351" s="137">
        <v>1</v>
      </c>
      <c r="AQ351" s="137">
        <v>1</v>
      </c>
      <c r="AR351" s="137">
        <v>1</v>
      </c>
      <c r="AS351" s="158">
        <v>0.05</v>
      </c>
      <c r="AT351" s="141">
        <v>0.111111111111111</v>
      </c>
      <c r="AU351" s="141">
        <v>0.25</v>
      </c>
      <c r="AV351" s="141">
        <v>0</v>
      </c>
      <c r="AW351" s="141">
        <v>0.0887096774193548</v>
      </c>
      <c r="AX351" s="95"/>
      <c r="AY351" s="93"/>
    </row>
    <row r="352" ht="14.5" spans="1:51">
      <c r="A352" s="91"/>
      <c r="B352" s="95"/>
      <c r="C352" s="152" t="s">
        <v>375</v>
      </c>
      <c r="D352" s="153" t="s">
        <v>25</v>
      </c>
      <c r="E352" s="130" t="s">
        <v>376</v>
      </c>
      <c r="F352" s="154" t="s">
        <v>378</v>
      </c>
      <c r="G352" s="154" t="s">
        <v>378</v>
      </c>
      <c r="H352" s="154" t="s">
        <v>378</v>
      </c>
      <c r="I352" s="154" t="s">
        <v>378</v>
      </c>
      <c r="J352" s="132">
        <v>0.9</v>
      </c>
      <c r="K352" s="133">
        <v>0.956521739130435</v>
      </c>
      <c r="L352" s="133">
        <v>1</v>
      </c>
      <c r="M352" s="134">
        <v>0.956521739130435</v>
      </c>
      <c r="N352" s="133">
        <v>0.981524249422633</v>
      </c>
      <c r="O352" s="135">
        <v>0.9</v>
      </c>
      <c r="P352" s="133">
        <v>0.985604606525912</v>
      </c>
      <c r="Q352" s="133">
        <v>0.995611629182666</v>
      </c>
      <c r="R352" s="133">
        <v>0.993805309734513</v>
      </c>
      <c r="S352" s="133">
        <v>0.994106535700793</v>
      </c>
      <c r="T352" s="135">
        <v>0.9</v>
      </c>
      <c r="U352" s="133">
        <v>0.865642994241843</v>
      </c>
      <c r="V352" s="133">
        <v>0.838178826110806</v>
      </c>
      <c r="W352" s="133">
        <v>0.823893805309735</v>
      </c>
      <c r="X352" s="133">
        <v>0.844956554590102</v>
      </c>
      <c r="Y352" s="135">
        <v>0.92</v>
      </c>
      <c r="Z352" s="135">
        <v>0.940625</v>
      </c>
      <c r="AA352" s="135">
        <v>0.933852140077821</v>
      </c>
      <c r="AB352" s="135">
        <v>0.930082796688132</v>
      </c>
      <c r="AC352" s="135">
        <v>0.946464339908953</v>
      </c>
      <c r="AD352" s="135">
        <v>0.92</v>
      </c>
      <c r="AE352" s="133">
        <v>1</v>
      </c>
      <c r="AF352" s="133">
        <v>0.970027247956403</v>
      </c>
      <c r="AG352" s="133">
        <v>0.940119760479042</v>
      </c>
      <c r="AH352" s="133">
        <v>0.99486375220545</v>
      </c>
      <c r="AI352" s="135">
        <v>0.92</v>
      </c>
      <c r="AJ352" s="133">
        <v>0.951843043995244</v>
      </c>
      <c r="AK352" s="133">
        <v>0.960650128314799</v>
      </c>
      <c r="AL352" s="133">
        <v>0.966238422467882</v>
      </c>
      <c r="AM352" s="133">
        <v>0.974069657762195</v>
      </c>
      <c r="AN352" s="132">
        <v>0.99</v>
      </c>
      <c r="AO352" s="137">
        <v>1</v>
      </c>
      <c r="AP352" s="137">
        <v>1</v>
      </c>
      <c r="AQ352" s="137">
        <v>1</v>
      </c>
      <c r="AR352" s="137">
        <v>1</v>
      </c>
      <c r="AS352" s="158">
        <v>0.05</v>
      </c>
      <c r="AT352" s="141">
        <v>0</v>
      </c>
      <c r="AU352" s="141">
        <v>0.2</v>
      </c>
      <c r="AV352" s="141">
        <v>0.0909090909090909</v>
      </c>
      <c r="AW352" s="141">
        <v>0.0849673202614379</v>
      </c>
      <c r="AX352" s="95"/>
      <c r="AY352" s="93"/>
    </row>
    <row r="353" ht="14.5" spans="1:51">
      <c r="A353" s="91"/>
      <c r="B353" s="95"/>
      <c r="C353" s="152" t="s">
        <v>375</v>
      </c>
      <c r="D353" s="153" t="s">
        <v>25</v>
      </c>
      <c r="E353" s="130" t="s">
        <v>376</v>
      </c>
      <c r="F353" s="154" t="s">
        <v>379</v>
      </c>
      <c r="G353" s="154" t="s">
        <v>379</v>
      </c>
      <c r="H353" s="154" t="s">
        <v>379</v>
      </c>
      <c r="I353" s="154" t="s">
        <v>379</v>
      </c>
      <c r="J353" s="132">
        <v>0.9</v>
      </c>
      <c r="K353" s="133">
        <v>1</v>
      </c>
      <c r="L353" s="133">
        <v>0.952380952380952</v>
      </c>
      <c r="M353" s="134">
        <v>0.951219512195122</v>
      </c>
      <c r="N353" s="133">
        <v>0.964824120603015</v>
      </c>
      <c r="O353" s="135">
        <v>0.9</v>
      </c>
      <c r="P353" s="133">
        <v>0.954735959765298</v>
      </c>
      <c r="Q353" s="133">
        <v>0.968902709906708</v>
      </c>
      <c r="R353" s="133">
        <v>0.934306569343066</v>
      </c>
      <c r="S353" s="133">
        <v>0.959924285597981</v>
      </c>
      <c r="T353" s="135">
        <v>0.9</v>
      </c>
      <c r="U353" s="133">
        <v>0.854149203688181</v>
      </c>
      <c r="V353" s="133">
        <v>0.710795202132386</v>
      </c>
      <c r="W353" s="133">
        <v>0.773390842733908</v>
      </c>
      <c r="X353" s="133">
        <v>0.800170968004559</v>
      </c>
      <c r="Y353" s="135">
        <v>0.92</v>
      </c>
      <c r="Z353" s="135">
        <v>0.850746268656716</v>
      </c>
      <c r="AA353" s="135">
        <v>0.766990291262136</v>
      </c>
      <c r="AB353" s="135">
        <v>0.883828996282528</v>
      </c>
      <c r="AC353" s="135">
        <v>0.880837988826816</v>
      </c>
      <c r="AD353" s="135">
        <v>0.92</v>
      </c>
      <c r="AE353" s="133">
        <v>1</v>
      </c>
      <c r="AF353" s="133">
        <v>0.99860529986053</v>
      </c>
      <c r="AG353" s="133">
        <v>0.997503744383425</v>
      </c>
      <c r="AH353" s="133">
        <v>0.986300616197183</v>
      </c>
      <c r="AI353" s="135">
        <v>0.92</v>
      </c>
      <c r="AJ353" s="133">
        <v>0.919265033407572</v>
      </c>
      <c r="AK353" s="133">
        <v>0.917421602787456</v>
      </c>
      <c r="AL353" s="133">
        <v>0.946943765281174</v>
      </c>
      <c r="AM353" s="133">
        <v>0.953003117216281</v>
      </c>
      <c r="AN353" s="132">
        <v>0.99</v>
      </c>
      <c r="AO353" s="137">
        <v>1</v>
      </c>
      <c r="AP353" s="137">
        <v>1</v>
      </c>
      <c r="AQ353" s="137">
        <v>1</v>
      </c>
      <c r="AR353" s="137">
        <v>1</v>
      </c>
      <c r="AS353" s="158">
        <v>0.05</v>
      </c>
      <c r="AT353" s="141">
        <v>0</v>
      </c>
      <c r="AU353" s="141">
        <v>0.111111111111111</v>
      </c>
      <c r="AV353" s="141">
        <v>0</v>
      </c>
      <c r="AW353" s="141">
        <v>0.0506912442396313</v>
      </c>
      <c r="AX353" s="95"/>
      <c r="AY353" s="93"/>
    </row>
    <row r="354" ht="14.5" spans="1:51">
      <c r="A354" s="91"/>
      <c r="B354" s="95"/>
      <c r="C354" s="152" t="s">
        <v>375</v>
      </c>
      <c r="D354" s="153" t="s">
        <v>25</v>
      </c>
      <c r="E354" s="130" t="s">
        <v>376</v>
      </c>
      <c r="F354" s="154" t="s">
        <v>380</v>
      </c>
      <c r="G354" s="154" t="s">
        <v>380</v>
      </c>
      <c r="H354" s="154" t="s">
        <v>380</v>
      </c>
      <c r="I354" s="154" t="s">
        <v>380</v>
      </c>
      <c r="J354" s="132">
        <v>0.9</v>
      </c>
      <c r="K354" s="133">
        <v>0.95</v>
      </c>
      <c r="L354" s="133">
        <v>0.934782608695652</v>
      </c>
      <c r="M354" s="134">
        <v>0.901960784313726</v>
      </c>
      <c r="N354" s="133">
        <v>0.934758155230596</v>
      </c>
      <c r="O354" s="135">
        <v>0.9</v>
      </c>
      <c r="P354" s="133">
        <v>0.914821124361158</v>
      </c>
      <c r="Q354" s="133">
        <v>0.932240781594705</v>
      </c>
      <c r="R354" s="133">
        <v>0.892813040256854</v>
      </c>
      <c r="S354" s="133">
        <v>0.918087723763468</v>
      </c>
      <c r="T354" s="135">
        <v>0.9</v>
      </c>
      <c r="U354" s="133">
        <v>0.773424190800681</v>
      </c>
      <c r="V354" s="133">
        <v>0.769933816577372</v>
      </c>
      <c r="W354" s="133">
        <v>0.735243269943196</v>
      </c>
      <c r="X354" s="133">
        <v>0.704236305534346</v>
      </c>
      <c r="Y354" s="135">
        <v>0.92</v>
      </c>
      <c r="Z354" s="135">
        <v>0.864618885096701</v>
      </c>
      <c r="AA354" s="135">
        <v>0.797956867196368</v>
      </c>
      <c r="AB354" s="135">
        <v>0.872367581365667</v>
      </c>
      <c r="AC354" s="135">
        <v>0.839314683654493</v>
      </c>
      <c r="AD354" s="135">
        <v>0.92</v>
      </c>
      <c r="AE354" s="133">
        <v>0.99031007751938</v>
      </c>
      <c r="AF354" s="133">
        <v>0.815315315315315</v>
      </c>
      <c r="AG354" s="133">
        <v>0.981176470588235</v>
      </c>
      <c r="AH354" s="133">
        <v>0.976221079691517</v>
      </c>
      <c r="AI354" s="135">
        <v>0.92</v>
      </c>
      <c r="AJ354" s="133">
        <v>0.918181818181818</v>
      </c>
      <c r="AK354" s="133">
        <v>0.914405525407005</v>
      </c>
      <c r="AL354" s="133">
        <v>0.94250622997508</v>
      </c>
      <c r="AM354" s="133">
        <v>0.936019080749482</v>
      </c>
      <c r="AN354" s="132">
        <v>0.99</v>
      </c>
      <c r="AO354" s="137">
        <v>1</v>
      </c>
      <c r="AP354" s="137">
        <v>1</v>
      </c>
      <c r="AQ354" s="137">
        <v>1</v>
      </c>
      <c r="AR354" s="137">
        <v>1</v>
      </c>
      <c r="AS354" s="158">
        <v>0.05</v>
      </c>
      <c r="AT354" s="141">
        <v>0</v>
      </c>
      <c r="AU354" s="141">
        <v>0</v>
      </c>
      <c r="AV354" s="141">
        <v>0.176470588235294</v>
      </c>
      <c r="AW354" s="141">
        <v>0.0948275862068965</v>
      </c>
      <c r="AX354" s="95"/>
      <c r="AY354" s="93"/>
    </row>
    <row r="355" ht="14.5" spans="1:51">
      <c r="A355" s="91"/>
      <c r="B355" s="95"/>
      <c r="C355" s="152" t="s">
        <v>375</v>
      </c>
      <c r="D355" s="153" t="s">
        <v>25</v>
      </c>
      <c r="E355" s="130" t="s">
        <v>376</v>
      </c>
      <c r="F355" s="154" t="s">
        <v>381</v>
      </c>
      <c r="G355" s="154" t="s">
        <v>381</v>
      </c>
      <c r="H355" s="154" t="s">
        <v>381</v>
      </c>
      <c r="I355" s="154" t="s">
        <v>381</v>
      </c>
      <c r="J355" s="132">
        <v>0.9</v>
      </c>
      <c r="K355" s="133">
        <v>1</v>
      </c>
      <c r="L355" s="133">
        <v>0.967741935483871</v>
      </c>
      <c r="M355" s="134">
        <v>1</v>
      </c>
      <c r="N355" s="133">
        <v>0.973977695167286</v>
      </c>
      <c r="O355" s="135">
        <v>0.9</v>
      </c>
      <c r="P355" s="133">
        <v>0.972144846796657</v>
      </c>
      <c r="Q355" s="133">
        <v>0.992175273865415</v>
      </c>
      <c r="R355" s="133">
        <v>0.982093115797851</v>
      </c>
      <c r="S355" s="133">
        <v>0.987131198995606</v>
      </c>
      <c r="T355" s="135">
        <v>0.9</v>
      </c>
      <c r="U355" s="133">
        <v>0.895078922934076</v>
      </c>
      <c r="V355" s="133">
        <v>0.879499217527387</v>
      </c>
      <c r="W355" s="133">
        <v>0.818145642658177</v>
      </c>
      <c r="X355" s="133">
        <v>0.860133275387513</v>
      </c>
      <c r="Y355" s="135">
        <v>0.92</v>
      </c>
      <c r="Z355" s="135">
        <v>0.815878378378378</v>
      </c>
      <c r="AA355" s="135">
        <v>0.669449081803005</v>
      </c>
      <c r="AB355" s="135">
        <v>0.829187396351575</v>
      </c>
      <c r="AC355" s="135">
        <v>0.877901227386423</v>
      </c>
      <c r="AD355" s="135">
        <v>0.92</v>
      </c>
      <c r="AE355" s="133">
        <v>1</v>
      </c>
      <c r="AF355" s="133">
        <v>0.924418604651163</v>
      </c>
      <c r="AG355" s="133">
        <v>0.997512437810945</v>
      </c>
      <c r="AH355" s="133">
        <v>0.997482479417568</v>
      </c>
      <c r="AI355" s="135">
        <v>0.92</v>
      </c>
      <c r="AJ355" s="133">
        <v>0.909634949132256</v>
      </c>
      <c r="AK355" s="133">
        <v>0.897894318633294</v>
      </c>
      <c r="AL355" s="133">
        <v>0.932508738908309</v>
      </c>
      <c r="AM355" s="133">
        <v>0.95248899655396</v>
      </c>
      <c r="AN355" s="132">
        <v>0.99</v>
      </c>
      <c r="AO355" s="137">
        <v>1</v>
      </c>
      <c r="AP355" s="137">
        <v>1</v>
      </c>
      <c r="AQ355" s="137">
        <v>1</v>
      </c>
      <c r="AR355" s="137">
        <v>1</v>
      </c>
      <c r="AS355" s="158">
        <v>0.05</v>
      </c>
      <c r="AT355" s="141">
        <v>0</v>
      </c>
      <c r="AU355" s="141">
        <v>0.125</v>
      </c>
      <c r="AV355" s="141">
        <v>0</v>
      </c>
      <c r="AW355" s="141">
        <v>0.0536912751677852</v>
      </c>
      <c r="AX355" s="95"/>
      <c r="AY355" s="93"/>
    </row>
    <row r="356" ht="14.5" spans="1:51">
      <c r="A356" s="91"/>
      <c r="B356" s="95"/>
      <c r="C356" s="152" t="s">
        <v>375</v>
      </c>
      <c r="D356" s="153" t="s">
        <v>25</v>
      </c>
      <c r="E356" s="130" t="s">
        <v>376</v>
      </c>
      <c r="F356" s="154" t="s">
        <v>382</v>
      </c>
      <c r="G356" s="154" t="s">
        <v>382</v>
      </c>
      <c r="H356" s="154" t="s">
        <v>382</v>
      </c>
      <c r="I356" s="154" t="s">
        <v>382</v>
      </c>
      <c r="J356" s="132">
        <v>0.9</v>
      </c>
      <c r="K356" s="133">
        <v>0.911111111111111</v>
      </c>
      <c r="L356" s="133">
        <v>0.916666666666667</v>
      </c>
      <c r="M356" s="134">
        <v>0.92</v>
      </c>
      <c r="N356" s="133">
        <v>0.933760683760684</v>
      </c>
      <c r="O356" s="135">
        <v>0.9</v>
      </c>
      <c r="P356" s="133">
        <v>0.987162162162162</v>
      </c>
      <c r="Q356" s="133">
        <v>0.969443281707828</v>
      </c>
      <c r="R356" s="133">
        <v>0.983776768332252</v>
      </c>
      <c r="S356" s="133">
        <v>0.980243190473429</v>
      </c>
      <c r="T356" s="135">
        <v>0.9</v>
      </c>
      <c r="U356" s="133">
        <v>0.844594594594595</v>
      </c>
      <c r="V356" s="133">
        <v>0.829635830891586</v>
      </c>
      <c r="W356" s="133">
        <v>0.934458144062297</v>
      </c>
      <c r="X356" s="133">
        <v>0.914883334299909</v>
      </c>
      <c r="Y356" s="135">
        <v>0.92</v>
      </c>
      <c r="Z356" s="135">
        <v>0.849636216653193</v>
      </c>
      <c r="AA356" s="135">
        <v>0.721991701244813</v>
      </c>
      <c r="AB356" s="135">
        <v>0.868020304568528</v>
      </c>
      <c r="AC356" s="135">
        <v>0.876859218263577</v>
      </c>
      <c r="AD356" s="135">
        <v>0.92</v>
      </c>
      <c r="AE356" s="133">
        <v>0.995024875621891</v>
      </c>
      <c r="AF356" s="133">
        <v>0.97864768683274</v>
      </c>
      <c r="AG356" s="133">
        <v>0.98</v>
      </c>
      <c r="AH356" s="133">
        <v>0.98865560447003</v>
      </c>
      <c r="AI356" s="135">
        <v>0.92</v>
      </c>
      <c r="AJ356" s="133">
        <v>0.908088235294118</v>
      </c>
      <c r="AK356" s="133">
        <v>0.882528324388789</v>
      </c>
      <c r="AL356" s="133">
        <v>0.946114212108201</v>
      </c>
      <c r="AM356" s="133">
        <v>0.94595324434843</v>
      </c>
      <c r="AN356" s="132">
        <v>0.99</v>
      </c>
      <c r="AO356" s="137">
        <v>1</v>
      </c>
      <c r="AP356" s="137">
        <v>1</v>
      </c>
      <c r="AQ356" s="137">
        <v>1</v>
      </c>
      <c r="AR356" s="137">
        <v>1</v>
      </c>
      <c r="AS356" s="158">
        <v>0.05</v>
      </c>
      <c r="AT356" s="141">
        <v>0.333333333333333</v>
      </c>
      <c r="AU356" s="141">
        <v>0</v>
      </c>
      <c r="AV356" s="141">
        <v>0.142857142857143</v>
      </c>
      <c r="AW356" s="141">
        <v>0.0773809523809524</v>
      </c>
      <c r="AX356" s="95"/>
      <c r="AY356" s="93"/>
    </row>
    <row r="357" ht="14.5" spans="1:51">
      <c r="A357" s="91"/>
      <c r="B357" s="95"/>
      <c r="C357" s="152" t="s">
        <v>375</v>
      </c>
      <c r="D357" s="153" t="s">
        <v>25</v>
      </c>
      <c r="E357" s="130" t="s">
        <v>376</v>
      </c>
      <c r="F357" s="154" t="s">
        <v>383</v>
      </c>
      <c r="G357" s="154" t="s">
        <v>383</v>
      </c>
      <c r="H357" s="154" t="s">
        <v>383</v>
      </c>
      <c r="I357" s="154" t="s">
        <v>383</v>
      </c>
      <c r="J357" s="132">
        <v>0.9</v>
      </c>
      <c r="K357" s="133">
        <v>0.96</v>
      </c>
      <c r="L357" s="133">
        <v>1</v>
      </c>
      <c r="M357" s="134">
        <v>0.96875</v>
      </c>
      <c r="N357" s="133">
        <v>0.976491862567812</v>
      </c>
      <c r="O357" s="135">
        <v>0.9</v>
      </c>
      <c r="P357" s="133">
        <v>0.979052823315118</v>
      </c>
      <c r="Q357" s="133">
        <v>0.982326951399116</v>
      </c>
      <c r="R357" s="133">
        <v>0.971179370496777</v>
      </c>
      <c r="S357" s="133">
        <v>0.977810013826243</v>
      </c>
      <c r="T357" s="135">
        <v>0.9</v>
      </c>
      <c r="U357" s="133">
        <v>0.922586520947177</v>
      </c>
      <c r="V357" s="133">
        <v>0.938144329896907</v>
      </c>
      <c r="W357" s="133">
        <v>0.9419795221843</v>
      </c>
      <c r="X357" s="133">
        <v>0.934223350483918</v>
      </c>
      <c r="Y357" s="135">
        <v>0.92</v>
      </c>
      <c r="Z357" s="135">
        <v>0.924268502581756</v>
      </c>
      <c r="AA357" s="135">
        <v>0.883763837638376</v>
      </c>
      <c r="AB357" s="135">
        <v>0.894004282655246</v>
      </c>
      <c r="AC357" s="135">
        <v>0.921437471309594</v>
      </c>
      <c r="AD357" s="135">
        <v>0.92</v>
      </c>
      <c r="AE357" s="133">
        <v>1</v>
      </c>
      <c r="AF357" s="133">
        <v>1</v>
      </c>
      <c r="AG357" s="133">
        <v>0.986928104575163</v>
      </c>
      <c r="AH357" s="133">
        <v>0.995583596214511</v>
      </c>
      <c r="AI357" s="135">
        <v>0.92</v>
      </c>
      <c r="AJ357" s="133">
        <v>0.942227516378797</v>
      </c>
      <c r="AK357" s="133">
        <v>0.94610314075223</v>
      </c>
      <c r="AL357" s="133">
        <v>0.944833380005601</v>
      </c>
      <c r="AM357" s="133">
        <v>0.961351273976524</v>
      </c>
      <c r="AN357" s="132">
        <v>0.99</v>
      </c>
      <c r="AO357" s="137">
        <v>1</v>
      </c>
      <c r="AP357" s="137">
        <v>1</v>
      </c>
      <c r="AQ357" s="137">
        <v>1</v>
      </c>
      <c r="AR357" s="137">
        <v>1</v>
      </c>
      <c r="AS357" s="158">
        <v>0.05</v>
      </c>
      <c r="AT357" s="141">
        <v>0.142857142857143</v>
      </c>
      <c r="AU357" s="141">
        <v>0</v>
      </c>
      <c r="AV357" s="141">
        <v>0.125</v>
      </c>
      <c r="AW357" s="141">
        <v>0.0486111111111111</v>
      </c>
      <c r="AX357" s="95"/>
      <c r="AY357" s="93"/>
    </row>
    <row r="358" ht="14.5" spans="1:51">
      <c r="A358" s="91"/>
      <c r="B358" s="95"/>
      <c r="C358" s="152" t="s">
        <v>375</v>
      </c>
      <c r="D358" s="153" t="s">
        <v>25</v>
      </c>
      <c r="E358" s="130" t="s">
        <v>376</v>
      </c>
      <c r="F358" s="172" t="s">
        <v>384</v>
      </c>
      <c r="G358" s="172" t="s">
        <v>384</v>
      </c>
      <c r="H358" s="172" t="s">
        <v>384</v>
      </c>
      <c r="I358" s="172" t="s">
        <v>384</v>
      </c>
      <c r="J358" s="132">
        <v>0.9</v>
      </c>
      <c r="K358" s="133">
        <v>0.823529411764706</v>
      </c>
      <c r="L358" s="133">
        <v>0.761904761904762</v>
      </c>
      <c r="M358" s="134">
        <v>0.9</v>
      </c>
      <c r="N358" s="133">
        <v>0.895953757225434</v>
      </c>
      <c r="O358" s="135">
        <v>0.9</v>
      </c>
      <c r="P358" s="133">
        <v>0.964838255977497</v>
      </c>
      <c r="Q358" s="133">
        <v>0.975071225071225</v>
      </c>
      <c r="R358" s="133">
        <v>0.978329809725159</v>
      </c>
      <c r="S358" s="133">
        <v>0.957778857050348</v>
      </c>
      <c r="T358" s="135">
        <v>0.9</v>
      </c>
      <c r="U358" s="133">
        <v>0.873417721518987</v>
      </c>
      <c r="V358" s="133">
        <v>0.854700854700855</v>
      </c>
      <c r="W358" s="133">
        <v>0.848837209302326</v>
      </c>
      <c r="X358" s="133">
        <v>0.808353569694026</v>
      </c>
      <c r="Y358" s="135">
        <v>0.92</v>
      </c>
      <c r="Z358" s="135">
        <v>0.848101265822785</v>
      </c>
      <c r="AA358" s="135">
        <v>0.866120218579235</v>
      </c>
      <c r="AB358" s="135">
        <v>0.833333333333333</v>
      </c>
      <c r="AC358" s="135">
        <v>0.832819722650231</v>
      </c>
      <c r="AD358" s="135">
        <v>0.92</v>
      </c>
      <c r="AE358" s="133">
        <v>1</v>
      </c>
      <c r="AF358" s="133">
        <v>0.896551724137931</v>
      </c>
      <c r="AG358" s="133">
        <v>0.8125</v>
      </c>
      <c r="AH358" s="133">
        <v>0.968617472434266</v>
      </c>
      <c r="AI358" s="135">
        <v>0.92</v>
      </c>
      <c r="AJ358" s="133">
        <v>0.91500904159132</v>
      </c>
      <c r="AK358" s="133">
        <v>0.948616600790514</v>
      </c>
      <c r="AL358" s="133">
        <v>0.930086410054988</v>
      </c>
      <c r="AM358" s="133">
        <v>0.931172323570027</v>
      </c>
      <c r="AN358" s="132">
        <v>0.99</v>
      </c>
      <c r="AO358" s="137">
        <v>1</v>
      </c>
      <c r="AP358" s="137">
        <v>1</v>
      </c>
      <c r="AQ358" s="137">
        <v>1</v>
      </c>
      <c r="AR358" s="137">
        <v>1</v>
      </c>
      <c r="AS358" s="158">
        <v>0.05</v>
      </c>
      <c r="AT358" s="141">
        <v>0</v>
      </c>
      <c r="AU358" s="141">
        <v>0</v>
      </c>
      <c r="AV358" s="141">
        <v>0</v>
      </c>
      <c r="AW358" s="141">
        <v>0.0833333333333333</v>
      </c>
      <c r="AX358" s="95"/>
      <c r="AY358" s="93"/>
    </row>
    <row r="359" ht="14.5" spans="1:51">
      <c r="A359" s="91"/>
      <c r="B359" s="95"/>
      <c r="C359" s="152" t="s">
        <v>375</v>
      </c>
      <c r="D359" s="153" t="s">
        <v>25</v>
      </c>
      <c r="E359" s="130" t="s">
        <v>376</v>
      </c>
      <c r="F359" s="154" t="s">
        <v>385</v>
      </c>
      <c r="G359" s="154" t="s">
        <v>385</v>
      </c>
      <c r="H359" s="154" t="s">
        <v>385</v>
      </c>
      <c r="I359" s="154" t="s">
        <v>385</v>
      </c>
      <c r="J359" s="132">
        <v>0.9</v>
      </c>
      <c r="K359" s="133">
        <v>0.96</v>
      </c>
      <c r="L359" s="133">
        <v>0.958333333333333</v>
      </c>
      <c r="M359" s="134">
        <v>0.961538461538462</v>
      </c>
      <c r="N359" s="133">
        <v>0.958071278825996</v>
      </c>
      <c r="O359" s="135">
        <v>0.9</v>
      </c>
      <c r="P359" s="133">
        <v>0</v>
      </c>
      <c r="Q359" s="133" t="s">
        <v>35</v>
      </c>
      <c r="R359" s="133" t="s">
        <v>35</v>
      </c>
      <c r="S359" s="133">
        <v>0.181818181818182</v>
      </c>
      <c r="T359" s="135">
        <v>0.9</v>
      </c>
      <c r="U359" s="133">
        <v>0</v>
      </c>
      <c r="V359" s="133" t="s">
        <v>35</v>
      </c>
      <c r="W359" s="133" t="s">
        <v>35</v>
      </c>
      <c r="X359" s="133">
        <v>0.181818181818182</v>
      </c>
      <c r="Y359" s="135">
        <v>0.92</v>
      </c>
      <c r="Z359" s="135">
        <v>0.2</v>
      </c>
      <c r="AA359" s="135">
        <v>0.333333333333333</v>
      </c>
      <c r="AB359" s="135">
        <v>0.5</v>
      </c>
      <c r="AC359" s="135">
        <v>0.705882352941177</v>
      </c>
      <c r="AD359" s="135">
        <v>0.92</v>
      </c>
      <c r="AE359" s="133">
        <v>1</v>
      </c>
      <c r="AF359" s="133">
        <v>0.993589743589744</v>
      </c>
      <c r="AG359" s="133">
        <v>1</v>
      </c>
      <c r="AH359" s="133">
        <v>0.994797687861272</v>
      </c>
      <c r="AI359" s="135">
        <v>0.92</v>
      </c>
      <c r="AJ359" s="133">
        <v>0.940969782150387</v>
      </c>
      <c r="AK359" s="133">
        <v>0.974531835205993</v>
      </c>
      <c r="AL359" s="133">
        <v>0.984649824112568</v>
      </c>
      <c r="AM359" s="133">
        <v>0.986148561297233</v>
      </c>
      <c r="AN359" s="132">
        <v>0.99</v>
      </c>
      <c r="AO359" s="137">
        <v>1</v>
      </c>
      <c r="AP359" s="137">
        <v>1</v>
      </c>
      <c r="AQ359" s="137">
        <v>1</v>
      </c>
      <c r="AR359" s="137">
        <v>1</v>
      </c>
      <c r="AS359" s="158">
        <v>0.05</v>
      </c>
      <c r="AT359" s="141">
        <v>0.142857142857143</v>
      </c>
      <c r="AU359" s="141">
        <v>0</v>
      </c>
      <c r="AV359" s="141">
        <v>0</v>
      </c>
      <c r="AW359" s="141">
        <v>0.08</v>
      </c>
      <c r="AX359" s="95"/>
      <c r="AY359" s="93"/>
    </row>
    <row r="360" ht="14.5" spans="1:51">
      <c r="A360" s="91"/>
      <c r="B360" s="95"/>
      <c r="C360" s="152" t="s">
        <v>375</v>
      </c>
      <c r="D360" s="153" t="s">
        <v>25</v>
      </c>
      <c r="E360" s="130" t="s">
        <v>376</v>
      </c>
      <c r="F360" s="154" t="s">
        <v>386</v>
      </c>
      <c r="G360" s="154" t="s">
        <v>386</v>
      </c>
      <c r="H360" s="154" t="s">
        <v>386</v>
      </c>
      <c r="I360" s="154" t="s">
        <v>386</v>
      </c>
      <c r="J360" s="132">
        <v>0.9</v>
      </c>
      <c r="K360" s="133">
        <v>1</v>
      </c>
      <c r="L360" s="133">
        <v>1</v>
      </c>
      <c r="M360" s="134">
        <v>0.948717948717949</v>
      </c>
      <c r="N360" s="133">
        <v>0.983544303797468</v>
      </c>
      <c r="O360" s="135">
        <v>0.9</v>
      </c>
      <c r="P360" s="133">
        <v>0.978632478632479</v>
      </c>
      <c r="Q360" s="133">
        <v>0.974659486854609</v>
      </c>
      <c r="R360" s="133">
        <v>0.969501163091238</v>
      </c>
      <c r="S360" s="133">
        <v>0.970027036265888</v>
      </c>
      <c r="T360" s="135">
        <v>0.9</v>
      </c>
      <c r="U360" s="133">
        <v>0.897435897435897</v>
      </c>
      <c r="V360" s="133">
        <v>0.852708267342414</v>
      </c>
      <c r="W360" s="133">
        <v>0.763763246316878</v>
      </c>
      <c r="X360" s="133">
        <v>0.844619161564996</v>
      </c>
      <c r="Y360" s="135">
        <v>0.92</v>
      </c>
      <c r="Z360" s="135">
        <v>0.914918414918415</v>
      </c>
      <c r="AA360" s="135">
        <v>0.849438202247191</v>
      </c>
      <c r="AB360" s="135">
        <v>0.842783505154639</v>
      </c>
      <c r="AC360" s="135">
        <v>0.876569640578039</v>
      </c>
      <c r="AD360" s="135">
        <v>0.92</v>
      </c>
      <c r="AE360" s="133">
        <v>0.99343339587242</v>
      </c>
      <c r="AF360" s="133">
        <v>0.988268752221827</v>
      </c>
      <c r="AG360" s="133">
        <v>0.998917280207882</v>
      </c>
      <c r="AH360" s="133">
        <v>0.996994889117989</v>
      </c>
      <c r="AI360" s="135">
        <v>0.92</v>
      </c>
      <c r="AJ360" s="133">
        <v>0.951980792316927</v>
      </c>
      <c r="AK360" s="133">
        <v>0.925660656952334</v>
      </c>
      <c r="AL360" s="133">
        <v>0.919800884955752</v>
      </c>
      <c r="AM360" s="133">
        <v>0.944329803908303</v>
      </c>
      <c r="AN360" s="132">
        <v>0.99</v>
      </c>
      <c r="AO360" s="137">
        <v>1</v>
      </c>
      <c r="AP360" s="137">
        <v>1</v>
      </c>
      <c r="AQ360" s="137">
        <v>1</v>
      </c>
      <c r="AR360" s="137">
        <v>1</v>
      </c>
      <c r="AS360" s="158">
        <v>0.05</v>
      </c>
      <c r="AT360" s="141">
        <v>0.0133333333333333</v>
      </c>
      <c r="AU360" s="141">
        <v>0.0135135135135135</v>
      </c>
      <c r="AV360" s="141">
        <v>0</v>
      </c>
      <c r="AW360" s="141">
        <v>0.0186963112683173</v>
      </c>
      <c r="AX360" s="95"/>
      <c r="AY360" s="93"/>
    </row>
    <row r="361" ht="14.5" spans="1:51">
      <c r="A361" s="91"/>
      <c r="B361" s="95"/>
      <c r="C361" s="152" t="s">
        <v>375</v>
      </c>
      <c r="D361" s="153" t="s">
        <v>25</v>
      </c>
      <c r="E361" s="130" t="s">
        <v>376</v>
      </c>
      <c r="F361" s="154" t="s">
        <v>387</v>
      </c>
      <c r="G361" s="154" t="s">
        <v>387</v>
      </c>
      <c r="H361" s="154" t="s">
        <v>387</v>
      </c>
      <c r="I361" s="154" t="s">
        <v>387</v>
      </c>
      <c r="J361" s="132">
        <v>0.9</v>
      </c>
      <c r="K361" s="133">
        <v>0.863636363636364</v>
      </c>
      <c r="L361" s="133">
        <v>0.934782608695652</v>
      </c>
      <c r="M361" s="134">
        <v>0.934782608695652</v>
      </c>
      <c r="N361" s="133">
        <v>0.886540600667408</v>
      </c>
      <c r="O361" s="135">
        <v>0.9</v>
      </c>
      <c r="P361" s="133">
        <v>0.963275135460566</v>
      </c>
      <c r="Q361" s="133">
        <v>0.905123339658444</v>
      </c>
      <c r="R361" s="133">
        <v>0.931503579952267</v>
      </c>
      <c r="S361" s="133">
        <v>0.907687573721729</v>
      </c>
      <c r="T361" s="135">
        <v>0.9</v>
      </c>
      <c r="U361" s="133">
        <v>0.868753762793498</v>
      </c>
      <c r="V361" s="133">
        <v>0.777672359266287</v>
      </c>
      <c r="W361" s="133">
        <v>0.763245823389021</v>
      </c>
      <c r="X361" s="133">
        <v>0.739396892148315</v>
      </c>
      <c r="Y361" s="135">
        <v>0.92</v>
      </c>
      <c r="Z361" s="135">
        <v>0.852163461538462</v>
      </c>
      <c r="AA361" s="135">
        <v>0.844036697247706</v>
      </c>
      <c r="AB361" s="135">
        <v>0.761461318051576</v>
      </c>
      <c r="AC361" s="135">
        <v>0.870222475755847</v>
      </c>
      <c r="AD361" s="135">
        <v>0.92</v>
      </c>
      <c r="AE361" s="133">
        <v>1</v>
      </c>
      <c r="AF361" s="133">
        <v>0.929824561403509</v>
      </c>
      <c r="AG361" s="133">
        <v>0.994252873563218</v>
      </c>
      <c r="AH361" s="133">
        <v>0.983039440032306</v>
      </c>
      <c r="AI361" s="135">
        <v>0.92</v>
      </c>
      <c r="AJ361" s="133">
        <v>0.916633266533066</v>
      </c>
      <c r="AK361" s="133">
        <v>0.925421209117939</v>
      </c>
      <c r="AL361" s="133">
        <v>0.918560945051011</v>
      </c>
      <c r="AM361" s="133">
        <v>0.946389341982444</v>
      </c>
      <c r="AN361" s="132">
        <v>0.99</v>
      </c>
      <c r="AO361" s="137">
        <v>1</v>
      </c>
      <c r="AP361" s="137">
        <v>1</v>
      </c>
      <c r="AQ361" s="137">
        <v>1</v>
      </c>
      <c r="AR361" s="137">
        <v>1</v>
      </c>
      <c r="AS361" s="158">
        <v>0.05</v>
      </c>
      <c r="AT361" s="141">
        <v>0.2</v>
      </c>
      <c r="AU361" s="141">
        <v>0</v>
      </c>
      <c r="AV361" s="141">
        <v>0.0555555555555556</v>
      </c>
      <c r="AW361" s="141">
        <v>0.0677966101694915</v>
      </c>
      <c r="AX361" s="95"/>
      <c r="AY361" s="93"/>
    </row>
    <row r="362" ht="14.5" spans="1:51">
      <c r="A362" s="91"/>
      <c r="B362" s="95"/>
      <c r="C362" s="152" t="s">
        <v>375</v>
      </c>
      <c r="D362" s="153" t="s">
        <v>25</v>
      </c>
      <c r="E362" s="130" t="s">
        <v>376</v>
      </c>
      <c r="F362" s="154" t="s">
        <v>388</v>
      </c>
      <c r="G362" s="154" t="s">
        <v>388</v>
      </c>
      <c r="H362" s="154" t="s">
        <v>388</v>
      </c>
      <c r="I362" s="154" t="s">
        <v>388</v>
      </c>
      <c r="J362" s="132">
        <v>0.9</v>
      </c>
      <c r="K362" s="133">
        <v>1</v>
      </c>
      <c r="L362" s="133">
        <v>1</v>
      </c>
      <c r="M362" s="134">
        <v>0.978260869565217</v>
      </c>
      <c r="N362" s="133">
        <v>0.986146095717884</v>
      </c>
      <c r="O362" s="135">
        <v>0.9</v>
      </c>
      <c r="P362" s="133">
        <v>0</v>
      </c>
      <c r="Q362" s="133">
        <v>0</v>
      </c>
      <c r="R362" s="133" t="s">
        <v>35</v>
      </c>
      <c r="S362" s="133">
        <v>0.153846153846154</v>
      </c>
      <c r="T362" s="135">
        <v>0.9</v>
      </c>
      <c r="U362" s="133">
        <v>0</v>
      </c>
      <c r="V362" s="133">
        <v>0</v>
      </c>
      <c r="W362" s="133" t="s">
        <v>35</v>
      </c>
      <c r="X362" s="133">
        <v>0.153846153846154</v>
      </c>
      <c r="Y362" s="135">
        <v>0.92</v>
      </c>
      <c r="Z362" s="135">
        <v>0.5</v>
      </c>
      <c r="AA362" s="135">
        <v>0</v>
      </c>
      <c r="AB362" s="135" t="s">
        <v>35</v>
      </c>
      <c r="AC362" s="135">
        <v>0.857142857142857</v>
      </c>
      <c r="AD362" s="135">
        <v>0.92</v>
      </c>
      <c r="AE362" s="133">
        <v>0.995594713656388</v>
      </c>
      <c r="AF362" s="133">
        <v>0.958579881656805</v>
      </c>
      <c r="AG362" s="133">
        <v>0.982638888888889</v>
      </c>
      <c r="AH362" s="133">
        <v>0.983492856152032</v>
      </c>
      <c r="AI362" s="135">
        <v>0.92</v>
      </c>
      <c r="AJ362" s="133">
        <v>0.974330357142857</v>
      </c>
      <c r="AK362" s="133">
        <v>0.975644408362086</v>
      </c>
      <c r="AL362" s="133">
        <v>0.974923430321593</v>
      </c>
      <c r="AM362" s="133">
        <v>0.980878308264238</v>
      </c>
      <c r="AN362" s="132">
        <v>0.99</v>
      </c>
      <c r="AO362" s="137">
        <v>1</v>
      </c>
      <c r="AP362" s="137">
        <v>1</v>
      </c>
      <c r="AQ362" s="137">
        <v>1</v>
      </c>
      <c r="AR362" s="137">
        <v>1</v>
      </c>
      <c r="AS362" s="158">
        <v>0.05</v>
      </c>
      <c r="AT362" s="141">
        <v>0.125</v>
      </c>
      <c r="AU362" s="141">
        <v>0</v>
      </c>
      <c r="AV362" s="141">
        <v>0</v>
      </c>
      <c r="AW362" s="141">
        <v>0.0743801652892562</v>
      </c>
      <c r="AX362" s="95"/>
      <c r="AY362" s="93"/>
    </row>
    <row r="363" ht="14.5" spans="1:51">
      <c r="A363" s="91"/>
      <c r="B363" s="95"/>
      <c r="C363" s="152" t="s">
        <v>375</v>
      </c>
      <c r="D363" s="153" t="s">
        <v>25</v>
      </c>
      <c r="E363" s="130" t="s">
        <v>376</v>
      </c>
      <c r="F363" s="154" t="s">
        <v>389</v>
      </c>
      <c r="G363" s="154" t="s">
        <v>389</v>
      </c>
      <c r="H363" s="154" t="s">
        <v>389</v>
      </c>
      <c r="I363" s="154" t="s">
        <v>389</v>
      </c>
      <c r="J363" s="132">
        <v>0.9</v>
      </c>
      <c r="K363" s="133">
        <v>0.979166666666667</v>
      </c>
      <c r="L363" s="133">
        <v>0.980392156862745</v>
      </c>
      <c r="M363" s="134">
        <v>0.943396226415094</v>
      </c>
      <c r="N363" s="133">
        <v>0.940438871473354</v>
      </c>
      <c r="O363" s="135">
        <v>0.9</v>
      </c>
      <c r="P363" s="133">
        <v>0.988454137267479</v>
      </c>
      <c r="Q363" s="133">
        <v>0.989842726081258</v>
      </c>
      <c r="R363" s="133">
        <v>0.992160961588712</v>
      </c>
      <c r="S363" s="133">
        <v>0.988386504475557</v>
      </c>
      <c r="T363" s="135">
        <v>0.9</v>
      </c>
      <c r="U363" s="133">
        <v>0.86529826812059</v>
      </c>
      <c r="V363" s="133">
        <v>0.81127129750983</v>
      </c>
      <c r="W363" s="133">
        <v>0.842174026652731</v>
      </c>
      <c r="X363" s="133">
        <v>0.824037946599342</v>
      </c>
      <c r="Y363" s="135">
        <v>0.92</v>
      </c>
      <c r="Z363" s="135">
        <v>0.884758364312268</v>
      </c>
      <c r="AA363" s="135">
        <v>0.79426433915212</v>
      </c>
      <c r="AB363" s="135">
        <v>0.897088693297224</v>
      </c>
      <c r="AC363" s="135">
        <v>0.880730032834421</v>
      </c>
      <c r="AD363" s="135">
        <v>0.92</v>
      </c>
      <c r="AE363" s="133">
        <v>1</v>
      </c>
      <c r="AF363" s="133">
        <v>0.995192307692308</v>
      </c>
      <c r="AG363" s="133">
        <v>0.997435897435897</v>
      </c>
      <c r="AH363" s="133">
        <v>0.997480455000185</v>
      </c>
      <c r="AI363" s="135">
        <v>0.92</v>
      </c>
      <c r="AJ363" s="133">
        <v>0.937447168216399</v>
      </c>
      <c r="AK363" s="133">
        <v>0.928126621691749</v>
      </c>
      <c r="AL363" s="133">
        <v>0.955505279034691</v>
      </c>
      <c r="AM363" s="133">
        <v>0.949692616029004</v>
      </c>
      <c r="AN363" s="132">
        <v>0.99</v>
      </c>
      <c r="AO363" s="137">
        <v>1</v>
      </c>
      <c r="AP363" s="137">
        <v>1</v>
      </c>
      <c r="AQ363" s="137">
        <v>1</v>
      </c>
      <c r="AR363" s="137">
        <v>1</v>
      </c>
      <c r="AS363" s="158">
        <v>0.05</v>
      </c>
      <c r="AT363" s="141">
        <v>0.0909090909090909</v>
      </c>
      <c r="AU363" s="141">
        <v>0</v>
      </c>
      <c r="AV363" s="141">
        <v>0</v>
      </c>
      <c r="AW363" s="141">
        <v>0.0599250936329588</v>
      </c>
      <c r="AX363" s="95"/>
      <c r="AY363" s="93"/>
    </row>
    <row r="364" ht="14.5" spans="1:51">
      <c r="A364" s="91"/>
      <c r="B364" s="95"/>
      <c r="C364" s="152" t="s">
        <v>375</v>
      </c>
      <c r="D364" s="153" t="s">
        <v>25</v>
      </c>
      <c r="E364" s="130" t="s">
        <v>376</v>
      </c>
      <c r="F364" s="154" t="s">
        <v>390</v>
      </c>
      <c r="G364" s="154" t="s">
        <v>390</v>
      </c>
      <c r="H364" s="154" t="s">
        <v>390</v>
      </c>
      <c r="I364" s="154" t="s">
        <v>390</v>
      </c>
      <c r="J364" s="132">
        <v>0.9</v>
      </c>
      <c r="K364" s="133">
        <v>0.859649122807018</v>
      </c>
      <c r="L364" s="133">
        <v>0.82</v>
      </c>
      <c r="M364" s="134">
        <v>0.765957446808511</v>
      </c>
      <c r="N364" s="133">
        <v>0.814956855225312</v>
      </c>
      <c r="O364" s="135">
        <v>0.9</v>
      </c>
      <c r="P364" s="133">
        <v>0.861198738170347</v>
      </c>
      <c r="Q364" s="133">
        <v>0.982692307692308</v>
      </c>
      <c r="R364" s="133">
        <v>0.919226786330687</v>
      </c>
      <c r="S364" s="133">
        <v>0.886871723054327</v>
      </c>
      <c r="T364" s="135">
        <v>0.9</v>
      </c>
      <c r="U364" s="133">
        <v>0.837539432176656</v>
      </c>
      <c r="V364" s="133">
        <v>0.744230769230769</v>
      </c>
      <c r="W364" s="133">
        <v>0.688988608905765</v>
      </c>
      <c r="X364" s="133">
        <v>0.722610284699332</v>
      </c>
      <c r="Y364" s="135">
        <v>0.92</v>
      </c>
      <c r="Z364" s="135">
        <v>0.895406751521859</v>
      </c>
      <c r="AA364" s="135">
        <v>0.806779661016949</v>
      </c>
      <c r="AB364" s="135">
        <v>0.844997266265719</v>
      </c>
      <c r="AC364" s="135">
        <v>0.874440511365299</v>
      </c>
      <c r="AD364" s="135">
        <v>0.92</v>
      </c>
      <c r="AE364" s="133">
        <v>0.972364380757421</v>
      </c>
      <c r="AF364" s="133">
        <v>0.98586118251928</v>
      </c>
      <c r="AG364" s="133">
        <v>0.984363894811656</v>
      </c>
      <c r="AH364" s="133">
        <v>0.958967746655327</v>
      </c>
      <c r="AI364" s="135">
        <v>0.92</v>
      </c>
      <c r="AJ364" s="133">
        <v>0.908380490433845</v>
      </c>
      <c r="AK364" s="133">
        <v>0.858066329398539</v>
      </c>
      <c r="AL364" s="133">
        <v>0.86928004881025</v>
      </c>
      <c r="AM364" s="133">
        <v>0.90785651876166</v>
      </c>
      <c r="AN364" s="132">
        <v>0.99</v>
      </c>
      <c r="AO364" s="137">
        <v>1</v>
      </c>
      <c r="AP364" s="137">
        <v>1</v>
      </c>
      <c r="AQ364" s="137">
        <v>1</v>
      </c>
      <c r="AR364" s="137">
        <v>1</v>
      </c>
      <c r="AS364" s="158">
        <v>0.05</v>
      </c>
      <c r="AT364" s="141">
        <v>0.024390243902439</v>
      </c>
      <c r="AU364" s="141">
        <v>0.025</v>
      </c>
      <c r="AV364" s="141">
        <v>0.0188679245283019</v>
      </c>
      <c r="AW364" s="141">
        <v>0.0440313111545988</v>
      </c>
      <c r="AX364" s="95"/>
      <c r="AY364" s="93"/>
    </row>
    <row r="365" ht="14.5" spans="1:51">
      <c r="A365" s="91"/>
      <c r="B365" s="95"/>
      <c r="C365" s="152" t="s">
        <v>375</v>
      </c>
      <c r="D365" s="153" t="s">
        <v>25</v>
      </c>
      <c r="E365" s="130" t="s">
        <v>376</v>
      </c>
      <c r="F365" s="154" t="s">
        <v>391</v>
      </c>
      <c r="G365" s="154" t="s">
        <v>391</v>
      </c>
      <c r="H365" s="154" t="s">
        <v>391</v>
      </c>
      <c r="I365" s="154" t="s">
        <v>391</v>
      </c>
      <c r="J365" s="132">
        <v>0.9</v>
      </c>
      <c r="K365" s="133">
        <v>0.760869565217391</v>
      </c>
      <c r="L365" s="133">
        <v>0.707317073170732</v>
      </c>
      <c r="M365" s="134">
        <v>0.652173913043478</v>
      </c>
      <c r="N365" s="133">
        <v>0.726121979286536</v>
      </c>
      <c r="O365" s="135">
        <v>0.9</v>
      </c>
      <c r="P365" s="133">
        <v>0.884529977794226</v>
      </c>
      <c r="Q365" s="133">
        <v>0.905969360802958</v>
      </c>
      <c r="R365" s="133">
        <v>0.633814783347494</v>
      </c>
      <c r="S365" s="133">
        <v>0.77833676192028</v>
      </c>
      <c r="T365" s="135">
        <v>0.9</v>
      </c>
      <c r="U365" s="133">
        <v>0.794226498889711</v>
      </c>
      <c r="V365" s="133">
        <v>0.811938721605917</v>
      </c>
      <c r="W365" s="133">
        <v>0.799915038232795</v>
      </c>
      <c r="X365" s="133">
        <v>0.777583151720064</v>
      </c>
      <c r="Y365" s="135">
        <v>0.92</v>
      </c>
      <c r="Z365" s="135">
        <v>0.93188622754491</v>
      </c>
      <c r="AA365" s="135">
        <v>0.905504587155963</v>
      </c>
      <c r="AB365" s="135">
        <v>0.923109243697479</v>
      </c>
      <c r="AC365" s="135">
        <v>0.939081496756455</v>
      </c>
      <c r="AD365" s="135">
        <v>0.92</v>
      </c>
      <c r="AE365" s="133">
        <v>0.997612143953607</v>
      </c>
      <c r="AF365" s="133">
        <v>0.987460815047022</v>
      </c>
      <c r="AG365" s="133">
        <v>0.994318181818182</v>
      </c>
      <c r="AH365" s="133">
        <v>0.955159240004425</v>
      </c>
      <c r="AI365" s="135">
        <v>0.92</v>
      </c>
      <c r="AJ365" s="133">
        <v>0.943059173799777</v>
      </c>
      <c r="AK365" s="133">
        <v>0.934651474530831</v>
      </c>
      <c r="AL365" s="133">
        <v>0.946790540540541</v>
      </c>
      <c r="AM365" s="133">
        <v>0.959437155273274</v>
      </c>
      <c r="AN365" s="132">
        <v>0.99</v>
      </c>
      <c r="AO365" s="137">
        <v>1</v>
      </c>
      <c r="AP365" s="137">
        <v>1</v>
      </c>
      <c r="AQ365" s="137">
        <v>1</v>
      </c>
      <c r="AR365" s="137">
        <v>0.998261877172654</v>
      </c>
      <c r="AS365" s="158">
        <v>0.05</v>
      </c>
      <c r="AT365" s="141">
        <v>0.15</v>
      </c>
      <c r="AU365" s="141">
        <v>0.0833333333333333</v>
      </c>
      <c r="AV365" s="141">
        <v>0.0666666666666667</v>
      </c>
      <c r="AW365" s="141">
        <v>0.0725388601036269</v>
      </c>
      <c r="AX365" s="95"/>
      <c r="AY365" s="93"/>
    </row>
    <row r="366" ht="14.5" spans="1:51">
      <c r="A366" s="91"/>
      <c r="B366" s="95"/>
      <c r="C366" s="152" t="s">
        <v>375</v>
      </c>
      <c r="D366" s="153" t="s">
        <v>25</v>
      </c>
      <c r="E366" s="130" t="s">
        <v>376</v>
      </c>
      <c r="F366" s="154" t="s">
        <v>392</v>
      </c>
      <c r="G366" s="154" t="s">
        <v>392</v>
      </c>
      <c r="H366" s="154" t="s">
        <v>392</v>
      </c>
      <c r="I366" s="154" t="s">
        <v>392</v>
      </c>
      <c r="J366" s="132">
        <v>0.9</v>
      </c>
      <c r="K366" s="133">
        <v>0.722222222222222</v>
      </c>
      <c r="L366" s="133">
        <v>0.450980392156863</v>
      </c>
      <c r="M366" s="134">
        <v>0.685185185185185</v>
      </c>
      <c r="N366" s="133">
        <v>0.644518272425249</v>
      </c>
      <c r="O366" s="135">
        <v>0.9</v>
      </c>
      <c r="P366" s="133">
        <v>0.887270424319189</v>
      </c>
      <c r="Q366" s="133">
        <v>0.755840586349061</v>
      </c>
      <c r="R366" s="133">
        <v>0.915099882491187</v>
      </c>
      <c r="S366" s="133">
        <v>0.848612786489747</v>
      </c>
      <c r="T366" s="135">
        <v>0.9</v>
      </c>
      <c r="U366" s="133">
        <v>0.732742241925269</v>
      </c>
      <c r="V366" s="133">
        <v>0.674301420064132</v>
      </c>
      <c r="W366" s="133">
        <v>0.70710928319624</v>
      </c>
      <c r="X366" s="133">
        <v>0.722557297949337</v>
      </c>
      <c r="Y366" s="135">
        <v>0.92</v>
      </c>
      <c r="Z366" s="135">
        <v>0.923238696109359</v>
      </c>
      <c r="AA366" s="135">
        <v>0.757631257631258</v>
      </c>
      <c r="AB366" s="135">
        <v>0.788676960339086</v>
      </c>
      <c r="AC366" s="135">
        <v>0.905964890203234</v>
      </c>
      <c r="AD366" s="135">
        <v>0.92</v>
      </c>
      <c r="AE366" s="133">
        <v>0.994582499116712</v>
      </c>
      <c r="AF366" s="133">
        <v>0.997354497354497</v>
      </c>
      <c r="AG366" s="133">
        <v>0.992599742599743</v>
      </c>
      <c r="AH366" s="133">
        <v>0.98207771233137</v>
      </c>
      <c r="AI366" s="135">
        <v>0.92</v>
      </c>
      <c r="AJ366" s="133">
        <v>0.925064599483204</v>
      </c>
      <c r="AK366" s="133">
        <v>0.798534798534799</v>
      </c>
      <c r="AL366" s="133">
        <v>0.827843195707259</v>
      </c>
      <c r="AM366" s="133">
        <v>0.926436240957602</v>
      </c>
      <c r="AN366" s="132">
        <v>0.99</v>
      </c>
      <c r="AO366" s="137">
        <v>1</v>
      </c>
      <c r="AP366" s="137">
        <v>1</v>
      </c>
      <c r="AQ366" s="137">
        <v>1</v>
      </c>
      <c r="AR366" s="137">
        <v>1</v>
      </c>
      <c r="AS366" s="158">
        <v>0.05</v>
      </c>
      <c r="AT366" s="141">
        <v>0.153846153846154</v>
      </c>
      <c r="AU366" s="141">
        <v>0.114285714285714</v>
      </c>
      <c r="AV366" s="141">
        <v>0</v>
      </c>
      <c r="AW366" s="141">
        <v>0.0534698521046644</v>
      </c>
      <c r="AX366" s="95"/>
      <c r="AY366" s="93"/>
    </row>
    <row r="367" ht="14.5" spans="1:51">
      <c r="A367" s="91"/>
      <c r="B367" s="95"/>
      <c r="C367" s="152" t="s">
        <v>375</v>
      </c>
      <c r="D367" s="153" t="s">
        <v>25</v>
      </c>
      <c r="E367" s="130" t="s">
        <v>376</v>
      </c>
      <c r="F367" s="154" t="s">
        <v>393</v>
      </c>
      <c r="G367" s="154" t="s">
        <v>393</v>
      </c>
      <c r="H367" s="154" t="s">
        <v>393</v>
      </c>
      <c r="I367" s="154" t="s">
        <v>393</v>
      </c>
      <c r="J367" s="132">
        <v>0.9</v>
      </c>
      <c r="K367" s="133">
        <v>0.873015873015873</v>
      </c>
      <c r="L367" s="133">
        <v>0.857142857142857</v>
      </c>
      <c r="M367" s="134">
        <v>0.864406779661017</v>
      </c>
      <c r="N367" s="133">
        <v>0.877934272300469</v>
      </c>
      <c r="O367" s="135">
        <v>0.9</v>
      </c>
      <c r="P367" s="133">
        <v>0.948717948717949</v>
      </c>
      <c r="Q367" s="133">
        <v>0.94203821656051</v>
      </c>
      <c r="R367" s="133">
        <v>0.945848375451264</v>
      </c>
      <c r="S367" s="133">
        <v>0.956342473500812</v>
      </c>
      <c r="T367" s="135">
        <v>0.9</v>
      </c>
      <c r="U367" s="133">
        <v>0.848433048433048</v>
      </c>
      <c r="V367" s="133">
        <v>0.83375796178344</v>
      </c>
      <c r="W367" s="133">
        <v>0.792218210990774</v>
      </c>
      <c r="X367" s="133">
        <v>0.800813675587908</v>
      </c>
      <c r="Y367" s="135">
        <v>0.92</v>
      </c>
      <c r="Z367" s="135">
        <v>0.867829279486003</v>
      </c>
      <c r="AA367" s="135">
        <v>0.640020366598778</v>
      </c>
      <c r="AB367" s="135">
        <v>0.72202462380301</v>
      </c>
      <c r="AC367" s="135">
        <v>0.753513662330511</v>
      </c>
      <c r="AD367" s="135">
        <v>0.92</v>
      </c>
      <c r="AE367" s="133">
        <v>0.997618291521118</v>
      </c>
      <c r="AF367" s="133">
        <v>0.938898450946644</v>
      </c>
      <c r="AG367" s="133">
        <v>0.943188991288979</v>
      </c>
      <c r="AH367" s="133">
        <v>0.965859753025063</v>
      </c>
      <c r="AI367" s="135">
        <v>0.92</v>
      </c>
      <c r="AJ367" s="133">
        <v>0.905741869918699</v>
      </c>
      <c r="AK367" s="133">
        <v>0.760678925035361</v>
      </c>
      <c r="AL367" s="133">
        <v>0.80809887786632</v>
      </c>
      <c r="AM367" s="133">
        <v>0.831800540985534</v>
      </c>
      <c r="AN367" s="132">
        <v>0.99</v>
      </c>
      <c r="AO367" s="137">
        <v>1</v>
      </c>
      <c r="AP367" s="137">
        <v>1</v>
      </c>
      <c r="AQ367" s="137">
        <v>1</v>
      </c>
      <c r="AR367" s="137">
        <v>1</v>
      </c>
      <c r="AS367" s="158">
        <v>0.05</v>
      </c>
      <c r="AT367" s="141">
        <v>0</v>
      </c>
      <c r="AU367" s="141">
        <v>0</v>
      </c>
      <c r="AV367" s="141">
        <v>0</v>
      </c>
      <c r="AW367" s="141">
        <v>0.062962962962963</v>
      </c>
      <c r="AX367" s="95"/>
      <c r="AY367" s="93"/>
    </row>
    <row r="368" ht="14.5" spans="1:51">
      <c r="A368" s="91"/>
      <c r="B368" s="95"/>
      <c r="C368" s="152" t="s">
        <v>375</v>
      </c>
      <c r="D368" s="153" t="s">
        <v>25</v>
      </c>
      <c r="E368" s="130" t="s">
        <v>376</v>
      </c>
      <c r="F368" s="154" t="s">
        <v>394</v>
      </c>
      <c r="G368" s="154" t="s">
        <v>394</v>
      </c>
      <c r="H368" s="154" t="s">
        <v>394</v>
      </c>
      <c r="I368" s="154" t="s">
        <v>394</v>
      </c>
      <c r="J368" s="132">
        <v>0.9</v>
      </c>
      <c r="K368" s="133">
        <v>0.87037037037037</v>
      </c>
      <c r="L368" s="133">
        <v>0.80952380952381</v>
      </c>
      <c r="M368" s="134">
        <v>0.882352941176471</v>
      </c>
      <c r="N368" s="133">
        <v>0.828512396694215</v>
      </c>
      <c r="O368" s="135">
        <v>0.9</v>
      </c>
      <c r="P368" s="133">
        <v>0.951962507322789</v>
      </c>
      <c r="Q368" s="133">
        <v>0.811141304347826</v>
      </c>
      <c r="R368" s="133">
        <v>0.836503291880029</v>
      </c>
      <c r="S368" s="133">
        <v>0.926270604999736</v>
      </c>
      <c r="T368" s="135">
        <v>0.9</v>
      </c>
      <c r="U368" s="133">
        <v>0.838312829525483</v>
      </c>
      <c r="V368" s="133">
        <v>0.804347826086957</v>
      </c>
      <c r="W368" s="133">
        <v>0.82882223847842</v>
      </c>
      <c r="X368" s="133">
        <v>0.816037154970709</v>
      </c>
      <c r="Y368" s="135">
        <v>0.92</v>
      </c>
      <c r="Z368" s="135">
        <v>0.912463768115942</v>
      </c>
      <c r="AA368" s="135">
        <v>0.833461835003855</v>
      </c>
      <c r="AB368" s="135">
        <v>0.938471940500338</v>
      </c>
      <c r="AC368" s="135">
        <v>0.935242299058721</v>
      </c>
      <c r="AD368" s="135">
        <v>0.92</v>
      </c>
      <c r="AE368" s="133">
        <v>0.997533662178376</v>
      </c>
      <c r="AF368" s="133">
        <v>0.994135490394338</v>
      </c>
      <c r="AG368" s="133">
        <v>0.985632713206852</v>
      </c>
      <c r="AH368" s="133">
        <v>0.987777782498056</v>
      </c>
      <c r="AI368" s="135">
        <v>0.92</v>
      </c>
      <c r="AJ368" s="133">
        <v>0.929528246942341</v>
      </c>
      <c r="AK368" s="133">
        <v>0.894181403308614</v>
      </c>
      <c r="AL368" s="133">
        <v>0.953100298612331</v>
      </c>
      <c r="AM368" s="133">
        <v>0.955630778190289</v>
      </c>
      <c r="AN368" s="132">
        <v>0.99</v>
      </c>
      <c r="AO368" s="137">
        <v>1</v>
      </c>
      <c r="AP368" s="137">
        <v>1</v>
      </c>
      <c r="AQ368" s="137">
        <v>1</v>
      </c>
      <c r="AR368" s="137">
        <v>1</v>
      </c>
      <c r="AS368" s="158">
        <v>0.05</v>
      </c>
      <c r="AT368" s="141">
        <v>0.0465116279069767</v>
      </c>
      <c r="AU368" s="141">
        <v>0.04</v>
      </c>
      <c r="AV368" s="141">
        <v>0</v>
      </c>
      <c r="AW368" s="141">
        <v>0.029126213592233</v>
      </c>
      <c r="AX368" s="95"/>
      <c r="AY368" s="93"/>
    </row>
    <row r="369" ht="14.5" spans="1:51">
      <c r="A369" s="91"/>
      <c r="B369" s="95"/>
      <c r="C369" s="152" t="s">
        <v>375</v>
      </c>
      <c r="D369" s="153" t="s">
        <v>25</v>
      </c>
      <c r="E369" s="130" t="s">
        <v>376</v>
      </c>
      <c r="F369" s="154" t="s">
        <v>395</v>
      </c>
      <c r="G369" s="154" t="s">
        <v>395</v>
      </c>
      <c r="H369" s="154" t="s">
        <v>395</v>
      </c>
      <c r="I369" s="154" t="s">
        <v>395</v>
      </c>
      <c r="J369" s="132">
        <v>0.9</v>
      </c>
      <c r="K369" s="133">
        <v>0.736842105263158</v>
      </c>
      <c r="L369" s="133">
        <v>0.75</v>
      </c>
      <c r="M369" s="134">
        <v>0.678571428571429</v>
      </c>
      <c r="N369" s="133">
        <v>0.735674676524954</v>
      </c>
      <c r="O369" s="135">
        <v>0.9</v>
      </c>
      <c r="P369" s="133">
        <v>0.952144188937228</v>
      </c>
      <c r="Q369" s="133">
        <v>0.926383981154299</v>
      </c>
      <c r="R369" s="133">
        <v>0.826315789473684</v>
      </c>
      <c r="S369" s="133">
        <v>0.725331216571223</v>
      </c>
      <c r="T369" s="135">
        <v>0.9</v>
      </c>
      <c r="U369" s="133">
        <v>0.666252330640149</v>
      </c>
      <c r="V369" s="133">
        <v>0.571260306242638</v>
      </c>
      <c r="W369" s="133">
        <v>0.674089068825911</v>
      </c>
      <c r="X369" s="133">
        <v>0.6358413184404</v>
      </c>
      <c r="Y369" s="135">
        <v>0.92</v>
      </c>
      <c r="Z369" s="135">
        <v>0.836185819070905</v>
      </c>
      <c r="AA369" s="135">
        <v>0.620861961274204</v>
      </c>
      <c r="AB369" s="135">
        <v>0.779129321382843</v>
      </c>
      <c r="AC369" s="135">
        <v>0.82652974911607</v>
      </c>
      <c r="AD369" s="135">
        <v>0.92</v>
      </c>
      <c r="AE369" s="133">
        <v>0.992937266306606</v>
      </c>
      <c r="AF369" s="133">
        <v>0.985420240137221</v>
      </c>
      <c r="AG369" s="133">
        <v>0.987045341305431</v>
      </c>
      <c r="AH369" s="133">
        <v>0.969181739879414</v>
      </c>
      <c r="AI369" s="135">
        <v>0.92</v>
      </c>
      <c r="AJ369" s="133">
        <v>0.859519408502773</v>
      </c>
      <c r="AK369" s="133">
        <v>0.716580782055168</v>
      </c>
      <c r="AL369" s="133">
        <v>0.818198069360029</v>
      </c>
      <c r="AM369" s="133">
        <v>0.865121217799431</v>
      </c>
      <c r="AN369" s="132">
        <v>0.99</v>
      </c>
      <c r="AO369" s="137">
        <v>1</v>
      </c>
      <c r="AP369" s="137">
        <v>1</v>
      </c>
      <c r="AQ369" s="137">
        <v>1</v>
      </c>
      <c r="AR369" s="137">
        <v>1</v>
      </c>
      <c r="AS369" s="158">
        <v>0.05</v>
      </c>
      <c r="AT369" s="141">
        <v>0.027027027027027</v>
      </c>
      <c r="AU369" s="141">
        <v>0.0434782608695652</v>
      </c>
      <c r="AV369" s="141">
        <v>0.0212765957446809</v>
      </c>
      <c r="AW369" s="141">
        <v>0.0439077936333699</v>
      </c>
      <c r="AX369" s="95"/>
      <c r="AY369" s="93"/>
    </row>
    <row r="370" ht="14.5" spans="1:51">
      <c r="A370" s="91"/>
      <c r="B370" s="95"/>
      <c r="C370" s="152" t="s">
        <v>375</v>
      </c>
      <c r="D370" s="153" t="s">
        <v>25</v>
      </c>
      <c r="E370" s="130" t="s">
        <v>376</v>
      </c>
      <c r="F370" s="154" t="s">
        <v>396</v>
      </c>
      <c r="G370" s="154" t="s">
        <v>396</v>
      </c>
      <c r="H370" s="154" t="s">
        <v>396</v>
      </c>
      <c r="I370" s="154" t="s">
        <v>396</v>
      </c>
      <c r="J370" s="132">
        <v>0.9</v>
      </c>
      <c r="K370" s="133">
        <v>0.635135135135135</v>
      </c>
      <c r="L370" s="133">
        <v>0.671641791044776</v>
      </c>
      <c r="M370" s="134">
        <v>0.685714285714286</v>
      </c>
      <c r="N370" s="133">
        <v>0.766151685393258</v>
      </c>
      <c r="O370" s="135">
        <v>0.9</v>
      </c>
      <c r="P370" s="133">
        <v>0.927734375</v>
      </c>
      <c r="Q370" s="133">
        <v>0.884941675503712</v>
      </c>
      <c r="R370" s="133">
        <v>0.835801393728223</v>
      </c>
      <c r="S370" s="133">
        <v>0.914136482877881</v>
      </c>
      <c r="T370" s="135">
        <v>0.9</v>
      </c>
      <c r="U370" s="133">
        <v>0.862955729166667</v>
      </c>
      <c r="V370" s="133">
        <v>0.804612937433722</v>
      </c>
      <c r="W370" s="133">
        <v>0.827308362369338</v>
      </c>
      <c r="X370" s="133">
        <v>0.852859176303128</v>
      </c>
      <c r="Y370" s="135">
        <v>0.92</v>
      </c>
      <c r="Z370" s="135">
        <v>0.92</v>
      </c>
      <c r="AA370" s="135">
        <v>0.898198198198198</v>
      </c>
      <c r="AB370" s="135">
        <v>0.875816993464052</v>
      </c>
      <c r="AC370" s="135">
        <v>0.946303450113228</v>
      </c>
      <c r="AD370" s="135">
        <v>0.92</v>
      </c>
      <c r="AE370" s="133">
        <v>0.999226748322044</v>
      </c>
      <c r="AF370" s="133">
        <v>0.997071092571226</v>
      </c>
      <c r="AG370" s="133">
        <v>0.998502360410223</v>
      </c>
      <c r="AH370" s="133">
        <v>0.993511628846698</v>
      </c>
      <c r="AI370" s="135">
        <v>0.92</v>
      </c>
      <c r="AJ370" s="133">
        <v>0.936529372045915</v>
      </c>
      <c r="AK370" s="133">
        <v>0.929083931253129</v>
      </c>
      <c r="AL370" s="133">
        <v>0.907381934892251</v>
      </c>
      <c r="AM370" s="133">
        <v>0.962574392216373</v>
      </c>
      <c r="AN370" s="132">
        <v>0.99</v>
      </c>
      <c r="AO370" s="137">
        <v>1</v>
      </c>
      <c r="AP370" s="137">
        <v>1</v>
      </c>
      <c r="AQ370" s="137">
        <v>1</v>
      </c>
      <c r="AR370" s="137">
        <v>1</v>
      </c>
      <c r="AS370" s="158">
        <v>0.05</v>
      </c>
      <c r="AT370" s="141">
        <v>0.186046511627907</v>
      </c>
      <c r="AU370" s="141">
        <v>0.1875</v>
      </c>
      <c r="AV370" s="141">
        <v>0.08</v>
      </c>
      <c r="AW370" s="141">
        <v>0.0796777081468218</v>
      </c>
      <c r="AX370" s="95"/>
      <c r="AY370" s="93"/>
    </row>
    <row r="371" ht="14.5" spans="1:51">
      <c r="A371" s="91"/>
      <c r="B371" s="95"/>
      <c r="C371" s="152" t="s">
        <v>375</v>
      </c>
      <c r="D371" s="153" t="s">
        <v>25</v>
      </c>
      <c r="E371" s="130" t="s">
        <v>376</v>
      </c>
      <c r="F371" s="154" t="s">
        <v>397</v>
      </c>
      <c r="G371" s="154" t="s">
        <v>397</v>
      </c>
      <c r="H371" s="154" t="s">
        <v>397</v>
      </c>
      <c r="I371" s="154" t="s">
        <v>397</v>
      </c>
      <c r="J371" s="132">
        <v>0.9</v>
      </c>
      <c r="K371" s="133">
        <v>0.911111111111111</v>
      </c>
      <c r="L371" s="133">
        <v>0.944444444444444</v>
      </c>
      <c r="M371" s="134">
        <v>0.918367346938776</v>
      </c>
      <c r="N371" s="133">
        <v>0.929735234215886</v>
      </c>
      <c r="O371" s="135">
        <v>0.9</v>
      </c>
      <c r="P371" s="133">
        <v>0.931207004377736</v>
      </c>
      <c r="Q371" s="133">
        <v>0.944347826086957</v>
      </c>
      <c r="R371" s="133">
        <v>0.9536354056902</v>
      </c>
      <c r="S371" s="133">
        <v>0.936415497979558</v>
      </c>
      <c r="T371" s="135">
        <v>0.9</v>
      </c>
      <c r="U371" s="133">
        <v>0.873671044402752</v>
      </c>
      <c r="V371" s="133">
        <v>0.902608695652174</v>
      </c>
      <c r="W371" s="133">
        <v>0.88277133825079</v>
      </c>
      <c r="X371" s="133">
        <v>0.884800842133859</v>
      </c>
      <c r="Y371" s="135">
        <v>0.92</v>
      </c>
      <c r="Z371" s="135">
        <v>0.917717319177173</v>
      </c>
      <c r="AA371" s="135">
        <v>0.917189460476788</v>
      </c>
      <c r="AB371" s="135">
        <v>0.910392364793213</v>
      </c>
      <c r="AC371" s="135">
        <v>0.9286165286937</v>
      </c>
      <c r="AD371" s="135">
        <v>0.92</v>
      </c>
      <c r="AE371" s="133">
        <v>0.989795918367347</v>
      </c>
      <c r="AF371" s="133">
        <v>1</v>
      </c>
      <c r="AG371" s="133">
        <v>0.995203836930456</v>
      </c>
      <c r="AH371" s="133">
        <v>0.98688114946119</v>
      </c>
      <c r="AI371" s="135">
        <v>0.92</v>
      </c>
      <c r="AJ371" s="133">
        <v>0.938243808298488</v>
      </c>
      <c r="AK371" s="133">
        <v>0.957788671023965</v>
      </c>
      <c r="AL371" s="133">
        <v>0.952129531854981</v>
      </c>
      <c r="AM371" s="133">
        <v>0.960911493187824</v>
      </c>
      <c r="AN371" s="132">
        <v>0.99</v>
      </c>
      <c r="AO371" s="137">
        <v>1</v>
      </c>
      <c r="AP371" s="137">
        <v>1</v>
      </c>
      <c r="AQ371" s="137">
        <v>1</v>
      </c>
      <c r="AR371" s="137">
        <v>1</v>
      </c>
      <c r="AS371" s="158">
        <v>0.05</v>
      </c>
      <c r="AT371" s="141">
        <v>0.222222222222222</v>
      </c>
      <c r="AU371" s="141">
        <v>0.142857142857143</v>
      </c>
      <c r="AV371" s="141">
        <v>0.0833333333333333</v>
      </c>
      <c r="AW371" s="141">
        <v>0.093841642228739</v>
      </c>
      <c r="AX371" s="95"/>
      <c r="AY371" s="93"/>
    </row>
    <row r="372" ht="14.5" spans="1:51">
      <c r="A372" s="91"/>
      <c r="B372" s="95"/>
      <c r="C372" s="152" t="s">
        <v>375</v>
      </c>
      <c r="D372" s="153" t="s">
        <v>25</v>
      </c>
      <c r="E372" s="130" t="s">
        <v>376</v>
      </c>
      <c r="F372" s="154" t="s">
        <v>398</v>
      </c>
      <c r="G372" s="154" t="s">
        <v>398</v>
      </c>
      <c r="H372" s="154" t="s">
        <v>398</v>
      </c>
      <c r="I372" s="154" t="s">
        <v>398</v>
      </c>
      <c r="J372" s="132">
        <v>0.9</v>
      </c>
      <c r="K372" s="133">
        <v>0.734177215189873</v>
      </c>
      <c r="L372" s="133">
        <v>0.826086956521739</v>
      </c>
      <c r="M372" s="134">
        <v>0.723684210526316</v>
      </c>
      <c r="N372" s="133">
        <v>0.78936877076412</v>
      </c>
      <c r="O372" s="135">
        <v>0.9</v>
      </c>
      <c r="P372" s="133">
        <v>0.825085001888931</v>
      </c>
      <c r="Q372" s="133">
        <v>0.857695439739414</v>
      </c>
      <c r="R372" s="133">
        <v>0.850760608486789</v>
      </c>
      <c r="S372" s="133">
        <v>0.882269717037929</v>
      </c>
      <c r="T372" s="135">
        <v>0.9</v>
      </c>
      <c r="U372" s="133">
        <v>0.371363808084624</v>
      </c>
      <c r="V372" s="133">
        <v>0.318403908794788</v>
      </c>
      <c r="W372" s="133">
        <v>0.374859887910328</v>
      </c>
      <c r="X372" s="133">
        <v>0.343046357615894</v>
      </c>
      <c r="Y372" s="135">
        <v>0.92</v>
      </c>
      <c r="Z372" s="135">
        <v>0.548622821810006</v>
      </c>
      <c r="AA372" s="135">
        <v>0.192994996426019</v>
      </c>
      <c r="AB372" s="135">
        <v>0.430633802816901</v>
      </c>
      <c r="AC372" s="135">
        <v>0.400499387543579</v>
      </c>
      <c r="AD372" s="135">
        <v>0.92</v>
      </c>
      <c r="AE372" s="133">
        <v>0.999159663865546</v>
      </c>
      <c r="AF372" s="133">
        <v>0.996913580246914</v>
      </c>
      <c r="AG372" s="133">
        <v>0.915980230642504</v>
      </c>
      <c r="AH372" s="133">
        <v>0.972426228066318</v>
      </c>
      <c r="AI372" s="135">
        <v>0.92</v>
      </c>
      <c r="AJ372" s="133">
        <v>0.678482727477986</v>
      </c>
      <c r="AK372" s="133">
        <v>0.509822560202788</v>
      </c>
      <c r="AL372" s="133">
        <v>0.676532071735064</v>
      </c>
      <c r="AM372" s="133">
        <v>0.696784676744301</v>
      </c>
      <c r="AN372" s="132">
        <v>0.99</v>
      </c>
      <c r="AO372" s="137">
        <v>1</v>
      </c>
      <c r="AP372" s="137">
        <v>1</v>
      </c>
      <c r="AQ372" s="137">
        <v>1</v>
      </c>
      <c r="AR372" s="137">
        <v>1</v>
      </c>
      <c r="AS372" s="158">
        <v>0.05</v>
      </c>
      <c r="AT372" s="141">
        <v>0.277777777777778</v>
      </c>
      <c r="AU372" s="141">
        <v>0.121951219512195</v>
      </c>
      <c r="AV372" s="141">
        <v>0.222222222222222</v>
      </c>
      <c r="AW372" s="141">
        <v>0.128843338213763</v>
      </c>
      <c r="AX372" s="95"/>
      <c r="AY372" s="93"/>
    </row>
    <row r="373" ht="14.5" spans="1:51">
      <c r="A373" s="91"/>
      <c r="B373" s="95"/>
      <c r="C373" s="152" t="s">
        <v>375</v>
      </c>
      <c r="D373" s="153" t="s">
        <v>25</v>
      </c>
      <c r="E373" s="130" t="s">
        <v>376</v>
      </c>
      <c r="F373" s="154" t="s">
        <v>399</v>
      </c>
      <c r="G373" s="154" t="s">
        <v>399</v>
      </c>
      <c r="H373" s="154" t="s">
        <v>399</v>
      </c>
      <c r="I373" s="154" t="s">
        <v>399</v>
      </c>
      <c r="J373" s="132">
        <v>0.9</v>
      </c>
      <c r="K373" s="133">
        <v>0.6875</v>
      </c>
      <c r="L373" s="133">
        <v>0.636363636363636</v>
      </c>
      <c r="M373" s="134">
        <v>0.638888888888889</v>
      </c>
      <c r="N373" s="133">
        <v>0.680445151033386</v>
      </c>
      <c r="O373" s="135">
        <v>0.9</v>
      </c>
      <c r="P373" s="133">
        <v>0.96551724137931</v>
      </c>
      <c r="Q373" s="133">
        <v>0.892273730684327</v>
      </c>
      <c r="R373" s="133">
        <v>0.676523620627479</v>
      </c>
      <c r="S373" s="133">
        <v>0.719292217831988</v>
      </c>
      <c r="T373" s="135">
        <v>0.9</v>
      </c>
      <c r="U373" s="133">
        <v>0.543766578249337</v>
      </c>
      <c r="V373" s="133">
        <v>0.516556291390728</v>
      </c>
      <c r="W373" s="133">
        <v>0.625676163000361</v>
      </c>
      <c r="X373" s="133">
        <v>0.559133187719341</v>
      </c>
      <c r="Y373" s="135">
        <v>0.92</v>
      </c>
      <c r="Z373" s="135">
        <v>0.384070796460177</v>
      </c>
      <c r="AA373" s="135">
        <v>0.252669039145907</v>
      </c>
      <c r="AB373" s="135">
        <v>0.585274930102516</v>
      </c>
      <c r="AC373" s="135">
        <v>0.52931900478916</v>
      </c>
      <c r="AD373" s="135">
        <v>0.92</v>
      </c>
      <c r="AE373" s="133">
        <v>0.975903614457831</v>
      </c>
      <c r="AF373" s="133">
        <v>0.948717948717949</v>
      </c>
      <c r="AG373" s="133">
        <v>1</v>
      </c>
      <c r="AH373" s="133">
        <v>0.965662968832541</v>
      </c>
      <c r="AI373" s="135">
        <v>0.92</v>
      </c>
      <c r="AJ373" s="133">
        <v>0.618010594467334</v>
      </c>
      <c r="AK373" s="133">
        <v>0.590876944837341</v>
      </c>
      <c r="AL373" s="133">
        <v>0.747792207792208</v>
      </c>
      <c r="AM373" s="133">
        <v>0.746968597782154</v>
      </c>
      <c r="AN373" s="132">
        <v>0.99</v>
      </c>
      <c r="AO373" s="137">
        <v>1</v>
      </c>
      <c r="AP373" s="137">
        <v>1</v>
      </c>
      <c r="AQ373" s="137">
        <v>1</v>
      </c>
      <c r="AR373" s="137">
        <v>1</v>
      </c>
      <c r="AS373" s="158">
        <v>0.05</v>
      </c>
      <c r="AT373" s="141">
        <v>0.25</v>
      </c>
      <c r="AU373" s="141">
        <v>0</v>
      </c>
      <c r="AV373" s="141">
        <v>0.0909090909090909</v>
      </c>
      <c r="AW373" s="141">
        <v>0.132978723404255</v>
      </c>
      <c r="AX373" s="95"/>
      <c r="AY373" s="93"/>
    </row>
    <row r="374" ht="14.5" spans="1:51">
      <c r="A374" s="91"/>
      <c r="B374" s="95"/>
      <c r="C374" s="152" t="s">
        <v>375</v>
      </c>
      <c r="D374" s="153" t="s">
        <v>25</v>
      </c>
      <c r="E374" s="130" t="s">
        <v>376</v>
      </c>
      <c r="F374" s="154" t="s">
        <v>400</v>
      </c>
      <c r="G374" s="154" t="s">
        <v>400</v>
      </c>
      <c r="H374" s="154" t="s">
        <v>400</v>
      </c>
      <c r="I374" s="154" t="s">
        <v>400</v>
      </c>
      <c r="J374" s="132">
        <v>0.9</v>
      </c>
      <c r="K374" s="133">
        <v>0.82</v>
      </c>
      <c r="L374" s="133">
        <v>0.918367346938776</v>
      </c>
      <c r="M374" s="134">
        <v>0.92156862745098</v>
      </c>
      <c r="N374" s="133">
        <v>0.84527518172378</v>
      </c>
      <c r="O374" s="135">
        <v>0.9</v>
      </c>
      <c r="P374" s="133">
        <v>0</v>
      </c>
      <c r="Q374" s="133" t="s">
        <v>35</v>
      </c>
      <c r="R374" s="133">
        <v>0</v>
      </c>
      <c r="S374" s="133">
        <v>0.166666666666667</v>
      </c>
      <c r="T374" s="135">
        <v>0.9</v>
      </c>
      <c r="U374" s="133">
        <v>0</v>
      </c>
      <c r="V374" s="133" t="s">
        <v>35</v>
      </c>
      <c r="W374" s="133">
        <v>0</v>
      </c>
      <c r="X374" s="133">
        <v>0.0833333333333333</v>
      </c>
      <c r="Y374" s="135">
        <v>0.92</v>
      </c>
      <c r="Z374" s="135">
        <v>0</v>
      </c>
      <c r="AA374" s="135">
        <v>0</v>
      </c>
      <c r="AB374" s="135" t="s">
        <v>35</v>
      </c>
      <c r="AC374" s="135">
        <v>0.235294117647059</v>
      </c>
      <c r="AD374" s="135">
        <v>0.92</v>
      </c>
      <c r="AE374" s="133">
        <v>0.995798319327731</v>
      </c>
      <c r="AF374" s="133">
        <v>0.952054794520548</v>
      </c>
      <c r="AG374" s="133">
        <v>0.974093264248705</v>
      </c>
      <c r="AH374" s="133">
        <v>0.978763567720623</v>
      </c>
      <c r="AI374" s="135">
        <v>0.92</v>
      </c>
      <c r="AJ374" s="133">
        <v>0.935497650576677</v>
      </c>
      <c r="AK374" s="133">
        <v>0.885928209645452</v>
      </c>
      <c r="AL374" s="133">
        <v>0.947325102880658</v>
      </c>
      <c r="AM374" s="133">
        <v>0.948158866380601</v>
      </c>
      <c r="AN374" s="132">
        <v>0.99</v>
      </c>
      <c r="AO374" s="137">
        <v>1</v>
      </c>
      <c r="AP374" s="137">
        <v>1</v>
      </c>
      <c r="AQ374" s="137">
        <v>1</v>
      </c>
      <c r="AR374" s="137">
        <v>1</v>
      </c>
      <c r="AS374" s="158">
        <v>0.05</v>
      </c>
      <c r="AT374" s="141">
        <v>0</v>
      </c>
      <c r="AU374" s="141">
        <v>0.0909090909090909</v>
      </c>
      <c r="AV374" s="141">
        <v>0.0769230769230769</v>
      </c>
      <c r="AW374" s="141">
        <v>0.0964912280701754</v>
      </c>
      <c r="AX374" s="95"/>
      <c r="AY374" s="93"/>
    </row>
    <row r="375" ht="14.5" spans="1:51">
      <c r="A375" s="91"/>
      <c r="B375" s="95"/>
      <c r="C375" s="152" t="s">
        <v>375</v>
      </c>
      <c r="D375" s="153" t="s">
        <v>25</v>
      </c>
      <c r="E375" s="130" t="s">
        <v>376</v>
      </c>
      <c r="F375" s="154" t="s">
        <v>401</v>
      </c>
      <c r="G375" s="154" t="s">
        <v>401</v>
      </c>
      <c r="H375" s="154" t="s">
        <v>401</v>
      </c>
      <c r="I375" s="154" t="s">
        <v>401</v>
      </c>
      <c r="J375" s="132">
        <v>0.9</v>
      </c>
      <c r="K375" s="133">
        <v>0.685185185185185</v>
      </c>
      <c r="L375" s="133">
        <v>0.7</v>
      </c>
      <c r="M375" s="134">
        <v>0.785714285714286</v>
      </c>
      <c r="N375" s="133">
        <v>0.675350701402806</v>
      </c>
      <c r="O375" s="135">
        <v>0.9</v>
      </c>
      <c r="P375" s="133">
        <v>0</v>
      </c>
      <c r="Q375" s="133">
        <v>0</v>
      </c>
      <c r="R375" s="133" t="s">
        <v>35</v>
      </c>
      <c r="S375" s="133">
        <v>0.375</v>
      </c>
      <c r="T375" s="135">
        <v>0.9</v>
      </c>
      <c r="U375" s="133">
        <v>0</v>
      </c>
      <c r="V375" s="133">
        <v>0</v>
      </c>
      <c r="W375" s="133" t="s">
        <v>35</v>
      </c>
      <c r="X375" s="133">
        <v>0.375</v>
      </c>
      <c r="Y375" s="135">
        <v>0.92</v>
      </c>
      <c r="Z375" s="135">
        <v>0</v>
      </c>
      <c r="AA375" s="135">
        <v>0</v>
      </c>
      <c r="AB375" s="135" t="s">
        <v>35</v>
      </c>
      <c r="AC375" s="135">
        <v>0.58974358974359</v>
      </c>
      <c r="AD375" s="135">
        <v>0.92</v>
      </c>
      <c r="AE375" s="133">
        <v>1</v>
      </c>
      <c r="AF375" s="133">
        <v>0.921875</v>
      </c>
      <c r="AG375" s="133">
        <v>0.984615384615385</v>
      </c>
      <c r="AH375" s="133">
        <v>0.980077476480354</v>
      </c>
      <c r="AI375" s="135">
        <v>0.92</v>
      </c>
      <c r="AJ375" s="133">
        <v>0.836924096784886</v>
      </c>
      <c r="AK375" s="133">
        <v>0.779787789180727</v>
      </c>
      <c r="AL375" s="133">
        <v>0.847192839707079</v>
      </c>
      <c r="AM375" s="133">
        <v>0.88895984518626</v>
      </c>
      <c r="AN375" s="132">
        <v>0.99</v>
      </c>
      <c r="AO375" s="137">
        <v>1</v>
      </c>
      <c r="AP375" s="137">
        <v>1</v>
      </c>
      <c r="AQ375" s="137">
        <v>1</v>
      </c>
      <c r="AR375" s="137">
        <v>1</v>
      </c>
      <c r="AS375" s="158">
        <v>0.05</v>
      </c>
      <c r="AT375" s="141">
        <v>0.0588235294117647</v>
      </c>
      <c r="AU375" s="141">
        <v>0.12</v>
      </c>
      <c r="AV375" s="141">
        <v>0.05</v>
      </c>
      <c r="AW375" s="141">
        <v>0.1712158808933</v>
      </c>
      <c r="AX375" s="95"/>
      <c r="AY375" s="93"/>
    </row>
    <row r="376" ht="14.5" spans="1:51">
      <c r="A376" s="91"/>
      <c r="B376" s="95"/>
      <c r="C376" s="152" t="s">
        <v>375</v>
      </c>
      <c r="D376" s="153" t="s">
        <v>25</v>
      </c>
      <c r="E376" s="130" t="s">
        <v>376</v>
      </c>
      <c r="F376" s="154" t="s">
        <v>402</v>
      </c>
      <c r="G376" s="154" t="s">
        <v>402</v>
      </c>
      <c r="H376" s="154" t="s">
        <v>402</v>
      </c>
      <c r="I376" s="154" t="s">
        <v>402</v>
      </c>
      <c r="J376" s="132">
        <v>0.9</v>
      </c>
      <c r="K376" s="133">
        <v>1</v>
      </c>
      <c r="L376" s="133">
        <v>1</v>
      </c>
      <c r="M376" s="134">
        <v>1</v>
      </c>
      <c r="N376" s="133">
        <v>0.991469194312796</v>
      </c>
      <c r="O376" s="135">
        <v>0.9</v>
      </c>
      <c r="P376" s="133">
        <v>0.977671451355662</v>
      </c>
      <c r="Q376" s="133">
        <v>0.973184357541899</v>
      </c>
      <c r="R376" s="133">
        <v>0.981300467488313</v>
      </c>
      <c r="S376" s="133">
        <v>0.98006298708231</v>
      </c>
      <c r="T376" s="135">
        <v>0.9</v>
      </c>
      <c r="U376" s="133">
        <v>0.916533758639022</v>
      </c>
      <c r="V376" s="133">
        <v>0.919553072625698</v>
      </c>
      <c r="W376" s="133">
        <v>0.900552486187845</v>
      </c>
      <c r="X376" s="133">
        <v>0.897605957083378</v>
      </c>
      <c r="Y376" s="135">
        <v>0.92</v>
      </c>
      <c r="Z376" s="135">
        <v>0.929814037192562</v>
      </c>
      <c r="AA376" s="135">
        <v>0.907142857142857</v>
      </c>
      <c r="AB376" s="135">
        <v>0.924476077500988</v>
      </c>
      <c r="AC376" s="135">
        <v>0.937587639230627</v>
      </c>
      <c r="AD376" s="135">
        <v>0.92</v>
      </c>
      <c r="AE376" s="133">
        <v>1</v>
      </c>
      <c r="AF376" s="133">
        <v>0.987654320987654</v>
      </c>
      <c r="AG376" s="133">
        <v>0.99548532731377</v>
      </c>
      <c r="AH376" s="133">
        <v>0.996239659062422</v>
      </c>
      <c r="AI376" s="135">
        <v>0.92</v>
      </c>
      <c r="AJ376" s="133">
        <v>0.95519864750634</v>
      </c>
      <c r="AK376" s="133">
        <v>0.958315610378562</v>
      </c>
      <c r="AL376" s="133">
        <v>0.962548369264787</v>
      </c>
      <c r="AM376" s="133">
        <v>0.968169079040727</v>
      </c>
      <c r="AN376" s="132">
        <v>0.99</v>
      </c>
      <c r="AO376" s="137">
        <v>1</v>
      </c>
      <c r="AP376" s="137">
        <v>1</v>
      </c>
      <c r="AQ376" s="137">
        <v>1</v>
      </c>
      <c r="AR376" s="137">
        <v>1</v>
      </c>
      <c r="AS376" s="158">
        <v>0.05</v>
      </c>
      <c r="AT376" s="141">
        <v>0.5</v>
      </c>
      <c r="AU376" s="141">
        <v>0.333333333333333</v>
      </c>
      <c r="AV376" s="141">
        <v>0.130434782608696</v>
      </c>
      <c r="AW376" s="141">
        <v>0.11038961038961</v>
      </c>
      <c r="AX376" s="95"/>
      <c r="AY376" s="93"/>
    </row>
    <row r="377" ht="14.5" spans="1:51">
      <c r="A377" s="91"/>
      <c r="B377" s="95"/>
      <c r="C377" s="152" t="s">
        <v>375</v>
      </c>
      <c r="D377" s="153" t="s">
        <v>25</v>
      </c>
      <c r="E377" s="130" t="s">
        <v>376</v>
      </c>
      <c r="F377" s="154" t="s">
        <v>403</v>
      </c>
      <c r="G377" s="154" t="s">
        <v>403</v>
      </c>
      <c r="H377" s="154" t="s">
        <v>403</v>
      </c>
      <c r="I377" s="154" t="s">
        <v>403</v>
      </c>
      <c r="J377" s="132">
        <v>0.9</v>
      </c>
      <c r="K377" s="133">
        <v>0.903225806451613</v>
      </c>
      <c r="L377" s="133">
        <v>0.866666666666667</v>
      </c>
      <c r="M377" s="134">
        <v>0.845070422535211</v>
      </c>
      <c r="N377" s="133">
        <v>0.883808095952024</v>
      </c>
      <c r="O377" s="135">
        <v>0.9</v>
      </c>
      <c r="P377" s="133">
        <v>0.938401048492792</v>
      </c>
      <c r="Q377" s="133">
        <v>0.912993572084481</v>
      </c>
      <c r="R377" s="133">
        <v>0.905309250136836</v>
      </c>
      <c r="S377" s="133">
        <v>0.905933314334568</v>
      </c>
      <c r="T377" s="135">
        <v>0.9</v>
      </c>
      <c r="U377" s="133">
        <v>0.778069025775448</v>
      </c>
      <c r="V377" s="133">
        <v>0.751147842056933</v>
      </c>
      <c r="W377" s="133">
        <v>0.727422003284072</v>
      </c>
      <c r="X377" s="133">
        <v>0.737269877457965</v>
      </c>
      <c r="Y377" s="135">
        <v>0.92</v>
      </c>
      <c r="Z377" s="135">
        <v>0.772455089820359</v>
      </c>
      <c r="AA377" s="135">
        <v>0.7117903930131</v>
      </c>
      <c r="AB377" s="135">
        <v>0.823883592574009</v>
      </c>
      <c r="AC377" s="135">
        <v>0.816775164382217</v>
      </c>
      <c r="AD377" s="135">
        <v>0.92</v>
      </c>
      <c r="AE377" s="133">
        <v>0.964285714285714</v>
      </c>
      <c r="AF377" s="133">
        <v>0.987341772151899</v>
      </c>
      <c r="AG377" s="133">
        <v>0.977401129943503</v>
      </c>
      <c r="AH377" s="133">
        <v>0.975549255846917</v>
      </c>
      <c r="AI377" s="135">
        <v>0.92</v>
      </c>
      <c r="AJ377" s="133">
        <v>0.873662908355016</v>
      </c>
      <c r="AK377" s="133">
        <v>0.879861868411487</v>
      </c>
      <c r="AL377" s="133">
        <v>0.917357582241241</v>
      </c>
      <c r="AM377" s="133">
        <v>0.921147831966867</v>
      </c>
      <c r="AN377" s="132">
        <v>0.99</v>
      </c>
      <c r="AO377" s="137">
        <v>1</v>
      </c>
      <c r="AP377" s="137">
        <v>1</v>
      </c>
      <c r="AQ377" s="137">
        <v>1</v>
      </c>
      <c r="AR377" s="137">
        <v>1</v>
      </c>
      <c r="AS377" s="158">
        <v>0.05</v>
      </c>
      <c r="AT377" s="141">
        <v>0</v>
      </c>
      <c r="AU377" s="141">
        <v>0.272727272727273</v>
      </c>
      <c r="AV377" s="141">
        <v>0.032258064516129</v>
      </c>
      <c r="AW377" s="141">
        <v>0.115124153498871</v>
      </c>
      <c r="AX377" s="95"/>
      <c r="AY377" s="93"/>
    </row>
    <row r="378" ht="14.5" spans="1:51">
      <c r="A378" s="91"/>
      <c r="B378" s="95"/>
      <c r="C378" s="152" t="s">
        <v>375</v>
      </c>
      <c r="D378" s="153" t="s">
        <v>25</v>
      </c>
      <c r="E378" s="130" t="s">
        <v>376</v>
      </c>
      <c r="F378" s="154" t="s">
        <v>404</v>
      </c>
      <c r="G378" s="154" t="s">
        <v>404</v>
      </c>
      <c r="H378" s="154" t="s">
        <v>404</v>
      </c>
      <c r="I378" s="154" t="s">
        <v>404</v>
      </c>
      <c r="J378" s="132">
        <v>0.9</v>
      </c>
      <c r="K378" s="133">
        <v>0.891891891891892</v>
      </c>
      <c r="L378" s="133">
        <v>0.901234567901235</v>
      </c>
      <c r="M378" s="134">
        <v>0.920454545454545</v>
      </c>
      <c r="N378" s="133">
        <v>0.939490445859873</v>
      </c>
      <c r="O378" s="135">
        <v>0.9</v>
      </c>
      <c r="P378" s="133">
        <v>0.97507578309195</v>
      </c>
      <c r="Q378" s="133">
        <v>0.987163261616344</v>
      </c>
      <c r="R378" s="133">
        <v>0.975372924289333</v>
      </c>
      <c r="S378" s="133">
        <v>0.955122950819672</v>
      </c>
      <c r="T378" s="135">
        <v>0.9</v>
      </c>
      <c r="U378" s="133">
        <v>0.775682047827551</v>
      </c>
      <c r="V378" s="133">
        <v>0.762610739468451</v>
      </c>
      <c r="W378" s="133">
        <v>0.785814804390656</v>
      </c>
      <c r="X378" s="133">
        <v>0.784158945117605</v>
      </c>
      <c r="Y378" s="135">
        <v>0.92</v>
      </c>
      <c r="Z378" s="135">
        <v>0.814940577249576</v>
      </c>
      <c r="AA378" s="135">
        <v>0.791994750656168</v>
      </c>
      <c r="AB378" s="135">
        <v>0.83464309102816</v>
      </c>
      <c r="AC378" s="135">
        <v>0.858315780423849</v>
      </c>
      <c r="AD378" s="135">
        <v>0.92</v>
      </c>
      <c r="AE378" s="133">
        <v>0.989858012170385</v>
      </c>
      <c r="AF378" s="133">
        <v>0.974603174603175</v>
      </c>
      <c r="AG378" s="133">
        <v>0.96031746031746</v>
      </c>
      <c r="AH378" s="133">
        <v>0.96222503742946</v>
      </c>
      <c r="AI378" s="135">
        <v>0.92</v>
      </c>
      <c r="AJ378" s="133">
        <v>0.884388185654008</v>
      </c>
      <c r="AK378" s="133">
        <v>0.906037414965986</v>
      </c>
      <c r="AL378" s="133">
        <v>0.925105796673556</v>
      </c>
      <c r="AM378" s="133">
        <v>0.931262280215628</v>
      </c>
      <c r="AN378" s="132">
        <v>0.99</v>
      </c>
      <c r="AO378" s="137">
        <v>1</v>
      </c>
      <c r="AP378" s="137">
        <v>1</v>
      </c>
      <c r="AQ378" s="137">
        <v>1</v>
      </c>
      <c r="AR378" s="137">
        <v>1</v>
      </c>
      <c r="AS378" s="158">
        <v>0.05</v>
      </c>
      <c r="AT378" s="141">
        <v>0.0882352941176471</v>
      </c>
      <c r="AU378" s="141">
        <v>0.111111111111111</v>
      </c>
      <c r="AV378" s="141">
        <v>0.133333333333333</v>
      </c>
      <c r="AW378" s="141">
        <v>0.123456790123457</v>
      </c>
      <c r="AX378" s="95"/>
      <c r="AY378" s="93"/>
    </row>
    <row r="379" ht="14.5" spans="1:51">
      <c r="A379" s="91"/>
      <c r="B379" s="95"/>
      <c r="C379" s="152" t="s">
        <v>375</v>
      </c>
      <c r="D379" s="153" t="s">
        <v>25</v>
      </c>
      <c r="E379" s="130" t="s">
        <v>376</v>
      </c>
      <c r="F379" s="154" t="s">
        <v>405</v>
      </c>
      <c r="G379" s="154" t="s">
        <v>405</v>
      </c>
      <c r="H379" s="154" t="s">
        <v>405</v>
      </c>
      <c r="I379" s="154" t="s">
        <v>405</v>
      </c>
      <c r="J379" s="132">
        <v>0.9</v>
      </c>
      <c r="K379" s="133">
        <v>1</v>
      </c>
      <c r="L379" s="133">
        <v>0.814814814814815</v>
      </c>
      <c r="M379" s="134">
        <v>1</v>
      </c>
      <c r="N379" s="133">
        <v>0.909863945578231</v>
      </c>
      <c r="O379" s="135">
        <v>0.9</v>
      </c>
      <c r="P379" s="133">
        <v>0</v>
      </c>
      <c r="Q379" s="133">
        <v>1</v>
      </c>
      <c r="R379" s="133" t="s">
        <v>35</v>
      </c>
      <c r="S379" s="133">
        <v>0.428571428571429</v>
      </c>
      <c r="T379" s="135">
        <v>0.9</v>
      </c>
      <c r="U379" s="133">
        <v>0</v>
      </c>
      <c r="V379" s="133">
        <v>0</v>
      </c>
      <c r="W379" s="133" t="s">
        <v>35</v>
      </c>
      <c r="X379" s="133">
        <v>0.571428571428571</v>
      </c>
      <c r="Y379" s="135">
        <v>0.92</v>
      </c>
      <c r="Z379" s="135" t="s">
        <v>35</v>
      </c>
      <c r="AA379" s="135">
        <v>0</v>
      </c>
      <c r="AB379" s="135" t="s">
        <v>35</v>
      </c>
      <c r="AC379" s="135">
        <v>0.75</v>
      </c>
      <c r="AD379" s="135">
        <v>0.92</v>
      </c>
      <c r="AE379" s="133">
        <v>0.997368421052632</v>
      </c>
      <c r="AF379" s="133">
        <v>1</v>
      </c>
      <c r="AG379" s="133">
        <v>0.993377483443709</v>
      </c>
      <c r="AH379" s="133">
        <v>0.988761568973116</v>
      </c>
      <c r="AI379" s="135">
        <v>0.92</v>
      </c>
      <c r="AJ379" s="133">
        <v>0.902489626556017</v>
      </c>
      <c r="AK379" s="133">
        <v>0.824374667376264</v>
      </c>
      <c r="AL379" s="133">
        <v>0.823438704703161</v>
      </c>
      <c r="AM379" s="133">
        <v>0.906634126015655</v>
      </c>
      <c r="AN379" s="132">
        <v>0.99</v>
      </c>
      <c r="AO379" s="137">
        <v>1</v>
      </c>
      <c r="AP379" s="137">
        <v>1</v>
      </c>
      <c r="AQ379" s="137">
        <v>1</v>
      </c>
      <c r="AR379" s="137">
        <v>1</v>
      </c>
      <c r="AS379" s="158">
        <v>0.05</v>
      </c>
      <c r="AT379" s="141">
        <v>0.2</v>
      </c>
      <c r="AU379" s="141">
        <v>0</v>
      </c>
      <c r="AV379" s="141">
        <v>0.0625</v>
      </c>
      <c r="AW379" s="141">
        <v>0.154205607476636</v>
      </c>
      <c r="AX379" s="95"/>
      <c r="AY379" s="93"/>
    </row>
    <row r="380" ht="14.5" spans="1:51">
      <c r="A380" s="91"/>
      <c r="B380" s="95"/>
      <c r="C380" s="152" t="s">
        <v>375</v>
      </c>
      <c r="D380" s="153" t="s">
        <v>25</v>
      </c>
      <c r="E380" s="130" t="s">
        <v>376</v>
      </c>
      <c r="F380" s="154" t="s">
        <v>406</v>
      </c>
      <c r="G380" s="154" t="s">
        <v>406</v>
      </c>
      <c r="H380" s="154" t="s">
        <v>406</v>
      </c>
      <c r="I380" s="154" t="s">
        <v>406</v>
      </c>
      <c r="J380" s="132">
        <v>0.9</v>
      </c>
      <c r="K380" s="133">
        <v>1</v>
      </c>
      <c r="L380" s="133">
        <v>0.977777777777778</v>
      </c>
      <c r="M380" s="134">
        <v>0.957446808510638</v>
      </c>
      <c r="N380" s="133">
        <v>0.984468339307049</v>
      </c>
      <c r="O380" s="135">
        <v>0.9</v>
      </c>
      <c r="P380" s="133">
        <v>0.918880114860014</v>
      </c>
      <c r="Q380" s="133">
        <v>0.933037365889752</v>
      </c>
      <c r="R380" s="133">
        <v>0.950890292935095</v>
      </c>
      <c r="S380" s="133">
        <v>0.933314700950251</v>
      </c>
      <c r="T380" s="135">
        <v>0.9</v>
      </c>
      <c r="U380" s="133">
        <v>0.844221105527638</v>
      </c>
      <c r="V380" s="133">
        <v>0.842027376988531</v>
      </c>
      <c r="W380" s="133">
        <v>0.88483630097645</v>
      </c>
      <c r="X380" s="133">
        <v>0.865679150363331</v>
      </c>
      <c r="Y380" s="135">
        <v>0.92</v>
      </c>
      <c r="Z380" s="135">
        <v>0.870402802101576</v>
      </c>
      <c r="AA380" s="135">
        <v>0.826809015421115</v>
      </c>
      <c r="AB380" s="135">
        <v>0.89015769439913</v>
      </c>
      <c r="AC380" s="135">
        <v>0.904460994508388</v>
      </c>
      <c r="AD380" s="135">
        <v>0.92</v>
      </c>
      <c r="AE380" s="133">
        <v>1</v>
      </c>
      <c r="AF380" s="133">
        <v>0.984126984126984</v>
      </c>
      <c r="AG380" s="133">
        <v>0.98936170212766</v>
      </c>
      <c r="AH380" s="133">
        <v>0.981603773584906</v>
      </c>
      <c r="AI380" s="135">
        <v>0.92</v>
      </c>
      <c r="AJ380" s="133">
        <v>0.908086785009862</v>
      </c>
      <c r="AK380" s="133">
        <v>0.910578279266573</v>
      </c>
      <c r="AL380" s="133">
        <v>0.938004884463648</v>
      </c>
      <c r="AM380" s="133">
        <v>0.946401873816406</v>
      </c>
      <c r="AN380" s="132">
        <v>0.99</v>
      </c>
      <c r="AO380" s="137">
        <v>1</v>
      </c>
      <c r="AP380" s="137">
        <v>1</v>
      </c>
      <c r="AQ380" s="137">
        <v>1</v>
      </c>
      <c r="AR380" s="137">
        <v>1</v>
      </c>
      <c r="AS380" s="158">
        <v>0.05</v>
      </c>
      <c r="AT380" s="141">
        <v>0.222222222222222</v>
      </c>
      <c r="AU380" s="141">
        <v>0</v>
      </c>
      <c r="AV380" s="141">
        <v>0.25</v>
      </c>
      <c r="AW380" s="141">
        <v>0.103092783505155</v>
      </c>
      <c r="AX380" s="95"/>
      <c r="AY380" s="93"/>
    </row>
    <row r="381" ht="14.5" spans="1:51">
      <c r="A381" s="91"/>
      <c r="B381" s="95"/>
      <c r="C381" s="152" t="s">
        <v>375</v>
      </c>
      <c r="D381" s="153" t="s">
        <v>25</v>
      </c>
      <c r="E381" s="130" t="s">
        <v>376</v>
      </c>
      <c r="F381" s="154" t="s">
        <v>407</v>
      </c>
      <c r="G381" s="154" t="s">
        <v>407</v>
      </c>
      <c r="H381" s="154" t="s">
        <v>407</v>
      </c>
      <c r="I381" s="154" t="s">
        <v>407</v>
      </c>
      <c r="J381" s="132">
        <v>0.9</v>
      </c>
      <c r="K381" s="133">
        <v>0.58974358974359</v>
      </c>
      <c r="L381" s="133">
        <v>0.634146341463415</v>
      </c>
      <c r="M381" s="134">
        <v>0.621621621621622</v>
      </c>
      <c r="N381" s="133">
        <v>0.733415233415233</v>
      </c>
      <c r="O381" s="135">
        <v>0.9</v>
      </c>
      <c r="P381" s="133">
        <v>1</v>
      </c>
      <c r="Q381" s="133">
        <v>0.571428571428571</v>
      </c>
      <c r="R381" s="133">
        <v>1</v>
      </c>
      <c r="S381" s="133">
        <v>0.75</v>
      </c>
      <c r="T381" s="135">
        <v>0.9</v>
      </c>
      <c r="U381" s="133">
        <v>0</v>
      </c>
      <c r="V381" s="133">
        <v>0.142857142857143</v>
      </c>
      <c r="W381" s="133">
        <v>0</v>
      </c>
      <c r="X381" s="133">
        <v>0.2</v>
      </c>
      <c r="Y381" s="135">
        <v>0.92</v>
      </c>
      <c r="Z381" s="135">
        <v>0.8</v>
      </c>
      <c r="AA381" s="135">
        <v>0</v>
      </c>
      <c r="AB381" s="135">
        <v>0</v>
      </c>
      <c r="AC381" s="135">
        <v>0.416666666666667</v>
      </c>
      <c r="AD381" s="135">
        <v>0.92</v>
      </c>
      <c r="AE381" s="133">
        <v>0.961538461538462</v>
      </c>
      <c r="AF381" s="133">
        <v>0.75</v>
      </c>
      <c r="AG381" s="133">
        <v>0.909090909090909</v>
      </c>
      <c r="AH381" s="133">
        <v>0.880530973451327</v>
      </c>
      <c r="AI381" s="135">
        <v>0.92</v>
      </c>
      <c r="AJ381" s="133">
        <v>0.775338626809902</v>
      </c>
      <c r="AK381" s="133">
        <v>0.73278963780283</v>
      </c>
      <c r="AL381" s="133">
        <v>0.731005709266579</v>
      </c>
      <c r="AM381" s="133">
        <v>0.843301324195455</v>
      </c>
      <c r="AN381" s="132">
        <v>0.99</v>
      </c>
      <c r="AO381" s="137">
        <v>1</v>
      </c>
      <c r="AP381" s="137">
        <v>1</v>
      </c>
      <c r="AQ381" s="137">
        <v>1</v>
      </c>
      <c r="AR381" s="137">
        <v>1</v>
      </c>
      <c r="AS381" s="158">
        <v>0.05</v>
      </c>
      <c r="AT381" s="141">
        <v>0</v>
      </c>
      <c r="AU381" s="141">
        <v>0.1875</v>
      </c>
      <c r="AV381" s="141">
        <v>0.230769230769231</v>
      </c>
      <c r="AW381" s="141">
        <v>0.142857142857143</v>
      </c>
      <c r="AX381" s="95"/>
      <c r="AY381" s="93"/>
    </row>
    <row r="382" ht="14.5" spans="1:51">
      <c r="A382" s="91"/>
      <c r="B382" s="95"/>
      <c r="C382" s="152" t="s">
        <v>375</v>
      </c>
      <c r="D382" s="153" t="s">
        <v>25</v>
      </c>
      <c r="E382" s="130" t="s">
        <v>376</v>
      </c>
      <c r="F382" s="154" t="s">
        <v>408</v>
      </c>
      <c r="G382" s="154" t="s">
        <v>408</v>
      </c>
      <c r="H382" s="154" t="s">
        <v>408</v>
      </c>
      <c r="I382" s="154" t="s">
        <v>408</v>
      </c>
      <c r="J382" s="132">
        <v>0.9</v>
      </c>
      <c r="K382" s="133">
        <v>0.720588235294118</v>
      </c>
      <c r="L382" s="133">
        <v>0.567164179104478</v>
      </c>
      <c r="M382" s="134">
        <v>0.549295774647887</v>
      </c>
      <c r="N382" s="133">
        <v>0.625978090766823</v>
      </c>
      <c r="O382" s="135">
        <v>0.9</v>
      </c>
      <c r="P382" s="133">
        <v>0.930434782608696</v>
      </c>
      <c r="Q382" s="133">
        <v>0.676635111876076</v>
      </c>
      <c r="R382" s="133">
        <v>0.612268328686239</v>
      </c>
      <c r="S382" s="133">
        <v>0.726327168916224</v>
      </c>
      <c r="T382" s="135">
        <v>0.9</v>
      </c>
      <c r="U382" s="133">
        <v>0.628458498023715</v>
      </c>
      <c r="V382" s="133">
        <v>0.52474182444062</v>
      </c>
      <c r="W382" s="133">
        <v>0.581597506970641</v>
      </c>
      <c r="X382" s="133">
        <v>0.506559751464137</v>
      </c>
      <c r="Y382" s="135">
        <v>0.92</v>
      </c>
      <c r="Z382" s="135">
        <v>0.795107033639144</v>
      </c>
      <c r="AA382" s="135">
        <v>0.508986340762042</v>
      </c>
      <c r="AB382" s="135">
        <v>0.587062805566002</v>
      </c>
      <c r="AC382" s="135">
        <v>0.673393017857989</v>
      </c>
      <c r="AD382" s="135">
        <v>0.92</v>
      </c>
      <c r="AE382" s="133">
        <v>0.996480643539467</v>
      </c>
      <c r="AF382" s="133">
        <v>0.984444444444444</v>
      </c>
      <c r="AG382" s="133">
        <v>0.996102883865939</v>
      </c>
      <c r="AH382" s="133">
        <v>0.936213114118423</v>
      </c>
      <c r="AI382" s="135">
        <v>0.92</v>
      </c>
      <c r="AJ382" s="133">
        <v>0.829572731637062</v>
      </c>
      <c r="AK382" s="133">
        <v>0.733520568313233</v>
      </c>
      <c r="AL382" s="133">
        <v>0.767240396671606</v>
      </c>
      <c r="AM382" s="133">
        <v>0.81768951756522</v>
      </c>
      <c r="AN382" s="132">
        <v>0.99</v>
      </c>
      <c r="AO382" s="137">
        <v>1</v>
      </c>
      <c r="AP382" s="137">
        <v>1</v>
      </c>
      <c r="AQ382" s="137">
        <v>1</v>
      </c>
      <c r="AR382" s="137">
        <v>1</v>
      </c>
      <c r="AS382" s="158">
        <v>0.05</v>
      </c>
      <c r="AT382" s="141">
        <v>0.571428571428571</v>
      </c>
      <c r="AU382" s="141">
        <v>0</v>
      </c>
      <c r="AV382" s="141">
        <v>0.285714285714286</v>
      </c>
      <c r="AW382" s="141">
        <v>0.13443072702332</v>
      </c>
      <c r="AX382" s="95"/>
      <c r="AY382" s="93"/>
    </row>
    <row r="383" ht="14.5" spans="1:51">
      <c r="A383" s="91"/>
      <c r="B383" s="95"/>
      <c r="C383" s="152" t="s">
        <v>375</v>
      </c>
      <c r="D383" s="153" t="s">
        <v>125</v>
      </c>
      <c r="E383" s="130" t="s">
        <v>376</v>
      </c>
      <c r="F383" s="154" t="s">
        <v>409</v>
      </c>
      <c r="G383" s="154" t="s">
        <v>409</v>
      </c>
      <c r="H383" s="154" t="s">
        <v>409</v>
      </c>
      <c r="I383" s="154" t="s">
        <v>409</v>
      </c>
      <c r="J383" s="132">
        <v>0.9</v>
      </c>
      <c r="K383" s="133" t="s">
        <v>35</v>
      </c>
      <c r="L383" s="133" t="s">
        <v>35</v>
      </c>
      <c r="M383" s="134" t="s">
        <v>35</v>
      </c>
      <c r="N383" s="133" t="s">
        <v>35</v>
      </c>
      <c r="O383" s="135">
        <v>0.9</v>
      </c>
      <c r="P383" s="133">
        <v>1</v>
      </c>
      <c r="Q383" s="133" t="s">
        <v>35</v>
      </c>
      <c r="R383" s="133">
        <v>1</v>
      </c>
      <c r="S383" s="133">
        <v>0.989847715736041</v>
      </c>
      <c r="T383" s="135">
        <v>0.9</v>
      </c>
      <c r="U383" s="133">
        <v>1</v>
      </c>
      <c r="V383" s="133" t="s">
        <v>35</v>
      </c>
      <c r="W383" s="133">
        <v>0.777777777777778</v>
      </c>
      <c r="X383" s="133">
        <v>0.979695431472081</v>
      </c>
      <c r="Y383" s="135">
        <v>0.92</v>
      </c>
      <c r="Z383" s="135" t="s">
        <v>35</v>
      </c>
      <c r="AA383" s="135" t="s">
        <v>35</v>
      </c>
      <c r="AB383" s="135" t="s">
        <v>35</v>
      </c>
      <c r="AC383" s="135">
        <v>1</v>
      </c>
      <c r="AD383" s="135">
        <v>0.92</v>
      </c>
      <c r="AE383" s="133">
        <v>1</v>
      </c>
      <c r="AF383" s="133">
        <v>1</v>
      </c>
      <c r="AG383" s="133" t="s">
        <v>35</v>
      </c>
      <c r="AH383" s="133">
        <v>0.999554962171785</v>
      </c>
      <c r="AI383" s="135">
        <v>0.92</v>
      </c>
      <c r="AJ383" s="133">
        <v>1</v>
      </c>
      <c r="AK383" s="133" t="s">
        <v>35</v>
      </c>
      <c r="AL383" s="133">
        <v>0.777777777777778</v>
      </c>
      <c r="AM383" s="133">
        <v>0.990697674418605</v>
      </c>
      <c r="AN383" s="132">
        <v>0.99</v>
      </c>
      <c r="AO383" s="137">
        <v>1</v>
      </c>
      <c r="AP383" s="137">
        <v>1</v>
      </c>
      <c r="AQ383" s="137" t="s">
        <v>35</v>
      </c>
      <c r="AR383" s="137">
        <v>1</v>
      </c>
      <c r="AS383" s="158">
        <v>0.05</v>
      </c>
      <c r="AT383" s="141" t="s">
        <v>35</v>
      </c>
      <c r="AU383" s="141" t="s">
        <v>35</v>
      </c>
      <c r="AV383" s="141" t="s">
        <v>35</v>
      </c>
      <c r="AW383" s="141" t="s">
        <v>35</v>
      </c>
      <c r="AX383" s="95"/>
      <c r="AY383" s="93"/>
    </row>
    <row r="384" ht="14.5" spans="1:51">
      <c r="A384" s="91"/>
      <c r="B384" s="95"/>
      <c r="C384" s="152" t="s">
        <v>375</v>
      </c>
      <c r="D384" s="153" t="s">
        <v>25</v>
      </c>
      <c r="E384" s="130" t="s">
        <v>376</v>
      </c>
      <c r="F384" s="154" t="s">
        <v>410</v>
      </c>
      <c r="G384" s="154" t="s">
        <v>410</v>
      </c>
      <c r="H384" s="154" t="s">
        <v>410</v>
      </c>
      <c r="I384" s="154" t="s">
        <v>410</v>
      </c>
      <c r="J384" s="132">
        <v>0.9</v>
      </c>
      <c r="K384" s="133">
        <v>0.96551724137931</v>
      </c>
      <c r="L384" s="133">
        <v>1</v>
      </c>
      <c r="M384" s="134">
        <v>1</v>
      </c>
      <c r="N384" s="133">
        <v>0.944267515923567</v>
      </c>
      <c r="O384" s="135">
        <v>0.9</v>
      </c>
      <c r="P384" s="133">
        <v>0.951111111111111</v>
      </c>
      <c r="Q384" s="133">
        <v>0.961506276150628</v>
      </c>
      <c r="R384" s="133">
        <v>0.981791044776119</v>
      </c>
      <c r="S384" s="133">
        <v>0.974016261714959</v>
      </c>
      <c r="T384" s="135">
        <v>0.9</v>
      </c>
      <c r="U384" s="133">
        <v>0.891666666666667</v>
      </c>
      <c r="V384" s="133">
        <v>0.77489539748954</v>
      </c>
      <c r="W384" s="133">
        <v>0.897611940298507</v>
      </c>
      <c r="X384" s="133">
        <v>0.857542921698729</v>
      </c>
      <c r="Y384" s="135">
        <v>0.92</v>
      </c>
      <c r="Z384" s="135">
        <v>0</v>
      </c>
      <c r="AA384" s="135" t="s">
        <v>35</v>
      </c>
      <c r="AB384" s="135" t="s">
        <v>35</v>
      </c>
      <c r="AC384" s="135">
        <v>0.2</v>
      </c>
      <c r="AD384" s="135">
        <v>0.92</v>
      </c>
      <c r="AE384" s="133">
        <v>0.995619275189168</v>
      </c>
      <c r="AF384" s="133">
        <v>0.996646795827124</v>
      </c>
      <c r="AG384" s="133">
        <v>0.992537313432836</v>
      </c>
      <c r="AH384" s="133">
        <v>0.958054255742117</v>
      </c>
      <c r="AI384" s="135">
        <v>0.92</v>
      </c>
      <c r="AJ384" s="133">
        <v>0.94173140954495</v>
      </c>
      <c r="AK384" s="133">
        <v>0.917571707045391</v>
      </c>
      <c r="AL384" s="133">
        <v>0.968992248062015</v>
      </c>
      <c r="AM384" s="133">
        <v>0.953780644751267</v>
      </c>
      <c r="AN384" s="132">
        <v>0.99</v>
      </c>
      <c r="AO384" s="137">
        <v>1</v>
      </c>
      <c r="AP384" s="137">
        <v>1</v>
      </c>
      <c r="AQ384" s="137">
        <v>1</v>
      </c>
      <c r="AR384" s="137">
        <v>1</v>
      </c>
      <c r="AS384" s="158">
        <v>0.05</v>
      </c>
      <c r="AT384" s="141">
        <v>0</v>
      </c>
      <c r="AU384" s="141">
        <v>0.2</v>
      </c>
      <c r="AV384" s="141">
        <v>0</v>
      </c>
      <c r="AW384" s="141">
        <v>0.0411985018726592</v>
      </c>
      <c r="AX384" s="95"/>
      <c r="AY384" s="93"/>
    </row>
    <row r="385" ht="14.5" spans="1:51">
      <c r="A385" s="91"/>
      <c r="B385" s="95"/>
      <c r="C385" s="152" t="s">
        <v>375</v>
      </c>
      <c r="D385" s="153" t="s">
        <v>25</v>
      </c>
      <c r="E385" s="130" t="s">
        <v>376</v>
      </c>
      <c r="F385" s="154" t="s">
        <v>411</v>
      </c>
      <c r="G385" s="154" t="s">
        <v>411</v>
      </c>
      <c r="H385" s="154" t="s">
        <v>411</v>
      </c>
      <c r="I385" s="154" t="s">
        <v>411</v>
      </c>
      <c r="J385" s="132">
        <v>0.9</v>
      </c>
      <c r="K385" s="133">
        <v>0.833333333333333</v>
      </c>
      <c r="L385" s="133">
        <v>0.857142857142857</v>
      </c>
      <c r="M385" s="134">
        <v>0.793103448275862</v>
      </c>
      <c r="N385" s="133">
        <v>0.888468809073724</v>
      </c>
      <c r="O385" s="135">
        <v>0.9</v>
      </c>
      <c r="P385" s="133">
        <v>0</v>
      </c>
      <c r="Q385" s="133">
        <v>1</v>
      </c>
      <c r="R385" s="133" t="s">
        <v>35</v>
      </c>
      <c r="S385" s="133">
        <v>0.25</v>
      </c>
      <c r="T385" s="135">
        <v>0.9</v>
      </c>
      <c r="U385" s="133">
        <v>0</v>
      </c>
      <c r="V385" s="133">
        <v>0</v>
      </c>
      <c r="W385" s="133" t="s">
        <v>35</v>
      </c>
      <c r="X385" s="133">
        <v>0</v>
      </c>
      <c r="Y385" s="135">
        <v>0.92</v>
      </c>
      <c r="Z385" s="135" t="s">
        <v>35</v>
      </c>
      <c r="AA385" s="135" t="s">
        <v>35</v>
      </c>
      <c r="AB385" s="135" t="s">
        <v>35</v>
      </c>
      <c r="AC385" s="135">
        <v>1</v>
      </c>
      <c r="AD385" s="135">
        <v>0.92</v>
      </c>
      <c r="AE385" s="133">
        <v>0.990712074303406</v>
      </c>
      <c r="AF385" s="133">
        <v>0.998544395924309</v>
      </c>
      <c r="AG385" s="133">
        <v>0.999187982135607</v>
      </c>
      <c r="AH385" s="133">
        <v>0.996055751290744</v>
      </c>
      <c r="AI385" s="135">
        <v>0.92</v>
      </c>
      <c r="AJ385" s="133">
        <v>0.953926022063595</v>
      </c>
      <c r="AK385" s="133">
        <v>0.929797670141018</v>
      </c>
      <c r="AL385" s="133">
        <v>0.958018725460586</v>
      </c>
      <c r="AM385" s="133">
        <v>0.967656180770935</v>
      </c>
      <c r="AN385" s="132">
        <v>0.99</v>
      </c>
      <c r="AO385" s="137">
        <v>1</v>
      </c>
      <c r="AP385" s="137">
        <v>1</v>
      </c>
      <c r="AQ385" s="137">
        <v>1</v>
      </c>
      <c r="AR385" s="137">
        <v>1</v>
      </c>
      <c r="AS385" s="158">
        <v>0.05</v>
      </c>
      <c r="AT385" s="141">
        <v>0</v>
      </c>
      <c r="AU385" s="141">
        <v>0</v>
      </c>
      <c r="AV385" s="141">
        <v>0.1</v>
      </c>
      <c r="AW385" s="141">
        <v>0.0594059405940594</v>
      </c>
      <c r="AX385" s="95"/>
      <c r="AY385" s="93"/>
    </row>
    <row r="386" ht="14.5" spans="1:51">
      <c r="A386" s="91"/>
      <c r="B386" s="95"/>
      <c r="C386" s="152" t="s">
        <v>375</v>
      </c>
      <c r="D386" s="153" t="s">
        <v>25</v>
      </c>
      <c r="E386" s="130" t="s">
        <v>376</v>
      </c>
      <c r="F386" s="154" t="s">
        <v>412</v>
      </c>
      <c r="G386" s="154" t="s">
        <v>412</v>
      </c>
      <c r="H386" s="154" t="s">
        <v>412</v>
      </c>
      <c r="I386" s="154" t="s">
        <v>412</v>
      </c>
      <c r="J386" s="132">
        <v>0.9</v>
      </c>
      <c r="K386" s="133">
        <v>0.8</v>
      </c>
      <c r="L386" s="133">
        <v>0.916666666666667</v>
      </c>
      <c r="M386" s="134">
        <v>0.91304347826087</v>
      </c>
      <c r="N386" s="133">
        <v>0.885281385281385</v>
      </c>
      <c r="O386" s="135">
        <v>0.9</v>
      </c>
      <c r="P386" s="133" t="s">
        <v>35</v>
      </c>
      <c r="Q386" s="133">
        <v>0</v>
      </c>
      <c r="R386" s="133" t="s">
        <v>35</v>
      </c>
      <c r="S386" s="133">
        <v>0.4</v>
      </c>
      <c r="T386" s="135">
        <v>0.9</v>
      </c>
      <c r="U386" s="133" t="s">
        <v>35</v>
      </c>
      <c r="V386" s="133">
        <v>0</v>
      </c>
      <c r="W386" s="133" t="s">
        <v>35</v>
      </c>
      <c r="X386" s="133">
        <v>0.4</v>
      </c>
      <c r="Y386" s="135">
        <v>0.92</v>
      </c>
      <c r="Z386" s="135" t="s">
        <v>35</v>
      </c>
      <c r="AA386" s="135" t="s">
        <v>35</v>
      </c>
      <c r="AB386" s="135" t="s">
        <v>35</v>
      </c>
      <c r="AC386" s="135">
        <v>0.5</v>
      </c>
      <c r="AD386" s="135">
        <v>0.92</v>
      </c>
      <c r="AE386" s="133">
        <v>1</v>
      </c>
      <c r="AF386" s="133">
        <v>0.969387755102041</v>
      </c>
      <c r="AG386" s="133">
        <v>0.967213114754098</v>
      </c>
      <c r="AH386" s="133">
        <v>0.986057319907049</v>
      </c>
      <c r="AI386" s="135">
        <v>0.92</v>
      </c>
      <c r="AJ386" s="133">
        <v>0.823498964803313</v>
      </c>
      <c r="AK386" s="133">
        <v>0.825099601593625</v>
      </c>
      <c r="AL386" s="133">
        <v>0.837811900191939</v>
      </c>
      <c r="AM386" s="133">
        <v>0.889242745930644</v>
      </c>
      <c r="AN386" s="132">
        <v>0.99</v>
      </c>
      <c r="AO386" s="137">
        <v>1</v>
      </c>
      <c r="AP386" s="137">
        <v>1</v>
      </c>
      <c r="AQ386" s="137">
        <v>1</v>
      </c>
      <c r="AR386" s="137">
        <v>1</v>
      </c>
      <c r="AS386" s="158">
        <v>0.05</v>
      </c>
      <c r="AT386" s="141">
        <v>0.5</v>
      </c>
      <c r="AU386" s="141">
        <v>0</v>
      </c>
      <c r="AV386" s="141">
        <v>0.666666666666667</v>
      </c>
      <c r="AW386" s="141">
        <v>0.132231404958678</v>
      </c>
      <c r="AX386" s="95"/>
      <c r="AY386" s="93"/>
    </row>
    <row r="387" ht="14.5" spans="1:51">
      <c r="A387" s="91"/>
      <c r="B387" s="95"/>
      <c r="C387" s="152" t="s">
        <v>375</v>
      </c>
      <c r="D387" s="153" t="s">
        <v>25</v>
      </c>
      <c r="E387" s="130" t="s">
        <v>376</v>
      </c>
      <c r="F387" s="154" t="s">
        <v>413</v>
      </c>
      <c r="G387" s="154" t="s">
        <v>413</v>
      </c>
      <c r="H387" s="154" t="s">
        <v>413</v>
      </c>
      <c r="I387" s="154" t="s">
        <v>413</v>
      </c>
      <c r="J387" s="132">
        <v>0.9</v>
      </c>
      <c r="K387" s="133">
        <v>0.871794871794872</v>
      </c>
      <c r="L387" s="133">
        <v>0.810810810810811</v>
      </c>
      <c r="M387" s="134">
        <v>0.96875</v>
      </c>
      <c r="N387" s="133">
        <v>0.909476661951909</v>
      </c>
      <c r="O387" s="135">
        <v>0.9</v>
      </c>
      <c r="P387" s="133">
        <v>0</v>
      </c>
      <c r="Q387" s="133">
        <v>1</v>
      </c>
      <c r="R387" s="133" t="s">
        <v>35</v>
      </c>
      <c r="S387" s="133">
        <v>0.3</v>
      </c>
      <c r="T387" s="135">
        <v>0.9</v>
      </c>
      <c r="U387" s="133">
        <v>0</v>
      </c>
      <c r="V387" s="133">
        <v>1</v>
      </c>
      <c r="W387" s="133" t="s">
        <v>35</v>
      </c>
      <c r="X387" s="133">
        <v>0.3</v>
      </c>
      <c r="Y387" s="135">
        <v>0.92</v>
      </c>
      <c r="Z387" s="135" t="s">
        <v>35</v>
      </c>
      <c r="AA387" s="135" t="s">
        <v>35</v>
      </c>
      <c r="AB387" s="135" t="s">
        <v>35</v>
      </c>
      <c r="AC387" s="135" t="s">
        <v>35</v>
      </c>
      <c r="AD387" s="135">
        <v>0.92</v>
      </c>
      <c r="AE387" s="133">
        <v>0.977011494252874</v>
      </c>
      <c r="AF387" s="133">
        <v>0.996235884567127</v>
      </c>
      <c r="AG387" s="133">
        <v>0.998126171143036</v>
      </c>
      <c r="AH387" s="133">
        <v>0.995797858734973</v>
      </c>
      <c r="AI387" s="135">
        <v>0.92</v>
      </c>
      <c r="AJ387" s="133">
        <v>0.918859649122807</v>
      </c>
      <c r="AK387" s="133">
        <v>0.885855434217369</v>
      </c>
      <c r="AL387" s="133">
        <v>0.907477820025348</v>
      </c>
      <c r="AM387" s="133">
        <v>0.930804937387125</v>
      </c>
      <c r="AN387" s="132">
        <v>0.99</v>
      </c>
      <c r="AO387" s="137">
        <v>1</v>
      </c>
      <c r="AP387" s="137">
        <v>1</v>
      </c>
      <c r="AQ387" s="137">
        <v>1</v>
      </c>
      <c r="AR387" s="137">
        <v>1</v>
      </c>
      <c r="AS387" s="158">
        <v>0.05</v>
      </c>
      <c r="AT387" s="141">
        <v>0</v>
      </c>
      <c r="AU387" s="141">
        <v>0</v>
      </c>
      <c r="AV387" s="141">
        <v>0</v>
      </c>
      <c r="AW387" s="141">
        <v>0.0601503759398496</v>
      </c>
      <c r="AX387" s="95"/>
      <c r="AY387" s="93"/>
    </row>
    <row r="388" ht="14.5" spans="1:51">
      <c r="A388" s="91"/>
      <c r="B388" s="95"/>
      <c r="C388" s="152" t="s">
        <v>375</v>
      </c>
      <c r="D388" s="153" t="s">
        <v>25</v>
      </c>
      <c r="E388" s="130" t="s">
        <v>376</v>
      </c>
      <c r="F388" s="154" t="s">
        <v>414</v>
      </c>
      <c r="G388" s="154" t="s">
        <v>414</v>
      </c>
      <c r="H388" s="154" t="s">
        <v>414</v>
      </c>
      <c r="I388" s="154" t="s">
        <v>414</v>
      </c>
      <c r="J388" s="132">
        <v>0.9</v>
      </c>
      <c r="K388" s="133">
        <v>0.947368421052632</v>
      </c>
      <c r="L388" s="133">
        <v>0.983333333333333</v>
      </c>
      <c r="M388" s="134">
        <v>1</v>
      </c>
      <c r="N388" s="133">
        <v>0.971910112359551</v>
      </c>
      <c r="O388" s="135">
        <v>0.9</v>
      </c>
      <c r="P388" s="133">
        <v>0</v>
      </c>
      <c r="Q388" s="133">
        <v>0.25</v>
      </c>
      <c r="R388" s="133">
        <v>0</v>
      </c>
      <c r="S388" s="133">
        <v>0.463414634146341</v>
      </c>
      <c r="T388" s="135">
        <v>0.9</v>
      </c>
      <c r="U388" s="133">
        <v>0</v>
      </c>
      <c r="V388" s="133">
        <v>0.25</v>
      </c>
      <c r="W388" s="133">
        <v>0</v>
      </c>
      <c r="X388" s="133">
        <v>0.414634146341463</v>
      </c>
      <c r="Y388" s="135">
        <v>0.92</v>
      </c>
      <c r="Z388" s="135" t="s">
        <v>35</v>
      </c>
      <c r="AA388" s="135" t="s">
        <v>35</v>
      </c>
      <c r="AB388" s="135">
        <v>0</v>
      </c>
      <c r="AC388" s="135">
        <v>0.571428571428571</v>
      </c>
      <c r="AD388" s="135">
        <v>0.92</v>
      </c>
      <c r="AE388" s="133">
        <v>0.998545454545455</v>
      </c>
      <c r="AF388" s="133">
        <v>0.987787356321839</v>
      </c>
      <c r="AG388" s="133">
        <v>0.996021220159151</v>
      </c>
      <c r="AH388" s="133">
        <v>0.995118154804019</v>
      </c>
      <c r="AI388" s="135">
        <v>0.92</v>
      </c>
      <c r="AJ388" s="133">
        <v>0.938893844781445</v>
      </c>
      <c r="AK388" s="133">
        <v>0.941005239666214</v>
      </c>
      <c r="AL388" s="133">
        <v>0.953702002572111</v>
      </c>
      <c r="AM388" s="133">
        <v>0.952086880083675</v>
      </c>
      <c r="AN388" s="132">
        <v>0.99</v>
      </c>
      <c r="AO388" s="137">
        <v>1</v>
      </c>
      <c r="AP388" s="137">
        <v>1</v>
      </c>
      <c r="AQ388" s="137">
        <v>1</v>
      </c>
      <c r="AR388" s="137">
        <v>1</v>
      </c>
      <c r="AS388" s="158">
        <v>0.05</v>
      </c>
      <c r="AT388" s="141">
        <v>0</v>
      </c>
      <c r="AU388" s="141">
        <v>0.0714285714285714</v>
      </c>
      <c r="AV388" s="141">
        <v>0.0769230769230769</v>
      </c>
      <c r="AW388" s="141">
        <v>0.0647058823529412</v>
      </c>
      <c r="AX388" s="95"/>
      <c r="AY388" s="93"/>
    </row>
    <row r="389" ht="14.5" spans="1:51">
      <c r="A389" s="91"/>
      <c r="B389" s="95"/>
      <c r="C389" s="152" t="s">
        <v>375</v>
      </c>
      <c r="D389" s="153" t="s">
        <v>25</v>
      </c>
      <c r="E389" s="130" t="s">
        <v>376</v>
      </c>
      <c r="F389" s="154" t="s">
        <v>415</v>
      </c>
      <c r="G389" s="154" t="s">
        <v>415</v>
      </c>
      <c r="H389" s="154" t="s">
        <v>415</v>
      </c>
      <c r="I389" s="154" t="s">
        <v>415</v>
      </c>
      <c r="J389" s="132">
        <v>0.9</v>
      </c>
      <c r="K389" s="133">
        <v>0.893617021276596</v>
      </c>
      <c r="L389" s="133">
        <v>0.902439024390244</v>
      </c>
      <c r="M389" s="134">
        <v>0.91304347826087</v>
      </c>
      <c r="N389" s="133">
        <v>0.918590522478736</v>
      </c>
      <c r="O389" s="135">
        <v>0.9</v>
      </c>
      <c r="P389" s="133" t="s">
        <v>35</v>
      </c>
      <c r="Q389" s="133" t="s">
        <v>35</v>
      </c>
      <c r="R389" s="133" t="s">
        <v>35</v>
      </c>
      <c r="S389" s="133">
        <v>0.25</v>
      </c>
      <c r="T389" s="135">
        <v>0.9</v>
      </c>
      <c r="U389" s="133" t="s">
        <v>35</v>
      </c>
      <c r="V389" s="133" t="s">
        <v>35</v>
      </c>
      <c r="W389" s="133" t="s">
        <v>35</v>
      </c>
      <c r="X389" s="133">
        <v>0.25</v>
      </c>
      <c r="Y389" s="135">
        <v>0.92</v>
      </c>
      <c r="Z389" s="135" t="s">
        <v>35</v>
      </c>
      <c r="AA389" s="135" t="s">
        <v>35</v>
      </c>
      <c r="AB389" s="135" t="s">
        <v>35</v>
      </c>
      <c r="AC389" s="135">
        <v>0.5</v>
      </c>
      <c r="AD389" s="135">
        <v>0.92</v>
      </c>
      <c r="AE389" s="133">
        <v>0.941176470588235</v>
      </c>
      <c r="AF389" s="133">
        <v>0.984848484848485</v>
      </c>
      <c r="AG389" s="133">
        <v>0.980769230769231</v>
      </c>
      <c r="AH389" s="133">
        <v>0.983153347732181</v>
      </c>
      <c r="AI389" s="135">
        <v>0.92</v>
      </c>
      <c r="AJ389" s="133">
        <v>0.93936170212766</v>
      </c>
      <c r="AK389" s="133">
        <v>0.795034482758621</v>
      </c>
      <c r="AL389" s="133">
        <v>0.890481064483112</v>
      </c>
      <c r="AM389" s="133">
        <v>0.919949325583128</v>
      </c>
      <c r="AN389" s="132">
        <v>0.99</v>
      </c>
      <c r="AO389" s="137">
        <v>1</v>
      </c>
      <c r="AP389" s="137">
        <v>1</v>
      </c>
      <c r="AQ389" s="137">
        <v>1</v>
      </c>
      <c r="AR389" s="137">
        <v>1</v>
      </c>
      <c r="AS389" s="158">
        <v>0.05</v>
      </c>
      <c r="AT389" s="141">
        <v>0.125</v>
      </c>
      <c r="AU389" s="141">
        <v>0</v>
      </c>
      <c r="AV389" s="141">
        <v>0.0555555555555556</v>
      </c>
      <c r="AW389" s="141">
        <v>0.03515625</v>
      </c>
      <c r="AX389" s="95"/>
      <c r="AY389" s="93"/>
    </row>
    <row r="390" ht="14.5" spans="1:51">
      <c r="A390" s="91"/>
      <c r="B390" s="95"/>
      <c r="C390" s="152" t="s">
        <v>375</v>
      </c>
      <c r="D390" s="153" t="s">
        <v>25</v>
      </c>
      <c r="E390" s="130" t="s">
        <v>376</v>
      </c>
      <c r="F390" s="154" t="s">
        <v>416</v>
      </c>
      <c r="G390" s="154" t="s">
        <v>416</v>
      </c>
      <c r="H390" s="154" t="s">
        <v>416</v>
      </c>
      <c r="I390" s="154" t="s">
        <v>416</v>
      </c>
      <c r="J390" s="132">
        <v>0.9</v>
      </c>
      <c r="K390" s="133">
        <v>0.925</v>
      </c>
      <c r="L390" s="133">
        <v>0.928571428571429</v>
      </c>
      <c r="M390" s="134">
        <v>0.948717948717949</v>
      </c>
      <c r="N390" s="133">
        <v>0.953208556149733</v>
      </c>
      <c r="O390" s="135">
        <v>0.9</v>
      </c>
      <c r="P390" s="133" t="s">
        <v>35</v>
      </c>
      <c r="Q390" s="133" t="s">
        <v>35</v>
      </c>
      <c r="R390" s="133">
        <v>0</v>
      </c>
      <c r="S390" s="133">
        <v>0.461538461538462</v>
      </c>
      <c r="T390" s="135">
        <v>0.9</v>
      </c>
      <c r="U390" s="133" t="s">
        <v>35</v>
      </c>
      <c r="V390" s="133" t="s">
        <v>35</v>
      </c>
      <c r="W390" s="133">
        <v>0</v>
      </c>
      <c r="X390" s="133">
        <v>0.538461538461538</v>
      </c>
      <c r="Y390" s="135">
        <v>0.92</v>
      </c>
      <c r="Z390" s="135" t="s">
        <v>35</v>
      </c>
      <c r="AA390" s="135">
        <v>0</v>
      </c>
      <c r="AB390" s="135" t="s">
        <v>35</v>
      </c>
      <c r="AC390" s="135">
        <v>0.857142857142857</v>
      </c>
      <c r="AD390" s="135">
        <v>0.92</v>
      </c>
      <c r="AE390" s="133">
        <v>0.996314315199764</v>
      </c>
      <c r="AF390" s="133">
        <v>0.997317236753856</v>
      </c>
      <c r="AG390" s="133">
        <v>0.998968312453943</v>
      </c>
      <c r="AH390" s="133">
        <v>0.99835047724956</v>
      </c>
      <c r="AI390" s="135">
        <v>0.92</v>
      </c>
      <c r="AJ390" s="133">
        <v>0.916735366859027</v>
      </c>
      <c r="AK390" s="133">
        <v>0.942832945161973</v>
      </c>
      <c r="AL390" s="133">
        <v>0.930885083556839</v>
      </c>
      <c r="AM390" s="133">
        <v>0.943575582816089</v>
      </c>
      <c r="AN390" s="132">
        <v>0.99</v>
      </c>
      <c r="AO390" s="137">
        <v>1</v>
      </c>
      <c r="AP390" s="137">
        <v>1</v>
      </c>
      <c r="AQ390" s="137">
        <v>1</v>
      </c>
      <c r="AR390" s="137">
        <v>1</v>
      </c>
      <c r="AS390" s="158">
        <v>0.05</v>
      </c>
      <c r="AT390" s="141">
        <v>0</v>
      </c>
      <c r="AU390" s="141">
        <v>0.111111111111111</v>
      </c>
      <c r="AV390" s="141">
        <v>0.111111111111111</v>
      </c>
      <c r="AW390" s="141">
        <v>0.0482456140350877</v>
      </c>
      <c r="AX390" s="95"/>
      <c r="AY390" s="93"/>
    </row>
    <row r="391" ht="14.5" spans="1:51">
      <c r="A391" s="91"/>
      <c r="B391" s="95"/>
      <c r="C391" s="152" t="s">
        <v>375</v>
      </c>
      <c r="D391" s="153" t="s">
        <v>25</v>
      </c>
      <c r="E391" s="130" t="s">
        <v>376</v>
      </c>
      <c r="F391" s="154" t="s">
        <v>417</v>
      </c>
      <c r="G391" s="154" t="s">
        <v>417</v>
      </c>
      <c r="H391" s="154" t="s">
        <v>417</v>
      </c>
      <c r="I391" s="154" t="s">
        <v>417</v>
      </c>
      <c r="J391" s="132">
        <v>0.9</v>
      </c>
      <c r="K391" s="133">
        <v>0.975609756097561</v>
      </c>
      <c r="L391" s="133">
        <v>0.825</v>
      </c>
      <c r="M391" s="134">
        <v>0.951219512195122</v>
      </c>
      <c r="N391" s="133">
        <v>0.932903225806452</v>
      </c>
      <c r="O391" s="135">
        <v>0.9</v>
      </c>
      <c r="P391" s="133">
        <v>0.978165938864629</v>
      </c>
      <c r="Q391" s="133">
        <v>0.935568132346539</v>
      </c>
      <c r="R391" s="133">
        <v>0.96008604206501</v>
      </c>
      <c r="S391" s="133">
        <v>0.953049173428726</v>
      </c>
      <c r="T391" s="135">
        <v>0.9</v>
      </c>
      <c r="U391" s="133">
        <v>0.840065502183406</v>
      </c>
      <c r="V391" s="133">
        <v>0.845668262951676</v>
      </c>
      <c r="W391" s="133">
        <v>0.84321223709369</v>
      </c>
      <c r="X391" s="133">
        <v>0.873942948827545</v>
      </c>
      <c r="Y391" s="135">
        <v>0.92</v>
      </c>
      <c r="Z391" s="135">
        <v>1</v>
      </c>
      <c r="AA391" s="135" t="s">
        <v>35</v>
      </c>
      <c r="AB391" s="135" t="s">
        <v>35</v>
      </c>
      <c r="AC391" s="135">
        <v>1</v>
      </c>
      <c r="AD391" s="135">
        <v>0.92</v>
      </c>
      <c r="AE391" s="133">
        <v>0.996545768566494</v>
      </c>
      <c r="AF391" s="133">
        <v>0.999659632402995</v>
      </c>
      <c r="AG391" s="133">
        <v>1</v>
      </c>
      <c r="AH391" s="133">
        <v>0.98892749469358</v>
      </c>
      <c r="AI391" s="135">
        <v>0.92</v>
      </c>
      <c r="AJ391" s="133">
        <v>0.954768392370572</v>
      </c>
      <c r="AK391" s="133">
        <v>0.914093083949543</v>
      </c>
      <c r="AL391" s="133">
        <v>0.940501792114695</v>
      </c>
      <c r="AM391" s="133">
        <v>0.963385614556355</v>
      </c>
      <c r="AN391" s="132">
        <v>0.99</v>
      </c>
      <c r="AO391" s="137">
        <v>1</v>
      </c>
      <c r="AP391" s="137">
        <v>1</v>
      </c>
      <c r="AQ391" s="137">
        <v>1</v>
      </c>
      <c r="AR391" s="137">
        <v>1</v>
      </c>
      <c r="AS391" s="158">
        <v>0.05</v>
      </c>
      <c r="AT391" s="141">
        <v>0.0909090909090909</v>
      </c>
      <c r="AU391" s="141">
        <v>0.0666666666666667</v>
      </c>
      <c r="AV391" s="141">
        <v>0.0416666666666667</v>
      </c>
      <c r="AW391" s="141">
        <v>0.063013698630137</v>
      </c>
      <c r="AX391" s="95"/>
      <c r="AY391" s="93"/>
    </row>
    <row r="392" ht="14.5" spans="1:51">
      <c r="A392" s="91"/>
      <c r="B392" s="95"/>
      <c r="C392" s="152" t="s">
        <v>375</v>
      </c>
      <c r="D392" s="153" t="s">
        <v>25</v>
      </c>
      <c r="E392" s="130" t="s">
        <v>376</v>
      </c>
      <c r="F392" s="154" t="s">
        <v>418</v>
      </c>
      <c r="G392" s="154" t="s">
        <v>418</v>
      </c>
      <c r="H392" s="154" t="s">
        <v>418</v>
      </c>
      <c r="I392" s="154" t="s">
        <v>418</v>
      </c>
      <c r="J392" s="132">
        <v>0.9</v>
      </c>
      <c r="K392" s="133">
        <v>0.941176470588235</v>
      </c>
      <c r="L392" s="133">
        <v>0.945945945945946</v>
      </c>
      <c r="M392" s="134">
        <v>0.9</v>
      </c>
      <c r="N392" s="133">
        <v>0.939142461964039</v>
      </c>
      <c r="O392" s="135">
        <v>0.9</v>
      </c>
      <c r="P392" s="133" t="s">
        <v>35</v>
      </c>
      <c r="Q392" s="133" t="s">
        <v>35</v>
      </c>
      <c r="R392" s="133">
        <v>0</v>
      </c>
      <c r="S392" s="133">
        <v>0</v>
      </c>
      <c r="T392" s="135">
        <v>0.9</v>
      </c>
      <c r="U392" s="133" t="s">
        <v>35</v>
      </c>
      <c r="V392" s="133" t="s">
        <v>35</v>
      </c>
      <c r="W392" s="133">
        <v>0</v>
      </c>
      <c r="X392" s="133">
        <v>0</v>
      </c>
      <c r="Y392" s="135">
        <v>0.92</v>
      </c>
      <c r="Z392" s="135" t="s">
        <v>35</v>
      </c>
      <c r="AA392" s="135" t="s">
        <v>35</v>
      </c>
      <c r="AB392" s="135" t="s">
        <v>35</v>
      </c>
      <c r="AC392" s="135">
        <v>0.5</v>
      </c>
      <c r="AD392" s="135">
        <v>0.92</v>
      </c>
      <c r="AE392" s="133">
        <v>1</v>
      </c>
      <c r="AF392" s="133">
        <v>1</v>
      </c>
      <c r="AG392" s="133">
        <v>1</v>
      </c>
      <c r="AH392" s="133">
        <v>0.983399209486166</v>
      </c>
      <c r="AI392" s="135">
        <v>0.92</v>
      </c>
      <c r="AJ392" s="133">
        <v>0.853658536585366</v>
      </c>
      <c r="AK392" s="133">
        <v>0.867892503536068</v>
      </c>
      <c r="AL392" s="133">
        <v>0.926926131850675</v>
      </c>
      <c r="AM392" s="133">
        <v>0.918078779037145</v>
      </c>
      <c r="AN392" s="132">
        <v>0.99</v>
      </c>
      <c r="AO392" s="137">
        <v>1</v>
      </c>
      <c r="AP392" s="137">
        <v>1</v>
      </c>
      <c r="AQ392" s="137">
        <v>1</v>
      </c>
      <c r="AR392" s="137">
        <v>1</v>
      </c>
      <c r="AS392" s="158">
        <v>0.05</v>
      </c>
      <c r="AT392" s="141">
        <v>0</v>
      </c>
      <c r="AU392" s="141">
        <v>0.125</v>
      </c>
      <c r="AV392" s="141">
        <v>0</v>
      </c>
      <c r="AW392" s="141">
        <v>0.0559006211180124</v>
      </c>
      <c r="AX392" s="95"/>
      <c r="AY392" s="93"/>
    </row>
    <row r="393" ht="14.5" spans="1:51">
      <c r="A393" s="91"/>
      <c r="B393" s="95"/>
      <c r="C393" s="152" t="s">
        <v>375</v>
      </c>
      <c r="D393" s="153" t="s">
        <v>25</v>
      </c>
      <c r="E393" s="130" t="s">
        <v>376</v>
      </c>
      <c r="F393" s="154" t="s">
        <v>419</v>
      </c>
      <c r="G393" s="154" t="s">
        <v>419</v>
      </c>
      <c r="H393" s="154" t="s">
        <v>419</v>
      </c>
      <c r="I393" s="154" t="s">
        <v>419</v>
      </c>
      <c r="J393" s="132">
        <v>0.9</v>
      </c>
      <c r="K393" s="133">
        <v>0.947368421052632</v>
      </c>
      <c r="L393" s="133">
        <v>1</v>
      </c>
      <c r="M393" s="134">
        <v>1</v>
      </c>
      <c r="N393" s="133">
        <v>0.972727272727273</v>
      </c>
      <c r="O393" s="135">
        <v>0.9</v>
      </c>
      <c r="P393" s="133">
        <v>0</v>
      </c>
      <c r="Q393" s="133">
        <v>0</v>
      </c>
      <c r="R393" s="133" t="s">
        <v>35</v>
      </c>
      <c r="S393" s="133">
        <v>0.137931034482759</v>
      </c>
      <c r="T393" s="135">
        <v>0.9</v>
      </c>
      <c r="U393" s="133">
        <v>0</v>
      </c>
      <c r="V393" s="133">
        <v>0</v>
      </c>
      <c r="W393" s="133" t="s">
        <v>35</v>
      </c>
      <c r="X393" s="133">
        <v>0.155172413793103</v>
      </c>
      <c r="Y393" s="135">
        <v>0.92</v>
      </c>
      <c r="Z393" s="135" t="s">
        <v>35</v>
      </c>
      <c r="AA393" s="135" t="s">
        <v>35</v>
      </c>
      <c r="AB393" s="135" t="s">
        <v>35</v>
      </c>
      <c r="AC393" s="135">
        <v>1</v>
      </c>
      <c r="AD393" s="135">
        <v>0.92</v>
      </c>
      <c r="AE393" s="133">
        <v>0.994209466263847</v>
      </c>
      <c r="AF393" s="133">
        <v>0.999760364246346</v>
      </c>
      <c r="AG393" s="133">
        <v>0.998969426313981</v>
      </c>
      <c r="AH393" s="133">
        <v>0.972436342243408</v>
      </c>
      <c r="AI393" s="135">
        <v>0.92</v>
      </c>
      <c r="AJ393" s="133">
        <v>0.941785252263907</v>
      </c>
      <c r="AK393" s="133">
        <v>0.924742268041237</v>
      </c>
      <c r="AL393" s="133">
        <v>0.971919191919192</v>
      </c>
      <c r="AM393" s="133">
        <v>0.966545514620849</v>
      </c>
      <c r="AN393" s="132">
        <v>0.99</v>
      </c>
      <c r="AO393" s="137">
        <v>1</v>
      </c>
      <c r="AP393" s="137">
        <v>1</v>
      </c>
      <c r="AQ393" s="137">
        <v>1</v>
      </c>
      <c r="AR393" s="137">
        <v>1</v>
      </c>
      <c r="AS393" s="158">
        <v>0.05</v>
      </c>
      <c r="AT393" s="141">
        <v>0</v>
      </c>
      <c r="AU393" s="141">
        <v>0</v>
      </c>
      <c r="AV393" s="141">
        <v>0</v>
      </c>
      <c r="AW393" s="141">
        <v>0.0711864406779661</v>
      </c>
      <c r="AX393" s="95"/>
      <c r="AY393" s="93"/>
    </row>
    <row r="394" ht="14.5" spans="1:51">
      <c r="A394" s="91"/>
      <c r="B394" s="95"/>
      <c r="C394" s="152" t="s">
        <v>375</v>
      </c>
      <c r="D394" s="153" t="s">
        <v>25</v>
      </c>
      <c r="E394" s="130" t="s">
        <v>376</v>
      </c>
      <c r="F394" s="154" t="s">
        <v>420</v>
      </c>
      <c r="G394" s="154" t="s">
        <v>420</v>
      </c>
      <c r="H394" s="154" t="s">
        <v>420</v>
      </c>
      <c r="I394" s="154" t="s">
        <v>420</v>
      </c>
      <c r="J394" s="132">
        <v>0.9</v>
      </c>
      <c r="K394" s="133">
        <v>0.96969696969697</v>
      </c>
      <c r="L394" s="133">
        <v>0.972222222222222</v>
      </c>
      <c r="M394" s="134">
        <v>1</v>
      </c>
      <c r="N394" s="133">
        <v>0.967976710334789</v>
      </c>
      <c r="O394" s="135">
        <v>0.9</v>
      </c>
      <c r="P394" s="133">
        <v>0.986825595984944</v>
      </c>
      <c r="Q394" s="133">
        <v>0.886440677966102</v>
      </c>
      <c r="R394" s="133">
        <v>0.982470784641068</v>
      </c>
      <c r="S394" s="133">
        <v>0.959785071336722</v>
      </c>
      <c r="T394" s="135">
        <v>0.9</v>
      </c>
      <c r="U394" s="133">
        <v>0.92534504391468</v>
      </c>
      <c r="V394" s="133">
        <v>0.870944309927361</v>
      </c>
      <c r="W394" s="133">
        <v>0.91291040623261</v>
      </c>
      <c r="X394" s="133">
        <v>0.907813361092401</v>
      </c>
      <c r="Y394" s="135">
        <v>0.92</v>
      </c>
      <c r="Z394" s="135" t="s">
        <v>35</v>
      </c>
      <c r="AA394" s="135" t="s">
        <v>35</v>
      </c>
      <c r="AB394" s="135" t="s">
        <v>35</v>
      </c>
      <c r="AC394" s="135">
        <v>1</v>
      </c>
      <c r="AD394" s="135">
        <v>0.92</v>
      </c>
      <c r="AE394" s="133">
        <v>0.996867167919799</v>
      </c>
      <c r="AF394" s="133">
        <v>0.998873450995118</v>
      </c>
      <c r="AG394" s="133">
        <v>0.998658133773741</v>
      </c>
      <c r="AH394" s="133">
        <v>0.992055252671561</v>
      </c>
      <c r="AI394" s="135">
        <v>0.92</v>
      </c>
      <c r="AJ394" s="133">
        <v>0.951784596117721</v>
      </c>
      <c r="AK394" s="133">
        <v>0.92475199612872</v>
      </c>
      <c r="AL394" s="133">
        <v>0.940783986655546</v>
      </c>
      <c r="AM394" s="133">
        <v>0.954215282981359</v>
      </c>
      <c r="AN394" s="132">
        <v>0.99</v>
      </c>
      <c r="AO394" s="137">
        <v>1</v>
      </c>
      <c r="AP394" s="137">
        <v>1</v>
      </c>
      <c r="AQ394" s="137">
        <v>1</v>
      </c>
      <c r="AR394" s="137">
        <v>1</v>
      </c>
      <c r="AS394" s="158">
        <v>0.05</v>
      </c>
      <c r="AT394" s="141">
        <v>0.08</v>
      </c>
      <c r="AU394" s="141">
        <v>0.0416666666666667</v>
      </c>
      <c r="AV394" s="141">
        <v>0</v>
      </c>
      <c r="AW394" s="141">
        <v>0.0346020761245675</v>
      </c>
      <c r="AX394" s="95"/>
      <c r="AY394" s="93"/>
    </row>
    <row r="395" ht="14.5" spans="1:51">
      <c r="A395" s="91"/>
      <c r="B395" s="95"/>
      <c r="C395" s="152" t="s">
        <v>375</v>
      </c>
      <c r="D395" s="153" t="s">
        <v>25</v>
      </c>
      <c r="E395" s="130" t="s">
        <v>376</v>
      </c>
      <c r="F395" s="154" t="s">
        <v>421</v>
      </c>
      <c r="G395" s="154" t="s">
        <v>421</v>
      </c>
      <c r="H395" s="154" t="s">
        <v>421</v>
      </c>
      <c r="I395" s="154" t="s">
        <v>421</v>
      </c>
      <c r="J395" s="132">
        <v>0.9</v>
      </c>
      <c r="K395" s="133">
        <v>1</v>
      </c>
      <c r="L395" s="133">
        <v>0.96551724137931</v>
      </c>
      <c r="M395" s="134">
        <v>0.923076923076923</v>
      </c>
      <c r="N395" s="133">
        <v>0.955555555555556</v>
      </c>
      <c r="O395" s="135">
        <v>0.9</v>
      </c>
      <c r="P395" s="133" t="s">
        <v>35</v>
      </c>
      <c r="Q395" s="133" t="s">
        <v>35</v>
      </c>
      <c r="R395" s="133">
        <v>0.5</v>
      </c>
      <c r="S395" s="133">
        <v>0.6</v>
      </c>
      <c r="T395" s="135">
        <v>0.9</v>
      </c>
      <c r="U395" s="133" t="s">
        <v>35</v>
      </c>
      <c r="V395" s="133" t="s">
        <v>35</v>
      </c>
      <c r="W395" s="133">
        <v>0</v>
      </c>
      <c r="X395" s="133">
        <v>0.6</v>
      </c>
      <c r="Y395" s="135">
        <v>0.92</v>
      </c>
      <c r="Z395" s="135" t="s">
        <v>35</v>
      </c>
      <c r="AA395" s="135" t="s">
        <v>35</v>
      </c>
      <c r="AB395" s="135" t="s">
        <v>35</v>
      </c>
      <c r="AC395" s="135" t="s">
        <v>35</v>
      </c>
      <c r="AD395" s="135">
        <v>0.92</v>
      </c>
      <c r="AE395" s="133">
        <v>0.98877393792648</v>
      </c>
      <c r="AF395" s="133">
        <v>0.99599358974359</v>
      </c>
      <c r="AG395" s="133">
        <v>0.999015748031496</v>
      </c>
      <c r="AH395" s="133">
        <v>0.993804733888241</v>
      </c>
      <c r="AI395" s="135">
        <v>0.92</v>
      </c>
      <c r="AJ395" s="133">
        <v>0.953061224489796</v>
      </c>
      <c r="AK395" s="133">
        <v>0.92254676731211</v>
      </c>
      <c r="AL395" s="133">
        <v>0.95615141955836</v>
      </c>
      <c r="AM395" s="133">
        <v>0.961922264081595</v>
      </c>
      <c r="AN395" s="132">
        <v>0.99</v>
      </c>
      <c r="AO395" s="137">
        <v>1</v>
      </c>
      <c r="AP395" s="137">
        <v>1</v>
      </c>
      <c r="AQ395" s="137">
        <v>1</v>
      </c>
      <c r="AR395" s="137">
        <v>1</v>
      </c>
      <c r="AS395" s="158">
        <v>0.05</v>
      </c>
      <c r="AT395" s="141">
        <v>0.0714285714285714</v>
      </c>
      <c r="AU395" s="141">
        <v>0.153846153846154</v>
      </c>
      <c r="AV395" s="141">
        <v>0.0833333333333333</v>
      </c>
      <c r="AW395" s="141">
        <v>0.0598006644518272</v>
      </c>
      <c r="AX395" s="95"/>
      <c r="AY395" s="93"/>
    </row>
    <row r="396" ht="14.5" spans="1:51">
      <c r="A396" s="91"/>
      <c r="B396" s="95"/>
      <c r="C396" s="152" t="s">
        <v>375</v>
      </c>
      <c r="D396" s="153" t="s">
        <v>25</v>
      </c>
      <c r="E396" s="130" t="s">
        <v>376</v>
      </c>
      <c r="F396" s="154" t="s">
        <v>422</v>
      </c>
      <c r="G396" s="154" t="s">
        <v>422</v>
      </c>
      <c r="H396" s="154" t="s">
        <v>422</v>
      </c>
      <c r="I396" s="154" t="s">
        <v>422</v>
      </c>
      <c r="J396" s="132">
        <v>0.9</v>
      </c>
      <c r="K396" s="133">
        <v>0.973684210526316</v>
      </c>
      <c r="L396" s="133">
        <v>1</v>
      </c>
      <c r="M396" s="134">
        <v>0.978260869565217</v>
      </c>
      <c r="N396" s="133">
        <v>0.978855721393035</v>
      </c>
      <c r="O396" s="135">
        <v>0.9</v>
      </c>
      <c r="P396" s="133" t="s">
        <v>35</v>
      </c>
      <c r="Q396" s="133">
        <v>1</v>
      </c>
      <c r="R396" s="133">
        <v>0</v>
      </c>
      <c r="S396" s="133">
        <v>0.416666666666667</v>
      </c>
      <c r="T396" s="135">
        <v>0.9</v>
      </c>
      <c r="U396" s="133" t="s">
        <v>35</v>
      </c>
      <c r="V396" s="133">
        <v>1</v>
      </c>
      <c r="W396" s="133">
        <v>0.5</v>
      </c>
      <c r="X396" s="133">
        <v>0.416666666666667</v>
      </c>
      <c r="Y396" s="135">
        <v>0.92</v>
      </c>
      <c r="Z396" s="135" t="s">
        <v>35</v>
      </c>
      <c r="AA396" s="135" t="s">
        <v>35</v>
      </c>
      <c r="AB396" s="135" t="s">
        <v>35</v>
      </c>
      <c r="AC396" s="135">
        <v>0</v>
      </c>
      <c r="AD396" s="135">
        <v>0.92</v>
      </c>
      <c r="AE396" s="133">
        <v>0.986247544204322</v>
      </c>
      <c r="AF396" s="133">
        <v>0.994645247657296</v>
      </c>
      <c r="AG396" s="133">
        <v>0.994953742640875</v>
      </c>
      <c r="AH396" s="133">
        <v>0.994299461325244</v>
      </c>
      <c r="AI396" s="135">
        <v>0.92</v>
      </c>
      <c r="AJ396" s="133">
        <v>0.912072243346008</v>
      </c>
      <c r="AK396" s="133">
        <v>0.897621070518267</v>
      </c>
      <c r="AL396" s="133">
        <v>0.95871842267406</v>
      </c>
      <c r="AM396" s="133">
        <v>0.94512710237309</v>
      </c>
      <c r="AN396" s="132">
        <v>0.99</v>
      </c>
      <c r="AO396" s="137">
        <v>1</v>
      </c>
      <c r="AP396" s="137">
        <v>1</v>
      </c>
      <c r="AQ396" s="137">
        <v>1</v>
      </c>
      <c r="AR396" s="137">
        <v>1</v>
      </c>
      <c r="AS396" s="158">
        <v>0.05</v>
      </c>
      <c r="AT396" s="141">
        <v>0</v>
      </c>
      <c r="AU396" s="141">
        <v>0</v>
      </c>
      <c r="AV396" s="141">
        <v>0</v>
      </c>
      <c r="AW396" s="141">
        <v>0.0802675585284281</v>
      </c>
      <c r="AX396" s="95"/>
      <c r="AY396" s="93"/>
    </row>
    <row r="397" ht="14.5" spans="1:51">
      <c r="A397" s="91"/>
      <c r="B397" s="95"/>
      <c r="C397" s="152" t="s">
        <v>375</v>
      </c>
      <c r="D397" s="153" t="s">
        <v>25</v>
      </c>
      <c r="E397" s="130" t="s">
        <v>376</v>
      </c>
      <c r="F397" s="154" t="s">
        <v>423</v>
      </c>
      <c r="G397" s="154" t="s">
        <v>423</v>
      </c>
      <c r="H397" s="154" t="s">
        <v>423</v>
      </c>
      <c r="I397" s="154" t="s">
        <v>423</v>
      </c>
      <c r="J397" s="132">
        <v>0.9</v>
      </c>
      <c r="K397" s="133">
        <v>0.857142857142857</v>
      </c>
      <c r="L397" s="133">
        <v>0.818181818181818</v>
      </c>
      <c r="M397" s="134">
        <v>0.909090909090909</v>
      </c>
      <c r="N397" s="133">
        <v>0.882775119617225</v>
      </c>
      <c r="O397" s="135">
        <v>0.9</v>
      </c>
      <c r="P397" s="133">
        <v>0.993630573248408</v>
      </c>
      <c r="Q397" s="133">
        <v>0.985719516660564</v>
      </c>
      <c r="R397" s="133">
        <v>0.985852869846403</v>
      </c>
      <c r="S397" s="133">
        <v>0.989728557470032</v>
      </c>
      <c r="T397" s="135">
        <v>0.9</v>
      </c>
      <c r="U397" s="133">
        <v>0.965423111919927</v>
      </c>
      <c r="V397" s="133">
        <v>0.845844013181985</v>
      </c>
      <c r="W397" s="133">
        <v>0.864995957962813</v>
      </c>
      <c r="X397" s="133">
        <v>0.896546793451062</v>
      </c>
      <c r="Y397" s="135">
        <v>0.92</v>
      </c>
      <c r="Z397" s="135">
        <v>0</v>
      </c>
      <c r="AA397" s="135" t="s">
        <v>35</v>
      </c>
      <c r="AB397" s="135" t="s">
        <v>35</v>
      </c>
      <c r="AC397" s="135">
        <v>0</v>
      </c>
      <c r="AD397" s="135">
        <v>0.92</v>
      </c>
      <c r="AE397" s="133">
        <v>0.997630331753555</v>
      </c>
      <c r="AF397" s="133">
        <v>0.99820788530466</v>
      </c>
      <c r="AG397" s="133">
        <v>0.981645944345767</v>
      </c>
      <c r="AH397" s="133">
        <v>0.989986705512969</v>
      </c>
      <c r="AI397" s="135">
        <v>0.92</v>
      </c>
      <c r="AJ397" s="133">
        <v>0.978201634877384</v>
      </c>
      <c r="AK397" s="133">
        <v>0.968155197657394</v>
      </c>
      <c r="AL397" s="133">
        <v>0.97859450726979</v>
      </c>
      <c r="AM397" s="133">
        <v>0.983446468977016</v>
      </c>
      <c r="AN397" s="132">
        <v>0.99</v>
      </c>
      <c r="AO397" s="137">
        <v>1</v>
      </c>
      <c r="AP397" s="137">
        <v>1</v>
      </c>
      <c r="AQ397" s="137">
        <v>1</v>
      </c>
      <c r="AR397" s="137">
        <v>1</v>
      </c>
      <c r="AS397" s="158">
        <v>0.05</v>
      </c>
      <c r="AT397" s="141">
        <v>0</v>
      </c>
      <c r="AU397" s="141">
        <v>0</v>
      </c>
      <c r="AV397" s="141">
        <v>0</v>
      </c>
      <c r="AW397" s="141">
        <v>0.0612244897959184</v>
      </c>
      <c r="AX397" s="95"/>
      <c r="AY397" s="93"/>
    </row>
    <row r="398" ht="14.5" spans="1:51">
      <c r="A398" s="91"/>
      <c r="B398" s="95"/>
      <c r="C398" s="152" t="s">
        <v>375</v>
      </c>
      <c r="D398" s="153" t="s">
        <v>25</v>
      </c>
      <c r="E398" s="130" t="s">
        <v>376</v>
      </c>
      <c r="F398" s="154" t="s">
        <v>424</v>
      </c>
      <c r="G398" s="154" t="s">
        <v>424</v>
      </c>
      <c r="H398" s="154" t="s">
        <v>424</v>
      </c>
      <c r="I398" s="154" t="s">
        <v>424</v>
      </c>
      <c r="J398" s="132">
        <v>0.9</v>
      </c>
      <c r="K398" s="133">
        <v>1</v>
      </c>
      <c r="L398" s="133">
        <v>0.885714285714286</v>
      </c>
      <c r="M398" s="134">
        <v>1</v>
      </c>
      <c r="N398" s="133">
        <v>0.9359375</v>
      </c>
      <c r="O398" s="135">
        <v>0.9</v>
      </c>
      <c r="P398" s="133" t="s">
        <v>35</v>
      </c>
      <c r="Q398" s="133" t="s">
        <v>35</v>
      </c>
      <c r="R398" s="133">
        <v>0.666666666666667</v>
      </c>
      <c r="S398" s="133">
        <v>0.153846153846154</v>
      </c>
      <c r="T398" s="135">
        <v>0.9</v>
      </c>
      <c r="U398" s="133" t="s">
        <v>35</v>
      </c>
      <c r="V398" s="133" t="s">
        <v>35</v>
      </c>
      <c r="W398" s="133">
        <v>0.333333333333333</v>
      </c>
      <c r="X398" s="133">
        <v>0.384615384615385</v>
      </c>
      <c r="Y398" s="135">
        <v>0.92</v>
      </c>
      <c r="Z398" s="135" t="s">
        <v>35</v>
      </c>
      <c r="AA398" s="135" t="s">
        <v>35</v>
      </c>
      <c r="AB398" s="135">
        <v>0</v>
      </c>
      <c r="AC398" s="135">
        <v>0</v>
      </c>
      <c r="AD398" s="135">
        <v>0.92</v>
      </c>
      <c r="AE398" s="133">
        <v>0.999390615478367</v>
      </c>
      <c r="AF398" s="133">
        <v>1</v>
      </c>
      <c r="AG398" s="133">
        <v>0.997821350762527</v>
      </c>
      <c r="AH398" s="133">
        <v>0.986015709731488</v>
      </c>
      <c r="AI398" s="135">
        <v>0.92</v>
      </c>
      <c r="AJ398" s="133">
        <v>0.935179728933412</v>
      </c>
      <c r="AK398" s="133">
        <v>0.954532929181593</v>
      </c>
      <c r="AL398" s="133">
        <v>0.950117524157744</v>
      </c>
      <c r="AM398" s="133">
        <v>0.958323735814868</v>
      </c>
      <c r="AN398" s="132">
        <v>0.99</v>
      </c>
      <c r="AO398" s="137">
        <v>1</v>
      </c>
      <c r="AP398" s="137">
        <v>1</v>
      </c>
      <c r="AQ398" s="137">
        <v>1</v>
      </c>
      <c r="AR398" s="137">
        <v>1</v>
      </c>
      <c r="AS398" s="158">
        <v>0.05</v>
      </c>
      <c r="AT398" s="141">
        <v>1</v>
      </c>
      <c r="AU398" s="141">
        <v>0.181818181818182</v>
      </c>
      <c r="AV398" s="141">
        <v>0.0625</v>
      </c>
      <c r="AW398" s="141">
        <v>0.0929368029739777</v>
      </c>
      <c r="AX398" s="95"/>
      <c r="AY398" s="93"/>
    </row>
    <row r="399" ht="14.5" spans="1:51">
      <c r="A399" s="91"/>
      <c r="B399" s="95"/>
      <c r="C399" s="152" t="s">
        <v>375</v>
      </c>
      <c r="D399" s="153" t="s">
        <v>25</v>
      </c>
      <c r="E399" s="130" t="s">
        <v>376</v>
      </c>
      <c r="F399" s="154" t="s">
        <v>425</v>
      </c>
      <c r="G399" s="154" t="s">
        <v>425</v>
      </c>
      <c r="H399" s="154" t="s">
        <v>425</v>
      </c>
      <c r="I399" s="154" t="s">
        <v>425</v>
      </c>
      <c r="J399" s="132">
        <v>0.9</v>
      </c>
      <c r="K399" s="133">
        <v>0.8</v>
      </c>
      <c r="L399" s="133">
        <v>0.954545454545455</v>
      </c>
      <c r="M399" s="134">
        <v>0.954545454545455</v>
      </c>
      <c r="N399" s="133">
        <v>0.889975550122249</v>
      </c>
      <c r="O399" s="135">
        <v>0.9</v>
      </c>
      <c r="P399" s="133" t="s">
        <v>35</v>
      </c>
      <c r="Q399" s="133" t="s">
        <v>35</v>
      </c>
      <c r="R399" s="133" t="s">
        <v>35</v>
      </c>
      <c r="S399" s="133">
        <v>0.5</v>
      </c>
      <c r="T399" s="135">
        <v>0.9</v>
      </c>
      <c r="U399" s="133" t="s">
        <v>35</v>
      </c>
      <c r="V399" s="133" t="s">
        <v>35</v>
      </c>
      <c r="W399" s="133" t="s">
        <v>35</v>
      </c>
      <c r="X399" s="133">
        <v>0</v>
      </c>
      <c r="Y399" s="135">
        <v>0.92</v>
      </c>
      <c r="Z399" s="135" t="s">
        <v>35</v>
      </c>
      <c r="AA399" s="135" t="s">
        <v>35</v>
      </c>
      <c r="AB399" s="135" t="s">
        <v>35</v>
      </c>
      <c r="AC399" s="135" t="s">
        <v>35</v>
      </c>
      <c r="AD399" s="135">
        <v>0.92</v>
      </c>
      <c r="AE399" s="133">
        <v>1</v>
      </c>
      <c r="AF399" s="133">
        <v>1</v>
      </c>
      <c r="AG399" s="133">
        <v>1</v>
      </c>
      <c r="AH399" s="133">
        <v>0.974955277280859</v>
      </c>
      <c r="AI399" s="135">
        <v>0.92</v>
      </c>
      <c r="AJ399" s="133">
        <v>0.875539568345324</v>
      </c>
      <c r="AK399" s="133">
        <v>0.898613103778097</v>
      </c>
      <c r="AL399" s="133">
        <v>0.886034563288183</v>
      </c>
      <c r="AM399" s="133">
        <v>0.934478459620446</v>
      </c>
      <c r="AN399" s="132">
        <v>0.99</v>
      </c>
      <c r="AO399" s="137">
        <v>1</v>
      </c>
      <c r="AP399" s="137">
        <v>1</v>
      </c>
      <c r="AQ399" s="137">
        <v>1</v>
      </c>
      <c r="AR399" s="137">
        <v>1</v>
      </c>
      <c r="AS399" s="158">
        <v>0.05</v>
      </c>
      <c r="AT399" s="141">
        <v>0</v>
      </c>
      <c r="AU399" s="141">
        <v>0.142857142857143</v>
      </c>
      <c r="AV399" s="141">
        <v>0.166666666666667</v>
      </c>
      <c r="AW399" s="141">
        <v>0.0576923076923077</v>
      </c>
      <c r="AX399" s="95"/>
      <c r="AY399" s="93"/>
    </row>
    <row r="400" ht="14.5" spans="1:51">
      <c r="A400" s="91"/>
      <c r="B400" s="95"/>
      <c r="C400" s="152" t="s">
        <v>375</v>
      </c>
      <c r="D400" s="153" t="s">
        <v>25</v>
      </c>
      <c r="E400" s="130" t="s">
        <v>376</v>
      </c>
      <c r="F400" s="154" t="s">
        <v>426</v>
      </c>
      <c r="G400" s="154" t="s">
        <v>426</v>
      </c>
      <c r="H400" s="154" t="s">
        <v>426</v>
      </c>
      <c r="I400" s="154" t="s">
        <v>426</v>
      </c>
      <c r="J400" s="132">
        <v>0.9</v>
      </c>
      <c r="K400" s="133">
        <v>0.947368421052632</v>
      </c>
      <c r="L400" s="133">
        <v>1</v>
      </c>
      <c r="M400" s="134">
        <v>0.862068965517241</v>
      </c>
      <c r="N400" s="133">
        <v>0.904471544715447</v>
      </c>
      <c r="O400" s="135">
        <v>0.9</v>
      </c>
      <c r="P400" s="133">
        <v>0</v>
      </c>
      <c r="Q400" s="133">
        <v>0</v>
      </c>
      <c r="R400" s="133" t="s">
        <v>35</v>
      </c>
      <c r="S400" s="133">
        <v>0.2</v>
      </c>
      <c r="T400" s="135">
        <v>0.9</v>
      </c>
      <c r="U400" s="133">
        <v>0</v>
      </c>
      <c r="V400" s="133">
        <v>0</v>
      </c>
      <c r="W400" s="133" t="s">
        <v>35</v>
      </c>
      <c r="X400" s="133">
        <v>0.2</v>
      </c>
      <c r="Y400" s="135">
        <v>0.92</v>
      </c>
      <c r="Z400" s="135">
        <v>0</v>
      </c>
      <c r="AA400" s="135" t="s">
        <v>35</v>
      </c>
      <c r="AB400" s="135" t="s">
        <v>35</v>
      </c>
      <c r="AC400" s="135">
        <v>0</v>
      </c>
      <c r="AD400" s="135">
        <v>0.92</v>
      </c>
      <c r="AE400" s="133">
        <v>0.970588235294118</v>
      </c>
      <c r="AF400" s="133">
        <v>1</v>
      </c>
      <c r="AG400" s="133">
        <v>0.972222222222222</v>
      </c>
      <c r="AH400" s="133">
        <v>0.994813278008299</v>
      </c>
      <c r="AI400" s="135">
        <v>0.92</v>
      </c>
      <c r="AJ400" s="133">
        <v>0.921415716856629</v>
      </c>
      <c r="AK400" s="133">
        <v>0.948532731376975</v>
      </c>
      <c r="AL400" s="133">
        <v>0.973227565691621</v>
      </c>
      <c r="AM400" s="133">
        <v>0.955020719558715</v>
      </c>
      <c r="AN400" s="132">
        <v>0.99</v>
      </c>
      <c r="AO400" s="137">
        <v>1</v>
      </c>
      <c r="AP400" s="137">
        <v>1</v>
      </c>
      <c r="AQ400" s="137">
        <v>1</v>
      </c>
      <c r="AR400" s="137">
        <v>1</v>
      </c>
      <c r="AS400" s="158">
        <v>0.05</v>
      </c>
      <c r="AT400" s="141">
        <v>0</v>
      </c>
      <c r="AU400" s="141">
        <v>0</v>
      </c>
      <c r="AV400" s="141">
        <v>0</v>
      </c>
      <c r="AW400" s="141">
        <v>0.104477611940299</v>
      </c>
      <c r="AX400" s="95"/>
      <c r="AY400" s="93"/>
    </row>
    <row r="401" ht="14.5" spans="1:51">
      <c r="A401" s="91"/>
      <c r="B401" s="95"/>
      <c r="C401" s="152" t="s">
        <v>375</v>
      </c>
      <c r="D401" s="153" t="s">
        <v>25</v>
      </c>
      <c r="E401" s="130" t="s">
        <v>376</v>
      </c>
      <c r="F401" s="154" t="s">
        <v>427</v>
      </c>
      <c r="G401" s="154" t="s">
        <v>427</v>
      </c>
      <c r="H401" s="154" t="s">
        <v>427</v>
      </c>
      <c r="I401" s="154" t="s">
        <v>427</v>
      </c>
      <c r="J401" s="132">
        <v>0.9</v>
      </c>
      <c r="K401" s="133">
        <v>0.941176470588235</v>
      </c>
      <c r="L401" s="133">
        <v>0.903225806451613</v>
      </c>
      <c r="M401" s="134">
        <v>0.885714285714286</v>
      </c>
      <c r="N401" s="133">
        <v>0.932748538011696</v>
      </c>
      <c r="O401" s="135">
        <v>0.9</v>
      </c>
      <c r="P401" s="133">
        <v>0.903562653562654</v>
      </c>
      <c r="Q401" s="133">
        <v>0.916065911431514</v>
      </c>
      <c r="R401" s="133">
        <v>0.917966493356441</v>
      </c>
      <c r="S401" s="133">
        <v>0.966252485832623</v>
      </c>
      <c r="T401" s="135">
        <v>0.9</v>
      </c>
      <c r="U401" s="133">
        <v>0.856265356265356</v>
      </c>
      <c r="V401" s="133">
        <v>0.790164778578785</v>
      </c>
      <c r="W401" s="133">
        <v>0.852397458116696</v>
      </c>
      <c r="X401" s="133">
        <v>0.883371461893868</v>
      </c>
      <c r="Y401" s="135">
        <v>0.92</v>
      </c>
      <c r="Z401" s="135">
        <v>1</v>
      </c>
      <c r="AA401" s="135">
        <v>1</v>
      </c>
      <c r="AB401" s="135" t="s">
        <v>35</v>
      </c>
      <c r="AC401" s="135">
        <v>0.888888888888889</v>
      </c>
      <c r="AD401" s="135">
        <v>0.92</v>
      </c>
      <c r="AE401" s="133">
        <v>0.98943661971831</v>
      </c>
      <c r="AF401" s="133">
        <v>0.99672361338638</v>
      </c>
      <c r="AG401" s="133">
        <v>0.997967755046742</v>
      </c>
      <c r="AH401" s="133">
        <v>0.980762081784387</v>
      </c>
      <c r="AI401" s="135">
        <v>0.92</v>
      </c>
      <c r="AJ401" s="133">
        <v>0.92218137254902</v>
      </c>
      <c r="AK401" s="133">
        <v>0.910682110682111</v>
      </c>
      <c r="AL401" s="133">
        <v>0.92580831408776</v>
      </c>
      <c r="AM401" s="133">
        <v>0.961754595725602</v>
      </c>
      <c r="AN401" s="132">
        <v>0.99</v>
      </c>
      <c r="AO401" s="137">
        <v>1</v>
      </c>
      <c r="AP401" s="137">
        <v>1</v>
      </c>
      <c r="AQ401" s="137">
        <v>1</v>
      </c>
      <c r="AR401" s="137">
        <v>1</v>
      </c>
      <c r="AS401" s="158">
        <v>0.05</v>
      </c>
      <c r="AT401" s="141">
        <v>0.266666666666667</v>
      </c>
      <c r="AU401" s="141">
        <v>0.0909090909090909</v>
      </c>
      <c r="AV401" s="141">
        <v>0</v>
      </c>
      <c r="AW401" s="141">
        <v>0.127035830618893</v>
      </c>
      <c r="AX401" s="95"/>
      <c r="AY401" s="93"/>
    </row>
    <row r="402" ht="14.5" spans="1:51">
      <c r="A402" s="91"/>
      <c r="B402" s="95"/>
      <c r="C402" s="152" t="s">
        <v>375</v>
      </c>
      <c r="D402" s="153" t="s">
        <v>25</v>
      </c>
      <c r="E402" s="130" t="s">
        <v>376</v>
      </c>
      <c r="F402" s="154" t="s">
        <v>428</v>
      </c>
      <c r="G402" s="154" t="s">
        <v>428</v>
      </c>
      <c r="H402" s="154" t="s">
        <v>428</v>
      </c>
      <c r="I402" s="154" t="s">
        <v>428</v>
      </c>
      <c r="J402" s="132">
        <v>0.9</v>
      </c>
      <c r="K402" s="133">
        <v>0.971428571428571</v>
      </c>
      <c r="L402" s="133">
        <v>1</v>
      </c>
      <c r="M402" s="134">
        <v>0.914285714285714</v>
      </c>
      <c r="N402" s="133">
        <v>0.97008547008547</v>
      </c>
      <c r="O402" s="135">
        <v>0.9</v>
      </c>
      <c r="P402" s="133">
        <v>0.6</v>
      </c>
      <c r="Q402" s="133">
        <v>0.222222222222222</v>
      </c>
      <c r="R402" s="133">
        <v>0.857142857142857</v>
      </c>
      <c r="S402" s="133">
        <v>0.538961038961039</v>
      </c>
      <c r="T402" s="135">
        <v>0.9</v>
      </c>
      <c r="U402" s="133">
        <v>0.8</v>
      </c>
      <c r="V402" s="133">
        <v>0.666666666666667</v>
      </c>
      <c r="W402" s="133">
        <v>0.714285714285714</v>
      </c>
      <c r="X402" s="133">
        <v>0.636363636363636</v>
      </c>
      <c r="Y402" s="135">
        <v>0.92</v>
      </c>
      <c r="Z402" s="135" t="s">
        <v>35</v>
      </c>
      <c r="AA402" s="135" t="s">
        <v>35</v>
      </c>
      <c r="AB402" s="135">
        <v>1</v>
      </c>
      <c r="AC402" s="135">
        <v>0.888888888888889</v>
      </c>
      <c r="AD402" s="135">
        <v>0.92</v>
      </c>
      <c r="AE402" s="133">
        <v>0.981278244028405</v>
      </c>
      <c r="AF402" s="133">
        <v>0.995295347621537</v>
      </c>
      <c r="AG402" s="133">
        <v>0.985529322162985</v>
      </c>
      <c r="AH402" s="133">
        <v>0.961322534897622</v>
      </c>
      <c r="AI402" s="135">
        <v>0.92</v>
      </c>
      <c r="AJ402" s="133">
        <v>0.956756756756757</v>
      </c>
      <c r="AK402" s="133">
        <v>0.903930131004367</v>
      </c>
      <c r="AL402" s="133">
        <v>0.922530369012148</v>
      </c>
      <c r="AM402" s="133">
        <v>0.952044238962923</v>
      </c>
      <c r="AN402" s="132">
        <v>0.99</v>
      </c>
      <c r="AO402" s="137">
        <v>1</v>
      </c>
      <c r="AP402" s="137">
        <v>1</v>
      </c>
      <c r="AQ402" s="137">
        <v>1</v>
      </c>
      <c r="AR402" s="137">
        <v>1</v>
      </c>
      <c r="AS402" s="158">
        <v>0.05</v>
      </c>
      <c r="AT402" s="141">
        <v>0.0588235294117647</v>
      </c>
      <c r="AU402" s="141">
        <v>0.0454545454545455</v>
      </c>
      <c r="AV402" s="141">
        <v>0.121212121212121</v>
      </c>
      <c r="AW402" s="141">
        <v>0.0671936758893281</v>
      </c>
      <c r="AX402" s="95"/>
      <c r="AY402" s="93"/>
    </row>
    <row r="403" ht="14.5" spans="1:51">
      <c r="A403" s="91"/>
      <c r="B403" s="95"/>
      <c r="C403" s="152" t="s">
        <v>375</v>
      </c>
      <c r="D403" s="153" t="s">
        <v>25</v>
      </c>
      <c r="E403" s="130" t="s">
        <v>376</v>
      </c>
      <c r="F403" s="154" t="s">
        <v>429</v>
      </c>
      <c r="G403" s="154" t="s">
        <v>429</v>
      </c>
      <c r="H403" s="154" t="s">
        <v>429</v>
      </c>
      <c r="I403" s="154" t="s">
        <v>429</v>
      </c>
      <c r="J403" s="132">
        <v>0.9</v>
      </c>
      <c r="K403" s="133">
        <v>0.973684210526316</v>
      </c>
      <c r="L403" s="133">
        <v>0.931818181818182</v>
      </c>
      <c r="M403" s="134">
        <v>0.975</v>
      </c>
      <c r="N403" s="133">
        <v>0.988311688311688</v>
      </c>
      <c r="O403" s="135">
        <v>0.9</v>
      </c>
      <c r="P403" s="133">
        <v>0</v>
      </c>
      <c r="Q403" s="133">
        <v>1</v>
      </c>
      <c r="R403" s="133">
        <v>0</v>
      </c>
      <c r="S403" s="133">
        <v>0.5</v>
      </c>
      <c r="T403" s="135">
        <v>0.9</v>
      </c>
      <c r="U403" s="133">
        <v>0</v>
      </c>
      <c r="V403" s="133">
        <v>0</v>
      </c>
      <c r="W403" s="133">
        <v>0</v>
      </c>
      <c r="X403" s="133">
        <v>0.5</v>
      </c>
      <c r="Y403" s="135">
        <v>0.92</v>
      </c>
      <c r="Z403" s="135" t="s">
        <v>35</v>
      </c>
      <c r="AA403" s="135" t="s">
        <v>35</v>
      </c>
      <c r="AB403" s="135">
        <v>1</v>
      </c>
      <c r="AC403" s="135">
        <v>1</v>
      </c>
      <c r="AD403" s="135">
        <v>0.92</v>
      </c>
      <c r="AE403" s="133">
        <v>0.991097922848665</v>
      </c>
      <c r="AF403" s="133">
        <v>0.994555353901996</v>
      </c>
      <c r="AG403" s="133">
        <v>0.993485342019544</v>
      </c>
      <c r="AH403" s="133">
        <v>0.982310855726438</v>
      </c>
      <c r="AI403" s="135">
        <v>0.92</v>
      </c>
      <c r="AJ403" s="133">
        <v>0.929772918418839</v>
      </c>
      <c r="AK403" s="133">
        <v>0.953479576399395</v>
      </c>
      <c r="AL403" s="133">
        <v>0.960848287112561</v>
      </c>
      <c r="AM403" s="133">
        <v>0.959902200488998</v>
      </c>
      <c r="AN403" s="132">
        <v>0.99</v>
      </c>
      <c r="AO403" s="137">
        <v>1</v>
      </c>
      <c r="AP403" s="137">
        <v>1</v>
      </c>
      <c r="AQ403" s="137">
        <v>1</v>
      </c>
      <c r="AR403" s="137">
        <v>1</v>
      </c>
      <c r="AS403" s="158">
        <v>0.05</v>
      </c>
      <c r="AT403" s="141">
        <v>0.25</v>
      </c>
      <c r="AU403" s="141">
        <v>0</v>
      </c>
      <c r="AV403" s="141">
        <v>0</v>
      </c>
      <c r="AW403" s="141">
        <v>0.0548780487804878</v>
      </c>
      <c r="AX403" s="95"/>
      <c r="AY403" s="93"/>
    </row>
    <row r="404" ht="14.5" spans="1:51">
      <c r="A404" s="91"/>
      <c r="B404" s="95"/>
      <c r="C404" s="152" t="s">
        <v>375</v>
      </c>
      <c r="D404" s="153" t="s">
        <v>25</v>
      </c>
      <c r="E404" s="130" t="s">
        <v>376</v>
      </c>
      <c r="F404" s="154" t="s">
        <v>430</v>
      </c>
      <c r="G404" s="154" t="s">
        <v>430</v>
      </c>
      <c r="H404" s="154" t="s">
        <v>430</v>
      </c>
      <c r="I404" s="154" t="s">
        <v>430</v>
      </c>
      <c r="J404" s="132">
        <v>0.9</v>
      </c>
      <c r="K404" s="133">
        <v>0.9</v>
      </c>
      <c r="L404" s="133">
        <v>0.925925925925926</v>
      </c>
      <c r="M404" s="134">
        <v>0.956521739130435</v>
      </c>
      <c r="N404" s="133">
        <v>0.925053533190578</v>
      </c>
      <c r="O404" s="135">
        <v>0.9</v>
      </c>
      <c r="P404" s="133">
        <v>0</v>
      </c>
      <c r="Q404" s="133" t="s">
        <v>35</v>
      </c>
      <c r="R404" s="133">
        <v>1</v>
      </c>
      <c r="S404" s="133">
        <v>0.4375</v>
      </c>
      <c r="T404" s="135">
        <v>0.9</v>
      </c>
      <c r="U404" s="133">
        <v>0</v>
      </c>
      <c r="V404" s="133" t="s">
        <v>35</v>
      </c>
      <c r="W404" s="133">
        <v>1</v>
      </c>
      <c r="X404" s="133">
        <v>0.5</v>
      </c>
      <c r="Y404" s="135">
        <v>0.92</v>
      </c>
      <c r="Z404" s="135" t="s">
        <v>35</v>
      </c>
      <c r="AA404" s="135" t="s">
        <v>35</v>
      </c>
      <c r="AB404" s="135" t="s">
        <v>35</v>
      </c>
      <c r="AC404" s="135">
        <v>1</v>
      </c>
      <c r="AD404" s="135">
        <v>0.92</v>
      </c>
      <c r="AE404" s="133">
        <v>0.997389033942559</v>
      </c>
      <c r="AF404" s="133">
        <v>0.998664886515354</v>
      </c>
      <c r="AG404" s="133">
        <v>0.999617004978935</v>
      </c>
      <c r="AH404" s="133">
        <v>0.997414821688983</v>
      </c>
      <c r="AI404" s="135">
        <v>0.92</v>
      </c>
      <c r="AJ404" s="133">
        <v>0.939641109298532</v>
      </c>
      <c r="AK404" s="133">
        <v>0.946046827281982</v>
      </c>
      <c r="AL404" s="133">
        <v>0.951006711409396</v>
      </c>
      <c r="AM404" s="133">
        <v>0.96039564630174</v>
      </c>
      <c r="AN404" s="132">
        <v>0.99</v>
      </c>
      <c r="AO404" s="137">
        <v>1</v>
      </c>
      <c r="AP404" s="137">
        <v>1</v>
      </c>
      <c r="AQ404" s="137">
        <v>1</v>
      </c>
      <c r="AR404" s="137">
        <v>1</v>
      </c>
      <c r="AS404" s="158">
        <v>0.05</v>
      </c>
      <c r="AT404" s="141">
        <v>0</v>
      </c>
      <c r="AU404" s="141">
        <v>0</v>
      </c>
      <c r="AV404" s="141">
        <v>0</v>
      </c>
      <c r="AW404" s="141">
        <v>0.0533333333333333</v>
      </c>
      <c r="AX404" s="95"/>
      <c r="AY404" s="93"/>
    </row>
    <row r="405" ht="14.5" spans="1:51">
      <c r="A405" s="91"/>
      <c r="B405" s="95"/>
      <c r="C405" s="152" t="s">
        <v>375</v>
      </c>
      <c r="D405" s="153" t="s">
        <v>25</v>
      </c>
      <c r="E405" s="130" t="s">
        <v>376</v>
      </c>
      <c r="F405" s="154" t="s">
        <v>431</v>
      </c>
      <c r="G405" s="154" t="s">
        <v>431</v>
      </c>
      <c r="H405" s="154" t="s">
        <v>431</v>
      </c>
      <c r="I405" s="154" t="s">
        <v>431</v>
      </c>
      <c r="J405" s="132">
        <v>0.9</v>
      </c>
      <c r="K405" s="133">
        <v>1</v>
      </c>
      <c r="L405" s="133">
        <v>1</v>
      </c>
      <c r="M405" s="134">
        <v>1</v>
      </c>
      <c r="N405" s="133">
        <v>0.996621621621622</v>
      </c>
      <c r="O405" s="135">
        <v>0.9</v>
      </c>
      <c r="P405" s="133">
        <v>0</v>
      </c>
      <c r="Q405" s="133">
        <v>0</v>
      </c>
      <c r="R405" s="133">
        <v>0</v>
      </c>
      <c r="S405" s="133">
        <v>0</v>
      </c>
      <c r="T405" s="135">
        <v>0.9</v>
      </c>
      <c r="U405" s="133">
        <v>1</v>
      </c>
      <c r="V405" s="133">
        <v>0</v>
      </c>
      <c r="W405" s="133">
        <v>0</v>
      </c>
      <c r="X405" s="133">
        <v>0.642857142857143</v>
      </c>
      <c r="Y405" s="135">
        <v>0.92</v>
      </c>
      <c r="Z405" s="135" t="s">
        <v>35</v>
      </c>
      <c r="AA405" s="135">
        <v>0</v>
      </c>
      <c r="AB405" s="135" t="s">
        <v>35</v>
      </c>
      <c r="AC405" s="135">
        <v>0</v>
      </c>
      <c r="AD405" s="135">
        <v>0.92</v>
      </c>
      <c r="AE405" s="133">
        <v>0.6</v>
      </c>
      <c r="AF405" s="133">
        <v>0.558823529411765</v>
      </c>
      <c r="AG405" s="133">
        <v>1</v>
      </c>
      <c r="AH405" s="133">
        <v>0.971641261963843</v>
      </c>
      <c r="AI405" s="135">
        <v>0.92</v>
      </c>
      <c r="AJ405" s="133">
        <v>0.914002205071665</v>
      </c>
      <c r="AK405" s="133">
        <v>0.790096878363832</v>
      </c>
      <c r="AL405" s="133">
        <v>0.921636274026614</v>
      </c>
      <c r="AM405" s="133">
        <v>0.945657332700522</v>
      </c>
      <c r="AN405" s="132">
        <v>0.99</v>
      </c>
      <c r="AO405" s="137">
        <v>1</v>
      </c>
      <c r="AP405" s="137">
        <v>1</v>
      </c>
      <c r="AQ405" s="137">
        <v>1</v>
      </c>
      <c r="AR405" s="137">
        <v>1</v>
      </c>
      <c r="AS405" s="158">
        <v>0.05</v>
      </c>
      <c r="AT405" s="141">
        <v>0</v>
      </c>
      <c r="AU405" s="141">
        <v>0</v>
      </c>
      <c r="AV405" s="141">
        <v>0.25</v>
      </c>
      <c r="AW405" s="141">
        <v>0.141025641025641</v>
      </c>
      <c r="AX405" s="95"/>
      <c r="AY405" s="93"/>
    </row>
    <row r="406" ht="14.5" spans="1:51">
      <c r="A406" s="91"/>
      <c r="B406" s="95"/>
      <c r="C406" s="152" t="s">
        <v>375</v>
      </c>
      <c r="D406" s="153" t="s">
        <v>25</v>
      </c>
      <c r="E406" s="130" t="s">
        <v>376</v>
      </c>
      <c r="F406" s="154" t="s">
        <v>432</v>
      </c>
      <c r="G406" s="154" t="s">
        <v>432</v>
      </c>
      <c r="H406" s="154" t="s">
        <v>432</v>
      </c>
      <c r="I406" s="154" t="s">
        <v>432</v>
      </c>
      <c r="J406" s="132">
        <v>0.9</v>
      </c>
      <c r="K406" s="133">
        <v>1</v>
      </c>
      <c r="L406" s="133">
        <v>1</v>
      </c>
      <c r="M406" s="134">
        <v>0.962962962962963</v>
      </c>
      <c r="N406" s="133">
        <v>0.9958071278826</v>
      </c>
      <c r="O406" s="135">
        <v>0.9</v>
      </c>
      <c r="P406" s="133" t="s">
        <v>35</v>
      </c>
      <c r="Q406" s="133" t="s">
        <v>35</v>
      </c>
      <c r="R406" s="133" t="s">
        <v>35</v>
      </c>
      <c r="S406" s="133">
        <v>0</v>
      </c>
      <c r="T406" s="135">
        <v>0.9</v>
      </c>
      <c r="U406" s="133" t="s">
        <v>35</v>
      </c>
      <c r="V406" s="133" t="s">
        <v>35</v>
      </c>
      <c r="W406" s="133" t="s">
        <v>35</v>
      </c>
      <c r="X406" s="133">
        <v>0</v>
      </c>
      <c r="Y406" s="135">
        <v>0.92</v>
      </c>
      <c r="Z406" s="135">
        <v>1</v>
      </c>
      <c r="AA406" s="135" t="s">
        <v>35</v>
      </c>
      <c r="AB406" s="135" t="s">
        <v>35</v>
      </c>
      <c r="AC406" s="135">
        <v>1</v>
      </c>
      <c r="AD406" s="135">
        <v>0.92</v>
      </c>
      <c r="AE406" s="133">
        <v>1</v>
      </c>
      <c r="AF406" s="133">
        <v>0.96969696969697</v>
      </c>
      <c r="AG406" s="133">
        <v>1</v>
      </c>
      <c r="AH406" s="133">
        <v>0.995708154506438</v>
      </c>
      <c r="AI406" s="135">
        <v>0.92</v>
      </c>
      <c r="AJ406" s="133">
        <v>0.917888563049853</v>
      </c>
      <c r="AK406" s="133">
        <v>0.892462794047048</v>
      </c>
      <c r="AL406" s="133">
        <v>0.956717763751127</v>
      </c>
      <c r="AM406" s="133">
        <v>0.953051517742625</v>
      </c>
      <c r="AN406" s="132">
        <v>0.99</v>
      </c>
      <c r="AO406" s="137">
        <v>1</v>
      </c>
      <c r="AP406" s="137">
        <v>1</v>
      </c>
      <c r="AQ406" s="137">
        <v>1</v>
      </c>
      <c r="AR406" s="137">
        <v>1</v>
      </c>
      <c r="AS406" s="158">
        <v>0.05</v>
      </c>
      <c r="AT406" s="141">
        <v>0</v>
      </c>
      <c r="AU406" s="141">
        <v>0</v>
      </c>
      <c r="AV406" s="141">
        <v>0</v>
      </c>
      <c r="AW406" s="141">
        <v>0.0545454545454545</v>
      </c>
      <c r="AX406" s="95"/>
      <c r="AY406" s="93"/>
    </row>
    <row r="407" ht="14.5" spans="1:51">
      <c r="A407" s="91"/>
      <c r="B407" s="95"/>
      <c r="C407" s="152" t="s">
        <v>375</v>
      </c>
      <c r="D407" s="153" t="s">
        <v>25</v>
      </c>
      <c r="E407" s="130" t="s">
        <v>376</v>
      </c>
      <c r="F407" s="154" t="s">
        <v>433</v>
      </c>
      <c r="G407" s="154" t="s">
        <v>433</v>
      </c>
      <c r="H407" s="154" t="s">
        <v>433</v>
      </c>
      <c r="I407" s="154" t="s">
        <v>433</v>
      </c>
      <c r="J407" s="132">
        <v>0.9</v>
      </c>
      <c r="K407" s="133">
        <v>0.869565217391304</v>
      </c>
      <c r="L407" s="133">
        <v>0.925</v>
      </c>
      <c r="M407" s="134">
        <v>0.903846153846154</v>
      </c>
      <c r="N407" s="133">
        <v>0.885919835560123</v>
      </c>
      <c r="O407" s="135">
        <v>0.9</v>
      </c>
      <c r="P407" s="133">
        <v>0.666666666666667</v>
      </c>
      <c r="Q407" s="133">
        <v>1</v>
      </c>
      <c r="R407" s="133">
        <v>0</v>
      </c>
      <c r="S407" s="133">
        <v>0.277777777777778</v>
      </c>
      <c r="T407" s="135">
        <v>0.9</v>
      </c>
      <c r="U407" s="133">
        <v>0.333333333333333</v>
      </c>
      <c r="V407" s="133">
        <v>1</v>
      </c>
      <c r="W407" s="133">
        <v>1</v>
      </c>
      <c r="X407" s="133">
        <v>0.444444444444444</v>
      </c>
      <c r="Y407" s="135">
        <v>0.92</v>
      </c>
      <c r="Z407" s="135">
        <v>1</v>
      </c>
      <c r="AA407" s="135">
        <v>0</v>
      </c>
      <c r="AB407" s="135">
        <v>0</v>
      </c>
      <c r="AC407" s="135">
        <v>0.3</v>
      </c>
      <c r="AD407" s="135">
        <v>0.92</v>
      </c>
      <c r="AE407" s="133">
        <v>0.995430495430495</v>
      </c>
      <c r="AF407" s="133">
        <v>0.904262753319357</v>
      </c>
      <c r="AG407" s="133">
        <v>0.987885985748219</v>
      </c>
      <c r="AH407" s="133">
        <v>0.986365078977564</v>
      </c>
      <c r="AI407" s="135">
        <v>0.92</v>
      </c>
      <c r="AJ407" s="133">
        <v>0.877264209868832</v>
      </c>
      <c r="AK407" s="133">
        <v>0.748411902373788</v>
      </c>
      <c r="AL407" s="133">
        <v>0.890236016812156</v>
      </c>
      <c r="AM407" s="133">
        <v>0.922364887695399</v>
      </c>
      <c r="AN407" s="132">
        <v>0.99</v>
      </c>
      <c r="AO407" s="137">
        <v>1</v>
      </c>
      <c r="AP407" s="137">
        <v>1</v>
      </c>
      <c r="AQ407" s="137">
        <v>1</v>
      </c>
      <c r="AR407" s="137">
        <v>1</v>
      </c>
      <c r="AS407" s="158">
        <v>0.05</v>
      </c>
      <c r="AT407" s="141">
        <v>0</v>
      </c>
      <c r="AU407" s="141">
        <v>0</v>
      </c>
      <c r="AV407" s="141">
        <v>0.117647058823529</v>
      </c>
      <c r="AW407" s="141">
        <v>0.0883280757097792</v>
      </c>
      <c r="AX407" s="95"/>
      <c r="AY407" s="93"/>
    </row>
    <row r="408" ht="14.5" spans="1:51">
      <c r="A408" s="91"/>
      <c r="B408" s="95"/>
      <c r="C408" s="152" t="s">
        <v>375</v>
      </c>
      <c r="D408" s="153" t="s">
        <v>25</v>
      </c>
      <c r="E408" s="130" t="s">
        <v>376</v>
      </c>
      <c r="F408" s="154" t="s">
        <v>434</v>
      </c>
      <c r="G408" s="154" t="s">
        <v>434</v>
      </c>
      <c r="H408" s="154" t="s">
        <v>434</v>
      </c>
      <c r="I408" s="154" t="s">
        <v>434</v>
      </c>
      <c r="J408" s="132">
        <v>0.9</v>
      </c>
      <c r="K408" s="133">
        <v>1</v>
      </c>
      <c r="L408" s="133">
        <v>0.96</v>
      </c>
      <c r="M408" s="134">
        <v>0.96875</v>
      </c>
      <c r="N408" s="133">
        <v>0.989051094890511</v>
      </c>
      <c r="O408" s="135">
        <v>0.9</v>
      </c>
      <c r="P408" s="133">
        <v>0.983206106870229</v>
      </c>
      <c r="Q408" s="133">
        <v>0.87020316027088</v>
      </c>
      <c r="R408" s="133">
        <v>0.987765089722675</v>
      </c>
      <c r="S408" s="133">
        <v>0.983330772776156</v>
      </c>
      <c r="T408" s="135">
        <v>0.9</v>
      </c>
      <c r="U408" s="133">
        <v>0.925190839694657</v>
      </c>
      <c r="V408" s="133">
        <v>0.18961625282167</v>
      </c>
      <c r="W408" s="133">
        <v>0.941272430668842</v>
      </c>
      <c r="X408" s="133">
        <v>0.909893992932862</v>
      </c>
      <c r="Y408" s="135">
        <v>0.92</v>
      </c>
      <c r="Z408" s="135">
        <v>0.938701923076923</v>
      </c>
      <c r="AA408" s="135">
        <v>0.493706293706294</v>
      </c>
      <c r="AB408" s="135">
        <v>0.912260967379078</v>
      </c>
      <c r="AC408" s="135">
        <v>0.93528987250421</v>
      </c>
      <c r="AD408" s="135">
        <v>0.92</v>
      </c>
      <c r="AE408" s="133">
        <v>0.998659517426273</v>
      </c>
      <c r="AF408" s="133">
        <v>0.997101449275362</v>
      </c>
      <c r="AG408" s="133">
        <v>0.998085758039816</v>
      </c>
      <c r="AH408" s="133">
        <v>0.998366185306208</v>
      </c>
      <c r="AI408" s="135">
        <v>0.92</v>
      </c>
      <c r="AJ408" s="133">
        <v>0.952925353059852</v>
      </c>
      <c r="AK408" s="133">
        <v>0.710805746408495</v>
      </c>
      <c r="AL408" s="133">
        <v>0.942762063227953</v>
      </c>
      <c r="AM408" s="133">
        <v>0.959757202391738</v>
      </c>
      <c r="AN408" s="132">
        <v>0.99</v>
      </c>
      <c r="AO408" s="137">
        <v>1</v>
      </c>
      <c r="AP408" s="137">
        <v>1</v>
      </c>
      <c r="AQ408" s="137">
        <v>1</v>
      </c>
      <c r="AR408" s="137">
        <v>1</v>
      </c>
      <c r="AS408" s="158">
        <v>0.05</v>
      </c>
      <c r="AT408" s="141">
        <v>0</v>
      </c>
      <c r="AU408" s="141">
        <v>0</v>
      </c>
      <c r="AV408" s="141">
        <v>0</v>
      </c>
      <c r="AW408" s="141">
        <v>0.046875</v>
      </c>
      <c r="AX408" s="95"/>
      <c r="AY408" s="93"/>
    </row>
    <row r="409" ht="14.5" spans="1:51">
      <c r="A409" s="91"/>
      <c r="B409" s="95"/>
      <c r="C409" s="152" t="s">
        <v>375</v>
      </c>
      <c r="D409" s="153" t="s">
        <v>25</v>
      </c>
      <c r="E409" s="130" t="s">
        <v>376</v>
      </c>
      <c r="F409" s="154" t="s">
        <v>435</v>
      </c>
      <c r="G409" s="154" t="s">
        <v>435</v>
      </c>
      <c r="H409" s="154" t="s">
        <v>435</v>
      </c>
      <c r="I409" s="154" t="s">
        <v>435</v>
      </c>
      <c r="J409" s="132">
        <v>0.9</v>
      </c>
      <c r="K409" s="133">
        <v>0.947368421052632</v>
      </c>
      <c r="L409" s="133">
        <v>0.897959183673469</v>
      </c>
      <c r="M409" s="134">
        <v>0.88</v>
      </c>
      <c r="N409" s="133">
        <v>0.946481665014866</v>
      </c>
      <c r="O409" s="135">
        <v>0.9</v>
      </c>
      <c r="P409" s="133">
        <v>0.970229007633588</v>
      </c>
      <c r="Q409" s="133">
        <v>0.885440180586907</v>
      </c>
      <c r="R409" s="133">
        <v>0.856523189856523</v>
      </c>
      <c r="S409" s="133">
        <v>0.950043602840414</v>
      </c>
      <c r="T409" s="135">
        <v>0.9</v>
      </c>
      <c r="U409" s="133">
        <v>0.854198473282443</v>
      </c>
      <c r="V409" s="133">
        <v>0.768058690744921</v>
      </c>
      <c r="W409" s="133">
        <v>0.776776776776777</v>
      </c>
      <c r="X409" s="133">
        <v>0.869689796935343</v>
      </c>
      <c r="Y409" s="135">
        <v>0.92</v>
      </c>
      <c r="Z409" s="135">
        <v>0.884882985452245</v>
      </c>
      <c r="AA409" s="135">
        <v>0.746784565916399</v>
      </c>
      <c r="AB409" s="135">
        <v>0.80641592920354</v>
      </c>
      <c r="AC409" s="135">
        <v>0.891222681139868</v>
      </c>
      <c r="AD409" s="135">
        <v>0.92</v>
      </c>
      <c r="AE409" s="133">
        <v>0.991639163916392</v>
      </c>
      <c r="AF409" s="133">
        <v>0.998548019083178</v>
      </c>
      <c r="AG409" s="133">
        <v>0.998037612428455</v>
      </c>
      <c r="AH409" s="133">
        <v>0.945749593663734</v>
      </c>
      <c r="AI409" s="135">
        <v>0.92</v>
      </c>
      <c r="AJ409" s="133">
        <v>0.914216534071256</v>
      </c>
      <c r="AK409" s="133">
        <v>0.827311899237653</v>
      </c>
      <c r="AL409" s="133">
        <v>0.847460595446585</v>
      </c>
      <c r="AM409" s="133">
        <v>0.923436932496238</v>
      </c>
      <c r="AN409" s="132">
        <v>0.99</v>
      </c>
      <c r="AO409" s="137">
        <v>1</v>
      </c>
      <c r="AP409" s="137">
        <v>1</v>
      </c>
      <c r="AQ409" s="137">
        <v>1</v>
      </c>
      <c r="AR409" s="137">
        <v>1</v>
      </c>
      <c r="AS409" s="158">
        <v>0.05</v>
      </c>
      <c r="AT409" s="141">
        <v>0.1</v>
      </c>
      <c r="AU409" s="141">
        <v>0</v>
      </c>
      <c r="AV409" s="141">
        <v>0.037037037037037</v>
      </c>
      <c r="AW409" s="141">
        <v>0.0571955719557196</v>
      </c>
      <c r="AX409" s="95"/>
      <c r="AY409" s="93"/>
    </row>
    <row r="410" ht="14.5" spans="1:51">
      <c r="A410" s="91"/>
      <c r="B410" s="95"/>
      <c r="C410" s="152" t="s">
        <v>375</v>
      </c>
      <c r="D410" s="153" t="s">
        <v>25</v>
      </c>
      <c r="E410" s="130" t="s">
        <v>376</v>
      </c>
      <c r="F410" s="154" t="s">
        <v>436</v>
      </c>
      <c r="G410" s="154" t="s">
        <v>436</v>
      </c>
      <c r="H410" s="154" t="s">
        <v>436</v>
      </c>
      <c r="I410" s="154" t="s">
        <v>436</v>
      </c>
      <c r="J410" s="132">
        <v>0.9</v>
      </c>
      <c r="K410" s="133">
        <v>0.980392156862745</v>
      </c>
      <c r="L410" s="133">
        <v>0.978723404255319</v>
      </c>
      <c r="M410" s="134">
        <v>0.964912280701754</v>
      </c>
      <c r="N410" s="133">
        <v>0.9794921875</v>
      </c>
      <c r="O410" s="135">
        <v>0.9</v>
      </c>
      <c r="P410" s="133">
        <v>0.96</v>
      </c>
      <c r="Q410" s="133">
        <v>0.943637916310845</v>
      </c>
      <c r="R410" s="133">
        <v>0.97326565143824</v>
      </c>
      <c r="S410" s="133">
        <v>0.966486070944833</v>
      </c>
      <c r="T410" s="135">
        <v>0.9</v>
      </c>
      <c r="U410" s="133">
        <v>0.923478260869565</v>
      </c>
      <c r="V410" s="133">
        <v>0.91801878736123</v>
      </c>
      <c r="W410" s="133">
        <v>0.941116751269035</v>
      </c>
      <c r="X410" s="133">
        <v>0.934106966357946</v>
      </c>
      <c r="Y410" s="135">
        <v>0.92</v>
      </c>
      <c r="Z410" s="135">
        <v>0.898312611012433</v>
      </c>
      <c r="AA410" s="135">
        <v>0.817474566128067</v>
      </c>
      <c r="AB410" s="135">
        <v>0.890490712503465</v>
      </c>
      <c r="AC410" s="135">
        <v>0.917298031450966</v>
      </c>
      <c r="AD410" s="135">
        <v>0.92</v>
      </c>
      <c r="AE410" s="133">
        <v>0.999783581012841</v>
      </c>
      <c r="AF410" s="133">
        <v>0.997195934104452</v>
      </c>
      <c r="AG410" s="133">
        <v>0.995859213250518</v>
      </c>
      <c r="AH410" s="133">
        <v>0.990788918140274</v>
      </c>
      <c r="AI410" s="135">
        <v>0.92</v>
      </c>
      <c r="AJ410" s="133">
        <v>0.928625282734355</v>
      </c>
      <c r="AK410" s="133">
        <v>0.895589334662347</v>
      </c>
      <c r="AL410" s="133">
        <v>0.927765925022859</v>
      </c>
      <c r="AM410" s="133">
        <v>0.945709251710081</v>
      </c>
      <c r="AN410" s="132">
        <v>0.99</v>
      </c>
      <c r="AO410" s="137">
        <v>1</v>
      </c>
      <c r="AP410" s="137">
        <v>1</v>
      </c>
      <c r="AQ410" s="137">
        <v>1</v>
      </c>
      <c r="AR410" s="137">
        <v>1</v>
      </c>
      <c r="AS410" s="158">
        <v>0.05</v>
      </c>
      <c r="AT410" s="141">
        <v>0</v>
      </c>
      <c r="AU410" s="141">
        <v>0.0588235294117647</v>
      </c>
      <c r="AV410" s="141">
        <v>0</v>
      </c>
      <c r="AW410" s="141">
        <v>0.0568862275449102</v>
      </c>
      <c r="AX410" s="95"/>
      <c r="AY410" s="93"/>
    </row>
    <row r="411" ht="14.5" spans="1:51">
      <c r="A411" s="91"/>
      <c r="B411" s="95"/>
      <c r="C411" s="152" t="s">
        <v>375</v>
      </c>
      <c r="D411" s="153" t="s">
        <v>25</v>
      </c>
      <c r="E411" s="130" t="s">
        <v>376</v>
      </c>
      <c r="F411" s="154" t="s">
        <v>437</v>
      </c>
      <c r="G411" s="154" t="s">
        <v>437</v>
      </c>
      <c r="H411" s="154" t="s">
        <v>437</v>
      </c>
      <c r="I411" s="154" t="s">
        <v>437</v>
      </c>
      <c r="J411" s="132">
        <v>0.9</v>
      </c>
      <c r="K411" s="133">
        <v>0.979166666666667</v>
      </c>
      <c r="L411" s="133">
        <v>0.973684210526316</v>
      </c>
      <c r="M411" s="134">
        <v>0.954545454545455</v>
      </c>
      <c r="N411" s="133">
        <v>0.978135788262371</v>
      </c>
      <c r="O411" s="135">
        <v>0.9</v>
      </c>
      <c r="P411" s="133">
        <v>0.941596365996106</v>
      </c>
      <c r="Q411" s="133">
        <v>0.924262439453985</v>
      </c>
      <c r="R411" s="133">
        <v>0.884760522496372</v>
      </c>
      <c r="S411" s="133">
        <v>0.949478025518752</v>
      </c>
      <c r="T411" s="135">
        <v>0.9</v>
      </c>
      <c r="U411" s="133">
        <v>0.934458144062297</v>
      </c>
      <c r="V411" s="133">
        <v>0.827829150154117</v>
      </c>
      <c r="W411" s="133">
        <v>0.870537010159652</v>
      </c>
      <c r="X411" s="133">
        <v>0.907848949606908</v>
      </c>
      <c r="Y411" s="135">
        <v>0.92</v>
      </c>
      <c r="Z411" s="135">
        <v>0.952431854623196</v>
      </c>
      <c r="AA411" s="135">
        <v>0.519701086956522</v>
      </c>
      <c r="AB411" s="135">
        <v>0.820187165775401</v>
      </c>
      <c r="AC411" s="135">
        <v>0.887114727670518</v>
      </c>
      <c r="AD411" s="135">
        <v>0.92</v>
      </c>
      <c r="AE411" s="133">
        <v>0.9962102212562</v>
      </c>
      <c r="AF411" s="133">
        <v>0.994508323322464</v>
      </c>
      <c r="AG411" s="133">
        <v>0.961956078047188</v>
      </c>
      <c r="AH411" s="133">
        <v>0.925196166349064</v>
      </c>
      <c r="AI411" s="135">
        <v>0.92</v>
      </c>
      <c r="AJ411" s="133">
        <v>0.962192262602579</v>
      </c>
      <c r="AK411" s="133">
        <v>0.761955650547689</v>
      </c>
      <c r="AL411" s="133">
        <v>0.885696536729306</v>
      </c>
      <c r="AM411" s="133">
        <v>0.931685595919173</v>
      </c>
      <c r="AN411" s="132">
        <v>0.99</v>
      </c>
      <c r="AO411" s="137">
        <v>1</v>
      </c>
      <c r="AP411" s="137">
        <v>1</v>
      </c>
      <c r="AQ411" s="137">
        <v>1</v>
      </c>
      <c r="AR411" s="137">
        <v>1</v>
      </c>
      <c r="AS411" s="158">
        <v>0.05</v>
      </c>
      <c r="AT411" s="141">
        <v>0.153846153846154</v>
      </c>
      <c r="AU411" s="141">
        <v>0</v>
      </c>
      <c r="AV411" s="141">
        <v>0.125</v>
      </c>
      <c r="AW411" s="141">
        <v>0.058287795992714</v>
      </c>
      <c r="AX411" s="95"/>
      <c r="AY411" s="93"/>
    </row>
    <row r="412" ht="14.5" spans="1:51">
      <c r="A412" s="91"/>
      <c r="B412" s="95"/>
      <c r="C412" s="152" t="s">
        <v>375</v>
      </c>
      <c r="D412" s="153" t="s">
        <v>25</v>
      </c>
      <c r="E412" s="130" t="s">
        <v>376</v>
      </c>
      <c r="F412" s="154" t="s">
        <v>438</v>
      </c>
      <c r="G412" s="154" t="s">
        <v>438</v>
      </c>
      <c r="H412" s="154" t="s">
        <v>438</v>
      </c>
      <c r="I412" s="154" t="s">
        <v>438</v>
      </c>
      <c r="J412" s="132">
        <v>0.9</v>
      </c>
      <c r="K412" s="133">
        <v>1</v>
      </c>
      <c r="L412" s="133">
        <v>0.958333333333333</v>
      </c>
      <c r="M412" s="134">
        <v>0.962264150943396</v>
      </c>
      <c r="N412" s="133">
        <v>0.977114427860696</v>
      </c>
      <c r="O412" s="135">
        <v>0.9</v>
      </c>
      <c r="P412" s="133">
        <v>0.994674556213018</v>
      </c>
      <c r="Q412" s="133">
        <v>0.988162344983089</v>
      </c>
      <c r="R412" s="133">
        <v>0.991286307053942</v>
      </c>
      <c r="S412" s="133">
        <v>0.992448570483253</v>
      </c>
      <c r="T412" s="135">
        <v>0.9</v>
      </c>
      <c r="U412" s="133">
        <v>0.942603550295858</v>
      </c>
      <c r="V412" s="133">
        <v>0.862457722660654</v>
      </c>
      <c r="W412" s="133">
        <v>0.943153526970954</v>
      </c>
      <c r="X412" s="133">
        <v>0.946419882836068</v>
      </c>
      <c r="Y412" s="135">
        <v>0.92</v>
      </c>
      <c r="Z412" s="135">
        <v>0.952626158599382</v>
      </c>
      <c r="AA412" s="135">
        <v>0.89532293986637</v>
      </c>
      <c r="AB412" s="135">
        <v>0.955083378160301</v>
      </c>
      <c r="AC412" s="135">
        <v>0.959931422107533</v>
      </c>
      <c r="AD412" s="135">
        <v>0.92</v>
      </c>
      <c r="AE412" s="133">
        <v>0.998562874251497</v>
      </c>
      <c r="AF412" s="133">
        <v>0.996442432082794</v>
      </c>
      <c r="AG412" s="133">
        <v>0.99917326089524</v>
      </c>
      <c r="AH412" s="133">
        <v>0.996102997217966</v>
      </c>
      <c r="AI412" s="135">
        <v>0.92</v>
      </c>
      <c r="AJ412" s="133">
        <v>0.965033039647577</v>
      </c>
      <c r="AK412" s="133">
        <v>0.921376608841634</v>
      </c>
      <c r="AL412" s="133">
        <v>0.9642682329907</v>
      </c>
      <c r="AM412" s="133">
        <v>0.973196105290437</v>
      </c>
      <c r="AN412" s="132">
        <v>0.99</v>
      </c>
      <c r="AO412" s="137">
        <v>1</v>
      </c>
      <c r="AP412" s="137">
        <v>1</v>
      </c>
      <c r="AQ412" s="137">
        <v>1</v>
      </c>
      <c r="AR412" s="137">
        <v>1</v>
      </c>
      <c r="AS412" s="158">
        <v>0.05</v>
      </c>
      <c r="AT412" s="141">
        <v>0</v>
      </c>
      <c r="AU412" s="141">
        <v>0</v>
      </c>
      <c r="AV412" s="141">
        <v>0</v>
      </c>
      <c r="AW412" s="141">
        <v>0.0541516245487365</v>
      </c>
      <c r="AX412" s="95"/>
      <c r="AY412" s="93"/>
    </row>
    <row r="413" ht="14.5" spans="1:51">
      <c r="A413" s="91"/>
      <c r="B413" s="95"/>
      <c r="C413" s="152" t="s">
        <v>375</v>
      </c>
      <c r="D413" s="153" t="s">
        <v>25</v>
      </c>
      <c r="E413" s="130" t="s">
        <v>376</v>
      </c>
      <c r="F413" s="154" t="s">
        <v>439</v>
      </c>
      <c r="G413" s="154" t="s">
        <v>439</v>
      </c>
      <c r="H413" s="154" t="s">
        <v>439</v>
      </c>
      <c r="I413" s="154" t="s">
        <v>439</v>
      </c>
      <c r="J413" s="132">
        <v>0.9</v>
      </c>
      <c r="K413" s="133">
        <v>1</v>
      </c>
      <c r="L413" s="133">
        <v>1</v>
      </c>
      <c r="M413" s="134">
        <v>0.959183673469388</v>
      </c>
      <c r="N413" s="133">
        <v>0.988839285714286</v>
      </c>
      <c r="O413" s="135">
        <v>0.9</v>
      </c>
      <c r="P413" s="133">
        <v>0.988255033557047</v>
      </c>
      <c r="Q413" s="133">
        <v>0.988286969253294</v>
      </c>
      <c r="R413" s="133">
        <v>0.992219917012448</v>
      </c>
      <c r="S413" s="133">
        <v>0.989176094631858</v>
      </c>
      <c r="T413" s="135">
        <v>0.9</v>
      </c>
      <c r="U413" s="133">
        <v>0.924496644295302</v>
      </c>
      <c r="V413" s="133">
        <v>0.945827232796486</v>
      </c>
      <c r="W413" s="133">
        <v>0.952282157676348</v>
      </c>
      <c r="X413" s="133">
        <v>0.962245187227792</v>
      </c>
      <c r="Y413" s="135">
        <v>0.92</v>
      </c>
      <c r="Z413" s="135">
        <v>0.962187711006077</v>
      </c>
      <c r="AA413" s="135">
        <v>0.938974776240846</v>
      </c>
      <c r="AB413" s="135">
        <v>0.981001727115717</v>
      </c>
      <c r="AC413" s="135">
        <v>0.977769873732883</v>
      </c>
      <c r="AD413" s="135">
        <v>0.92</v>
      </c>
      <c r="AE413" s="133">
        <v>0.998817966903073</v>
      </c>
      <c r="AF413" s="133">
        <v>0.999292786421499</v>
      </c>
      <c r="AG413" s="133">
        <v>0.997413049726933</v>
      </c>
      <c r="AH413" s="133">
        <v>0.997917607506649</v>
      </c>
      <c r="AI413" s="135">
        <v>0.92</v>
      </c>
      <c r="AJ413" s="133">
        <v>0.968200523756079</v>
      </c>
      <c r="AK413" s="133">
        <v>0.958413554100886</v>
      </c>
      <c r="AL413" s="133">
        <v>0.984248704663212</v>
      </c>
      <c r="AM413" s="133">
        <v>0.985084236506063</v>
      </c>
      <c r="AN413" s="132">
        <v>0.99</v>
      </c>
      <c r="AO413" s="137">
        <v>1</v>
      </c>
      <c r="AP413" s="137">
        <v>1</v>
      </c>
      <c r="AQ413" s="137">
        <v>1</v>
      </c>
      <c r="AR413" s="137">
        <v>1</v>
      </c>
      <c r="AS413" s="158">
        <v>0.05</v>
      </c>
      <c r="AT413" s="141">
        <v>0</v>
      </c>
      <c r="AU413" s="141">
        <v>0</v>
      </c>
      <c r="AV413" s="141">
        <v>0</v>
      </c>
      <c r="AW413" s="141">
        <v>0.076158940397351</v>
      </c>
      <c r="AX413" s="95"/>
      <c r="AY413" s="93"/>
    </row>
    <row r="414" ht="14.5" spans="1:51">
      <c r="A414" s="91"/>
      <c r="B414" s="95"/>
      <c r="C414" s="152" t="s">
        <v>375</v>
      </c>
      <c r="D414" s="153" t="s">
        <v>25</v>
      </c>
      <c r="E414" s="130" t="s">
        <v>376</v>
      </c>
      <c r="F414" s="154" t="s">
        <v>440</v>
      </c>
      <c r="G414" s="154" t="s">
        <v>440</v>
      </c>
      <c r="H414" s="154" t="s">
        <v>440</v>
      </c>
      <c r="I414" s="154" t="s">
        <v>440</v>
      </c>
      <c r="J414" s="132">
        <v>0.9</v>
      </c>
      <c r="K414" s="133">
        <v>0.980769230769231</v>
      </c>
      <c r="L414" s="133">
        <v>0.926829268292683</v>
      </c>
      <c r="M414" s="134">
        <v>0.980392156862745</v>
      </c>
      <c r="N414" s="133">
        <v>0.962065331928346</v>
      </c>
      <c r="O414" s="135">
        <v>0.9</v>
      </c>
      <c r="P414" s="133">
        <v>0.969825304393859</v>
      </c>
      <c r="Q414" s="133">
        <v>0.967574059247398</v>
      </c>
      <c r="R414" s="133">
        <v>0.972117794486215</v>
      </c>
      <c r="S414" s="133">
        <v>0.977491430980442</v>
      </c>
      <c r="T414" s="135">
        <v>0.9</v>
      </c>
      <c r="U414" s="133">
        <v>0.935415563790365</v>
      </c>
      <c r="V414" s="133">
        <v>0.925140112089672</v>
      </c>
      <c r="W414" s="133">
        <v>0.950187969924812</v>
      </c>
      <c r="X414" s="133">
        <v>0.955129497589677</v>
      </c>
      <c r="Y414" s="135">
        <v>0.92</v>
      </c>
      <c r="Z414" s="135">
        <v>0.944287063267233</v>
      </c>
      <c r="AA414" s="135">
        <v>0.931685100845803</v>
      </c>
      <c r="AB414" s="135">
        <v>0.958990536277603</v>
      </c>
      <c r="AC414" s="135">
        <v>0.964985781990521</v>
      </c>
      <c r="AD414" s="135">
        <v>0.92</v>
      </c>
      <c r="AE414" s="133">
        <v>0.999299915989919</v>
      </c>
      <c r="AF414" s="133">
        <v>0.990031691155287</v>
      </c>
      <c r="AG414" s="133">
        <v>0.99366863484385</v>
      </c>
      <c r="AH414" s="133">
        <v>0.988160364655141</v>
      </c>
      <c r="AI414" s="135">
        <v>0.92</v>
      </c>
      <c r="AJ414" s="133">
        <v>0.951347305389222</v>
      </c>
      <c r="AK414" s="133">
        <v>0.942779291553134</v>
      </c>
      <c r="AL414" s="133">
        <v>0.968730358265242</v>
      </c>
      <c r="AM414" s="133">
        <v>0.973930207441064</v>
      </c>
      <c r="AN414" s="132">
        <v>0.99</v>
      </c>
      <c r="AO414" s="137">
        <v>1</v>
      </c>
      <c r="AP414" s="137">
        <v>1</v>
      </c>
      <c r="AQ414" s="137">
        <v>1</v>
      </c>
      <c r="AR414" s="137">
        <v>1</v>
      </c>
      <c r="AS414" s="158">
        <v>0.05</v>
      </c>
      <c r="AT414" s="141">
        <v>0</v>
      </c>
      <c r="AU414" s="141">
        <v>0.176470588235294</v>
      </c>
      <c r="AV414" s="141">
        <v>0</v>
      </c>
      <c r="AW414" s="141">
        <v>0.0361990950226244</v>
      </c>
      <c r="AX414" s="95"/>
      <c r="AY414" s="93"/>
    </row>
    <row r="415" ht="14.5" spans="1:51">
      <c r="A415" s="91"/>
      <c r="B415" s="95"/>
      <c r="C415" s="152" t="s">
        <v>375</v>
      </c>
      <c r="D415" s="153" t="s">
        <v>25</v>
      </c>
      <c r="E415" s="130" t="s">
        <v>376</v>
      </c>
      <c r="F415" s="154" t="s">
        <v>441</v>
      </c>
      <c r="G415" s="154" t="s">
        <v>441</v>
      </c>
      <c r="H415" s="154" t="s">
        <v>441</v>
      </c>
      <c r="I415" s="154" t="s">
        <v>441</v>
      </c>
      <c r="J415" s="132">
        <v>0.9</v>
      </c>
      <c r="K415" s="133">
        <v>0.972972972972973</v>
      </c>
      <c r="L415" s="133">
        <v>0.962962962962963</v>
      </c>
      <c r="M415" s="134">
        <v>0.941176470588235</v>
      </c>
      <c r="N415" s="133">
        <v>0.965098634294385</v>
      </c>
      <c r="O415" s="135">
        <v>0.9</v>
      </c>
      <c r="P415" s="133">
        <v>0.823051948051948</v>
      </c>
      <c r="Q415" s="133">
        <v>0.872809863724854</v>
      </c>
      <c r="R415" s="133">
        <v>0.94774011299435</v>
      </c>
      <c r="S415" s="133">
        <v>0.928754989337853</v>
      </c>
      <c r="T415" s="135">
        <v>0.9</v>
      </c>
      <c r="U415" s="133">
        <v>0.918019480519481</v>
      </c>
      <c r="V415" s="133">
        <v>0.878001297858533</v>
      </c>
      <c r="W415" s="133">
        <v>0.916666666666667</v>
      </c>
      <c r="X415" s="133">
        <v>0.907922795122751</v>
      </c>
      <c r="Y415" s="135">
        <v>0.92</v>
      </c>
      <c r="Z415" s="135">
        <v>0.924132364810331</v>
      </c>
      <c r="AA415" s="135">
        <v>0.926577042399173</v>
      </c>
      <c r="AB415" s="135">
        <v>0.982326111744584</v>
      </c>
      <c r="AC415" s="135">
        <v>0.972892881652006</v>
      </c>
      <c r="AD415" s="135">
        <v>0.92</v>
      </c>
      <c r="AE415" s="133">
        <v>0.999596719989246</v>
      </c>
      <c r="AF415" s="133">
        <v>0.990166621141765</v>
      </c>
      <c r="AG415" s="133">
        <v>0.993990755007704</v>
      </c>
      <c r="AH415" s="133">
        <v>0.97360222987375</v>
      </c>
      <c r="AI415" s="135">
        <v>0.92</v>
      </c>
      <c r="AJ415" s="133">
        <v>0.938486442735735</v>
      </c>
      <c r="AK415" s="133">
        <v>0.925866879234755</v>
      </c>
      <c r="AL415" s="133">
        <v>0.987110079917505</v>
      </c>
      <c r="AM415" s="133">
        <v>0.978340980263637</v>
      </c>
      <c r="AN415" s="132">
        <v>0.99</v>
      </c>
      <c r="AO415" s="137">
        <v>1</v>
      </c>
      <c r="AP415" s="137">
        <v>1</v>
      </c>
      <c r="AQ415" s="137">
        <v>1</v>
      </c>
      <c r="AR415" s="137">
        <v>1</v>
      </c>
      <c r="AS415" s="158">
        <v>0.05</v>
      </c>
      <c r="AT415" s="141">
        <v>0.00321543408360129</v>
      </c>
      <c r="AU415" s="141">
        <v>0.00276243093922652</v>
      </c>
      <c r="AV415" s="141">
        <v>0.00506329113924051</v>
      </c>
      <c r="AW415" s="141">
        <v>0.00595894945928051</v>
      </c>
      <c r="AX415" s="95"/>
      <c r="AY415" s="93"/>
    </row>
    <row r="416" ht="14.5" spans="1:51">
      <c r="A416" s="91"/>
      <c r="B416" s="95"/>
      <c r="C416" s="152" t="s">
        <v>375</v>
      </c>
      <c r="D416" s="153" t="s">
        <v>25</v>
      </c>
      <c r="E416" s="130" t="s">
        <v>376</v>
      </c>
      <c r="F416" s="154" t="s">
        <v>442</v>
      </c>
      <c r="G416" s="154" t="s">
        <v>442</v>
      </c>
      <c r="H416" s="154" t="s">
        <v>442</v>
      </c>
      <c r="I416" s="154" t="s">
        <v>442</v>
      </c>
      <c r="J416" s="132">
        <v>0.9</v>
      </c>
      <c r="K416" s="133">
        <v>0.96078431372549</v>
      </c>
      <c r="L416" s="133">
        <v>0.875</v>
      </c>
      <c r="M416" s="134">
        <v>0.921052631578947</v>
      </c>
      <c r="N416" s="133">
        <v>0.933014354066986</v>
      </c>
      <c r="O416" s="135">
        <v>0.9</v>
      </c>
      <c r="P416" s="133">
        <v>0.978735971647962</v>
      </c>
      <c r="Q416" s="133">
        <v>0.978675136116152</v>
      </c>
      <c r="R416" s="133">
        <v>0.965828013518588</v>
      </c>
      <c r="S416" s="133">
        <v>0.981960079269414</v>
      </c>
      <c r="T416" s="135">
        <v>0.9</v>
      </c>
      <c r="U416" s="133">
        <v>0.927938570584761</v>
      </c>
      <c r="V416" s="133">
        <v>0.894283121597096</v>
      </c>
      <c r="W416" s="133">
        <v>0.89447990987608</v>
      </c>
      <c r="X416" s="133">
        <v>0.919688642817742</v>
      </c>
      <c r="Y416" s="135">
        <v>0.92</v>
      </c>
      <c r="Z416" s="135">
        <v>0.94045534150613</v>
      </c>
      <c r="AA416" s="135">
        <v>0.9048</v>
      </c>
      <c r="AB416" s="135">
        <v>0.909597769812824</v>
      </c>
      <c r="AC416" s="135">
        <v>0.930829564571453</v>
      </c>
      <c r="AD416" s="135">
        <v>0.92</v>
      </c>
      <c r="AE416" s="133">
        <v>0.99886581748386</v>
      </c>
      <c r="AF416" s="133">
        <v>0.995468662491726</v>
      </c>
      <c r="AG416" s="133">
        <v>0.998580105703242</v>
      </c>
      <c r="AH416" s="133">
        <v>0.979852685602121</v>
      </c>
      <c r="AI416" s="135">
        <v>0.92</v>
      </c>
      <c r="AJ416" s="133">
        <v>0.954785672342924</v>
      </c>
      <c r="AK416" s="133">
        <v>0.931772188493784</v>
      </c>
      <c r="AL416" s="133">
        <v>0.933204633204633</v>
      </c>
      <c r="AM416" s="133">
        <v>0.953462861000359</v>
      </c>
      <c r="AN416" s="132">
        <v>0.99</v>
      </c>
      <c r="AO416" s="137">
        <v>1</v>
      </c>
      <c r="AP416" s="137">
        <v>1</v>
      </c>
      <c r="AQ416" s="137">
        <v>1</v>
      </c>
      <c r="AR416" s="137">
        <v>1</v>
      </c>
      <c r="AS416" s="158">
        <v>0.05</v>
      </c>
      <c r="AT416" s="141">
        <v>0</v>
      </c>
      <c r="AU416" s="141">
        <v>0.105263157894737</v>
      </c>
      <c r="AV416" s="141">
        <v>0.0909090909090909</v>
      </c>
      <c r="AW416" s="141">
        <v>0.0674157303370786</v>
      </c>
      <c r="AX416" s="95"/>
      <c r="AY416" s="93"/>
    </row>
    <row r="417" ht="14.5" spans="1:51">
      <c r="A417" s="91"/>
      <c r="B417" s="95"/>
      <c r="C417" s="152" t="s">
        <v>375</v>
      </c>
      <c r="D417" s="153" t="s">
        <v>25</v>
      </c>
      <c r="E417" s="130" t="s">
        <v>376</v>
      </c>
      <c r="F417" s="154" t="s">
        <v>443</v>
      </c>
      <c r="G417" s="154" t="s">
        <v>443</v>
      </c>
      <c r="H417" s="154" t="s">
        <v>443</v>
      </c>
      <c r="I417" s="154" t="s">
        <v>443</v>
      </c>
      <c r="J417" s="132">
        <v>0.9</v>
      </c>
      <c r="K417" s="133">
        <v>0.97979797979798</v>
      </c>
      <c r="L417" s="133">
        <v>0.9625</v>
      </c>
      <c r="M417" s="134">
        <v>0.977777777777778</v>
      </c>
      <c r="N417" s="133">
        <v>0.976284584980237</v>
      </c>
      <c r="O417" s="135">
        <v>0.9</v>
      </c>
      <c r="P417" s="133">
        <v>0.982582355168497</v>
      </c>
      <c r="Q417" s="133">
        <v>0.976954492415403</v>
      </c>
      <c r="R417" s="133">
        <v>0.983099844340672</v>
      </c>
      <c r="S417" s="133">
        <v>0.982427797094323</v>
      </c>
      <c r="T417" s="135">
        <v>0.9</v>
      </c>
      <c r="U417" s="133">
        <v>0.945475198788338</v>
      </c>
      <c r="V417" s="133">
        <v>0.925904317386231</v>
      </c>
      <c r="W417" s="133">
        <v>0.949299533022015</v>
      </c>
      <c r="X417" s="133">
        <v>0.95920111450614</v>
      </c>
      <c r="Y417" s="135">
        <v>0.92</v>
      </c>
      <c r="Z417" s="135">
        <v>0.956363636363636</v>
      </c>
      <c r="AA417" s="135">
        <v>0.938467346168365</v>
      </c>
      <c r="AB417" s="135">
        <v>0.957025348329696</v>
      </c>
      <c r="AC417" s="135">
        <v>0.964601173867026</v>
      </c>
      <c r="AD417" s="135">
        <v>0.92</v>
      </c>
      <c r="AE417" s="133">
        <v>0.995715050883771</v>
      </c>
      <c r="AF417" s="133">
        <v>0.797572940872708</v>
      </c>
      <c r="AG417" s="133">
        <v>0.997810945273632</v>
      </c>
      <c r="AH417" s="133">
        <v>0.983855544164649</v>
      </c>
      <c r="AI417" s="135">
        <v>0.92</v>
      </c>
      <c r="AJ417" s="133">
        <v>0.968355495707793</v>
      </c>
      <c r="AK417" s="133">
        <v>0.95820306072075</v>
      </c>
      <c r="AL417" s="133">
        <v>0.970354786267572</v>
      </c>
      <c r="AM417" s="133">
        <v>0.976103523252623</v>
      </c>
      <c r="AN417" s="132">
        <v>0.99</v>
      </c>
      <c r="AO417" s="137">
        <v>1</v>
      </c>
      <c r="AP417" s="137">
        <v>1</v>
      </c>
      <c r="AQ417" s="137">
        <v>1</v>
      </c>
      <c r="AR417" s="137">
        <v>1</v>
      </c>
      <c r="AS417" s="158">
        <v>0.05</v>
      </c>
      <c r="AT417" s="141">
        <v>0.0833333333333333</v>
      </c>
      <c r="AU417" s="141">
        <v>0.0555555555555556</v>
      </c>
      <c r="AV417" s="141">
        <v>0.0625</v>
      </c>
      <c r="AW417" s="141">
        <v>0.0370879120879121</v>
      </c>
      <c r="AX417" s="95"/>
      <c r="AY417" s="93"/>
    </row>
    <row r="418" ht="14.5" spans="1:51">
      <c r="A418" s="91"/>
      <c r="B418" s="95"/>
      <c r="C418" s="152" t="s">
        <v>375</v>
      </c>
      <c r="D418" s="153" t="s">
        <v>25</v>
      </c>
      <c r="E418" s="130" t="s">
        <v>376</v>
      </c>
      <c r="F418" s="154" t="s">
        <v>444</v>
      </c>
      <c r="G418" s="154" t="s">
        <v>444</v>
      </c>
      <c r="H418" s="154" t="s">
        <v>444</v>
      </c>
      <c r="I418" s="154" t="s">
        <v>444</v>
      </c>
      <c r="J418" s="132">
        <v>0.9</v>
      </c>
      <c r="K418" s="133">
        <v>0.985507246376812</v>
      </c>
      <c r="L418" s="133">
        <v>0.983606557377049</v>
      </c>
      <c r="M418" s="134">
        <v>1</v>
      </c>
      <c r="N418" s="133">
        <v>0.991784914115011</v>
      </c>
      <c r="O418" s="135">
        <v>0.9</v>
      </c>
      <c r="P418" s="133">
        <v>0.992523364485981</v>
      </c>
      <c r="Q418" s="133">
        <v>0.990923651895355</v>
      </c>
      <c r="R418" s="133">
        <v>0.995302013422819</v>
      </c>
      <c r="S418" s="133">
        <v>0.991837374036236</v>
      </c>
      <c r="T418" s="135">
        <v>0.9</v>
      </c>
      <c r="U418" s="133">
        <v>0.95202492211838</v>
      </c>
      <c r="V418" s="133">
        <v>0.92845702082221</v>
      </c>
      <c r="W418" s="133">
        <v>0.967785234899329</v>
      </c>
      <c r="X418" s="133">
        <v>0.964756252501871</v>
      </c>
      <c r="Y418" s="135">
        <v>0.92</v>
      </c>
      <c r="Z418" s="135">
        <v>0.974634146341463</v>
      </c>
      <c r="AA418" s="135">
        <v>0.965277777777778</v>
      </c>
      <c r="AB418" s="135">
        <v>0.987839101964453</v>
      </c>
      <c r="AC418" s="135">
        <v>0.984783439677732</v>
      </c>
      <c r="AD418" s="135">
        <v>0.92</v>
      </c>
      <c r="AE418" s="133">
        <v>0.997010463378176</v>
      </c>
      <c r="AF418" s="133">
        <v>0.995176848874598</v>
      </c>
      <c r="AG418" s="133">
        <v>0.985739750445633</v>
      </c>
      <c r="AH418" s="133">
        <v>0.992853396275898</v>
      </c>
      <c r="AI418" s="135">
        <v>0.92</v>
      </c>
      <c r="AJ418" s="133">
        <v>0.980574555403557</v>
      </c>
      <c r="AK418" s="133">
        <v>0.975967957276369</v>
      </c>
      <c r="AL418" s="133">
        <v>0.990768806833838</v>
      </c>
      <c r="AM418" s="133">
        <v>0.98999745158002</v>
      </c>
      <c r="AN418" s="132">
        <v>0.99</v>
      </c>
      <c r="AO418" s="137">
        <v>1</v>
      </c>
      <c r="AP418" s="137">
        <v>1</v>
      </c>
      <c r="AQ418" s="137">
        <v>1</v>
      </c>
      <c r="AR418" s="137">
        <v>1</v>
      </c>
      <c r="AS418" s="158">
        <v>0.05</v>
      </c>
      <c r="AT418" s="141">
        <v>0.1</v>
      </c>
      <c r="AU418" s="141">
        <v>0.0833333333333333</v>
      </c>
      <c r="AV418" s="141">
        <v>0.0882352941176471</v>
      </c>
      <c r="AW418" s="141">
        <v>0.0475206611570248</v>
      </c>
      <c r="AX418" s="95"/>
      <c r="AY418" s="93"/>
    </row>
    <row r="419" ht="14.5" spans="1:51">
      <c r="A419" s="91"/>
      <c r="B419" s="95"/>
      <c r="C419" s="152" t="s">
        <v>375</v>
      </c>
      <c r="D419" s="153" t="s">
        <v>25</v>
      </c>
      <c r="E419" s="130" t="s">
        <v>376</v>
      </c>
      <c r="F419" s="154" t="s">
        <v>445</v>
      </c>
      <c r="G419" s="154" t="s">
        <v>445</v>
      </c>
      <c r="H419" s="154" t="s">
        <v>445</v>
      </c>
      <c r="I419" s="154" t="s">
        <v>445</v>
      </c>
      <c r="J419" s="132">
        <v>0.9</v>
      </c>
      <c r="K419" s="133">
        <v>1</v>
      </c>
      <c r="L419" s="133">
        <v>1</v>
      </c>
      <c r="M419" s="134">
        <v>1</v>
      </c>
      <c r="N419" s="133">
        <v>0.990222222222222</v>
      </c>
      <c r="O419" s="135">
        <v>0.9</v>
      </c>
      <c r="P419" s="133">
        <v>0.978134514254082</v>
      </c>
      <c r="Q419" s="133">
        <v>0.966123778501629</v>
      </c>
      <c r="R419" s="133">
        <v>0.901768912307113</v>
      </c>
      <c r="S419" s="133">
        <v>0.953857172089216</v>
      </c>
      <c r="T419" s="135">
        <v>0.9</v>
      </c>
      <c r="U419" s="133">
        <v>0.963465264323277</v>
      </c>
      <c r="V419" s="133">
        <v>0.953528773072747</v>
      </c>
      <c r="W419" s="133">
        <v>0.945427173503952</v>
      </c>
      <c r="X419" s="133">
        <v>0.948798399381579</v>
      </c>
      <c r="Y419" s="135">
        <v>0.92</v>
      </c>
      <c r="Z419" s="135">
        <v>0.963844531485387</v>
      </c>
      <c r="AA419" s="135">
        <v>0.944356748224151</v>
      </c>
      <c r="AB419" s="135">
        <v>0.942883046237534</v>
      </c>
      <c r="AC419" s="135">
        <v>0.950847664349311</v>
      </c>
      <c r="AD419" s="135">
        <v>0.92</v>
      </c>
      <c r="AE419" s="133">
        <v>0.996480898724326</v>
      </c>
      <c r="AF419" s="133">
        <v>0.984767504008552</v>
      </c>
      <c r="AG419" s="133">
        <v>0.991740009684127</v>
      </c>
      <c r="AH419" s="133">
        <v>0.959979554043523</v>
      </c>
      <c r="AI419" s="135">
        <v>0.92</v>
      </c>
      <c r="AJ419" s="133">
        <v>0.974321984997115</v>
      </c>
      <c r="AK419" s="133">
        <v>0.963585434173669</v>
      </c>
      <c r="AL419" s="133">
        <v>0.96113909735787</v>
      </c>
      <c r="AM419" s="133">
        <v>0.968644172537387</v>
      </c>
      <c r="AN419" s="132">
        <v>0.99</v>
      </c>
      <c r="AO419" s="137">
        <v>1</v>
      </c>
      <c r="AP419" s="137">
        <v>1</v>
      </c>
      <c r="AQ419" s="137">
        <v>1</v>
      </c>
      <c r="AR419" s="137">
        <v>1</v>
      </c>
      <c r="AS419" s="158">
        <v>0.05</v>
      </c>
      <c r="AT419" s="141">
        <v>0</v>
      </c>
      <c r="AU419" s="141">
        <v>0.0375</v>
      </c>
      <c r="AV419" s="141">
        <v>0</v>
      </c>
      <c r="AW419" s="141">
        <v>0.0172955974842767</v>
      </c>
      <c r="AX419" s="95"/>
      <c r="AY419" s="93"/>
    </row>
    <row r="420" ht="14.5" spans="1:51">
      <c r="A420" s="91"/>
      <c r="B420" s="95"/>
      <c r="C420" s="152" t="s">
        <v>375</v>
      </c>
      <c r="D420" s="153" t="s">
        <v>25</v>
      </c>
      <c r="E420" s="130" t="s">
        <v>376</v>
      </c>
      <c r="F420" s="154" t="s">
        <v>446</v>
      </c>
      <c r="G420" s="154" t="s">
        <v>446</v>
      </c>
      <c r="H420" s="154" t="s">
        <v>446</v>
      </c>
      <c r="I420" s="154" t="s">
        <v>446</v>
      </c>
      <c r="J420" s="132">
        <v>0.9</v>
      </c>
      <c r="K420" s="133">
        <v>0.918367346938776</v>
      </c>
      <c r="L420" s="133">
        <v>0.978260869565217</v>
      </c>
      <c r="M420" s="134">
        <v>0.980392156862745</v>
      </c>
      <c r="N420" s="133">
        <v>0.934349355216882</v>
      </c>
      <c r="O420" s="135">
        <v>0.9</v>
      </c>
      <c r="P420" s="133">
        <v>0.865588681152097</v>
      </c>
      <c r="Q420" s="133">
        <v>0.96</v>
      </c>
      <c r="R420" s="133">
        <v>0.925651754103637</v>
      </c>
      <c r="S420" s="133">
        <v>0.927985681149891</v>
      </c>
      <c r="T420" s="135">
        <v>0.9</v>
      </c>
      <c r="U420" s="133">
        <v>0.788276907529055</v>
      </c>
      <c r="V420" s="133">
        <v>0.85978021978022</v>
      </c>
      <c r="W420" s="133">
        <v>0.863855809462504</v>
      </c>
      <c r="X420" s="133">
        <v>0.87226270706628</v>
      </c>
      <c r="Y420" s="135">
        <v>0.92</v>
      </c>
      <c r="Z420" s="135">
        <v>0.891671203048449</v>
      </c>
      <c r="AA420" s="135">
        <v>0.776966747769667</v>
      </c>
      <c r="AB420" s="135">
        <v>0.898130484547882</v>
      </c>
      <c r="AC420" s="135">
        <v>0.90579200257333</v>
      </c>
      <c r="AD420" s="135">
        <v>0.92</v>
      </c>
      <c r="AE420" s="133">
        <v>0.996055852751836</v>
      </c>
      <c r="AF420" s="133">
        <v>0.995401485673859</v>
      </c>
      <c r="AG420" s="133">
        <v>0.990485419786803</v>
      </c>
      <c r="AH420" s="133">
        <v>0.993380116686839</v>
      </c>
      <c r="AI420" s="135">
        <v>0.92</v>
      </c>
      <c r="AJ420" s="133">
        <v>0.880010479434111</v>
      </c>
      <c r="AK420" s="133">
        <v>0.869193502422343</v>
      </c>
      <c r="AL420" s="133">
        <v>0.924956369982548</v>
      </c>
      <c r="AM420" s="133">
        <v>0.933808631828434</v>
      </c>
      <c r="AN420" s="132">
        <v>0.99</v>
      </c>
      <c r="AO420" s="137">
        <v>1</v>
      </c>
      <c r="AP420" s="137">
        <v>1</v>
      </c>
      <c r="AQ420" s="137">
        <v>1</v>
      </c>
      <c r="AR420" s="137">
        <v>1</v>
      </c>
      <c r="AS420" s="158">
        <v>0.05</v>
      </c>
      <c r="AT420" s="141">
        <v>0.0526315789473684</v>
      </c>
      <c r="AU420" s="141">
        <v>0.09375</v>
      </c>
      <c r="AV420" s="141">
        <v>0.0333333333333333</v>
      </c>
      <c r="AW420" s="141">
        <v>0.0312837108953614</v>
      </c>
      <c r="AX420" s="95"/>
      <c r="AY420" s="93"/>
    </row>
    <row r="421" ht="14.5" spans="1:51">
      <c r="A421" s="91"/>
      <c r="B421" s="95"/>
      <c r="C421" s="152" t="s">
        <v>375</v>
      </c>
      <c r="D421" s="153" t="s">
        <v>25</v>
      </c>
      <c r="E421" s="130" t="s">
        <v>376</v>
      </c>
      <c r="F421" s="154" t="s">
        <v>447</v>
      </c>
      <c r="G421" s="154" t="s">
        <v>447</v>
      </c>
      <c r="H421" s="154" t="s">
        <v>447</v>
      </c>
      <c r="I421" s="154" t="s">
        <v>447</v>
      </c>
      <c r="J421" s="132">
        <v>0.9</v>
      </c>
      <c r="K421" s="133">
        <v>1</v>
      </c>
      <c r="L421" s="133">
        <v>1</v>
      </c>
      <c r="M421" s="134">
        <v>1</v>
      </c>
      <c r="N421" s="133">
        <v>0.983354673495519</v>
      </c>
      <c r="O421" s="135">
        <v>0.9</v>
      </c>
      <c r="P421" s="133">
        <v>0.989198919891989</v>
      </c>
      <c r="Q421" s="133">
        <v>0.999241274658574</v>
      </c>
      <c r="R421" s="133">
        <v>0.985964912280702</v>
      </c>
      <c r="S421" s="133">
        <v>0.990204279893138</v>
      </c>
      <c r="T421" s="135">
        <v>0.9</v>
      </c>
      <c r="U421" s="133">
        <v>0.957695769576958</v>
      </c>
      <c r="V421" s="133">
        <v>0.777693474962064</v>
      </c>
      <c r="W421" s="133">
        <v>0.976608187134503</v>
      </c>
      <c r="X421" s="133">
        <v>0.966672963272796</v>
      </c>
      <c r="Y421" s="135">
        <v>0.92</v>
      </c>
      <c r="Z421" s="135">
        <v>0.968485780169101</v>
      </c>
      <c r="AA421" s="135">
        <v>0.934056007226739</v>
      </c>
      <c r="AB421" s="135">
        <v>0.973247927656368</v>
      </c>
      <c r="AC421" s="135">
        <v>0.978381950344567</v>
      </c>
      <c r="AD421" s="135">
        <v>0.92</v>
      </c>
      <c r="AE421" s="133">
        <v>0.998545454545455</v>
      </c>
      <c r="AF421" s="133">
        <v>0.538461538461538</v>
      </c>
      <c r="AG421" s="133">
        <v>0.996905940594059</v>
      </c>
      <c r="AH421" s="133">
        <v>0.995132826728632</v>
      </c>
      <c r="AI421" s="135">
        <v>0.92</v>
      </c>
      <c r="AJ421" s="133">
        <v>0.975943591870593</v>
      </c>
      <c r="AK421" s="133">
        <v>0.955894476504534</v>
      </c>
      <c r="AL421" s="133">
        <v>0.980540293040293</v>
      </c>
      <c r="AM421" s="133">
        <v>0.984968931599205</v>
      </c>
      <c r="AN421" s="132">
        <v>0.99</v>
      </c>
      <c r="AO421" s="137">
        <v>1</v>
      </c>
      <c r="AP421" s="137">
        <v>1</v>
      </c>
      <c r="AQ421" s="137">
        <v>1</v>
      </c>
      <c r="AR421" s="137">
        <v>1</v>
      </c>
      <c r="AS421" s="158">
        <v>0.05</v>
      </c>
      <c r="AT421" s="141">
        <v>0.230769230769231</v>
      </c>
      <c r="AU421" s="141">
        <v>0</v>
      </c>
      <c r="AV421" s="141">
        <v>0</v>
      </c>
      <c r="AW421" s="141">
        <v>0.0284552845528455</v>
      </c>
      <c r="AX421" s="95"/>
      <c r="AY421" s="93"/>
    </row>
    <row r="422" ht="14.5" spans="1:51">
      <c r="A422" s="91"/>
      <c r="B422" s="95"/>
      <c r="C422" s="152" t="s">
        <v>375</v>
      </c>
      <c r="D422" s="153" t="s">
        <v>25</v>
      </c>
      <c r="E422" s="130" t="s">
        <v>376</v>
      </c>
      <c r="F422" s="154" t="s">
        <v>448</v>
      </c>
      <c r="G422" s="154" t="s">
        <v>448</v>
      </c>
      <c r="H422" s="154" t="s">
        <v>448</v>
      </c>
      <c r="I422" s="154" t="s">
        <v>448</v>
      </c>
      <c r="J422" s="132">
        <v>0.9</v>
      </c>
      <c r="K422" s="133">
        <v>1</v>
      </c>
      <c r="L422" s="133">
        <v>1</v>
      </c>
      <c r="M422" s="134">
        <v>0.977777777777778</v>
      </c>
      <c r="N422" s="133">
        <v>0.992927864214993</v>
      </c>
      <c r="O422" s="135">
        <v>0.9</v>
      </c>
      <c r="P422" s="133">
        <v>0.992635024549918</v>
      </c>
      <c r="Q422" s="133">
        <v>0.991622239146992</v>
      </c>
      <c r="R422" s="133">
        <v>0.996141124586549</v>
      </c>
      <c r="S422" s="133">
        <v>0.992750948966681</v>
      </c>
      <c r="T422" s="135">
        <v>0.9</v>
      </c>
      <c r="U422" s="133">
        <v>0.959901800327332</v>
      </c>
      <c r="V422" s="133">
        <v>0.926884996191927</v>
      </c>
      <c r="W422" s="133">
        <v>0.973539140022051</v>
      </c>
      <c r="X422" s="133">
        <v>0.970766554196542</v>
      </c>
      <c r="Y422" s="135">
        <v>0.92</v>
      </c>
      <c r="Z422" s="135">
        <v>0.963431786216596</v>
      </c>
      <c r="AA422" s="135">
        <v>0.937351308485329</v>
      </c>
      <c r="AB422" s="135">
        <v>0.973868237026132</v>
      </c>
      <c r="AC422" s="135">
        <v>0.977121134381268</v>
      </c>
      <c r="AD422" s="135">
        <v>0.92</v>
      </c>
      <c r="AE422" s="133">
        <v>0.998470397696599</v>
      </c>
      <c r="AF422" s="133">
        <v>0.998970133882595</v>
      </c>
      <c r="AG422" s="133">
        <v>0.988953783646521</v>
      </c>
      <c r="AH422" s="133">
        <v>0.989388761708857</v>
      </c>
      <c r="AI422" s="135">
        <v>0.92</v>
      </c>
      <c r="AJ422" s="133">
        <v>0.973534971644612</v>
      </c>
      <c r="AK422" s="133">
        <v>0.952639751552795</v>
      </c>
      <c r="AL422" s="133">
        <v>0.982792852415619</v>
      </c>
      <c r="AM422" s="133">
        <v>0.984606634602307</v>
      </c>
      <c r="AN422" s="132">
        <v>0.99</v>
      </c>
      <c r="AO422" s="137">
        <v>1</v>
      </c>
      <c r="AP422" s="137">
        <v>1</v>
      </c>
      <c r="AQ422" s="137">
        <v>1</v>
      </c>
      <c r="AR422" s="137">
        <v>1</v>
      </c>
      <c r="AS422" s="158">
        <v>0.05</v>
      </c>
      <c r="AT422" s="141">
        <v>0</v>
      </c>
      <c r="AU422" s="141">
        <v>0</v>
      </c>
      <c r="AV422" s="141">
        <v>0</v>
      </c>
      <c r="AW422" s="141">
        <v>0.0272727272727273</v>
      </c>
      <c r="AX422" s="95"/>
      <c r="AY422" s="93"/>
    </row>
    <row r="423" ht="14.5" spans="1:51">
      <c r="A423" s="91"/>
      <c r="B423" s="95"/>
      <c r="C423" s="152" t="s">
        <v>375</v>
      </c>
      <c r="D423" s="153" t="s">
        <v>25</v>
      </c>
      <c r="E423" s="130" t="s">
        <v>376</v>
      </c>
      <c r="F423" s="154" t="s">
        <v>449</v>
      </c>
      <c r="G423" s="154" t="s">
        <v>449</v>
      </c>
      <c r="H423" s="154" t="s">
        <v>449</v>
      </c>
      <c r="I423" s="154" t="s">
        <v>449</v>
      </c>
      <c r="J423" s="132">
        <v>0.9</v>
      </c>
      <c r="K423" s="133">
        <v>1</v>
      </c>
      <c r="L423" s="133">
        <v>0.846153846153846</v>
      </c>
      <c r="M423" s="134">
        <v>0.966666666666667</v>
      </c>
      <c r="N423" s="133">
        <v>0.918918918918919</v>
      </c>
      <c r="O423" s="135">
        <v>0.9</v>
      </c>
      <c r="P423" s="133">
        <v>0.958777540867093</v>
      </c>
      <c r="Q423" s="133">
        <v>0.954159592529711</v>
      </c>
      <c r="R423" s="133">
        <v>0.934997644842204</v>
      </c>
      <c r="S423" s="133">
        <v>0.948108917776708</v>
      </c>
      <c r="T423" s="135">
        <v>0.9</v>
      </c>
      <c r="U423" s="133">
        <v>0.941009239516702</v>
      </c>
      <c r="V423" s="133">
        <v>0.893604980192417</v>
      </c>
      <c r="W423" s="133">
        <v>0.909090909090909</v>
      </c>
      <c r="X423" s="133">
        <v>0.922698336275611</v>
      </c>
      <c r="Y423" s="135">
        <v>0.92</v>
      </c>
      <c r="Z423" s="135">
        <v>0.928818244644091</v>
      </c>
      <c r="AA423" s="135">
        <v>0.894586894586895</v>
      </c>
      <c r="AB423" s="135">
        <v>0.89815712900097</v>
      </c>
      <c r="AC423" s="135">
        <v>0.932688396955435</v>
      </c>
      <c r="AD423" s="135">
        <v>0.92</v>
      </c>
      <c r="AE423" s="133">
        <v>0.991988606017447</v>
      </c>
      <c r="AF423" s="133">
        <v>0.999445873738373</v>
      </c>
      <c r="AG423" s="133">
        <v>0.997942084374541</v>
      </c>
      <c r="AH423" s="133">
        <v>0.996427415610182</v>
      </c>
      <c r="AI423" s="135">
        <v>0.92</v>
      </c>
      <c r="AJ423" s="133">
        <v>0.95043630017452</v>
      </c>
      <c r="AK423" s="133">
        <v>0.919434628975265</v>
      </c>
      <c r="AL423" s="133">
        <v>0.916945107398568</v>
      </c>
      <c r="AM423" s="133">
        <v>0.95160326351342</v>
      </c>
      <c r="AN423" s="132">
        <v>0.99</v>
      </c>
      <c r="AO423" s="137">
        <v>1</v>
      </c>
      <c r="AP423" s="137">
        <v>1</v>
      </c>
      <c r="AQ423" s="137">
        <v>1</v>
      </c>
      <c r="AR423" s="137">
        <v>1</v>
      </c>
      <c r="AS423" s="158">
        <v>0.05</v>
      </c>
      <c r="AT423" s="141">
        <v>0.0202702702702703</v>
      </c>
      <c r="AU423" s="141">
        <v>0</v>
      </c>
      <c r="AV423" s="141">
        <v>0.0341880341880342</v>
      </c>
      <c r="AW423" s="141">
        <v>0.00853889943074004</v>
      </c>
      <c r="AX423" s="95"/>
      <c r="AY423" s="93"/>
    </row>
    <row r="424" ht="14.5" spans="1:51">
      <c r="A424" s="91"/>
      <c r="B424" s="95"/>
      <c r="C424" s="152" t="s">
        <v>375</v>
      </c>
      <c r="D424" s="153" t="s">
        <v>25</v>
      </c>
      <c r="E424" s="130" t="s">
        <v>376</v>
      </c>
      <c r="F424" s="154" t="s">
        <v>450</v>
      </c>
      <c r="G424" s="154" t="s">
        <v>450</v>
      </c>
      <c r="H424" s="154" t="s">
        <v>450</v>
      </c>
      <c r="I424" s="154" t="s">
        <v>450</v>
      </c>
      <c r="J424" s="132">
        <v>0.9</v>
      </c>
      <c r="K424" s="133">
        <v>0.971428571428571</v>
      </c>
      <c r="L424" s="133">
        <v>0.909090909090909</v>
      </c>
      <c r="M424" s="134">
        <v>0.96969696969697</v>
      </c>
      <c r="N424" s="133">
        <v>0.909470752089137</v>
      </c>
      <c r="O424" s="135">
        <v>0.9</v>
      </c>
      <c r="P424" s="133">
        <v>0.964767616191904</v>
      </c>
      <c r="Q424" s="133">
        <v>0.959072978303747</v>
      </c>
      <c r="R424" s="133">
        <v>0.928918322295806</v>
      </c>
      <c r="S424" s="133">
        <v>0.961589563957</v>
      </c>
      <c r="T424" s="135">
        <v>0.9</v>
      </c>
      <c r="U424" s="133">
        <v>0.918290854572714</v>
      </c>
      <c r="V424" s="133">
        <v>0.888067061143984</v>
      </c>
      <c r="W424" s="133">
        <v>0.922737306843267</v>
      </c>
      <c r="X424" s="133">
        <v>0.918299311511052</v>
      </c>
      <c r="Y424" s="135">
        <v>0.92</v>
      </c>
      <c r="Z424" s="135">
        <v>0.930046635576283</v>
      </c>
      <c r="AA424" s="135">
        <v>0.906598984771574</v>
      </c>
      <c r="AB424" s="135">
        <v>0.940324703817464</v>
      </c>
      <c r="AC424" s="135">
        <v>0.939616725680461</v>
      </c>
      <c r="AD424" s="135">
        <v>0.92</v>
      </c>
      <c r="AE424" s="133">
        <v>0.998222335089836</v>
      </c>
      <c r="AF424" s="133">
        <v>0.994688221709007</v>
      </c>
      <c r="AG424" s="133">
        <v>0.998624294951162</v>
      </c>
      <c r="AH424" s="133">
        <v>0.998528862466378</v>
      </c>
      <c r="AI424" s="135">
        <v>0.92</v>
      </c>
      <c r="AJ424" s="133">
        <v>0.946422277053225</v>
      </c>
      <c r="AK424" s="133">
        <v>0.938971807628524</v>
      </c>
      <c r="AL424" s="133">
        <v>0.953815702661095</v>
      </c>
      <c r="AM424" s="133">
        <v>0.95718327089227</v>
      </c>
      <c r="AN424" s="132">
        <v>0.99</v>
      </c>
      <c r="AO424" s="137">
        <v>1</v>
      </c>
      <c r="AP424" s="137">
        <v>1</v>
      </c>
      <c r="AQ424" s="137">
        <v>1</v>
      </c>
      <c r="AR424" s="137">
        <v>1</v>
      </c>
      <c r="AS424" s="158">
        <v>0.05</v>
      </c>
      <c r="AT424" s="141">
        <v>0.0625</v>
      </c>
      <c r="AU424" s="141">
        <v>0.222222222222222</v>
      </c>
      <c r="AV424" s="141">
        <v>0</v>
      </c>
      <c r="AW424" s="141">
        <v>0.060702875399361</v>
      </c>
      <c r="AX424" s="95"/>
      <c r="AY424" s="93"/>
    </row>
    <row r="425" ht="14.5" spans="1:51">
      <c r="A425" s="91"/>
      <c r="B425" s="95"/>
      <c r="C425" s="152" t="s">
        <v>375</v>
      </c>
      <c r="D425" s="153" t="s">
        <v>25</v>
      </c>
      <c r="E425" s="130" t="s">
        <v>376</v>
      </c>
      <c r="F425" s="154" t="s">
        <v>451</v>
      </c>
      <c r="G425" s="154" t="s">
        <v>451</v>
      </c>
      <c r="H425" s="154" t="s">
        <v>451</v>
      </c>
      <c r="I425" s="154" t="s">
        <v>451</v>
      </c>
      <c r="J425" s="132">
        <v>0.9</v>
      </c>
      <c r="K425" s="133">
        <v>1</v>
      </c>
      <c r="L425" s="133">
        <v>1</v>
      </c>
      <c r="M425" s="134">
        <v>1</v>
      </c>
      <c r="N425" s="133">
        <v>0.974842767295597</v>
      </c>
      <c r="O425" s="135">
        <v>0.9</v>
      </c>
      <c r="P425" s="133">
        <v>0.990769230769231</v>
      </c>
      <c r="Q425" s="133">
        <v>0.987560469937802</v>
      </c>
      <c r="R425" s="133">
        <v>0.990872789503708</v>
      </c>
      <c r="S425" s="133">
        <v>0.991202970899793</v>
      </c>
      <c r="T425" s="135">
        <v>0.9</v>
      </c>
      <c r="U425" s="133">
        <v>0.913846153846154</v>
      </c>
      <c r="V425" s="133">
        <v>0.93503800967519</v>
      </c>
      <c r="W425" s="133">
        <v>0.956645750142613</v>
      </c>
      <c r="X425" s="133">
        <v>0.949348593692926</v>
      </c>
      <c r="Y425" s="135">
        <v>0.92</v>
      </c>
      <c r="Z425" s="135">
        <v>0.894736842105263</v>
      </c>
      <c r="AA425" s="135">
        <v>0.854689564068692</v>
      </c>
      <c r="AB425" s="135">
        <v>0.922033898305085</v>
      </c>
      <c r="AC425" s="135">
        <v>0.929912348456863</v>
      </c>
      <c r="AD425" s="135">
        <v>0.92</v>
      </c>
      <c r="AE425" s="133">
        <v>0.998608749420312</v>
      </c>
      <c r="AF425" s="133">
        <v>0.991460055096419</v>
      </c>
      <c r="AG425" s="133">
        <v>0.995648389904265</v>
      </c>
      <c r="AH425" s="133">
        <v>0.983836519786552</v>
      </c>
      <c r="AI425" s="135">
        <v>0.92</v>
      </c>
      <c r="AJ425" s="133">
        <v>0.92627412172192</v>
      </c>
      <c r="AK425" s="133">
        <v>0.923774954627949</v>
      </c>
      <c r="AL425" s="133">
        <v>0.953164916264547</v>
      </c>
      <c r="AM425" s="133">
        <v>0.957316100207436</v>
      </c>
      <c r="AN425" s="132">
        <v>0.99</v>
      </c>
      <c r="AO425" s="137">
        <v>1</v>
      </c>
      <c r="AP425" s="137">
        <v>1</v>
      </c>
      <c r="AQ425" s="137">
        <v>1</v>
      </c>
      <c r="AR425" s="137">
        <v>1</v>
      </c>
      <c r="AS425" s="158">
        <v>0.05</v>
      </c>
      <c r="AT425" s="141">
        <v>0.157894736842105</v>
      </c>
      <c r="AU425" s="141">
        <v>0.0526315789473684</v>
      </c>
      <c r="AV425" s="141">
        <v>0.0454545454545455</v>
      </c>
      <c r="AW425" s="141">
        <v>0.0593080724876442</v>
      </c>
      <c r="AX425" s="95"/>
      <c r="AY425" s="93"/>
    </row>
    <row r="426" ht="14.5" spans="1:51">
      <c r="A426" s="91"/>
      <c r="B426" s="95"/>
      <c r="C426" s="152" t="s">
        <v>375</v>
      </c>
      <c r="D426" s="153" t="s">
        <v>25</v>
      </c>
      <c r="E426" s="130" t="s">
        <v>376</v>
      </c>
      <c r="F426" s="154" t="s">
        <v>452</v>
      </c>
      <c r="G426" s="154" t="s">
        <v>452</v>
      </c>
      <c r="H426" s="154" t="s">
        <v>452</v>
      </c>
      <c r="I426" s="154" t="s">
        <v>452</v>
      </c>
      <c r="J426" s="132">
        <v>0.9</v>
      </c>
      <c r="K426" s="133">
        <v>0.902439024390244</v>
      </c>
      <c r="L426" s="133">
        <v>0.96969696969697</v>
      </c>
      <c r="M426" s="134">
        <v>0.948717948717949</v>
      </c>
      <c r="N426" s="133">
        <v>0.934722222222222</v>
      </c>
      <c r="O426" s="135">
        <v>0.9</v>
      </c>
      <c r="P426" s="133">
        <v>0.956363636363636</v>
      </c>
      <c r="Q426" s="133">
        <v>0.979128856624319</v>
      </c>
      <c r="R426" s="133">
        <v>0.983443708609272</v>
      </c>
      <c r="S426" s="133">
        <v>0.985092366204836</v>
      </c>
      <c r="T426" s="135">
        <v>0.9</v>
      </c>
      <c r="U426" s="133">
        <v>0.890909090909091</v>
      </c>
      <c r="V426" s="133">
        <v>0.873865698729583</v>
      </c>
      <c r="W426" s="133">
        <v>0.894701986754967</v>
      </c>
      <c r="X426" s="133">
        <v>0.926378701439826</v>
      </c>
      <c r="Y426" s="135">
        <v>0.92</v>
      </c>
      <c r="Z426" s="135">
        <v>0.959701492537313</v>
      </c>
      <c r="AA426" s="135">
        <v>0.882730923694779</v>
      </c>
      <c r="AB426" s="135">
        <v>0.922020051986632</v>
      </c>
      <c r="AC426" s="135">
        <v>0.950304024911107</v>
      </c>
      <c r="AD426" s="135">
        <v>0.92</v>
      </c>
      <c r="AE426" s="133">
        <v>0.964601769911504</v>
      </c>
      <c r="AF426" s="133">
        <v>0.967741935483871</v>
      </c>
      <c r="AG426" s="133">
        <v>0.741935483870968</v>
      </c>
      <c r="AH426" s="133">
        <v>0.920203735144312</v>
      </c>
      <c r="AI426" s="135">
        <v>0.92</v>
      </c>
      <c r="AJ426" s="133">
        <v>0.958730158730159</v>
      </c>
      <c r="AK426" s="133">
        <v>0.918228279386712</v>
      </c>
      <c r="AL426" s="133">
        <v>0.937931034482759</v>
      </c>
      <c r="AM426" s="133">
        <v>0.962673385630422</v>
      </c>
      <c r="AN426" s="132">
        <v>0.99</v>
      </c>
      <c r="AO426" s="137">
        <v>1</v>
      </c>
      <c r="AP426" s="137">
        <v>1</v>
      </c>
      <c r="AQ426" s="137">
        <v>1</v>
      </c>
      <c r="AR426" s="137">
        <v>1</v>
      </c>
      <c r="AS426" s="158">
        <v>0.05</v>
      </c>
      <c r="AT426" s="141">
        <v>0</v>
      </c>
      <c r="AU426" s="141">
        <v>0</v>
      </c>
      <c r="AV426" s="141">
        <v>0.125</v>
      </c>
      <c r="AW426" s="141">
        <v>0.0343347639484979</v>
      </c>
      <c r="AX426" s="95"/>
      <c r="AY426" s="93"/>
    </row>
    <row r="427" ht="14.5" spans="1:51">
      <c r="A427" s="91"/>
      <c r="B427" s="95"/>
      <c r="C427" s="152" t="s">
        <v>375</v>
      </c>
      <c r="D427" s="153" t="s">
        <v>25</v>
      </c>
      <c r="E427" s="130" t="s">
        <v>376</v>
      </c>
      <c r="F427" s="154" t="s">
        <v>453</v>
      </c>
      <c r="G427" s="154" t="s">
        <v>453</v>
      </c>
      <c r="H427" s="154" t="s">
        <v>453</v>
      </c>
      <c r="I427" s="154" t="s">
        <v>453</v>
      </c>
      <c r="J427" s="132">
        <v>0.9</v>
      </c>
      <c r="K427" s="133">
        <v>0.985507246376812</v>
      </c>
      <c r="L427" s="133">
        <v>1</v>
      </c>
      <c r="M427" s="134">
        <v>1</v>
      </c>
      <c r="N427" s="133">
        <v>0.986607142857143</v>
      </c>
      <c r="O427" s="135">
        <v>0.9</v>
      </c>
      <c r="P427" s="133">
        <v>0.981029810298103</v>
      </c>
      <c r="Q427" s="133">
        <v>0.974484052532833</v>
      </c>
      <c r="R427" s="133">
        <v>0.97993559573941</v>
      </c>
      <c r="S427" s="133">
        <v>0.983990114701695</v>
      </c>
      <c r="T427" s="135">
        <v>0.9</v>
      </c>
      <c r="U427" s="133">
        <v>0.88550135501355</v>
      </c>
      <c r="V427" s="133">
        <v>0.879549718574109</v>
      </c>
      <c r="W427" s="133">
        <v>0.91676987862274</v>
      </c>
      <c r="X427" s="133">
        <v>0.909850377414242</v>
      </c>
      <c r="Y427" s="135">
        <v>0.92</v>
      </c>
      <c r="Z427" s="135">
        <v>0.910183639398998</v>
      </c>
      <c r="AA427" s="135">
        <v>0.880268556508765</v>
      </c>
      <c r="AB427" s="135">
        <v>0.920516641828117</v>
      </c>
      <c r="AC427" s="135">
        <v>0.934601767989401</v>
      </c>
      <c r="AD427" s="135">
        <v>0.92</v>
      </c>
      <c r="AE427" s="133">
        <v>0.98576512455516</v>
      </c>
      <c r="AF427" s="133">
        <v>0.98</v>
      </c>
      <c r="AG427" s="133">
        <v>0.982905982905983</v>
      </c>
      <c r="AH427" s="133">
        <v>0.975702353834472</v>
      </c>
      <c r="AI427" s="135">
        <v>0.92</v>
      </c>
      <c r="AJ427" s="133">
        <v>0.924178036233505</v>
      </c>
      <c r="AK427" s="133">
        <v>0.91937897493453</v>
      </c>
      <c r="AL427" s="133">
        <v>0.94394285147336</v>
      </c>
      <c r="AM427" s="133">
        <v>0.955456570155902</v>
      </c>
      <c r="AN427" s="132">
        <v>0.99</v>
      </c>
      <c r="AO427" s="137">
        <v>1</v>
      </c>
      <c r="AP427" s="137">
        <v>1</v>
      </c>
      <c r="AQ427" s="137">
        <v>1</v>
      </c>
      <c r="AR427" s="137">
        <v>1</v>
      </c>
      <c r="AS427" s="158">
        <v>0.05</v>
      </c>
      <c r="AT427" s="141">
        <v>0.0526315789473684</v>
      </c>
      <c r="AU427" s="141">
        <v>0.0909090909090909</v>
      </c>
      <c r="AV427" s="141">
        <v>0.0526315789473684</v>
      </c>
      <c r="AW427" s="141">
        <v>0.0465116279069767</v>
      </c>
      <c r="AX427" s="95"/>
      <c r="AY427" s="93"/>
    </row>
    <row r="428" ht="14.5" spans="1:51">
      <c r="A428" s="91"/>
      <c r="B428" s="95"/>
      <c r="C428" s="152" t="s">
        <v>375</v>
      </c>
      <c r="D428" s="153" t="s">
        <v>25</v>
      </c>
      <c r="E428" s="130" t="s">
        <v>376</v>
      </c>
      <c r="F428" s="154" t="s">
        <v>454</v>
      </c>
      <c r="G428" s="154" t="s">
        <v>454</v>
      </c>
      <c r="H428" s="154" t="s">
        <v>454</v>
      </c>
      <c r="I428" s="154" t="s">
        <v>454</v>
      </c>
      <c r="J428" s="132">
        <v>0.9</v>
      </c>
      <c r="K428" s="133">
        <v>0.75</v>
      </c>
      <c r="L428" s="133">
        <v>0.8</v>
      </c>
      <c r="M428" s="134">
        <v>0.8</v>
      </c>
      <c r="N428" s="133">
        <v>0.802171290711701</v>
      </c>
      <c r="O428" s="135">
        <v>0.9</v>
      </c>
      <c r="P428" s="133">
        <v>0.990804597701149</v>
      </c>
      <c r="Q428" s="133">
        <v>0.986515962720603</v>
      </c>
      <c r="R428" s="133">
        <v>0.985900783289817</v>
      </c>
      <c r="S428" s="133">
        <v>0.980555584532093</v>
      </c>
      <c r="T428" s="135">
        <v>0.9</v>
      </c>
      <c r="U428" s="133">
        <v>0.788122605363985</v>
      </c>
      <c r="V428" s="133">
        <v>0.827087051358319</v>
      </c>
      <c r="W428" s="133">
        <v>0.855700609225413</v>
      </c>
      <c r="X428" s="133">
        <v>0.79973503854459</v>
      </c>
      <c r="Y428" s="135">
        <v>0.92</v>
      </c>
      <c r="Z428" s="135">
        <v>0</v>
      </c>
      <c r="AA428" s="135" t="s">
        <v>35</v>
      </c>
      <c r="AB428" s="135" t="s">
        <v>35</v>
      </c>
      <c r="AC428" s="135">
        <v>0.333333333333333</v>
      </c>
      <c r="AD428" s="135">
        <v>0.92</v>
      </c>
      <c r="AE428" s="133">
        <v>0.993197278911565</v>
      </c>
      <c r="AF428" s="133">
        <v>1</v>
      </c>
      <c r="AG428" s="133">
        <v>0.951807228915663</v>
      </c>
      <c r="AH428" s="133">
        <v>0.975432719151312</v>
      </c>
      <c r="AI428" s="135">
        <v>0.92</v>
      </c>
      <c r="AJ428" s="133">
        <v>0.952143950995406</v>
      </c>
      <c r="AK428" s="133">
        <v>0.951021217529249</v>
      </c>
      <c r="AL428" s="133">
        <v>0.984508268059182</v>
      </c>
      <c r="AM428" s="133">
        <v>0.97433918177456</v>
      </c>
      <c r="AN428" s="132">
        <v>0.99</v>
      </c>
      <c r="AO428" s="137">
        <v>1</v>
      </c>
      <c r="AP428" s="137">
        <v>1</v>
      </c>
      <c r="AQ428" s="137">
        <v>1</v>
      </c>
      <c r="AR428" s="137">
        <v>1</v>
      </c>
      <c r="AS428" s="158">
        <v>0.05</v>
      </c>
      <c r="AT428" s="141">
        <v>0.166666666666667</v>
      </c>
      <c r="AU428" s="141">
        <v>0.142857142857143</v>
      </c>
      <c r="AV428" s="141">
        <v>0.217391304347826</v>
      </c>
      <c r="AW428" s="141">
        <v>0.104477611940299</v>
      </c>
      <c r="AX428" s="95"/>
      <c r="AY428" s="93"/>
    </row>
    <row r="429" ht="14.5" spans="1:51">
      <c r="A429" s="91"/>
      <c r="B429" s="95"/>
      <c r="C429" s="152" t="s">
        <v>375</v>
      </c>
      <c r="D429" s="153" t="s">
        <v>25</v>
      </c>
      <c r="E429" s="130" t="s">
        <v>376</v>
      </c>
      <c r="F429" s="154" t="s">
        <v>455</v>
      </c>
      <c r="G429" s="154" t="s">
        <v>455</v>
      </c>
      <c r="H429" s="154" t="s">
        <v>455</v>
      </c>
      <c r="I429" s="154" t="s">
        <v>455</v>
      </c>
      <c r="J429" s="132">
        <v>0.9</v>
      </c>
      <c r="K429" s="133">
        <v>1</v>
      </c>
      <c r="L429" s="133">
        <v>1</v>
      </c>
      <c r="M429" s="134">
        <v>0.956521739130435</v>
      </c>
      <c r="N429" s="133">
        <v>0.971046770601336</v>
      </c>
      <c r="O429" s="135">
        <v>0.9</v>
      </c>
      <c r="P429" s="133">
        <v>0.989154013015184</v>
      </c>
      <c r="Q429" s="133">
        <v>0.926006528835691</v>
      </c>
      <c r="R429" s="133">
        <v>0.973206568712187</v>
      </c>
      <c r="S429" s="133">
        <v>0.975280404662415</v>
      </c>
      <c r="T429" s="135">
        <v>0.9</v>
      </c>
      <c r="U429" s="133">
        <v>0.941431670281996</v>
      </c>
      <c r="V429" s="133">
        <v>0.910772578890098</v>
      </c>
      <c r="W429" s="133">
        <v>0.904926534140017</v>
      </c>
      <c r="X429" s="133">
        <v>0.927996481196393</v>
      </c>
      <c r="Y429" s="135">
        <v>0.92</v>
      </c>
      <c r="Z429" s="135">
        <v>0.949293433083957</v>
      </c>
      <c r="AA429" s="135">
        <v>0.920849420849421</v>
      </c>
      <c r="AB429" s="135">
        <v>0.912391093901258</v>
      </c>
      <c r="AC429" s="135">
        <v>0.958654291080323</v>
      </c>
      <c r="AD429" s="135">
        <v>0.92</v>
      </c>
      <c r="AE429" s="133">
        <v>1</v>
      </c>
      <c r="AF429" s="133">
        <v>0.990147783251232</v>
      </c>
      <c r="AG429" s="133">
        <v>1</v>
      </c>
      <c r="AH429" s="133">
        <v>0.975363724539282</v>
      </c>
      <c r="AI429" s="135">
        <v>0.92</v>
      </c>
      <c r="AJ429" s="133">
        <v>0.954326923076923</v>
      </c>
      <c r="AK429" s="133">
        <v>0.94478527607362</v>
      </c>
      <c r="AL429" s="133">
        <v>0.932093023255814</v>
      </c>
      <c r="AM429" s="133">
        <v>0.969604301436613</v>
      </c>
      <c r="AN429" s="132">
        <v>0.99</v>
      </c>
      <c r="AO429" s="137">
        <v>1</v>
      </c>
      <c r="AP429" s="137">
        <v>1</v>
      </c>
      <c r="AQ429" s="137">
        <v>1</v>
      </c>
      <c r="AR429" s="137">
        <v>1</v>
      </c>
      <c r="AS429" s="158">
        <v>0.05</v>
      </c>
      <c r="AT429" s="141">
        <v>0</v>
      </c>
      <c r="AU429" s="141">
        <v>0.1</v>
      </c>
      <c r="AV429" s="141">
        <v>0.1</v>
      </c>
      <c r="AW429" s="141">
        <v>0.0371517027863777</v>
      </c>
      <c r="AX429" s="95"/>
      <c r="AY429" s="93"/>
    </row>
    <row r="430" ht="14.5" spans="1:51">
      <c r="A430" s="91"/>
      <c r="B430" s="95"/>
      <c r="C430" s="152" t="s">
        <v>375</v>
      </c>
      <c r="D430" s="153" t="s">
        <v>25</v>
      </c>
      <c r="E430" s="130" t="s">
        <v>376</v>
      </c>
      <c r="F430" s="154" t="s">
        <v>456</v>
      </c>
      <c r="G430" s="154" t="s">
        <v>456</v>
      </c>
      <c r="H430" s="154" t="s">
        <v>456</v>
      </c>
      <c r="I430" s="154" t="s">
        <v>456</v>
      </c>
      <c r="J430" s="132">
        <v>0.9</v>
      </c>
      <c r="K430" s="133">
        <v>0.829268292682927</v>
      </c>
      <c r="L430" s="133">
        <v>0.777777777777778</v>
      </c>
      <c r="M430" s="134">
        <v>0.743589743589744</v>
      </c>
      <c r="N430" s="133">
        <v>0.786774628879892</v>
      </c>
      <c r="O430" s="135">
        <v>0.9</v>
      </c>
      <c r="P430" s="133">
        <v>0.957074721780604</v>
      </c>
      <c r="Q430" s="133">
        <v>0.915282392026578</v>
      </c>
      <c r="R430" s="133">
        <v>0.916821849782744</v>
      </c>
      <c r="S430" s="133">
        <v>0.922882684158588</v>
      </c>
      <c r="T430" s="135">
        <v>0.9</v>
      </c>
      <c r="U430" s="133">
        <v>0.80127186009539</v>
      </c>
      <c r="V430" s="133">
        <v>0.740863787375415</v>
      </c>
      <c r="W430" s="133">
        <v>0.859714463066418</v>
      </c>
      <c r="X430" s="133">
        <v>0.826725489057874</v>
      </c>
      <c r="Y430" s="135">
        <v>0.92</v>
      </c>
      <c r="Z430" s="135">
        <v>0.891666666666667</v>
      </c>
      <c r="AA430" s="135">
        <v>0.796597633136095</v>
      </c>
      <c r="AB430" s="135">
        <v>0.873597359735974</v>
      </c>
      <c r="AC430" s="135">
        <v>0.869585911470728</v>
      </c>
      <c r="AD430" s="135">
        <v>0.92</v>
      </c>
      <c r="AE430" s="133">
        <v>0.985526315789474</v>
      </c>
      <c r="AF430" s="133">
        <v>0.981638418079096</v>
      </c>
      <c r="AG430" s="133">
        <v>0.90561797752809</v>
      </c>
      <c r="AH430" s="133">
        <v>0.963520725199211</v>
      </c>
      <c r="AI430" s="135">
        <v>0.92</v>
      </c>
      <c r="AJ430" s="133">
        <v>0.898501691638473</v>
      </c>
      <c r="AK430" s="133">
        <v>0.841344275107464</v>
      </c>
      <c r="AL430" s="133">
        <v>0.898341589489554</v>
      </c>
      <c r="AM430" s="133">
        <v>0.899628919606722</v>
      </c>
      <c r="AN430" s="132">
        <v>0.99</v>
      </c>
      <c r="AO430" s="137">
        <v>1</v>
      </c>
      <c r="AP430" s="137">
        <v>1</v>
      </c>
      <c r="AQ430" s="137">
        <v>1</v>
      </c>
      <c r="AR430" s="137">
        <v>1</v>
      </c>
      <c r="AS430" s="158">
        <v>0.05</v>
      </c>
      <c r="AT430" s="141">
        <v>0</v>
      </c>
      <c r="AU430" s="141">
        <v>0.166666666666667</v>
      </c>
      <c r="AV430" s="141">
        <v>0</v>
      </c>
      <c r="AW430" s="141">
        <v>0.0334448160535117</v>
      </c>
      <c r="AX430" s="95"/>
      <c r="AY430" s="93"/>
    </row>
    <row r="431" ht="14.5" spans="1:51">
      <c r="A431" s="91"/>
      <c r="B431" s="95"/>
      <c r="C431" s="152" t="s">
        <v>375</v>
      </c>
      <c r="D431" s="153" t="s">
        <v>25</v>
      </c>
      <c r="E431" s="130" t="s">
        <v>376</v>
      </c>
      <c r="F431" s="154" t="s">
        <v>457</v>
      </c>
      <c r="G431" s="154" t="s">
        <v>457</v>
      </c>
      <c r="H431" s="154" t="s">
        <v>457</v>
      </c>
      <c r="I431" s="154" t="s">
        <v>457</v>
      </c>
      <c r="J431" s="132">
        <v>0.9</v>
      </c>
      <c r="K431" s="133">
        <v>0.82258064516129</v>
      </c>
      <c r="L431" s="133">
        <v>0.915254237288136</v>
      </c>
      <c r="M431" s="134">
        <v>0.777777777777778</v>
      </c>
      <c r="N431" s="133">
        <v>0.90838375108038</v>
      </c>
      <c r="O431" s="135">
        <v>0.9</v>
      </c>
      <c r="P431" s="133">
        <v>0.977064220183486</v>
      </c>
      <c r="Q431" s="133">
        <v>0.968008825151682</v>
      </c>
      <c r="R431" s="133">
        <v>0.955111278762731</v>
      </c>
      <c r="S431" s="133">
        <v>0.961721186245579</v>
      </c>
      <c r="T431" s="135">
        <v>0.9</v>
      </c>
      <c r="U431" s="133">
        <v>0.855504587155963</v>
      </c>
      <c r="V431" s="133">
        <v>0.895201323772752</v>
      </c>
      <c r="W431" s="133">
        <v>0.920030177291588</v>
      </c>
      <c r="X431" s="133">
        <v>0.895753542202968</v>
      </c>
      <c r="Y431" s="135">
        <v>0.92</v>
      </c>
      <c r="Z431" s="135">
        <v>0.928642714570858</v>
      </c>
      <c r="AA431" s="135">
        <v>0.913559322033898</v>
      </c>
      <c r="AB431" s="135">
        <v>0.900868306801737</v>
      </c>
      <c r="AC431" s="135">
        <v>0.925003517658646</v>
      </c>
      <c r="AD431" s="135">
        <v>0.92</v>
      </c>
      <c r="AE431" s="133">
        <v>1</v>
      </c>
      <c r="AF431" s="133">
        <v>1</v>
      </c>
      <c r="AG431" s="133">
        <v>0.977011494252874</v>
      </c>
      <c r="AH431" s="133">
        <v>0.979812043160459</v>
      </c>
      <c r="AI431" s="135">
        <v>0.92</v>
      </c>
      <c r="AJ431" s="133">
        <v>0.942648592283629</v>
      </c>
      <c r="AK431" s="133">
        <v>0.938929168990519</v>
      </c>
      <c r="AL431" s="133">
        <v>0.929610580455547</v>
      </c>
      <c r="AM431" s="133">
        <v>0.948859241149449</v>
      </c>
      <c r="AN431" s="132">
        <v>0.99</v>
      </c>
      <c r="AO431" s="137">
        <v>1</v>
      </c>
      <c r="AP431" s="137">
        <v>1</v>
      </c>
      <c r="AQ431" s="137">
        <v>1</v>
      </c>
      <c r="AR431" s="137">
        <v>1</v>
      </c>
      <c r="AS431" s="158">
        <v>0.05</v>
      </c>
      <c r="AT431" s="141">
        <v>0.0909090909090909</v>
      </c>
      <c r="AU431" s="141">
        <v>0.2</v>
      </c>
      <c r="AV431" s="141">
        <v>0.0909090909090909</v>
      </c>
      <c r="AW431" s="141">
        <v>0.106583072100313</v>
      </c>
      <c r="AX431" s="95"/>
      <c r="AY431" s="93"/>
    </row>
    <row r="432" ht="14.5" spans="1:51">
      <c r="A432" s="91"/>
      <c r="B432" s="95"/>
      <c r="C432" s="152" t="s">
        <v>375</v>
      </c>
      <c r="D432" s="153" t="s">
        <v>25</v>
      </c>
      <c r="E432" s="130" t="s">
        <v>376</v>
      </c>
      <c r="F432" s="154" t="s">
        <v>458</v>
      </c>
      <c r="G432" s="154" t="s">
        <v>458</v>
      </c>
      <c r="H432" s="154" t="s">
        <v>458</v>
      </c>
      <c r="I432" s="154" t="s">
        <v>458</v>
      </c>
      <c r="J432" s="132">
        <v>0.9</v>
      </c>
      <c r="K432" s="133">
        <v>0.975</v>
      </c>
      <c r="L432" s="133">
        <v>0.973684210526316</v>
      </c>
      <c r="M432" s="134">
        <v>1</v>
      </c>
      <c r="N432" s="133">
        <v>0.965260545905707</v>
      </c>
      <c r="O432" s="135">
        <v>0.9</v>
      </c>
      <c r="P432" s="133">
        <v>0.925869120654397</v>
      </c>
      <c r="Q432" s="133">
        <v>0.960725769407441</v>
      </c>
      <c r="R432" s="133">
        <v>0.959633385335413</v>
      </c>
      <c r="S432" s="133">
        <v>0.960970464135021</v>
      </c>
      <c r="T432" s="135">
        <v>0.9</v>
      </c>
      <c r="U432" s="133">
        <v>0.880879345603272</v>
      </c>
      <c r="V432" s="133">
        <v>0.893431327514929</v>
      </c>
      <c r="W432" s="133">
        <v>0.922971918876755</v>
      </c>
      <c r="X432" s="133">
        <v>0.901263425393172</v>
      </c>
      <c r="Y432" s="135">
        <v>0.92</v>
      </c>
      <c r="Z432" s="135">
        <v>0</v>
      </c>
      <c r="AA432" s="135">
        <v>0</v>
      </c>
      <c r="AB432" s="135" t="s">
        <v>35</v>
      </c>
      <c r="AC432" s="135">
        <v>0</v>
      </c>
      <c r="AD432" s="135">
        <v>0.92</v>
      </c>
      <c r="AE432" s="133">
        <v>0.988571428571429</v>
      </c>
      <c r="AF432" s="133">
        <v>0.996108949416342</v>
      </c>
      <c r="AG432" s="133">
        <v>0.939393939393939</v>
      </c>
      <c r="AH432" s="133">
        <v>0.982325581395349</v>
      </c>
      <c r="AI432" s="135">
        <v>0.92</v>
      </c>
      <c r="AJ432" s="133">
        <v>0.957099080694586</v>
      </c>
      <c r="AK432" s="133">
        <v>0.956601607347876</v>
      </c>
      <c r="AL432" s="133">
        <v>0.976603626437902</v>
      </c>
      <c r="AM432" s="133">
        <v>0.977479205120215</v>
      </c>
      <c r="AN432" s="132">
        <v>0.99</v>
      </c>
      <c r="AO432" s="137">
        <v>1</v>
      </c>
      <c r="AP432" s="137">
        <v>1</v>
      </c>
      <c r="AQ432" s="137">
        <v>1</v>
      </c>
      <c r="AR432" s="137">
        <v>1</v>
      </c>
      <c r="AS432" s="158">
        <v>0.05</v>
      </c>
      <c r="AT432" s="141">
        <v>0</v>
      </c>
      <c r="AU432" s="141">
        <v>0.333333333333333</v>
      </c>
      <c r="AV432" s="141">
        <v>0.2</v>
      </c>
      <c r="AW432" s="141">
        <v>0.0679012345679012</v>
      </c>
      <c r="AX432" s="95"/>
      <c r="AY432" s="93"/>
    </row>
    <row r="433" ht="14.5" spans="1:51">
      <c r="A433" s="91"/>
      <c r="B433" s="95"/>
      <c r="C433" s="152" t="s">
        <v>375</v>
      </c>
      <c r="D433" s="153" t="s">
        <v>25</v>
      </c>
      <c r="E433" s="130" t="s">
        <v>376</v>
      </c>
      <c r="F433" s="154" t="s">
        <v>459</v>
      </c>
      <c r="G433" s="154" t="s">
        <v>459</v>
      </c>
      <c r="H433" s="154" t="s">
        <v>459</v>
      </c>
      <c r="I433" s="154" t="s">
        <v>459</v>
      </c>
      <c r="J433" s="132">
        <v>0.9</v>
      </c>
      <c r="K433" s="133">
        <v>0.894736842105263</v>
      </c>
      <c r="L433" s="133">
        <v>0.865384615384615</v>
      </c>
      <c r="M433" s="134">
        <v>0.886792452830189</v>
      </c>
      <c r="N433" s="133">
        <v>0.8896484375</v>
      </c>
      <c r="O433" s="135">
        <v>0.9</v>
      </c>
      <c r="P433" s="133">
        <v>0.957015409570154</v>
      </c>
      <c r="Q433" s="133">
        <v>0.895395619132767</v>
      </c>
      <c r="R433" s="133">
        <v>0.936626916524702</v>
      </c>
      <c r="S433" s="133">
        <v>0.922216169947864</v>
      </c>
      <c r="T433" s="135">
        <v>0.9</v>
      </c>
      <c r="U433" s="133">
        <v>0.874290348742903</v>
      </c>
      <c r="V433" s="133">
        <v>0.851139919535092</v>
      </c>
      <c r="W433" s="133">
        <v>0.894037478705281</v>
      </c>
      <c r="X433" s="133">
        <v>0.858765854797292</v>
      </c>
      <c r="Y433" s="135">
        <v>0.92</v>
      </c>
      <c r="Z433" s="135">
        <v>0.939015429831007</v>
      </c>
      <c r="AA433" s="135">
        <v>0.919504643962848</v>
      </c>
      <c r="AB433" s="135">
        <v>0.918676900584795</v>
      </c>
      <c r="AC433" s="135">
        <v>0.947544063964925</v>
      </c>
      <c r="AD433" s="135">
        <v>0.92</v>
      </c>
      <c r="AE433" s="133">
        <v>0.894403379091869</v>
      </c>
      <c r="AF433" s="133">
        <v>0.986301369863014</v>
      </c>
      <c r="AG433" s="133">
        <v>0.976998904709748</v>
      </c>
      <c r="AH433" s="133">
        <v>0.983774182708463</v>
      </c>
      <c r="AI433" s="135">
        <v>0.92</v>
      </c>
      <c r="AJ433" s="133">
        <v>0.944121365360303</v>
      </c>
      <c r="AK433" s="133">
        <v>0.933056994818653</v>
      </c>
      <c r="AL433" s="133">
        <v>0.937448071216617</v>
      </c>
      <c r="AM433" s="133">
        <v>0.959184897692303</v>
      </c>
      <c r="AN433" s="132">
        <v>0.99</v>
      </c>
      <c r="AO433" s="137">
        <v>1</v>
      </c>
      <c r="AP433" s="137">
        <v>1</v>
      </c>
      <c r="AQ433" s="137">
        <v>1</v>
      </c>
      <c r="AR433" s="137">
        <v>1</v>
      </c>
      <c r="AS433" s="158">
        <v>0.05</v>
      </c>
      <c r="AT433" s="141">
        <v>0.236842105263158</v>
      </c>
      <c r="AU433" s="141">
        <v>0.075</v>
      </c>
      <c r="AV433" s="141">
        <v>0.0681818181818182</v>
      </c>
      <c r="AW433" s="141">
        <v>0.0705202312138728</v>
      </c>
      <c r="AX433" s="95"/>
      <c r="AY433" s="93"/>
    </row>
    <row r="434" ht="14.5" spans="1:51">
      <c r="A434" s="91"/>
      <c r="B434" s="95"/>
      <c r="C434" s="152" t="s">
        <v>375</v>
      </c>
      <c r="D434" s="153" t="s">
        <v>25</v>
      </c>
      <c r="E434" s="130" t="s">
        <v>376</v>
      </c>
      <c r="F434" s="154" t="s">
        <v>460</v>
      </c>
      <c r="G434" s="154" t="s">
        <v>460</v>
      </c>
      <c r="H434" s="154" t="s">
        <v>460</v>
      </c>
      <c r="I434" s="154" t="s">
        <v>460</v>
      </c>
      <c r="J434" s="132">
        <v>0.9</v>
      </c>
      <c r="K434" s="133">
        <v>0.795454545454545</v>
      </c>
      <c r="L434" s="133">
        <v>0.787878787878788</v>
      </c>
      <c r="M434" s="134">
        <v>0.825</v>
      </c>
      <c r="N434" s="133">
        <v>0.8</v>
      </c>
      <c r="O434" s="135">
        <v>0.9</v>
      </c>
      <c r="P434" s="133">
        <v>0.969895287958115</v>
      </c>
      <c r="Q434" s="133">
        <v>0.947568389057751</v>
      </c>
      <c r="R434" s="133">
        <v>0.956618464961068</v>
      </c>
      <c r="S434" s="133">
        <v>0.919838807874061</v>
      </c>
      <c r="T434" s="135">
        <v>0.9</v>
      </c>
      <c r="U434" s="133">
        <v>0.879581151832461</v>
      </c>
      <c r="V434" s="133">
        <v>0.75</v>
      </c>
      <c r="W434" s="133">
        <v>0.842046718576196</v>
      </c>
      <c r="X434" s="133">
        <v>0.812019830110457</v>
      </c>
      <c r="Y434" s="135">
        <v>0.92</v>
      </c>
      <c r="Z434" s="135">
        <v>0.937187723054961</v>
      </c>
      <c r="AA434" s="135">
        <v>0.802316602316602</v>
      </c>
      <c r="AB434" s="135">
        <v>0.863396971691903</v>
      </c>
      <c r="AC434" s="135">
        <v>0.894346142162819</v>
      </c>
      <c r="AD434" s="135">
        <v>0.92</v>
      </c>
      <c r="AE434" s="133">
        <v>0.999426879358105</v>
      </c>
      <c r="AF434" s="133">
        <v>0.94478527607362</v>
      </c>
      <c r="AG434" s="133">
        <v>0.999629698204036</v>
      </c>
      <c r="AH434" s="133">
        <v>0.988247931326409</v>
      </c>
      <c r="AI434" s="135">
        <v>0.92</v>
      </c>
      <c r="AJ434" s="133">
        <v>0.947368421052632</v>
      </c>
      <c r="AK434" s="133">
        <v>0.853425181783391</v>
      </c>
      <c r="AL434" s="133">
        <v>0.899855461490812</v>
      </c>
      <c r="AM434" s="133">
        <v>0.919845142372804</v>
      </c>
      <c r="AN434" s="132">
        <v>0.99</v>
      </c>
      <c r="AO434" s="137">
        <v>1</v>
      </c>
      <c r="AP434" s="137">
        <v>1</v>
      </c>
      <c r="AQ434" s="137">
        <v>1</v>
      </c>
      <c r="AR434" s="137">
        <v>1</v>
      </c>
      <c r="AS434" s="158">
        <v>0.05</v>
      </c>
      <c r="AT434" s="141">
        <v>0</v>
      </c>
      <c r="AU434" s="141">
        <v>0.0769230769230769</v>
      </c>
      <c r="AV434" s="141">
        <v>0</v>
      </c>
      <c r="AW434" s="141">
        <v>0.0340557275541796</v>
      </c>
      <c r="AX434" s="95"/>
      <c r="AY434" s="93"/>
    </row>
    <row r="435" ht="14.5" spans="1:51">
      <c r="A435" s="91"/>
      <c r="B435" s="95"/>
      <c r="C435" s="152" t="s">
        <v>375</v>
      </c>
      <c r="D435" s="153" t="s">
        <v>25</v>
      </c>
      <c r="E435" s="130" t="s">
        <v>376</v>
      </c>
      <c r="F435" s="154" t="s">
        <v>461</v>
      </c>
      <c r="G435" s="154" t="s">
        <v>461</v>
      </c>
      <c r="H435" s="154" t="s">
        <v>461</v>
      </c>
      <c r="I435" s="154" t="s">
        <v>461</v>
      </c>
      <c r="J435" s="132">
        <v>0.9</v>
      </c>
      <c r="K435" s="133">
        <v>0.819672131147541</v>
      </c>
      <c r="L435" s="133">
        <v>0.875</v>
      </c>
      <c r="M435" s="134">
        <v>0.859649122807018</v>
      </c>
      <c r="N435" s="133">
        <v>0.862879529872674</v>
      </c>
      <c r="O435" s="135">
        <v>0.9</v>
      </c>
      <c r="P435" s="133">
        <v>0.913846153846154</v>
      </c>
      <c r="Q435" s="133">
        <v>0.854215456674473</v>
      </c>
      <c r="R435" s="133">
        <v>0.926372155287818</v>
      </c>
      <c r="S435" s="133">
        <v>0.880049228605336</v>
      </c>
      <c r="T435" s="135">
        <v>0.9</v>
      </c>
      <c r="U435" s="133">
        <v>0.908717948717949</v>
      </c>
      <c r="V435" s="133">
        <v>0.832552693208431</v>
      </c>
      <c r="W435" s="133">
        <v>0.900490852298081</v>
      </c>
      <c r="X435" s="133">
        <v>0.894180475583491</v>
      </c>
      <c r="Y435" s="135">
        <v>0.92</v>
      </c>
      <c r="Z435" s="135">
        <v>0.941811356170812</v>
      </c>
      <c r="AA435" s="135">
        <v>0.861478218306412</v>
      </c>
      <c r="AB435" s="135">
        <v>0.893525179856115</v>
      </c>
      <c r="AC435" s="135">
        <v>0.924570615906356</v>
      </c>
      <c r="AD435" s="135">
        <v>0.92</v>
      </c>
      <c r="AE435" s="133">
        <v>0.998840355624275</v>
      </c>
      <c r="AF435" s="133">
        <v>0.995923121723937</v>
      </c>
      <c r="AG435" s="133">
        <v>0.993991738640631</v>
      </c>
      <c r="AH435" s="133">
        <v>0.993469326004186</v>
      </c>
      <c r="AI435" s="135">
        <v>0.92</v>
      </c>
      <c r="AJ435" s="133">
        <v>0.946606625924735</v>
      </c>
      <c r="AK435" s="133">
        <v>0.884892086330935</v>
      </c>
      <c r="AL435" s="133">
        <v>0.914214541491515</v>
      </c>
      <c r="AM435" s="133">
        <v>0.942110358180058</v>
      </c>
      <c r="AN435" s="132">
        <v>0.99</v>
      </c>
      <c r="AO435" s="137">
        <v>1</v>
      </c>
      <c r="AP435" s="137">
        <v>1</v>
      </c>
      <c r="AQ435" s="137">
        <v>1</v>
      </c>
      <c r="AR435" s="137">
        <v>1</v>
      </c>
      <c r="AS435" s="158">
        <v>0.05</v>
      </c>
      <c r="AT435" s="141">
        <v>0.0384615384615385</v>
      </c>
      <c r="AU435" s="141">
        <v>0.1875</v>
      </c>
      <c r="AV435" s="141">
        <v>0.153846153846154</v>
      </c>
      <c r="AW435" s="141">
        <v>0.0829875518672199</v>
      </c>
      <c r="AX435" s="95"/>
      <c r="AY435" s="93"/>
    </row>
    <row r="436" ht="14.5" spans="1:51">
      <c r="A436" s="91"/>
      <c r="B436" s="95"/>
      <c r="C436" s="152" t="s">
        <v>375</v>
      </c>
      <c r="D436" s="153" t="s">
        <v>25</v>
      </c>
      <c r="E436" s="130" t="s">
        <v>376</v>
      </c>
      <c r="F436" s="154" t="s">
        <v>462</v>
      </c>
      <c r="G436" s="154" t="s">
        <v>462</v>
      </c>
      <c r="H436" s="154" t="s">
        <v>462</v>
      </c>
      <c r="I436" s="154" t="s">
        <v>462</v>
      </c>
      <c r="J436" s="132">
        <v>0.9</v>
      </c>
      <c r="K436" s="133">
        <v>0.609756097560976</v>
      </c>
      <c r="L436" s="133">
        <v>0.588235294117647</v>
      </c>
      <c r="M436" s="134">
        <v>0.594594594594595</v>
      </c>
      <c r="N436" s="133">
        <v>0.602194787379973</v>
      </c>
      <c r="O436" s="135">
        <v>0.9</v>
      </c>
      <c r="P436" s="133">
        <v>0.750313676286073</v>
      </c>
      <c r="Q436" s="133">
        <v>0.550408719346049</v>
      </c>
      <c r="R436" s="133">
        <v>0.742112482853224</v>
      </c>
      <c r="S436" s="133">
        <v>0.690617232327456</v>
      </c>
      <c r="T436" s="135">
        <v>0.9</v>
      </c>
      <c r="U436" s="133">
        <v>0.767879548306148</v>
      </c>
      <c r="V436" s="133">
        <v>0.70299727520436</v>
      </c>
      <c r="W436" s="133">
        <v>0.773662551440329</v>
      </c>
      <c r="X436" s="133">
        <v>0.727460682509815</v>
      </c>
      <c r="Y436" s="135">
        <v>0.92</v>
      </c>
      <c r="Z436" s="135">
        <v>0.93216924110141</v>
      </c>
      <c r="AA436" s="135">
        <v>0.594414893617021</v>
      </c>
      <c r="AB436" s="135">
        <v>0.832049306625578</v>
      </c>
      <c r="AC436" s="135">
        <v>0.767333396530477</v>
      </c>
      <c r="AD436" s="135">
        <v>0.92</v>
      </c>
      <c r="AE436" s="133">
        <v>0.963716814159292</v>
      </c>
      <c r="AF436" s="133">
        <v>0.531914893617021</v>
      </c>
      <c r="AG436" s="133">
        <v>0.887878787878788</v>
      </c>
      <c r="AH436" s="133">
        <v>0.88606218743205</v>
      </c>
      <c r="AI436" s="135">
        <v>0.92</v>
      </c>
      <c r="AJ436" s="133">
        <v>0.927821522309711</v>
      </c>
      <c r="AK436" s="133">
        <v>0.721587088096839</v>
      </c>
      <c r="AL436" s="133">
        <v>0.878331189119647</v>
      </c>
      <c r="AM436" s="133">
        <v>0.835052083876417</v>
      </c>
      <c r="AN436" s="132">
        <v>0.99</v>
      </c>
      <c r="AO436" s="137">
        <v>1</v>
      </c>
      <c r="AP436" s="137">
        <v>1</v>
      </c>
      <c r="AQ436" s="137">
        <v>1</v>
      </c>
      <c r="AR436" s="137">
        <v>0.999461206896552</v>
      </c>
      <c r="AS436" s="158">
        <v>0.05</v>
      </c>
      <c r="AT436" s="141">
        <v>0.2</v>
      </c>
      <c r="AU436" s="141">
        <v>0.111111111111111</v>
      </c>
      <c r="AV436" s="141">
        <v>0.0769230769230769</v>
      </c>
      <c r="AW436" s="141">
        <v>0.051948051948052</v>
      </c>
      <c r="AX436" s="95"/>
      <c r="AY436" s="93"/>
    </row>
    <row r="437" ht="14.5" spans="1:51">
      <c r="A437" s="91"/>
      <c r="B437" s="95"/>
      <c r="C437" s="152" t="s">
        <v>375</v>
      </c>
      <c r="D437" s="153" t="s">
        <v>25</v>
      </c>
      <c r="E437" s="130" t="s">
        <v>376</v>
      </c>
      <c r="F437" s="154" t="s">
        <v>463</v>
      </c>
      <c r="G437" s="154" t="s">
        <v>463</v>
      </c>
      <c r="H437" s="154" t="s">
        <v>463</v>
      </c>
      <c r="I437" s="154" t="s">
        <v>463</v>
      </c>
      <c r="J437" s="132">
        <v>0.9</v>
      </c>
      <c r="K437" s="133">
        <v>0.781818181818182</v>
      </c>
      <c r="L437" s="133">
        <v>0.80952380952381</v>
      </c>
      <c r="M437" s="134">
        <v>0.775510204081633</v>
      </c>
      <c r="N437" s="133">
        <v>0.794594594594595</v>
      </c>
      <c r="O437" s="135">
        <v>0.9</v>
      </c>
      <c r="P437" s="133">
        <v>0.863316582914573</v>
      </c>
      <c r="Q437" s="133">
        <v>0.771069934249851</v>
      </c>
      <c r="R437" s="133">
        <v>0.77002700270027</v>
      </c>
      <c r="S437" s="133">
        <v>0.838367744362566</v>
      </c>
      <c r="T437" s="135">
        <v>0.9</v>
      </c>
      <c r="U437" s="133">
        <v>0.844221105527638</v>
      </c>
      <c r="V437" s="133">
        <v>0.734608487746563</v>
      </c>
      <c r="W437" s="133">
        <v>0.80963096309631</v>
      </c>
      <c r="X437" s="133">
        <v>0.833919759233442</v>
      </c>
      <c r="Y437" s="135">
        <v>0.92</v>
      </c>
      <c r="Z437" s="135">
        <v>0.90104662226451</v>
      </c>
      <c r="AA437" s="135">
        <v>0.784533333333333</v>
      </c>
      <c r="AB437" s="135">
        <v>0.851225490196078</v>
      </c>
      <c r="AC437" s="135">
        <v>0.90093982634541</v>
      </c>
      <c r="AD437" s="135">
        <v>0.92</v>
      </c>
      <c r="AE437" s="133">
        <v>0.997389033942559</v>
      </c>
      <c r="AF437" s="133">
        <v>0.992411467116358</v>
      </c>
      <c r="AG437" s="133">
        <v>0.997973657548126</v>
      </c>
      <c r="AH437" s="133">
        <v>0.995970589457068</v>
      </c>
      <c r="AI437" s="135">
        <v>0.92</v>
      </c>
      <c r="AJ437" s="133">
        <v>0.922505650629642</v>
      </c>
      <c r="AK437" s="133">
        <v>0.840845070422535</v>
      </c>
      <c r="AL437" s="133">
        <v>0.875951776649746</v>
      </c>
      <c r="AM437" s="133">
        <v>0.921661761338095</v>
      </c>
      <c r="AN437" s="132">
        <v>0.99</v>
      </c>
      <c r="AO437" s="137">
        <v>1</v>
      </c>
      <c r="AP437" s="137">
        <v>1</v>
      </c>
      <c r="AQ437" s="137">
        <v>1</v>
      </c>
      <c r="AR437" s="137">
        <v>1</v>
      </c>
      <c r="AS437" s="158">
        <v>0.05</v>
      </c>
      <c r="AT437" s="141">
        <v>0.2</v>
      </c>
      <c r="AU437" s="141">
        <v>0</v>
      </c>
      <c r="AV437" s="141">
        <v>0.125</v>
      </c>
      <c r="AW437" s="141">
        <v>0.062992125984252</v>
      </c>
      <c r="AX437" s="95"/>
      <c r="AY437" s="93"/>
    </row>
    <row r="438" ht="14.5" spans="1:51">
      <c r="A438" s="91"/>
      <c r="B438" s="95"/>
      <c r="C438" s="152" t="s">
        <v>375</v>
      </c>
      <c r="D438" s="153" t="s">
        <v>25</v>
      </c>
      <c r="E438" s="130" t="s">
        <v>376</v>
      </c>
      <c r="F438" s="154" t="s">
        <v>464</v>
      </c>
      <c r="G438" s="154" t="s">
        <v>464</v>
      </c>
      <c r="H438" s="154" t="s">
        <v>464</v>
      </c>
      <c r="I438" s="154" t="s">
        <v>464</v>
      </c>
      <c r="J438" s="132">
        <v>0.9</v>
      </c>
      <c r="K438" s="133">
        <v>0.859649122807018</v>
      </c>
      <c r="L438" s="133">
        <v>0.901960784313726</v>
      </c>
      <c r="M438" s="134">
        <v>0.901960784313726</v>
      </c>
      <c r="N438" s="133">
        <v>0.91403162055336</v>
      </c>
      <c r="O438" s="135">
        <v>0.9</v>
      </c>
      <c r="P438" s="133">
        <v>0.984795321637427</v>
      </c>
      <c r="Q438" s="133">
        <v>0.94853875476493</v>
      </c>
      <c r="R438" s="133">
        <v>0.977119784656797</v>
      </c>
      <c r="S438" s="133">
        <v>0.980551657603929</v>
      </c>
      <c r="T438" s="135">
        <v>0.9</v>
      </c>
      <c r="U438" s="133">
        <v>0.893567251461988</v>
      </c>
      <c r="V438" s="133">
        <v>0.860864040660737</v>
      </c>
      <c r="W438" s="133">
        <v>0.893674293405114</v>
      </c>
      <c r="X438" s="133">
        <v>0.905082441676899</v>
      </c>
      <c r="Y438" s="135">
        <v>0.92</v>
      </c>
      <c r="Z438" s="135">
        <v>0.921159715157681</v>
      </c>
      <c r="AA438" s="135">
        <v>0.904649793996468</v>
      </c>
      <c r="AB438" s="135">
        <v>0.900440757065077</v>
      </c>
      <c r="AC438" s="135">
        <v>0.93405526822978</v>
      </c>
      <c r="AD438" s="135">
        <v>0.92</v>
      </c>
      <c r="AE438" s="133">
        <v>0.952</v>
      </c>
      <c r="AF438" s="133">
        <v>0.929906542056075</v>
      </c>
      <c r="AG438" s="133">
        <v>0.965333333333333</v>
      </c>
      <c r="AH438" s="133">
        <v>0.958628198149156</v>
      </c>
      <c r="AI438" s="135">
        <v>0.92</v>
      </c>
      <c r="AJ438" s="133">
        <v>0.931987247608927</v>
      </c>
      <c r="AK438" s="133">
        <v>0.928527794746488</v>
      </c>
      <c r="AL438" s="133">
        <v>0.926296782665791</v>
      </c>
      <c r="AM438" s="133">
        <v>0.951552868758638</v>
      </c>
      <c r="AN438" s="132">
        <v>0.99</v>
      </c>
      <c r="AO438" s="137">
        <v>1</v>
      </c>
      <c r="AP438" s="137">
        <v>1</v>
      </c>
      <c r="AQ438" s="137">
        <v>1</v>
      </c>
      <c r="AR438" s="137">
        <v>1</v>
      </c>
      <c r="AS438" s="158">
        <v>0.05</v>
      </c>
      <c r="AT438" s="141">
        <v>0</v>
      </c>
      <c r="AU438" s="141">
        <v>0.142857142857143</v>
      </c>
      <c r="AV438" s="141">
        <v>0.0256410256410256</v>
      </c>
      <c r="AW438" s="141">
        <v>0.0362173038229376</v>
      </c>
      <c r="AX438" s="95"/>
      <c r="AY438" s="93"/>
    </row>
    <row r="439" ht="14.5" spans="1:51">
      <c r="A439" s="91"/>
      <c r="B439" s="95"/>
      <c r="C439" s="152" t="s">
        <v>375</v>
      </c>
      <c r="D439" s="153" t="s">
        <v>25</v>
      </c>
      <c r="E439" s="130" t="s">
        <v>376</v>
      </c>
      <c r="F439" s="154" t="s">
        <v>465</v>
      </c>
      <c r="G439" s="154" t="s">
        <v>465</v>
      </c>
      <c r="H439" s="154" t="s">
        <v>465</v>
      </c>
      <c r="I439" s="154" t="s">
        <v>465</v>
      </c>
      <c r="J439" s="132">
        <v>0.9</v>
      </c>
      <c r="K439" s="133">
        <v>0.905660377358491</v>
      </c>
      <c r="L439" s="133">
        <v>0.880952380952381</v>
      </c>
      <c r="M439" s="134">
        <v>0.847826086956522</v>
      </c>
      <c r="N439" s="133">
        <v>0.772245762711864</v>
      </c>
      <c r="O439" s="135">
        <v>0.9</v>
      </c>
      <c r="P439" s="133">
        <v>0.933263816475495</v>
      </c>
      <c r="Q439" s="133">
        <v>0.947336561743341</v>
      </c>
      <c r="R439" s="133">
        <v>0.939280709948622</v>
      </c>
      <c r="S439" s="133">
        <v>0.946132537822289</v>
      </c>
      <c r="T439" s="135">
        <v>0.9</v>
      </c>
      <c r="U439" s="133">
        <v>0.796663190823775</v>
      </c>
      <c r="V439" s="133">
        <v>0.810532687651332</v>
      </c>
      <c r="W439" s="133">
        <v>0.865950490425035</v>
      </c>
      <c r="X439" s="133">
        <v>0.835457063711911</v>
      </c>
      <c r="Y439" s="135">
        <v>0.92</v>
      </c>
      <c r="Z439" s="135">
        <v>0.951807228915663</v>
      </c>
      <c r="AA439" s="135">
        <v>0.869659275283937</v>
      </c>
      <c r="AB439" s="135">
        <v>0.944108761329305</v>
      </c>
      <c r="AC439" s="135">
        <v>0.930837050369095</v>
      </c>
      <c r="AD439" s="135">
        <v>0.92</v>
      </c>
      <c r="AE439" s="133">
        <v>0.998844598497978</v>
      </c>
      <c r="AF439" s="133">
        <v>0.996483001172333</v>
      </c>
      <c r="AG439" s="133">
        <v>0.996928477402369</v>
      </c>
      <c r="AH439" s="133">
        <v>0.992350130232367</v>
      </c>
      <c r="AI439" s="135">
        <v>0.92</v>
      </c>
      <c r="AJ439" s="133">
        <v>0.951892238614496</v>
      </c>
      <c r="AK439" s="133">
        <v>0.889745786918023</v>
      </c>
      <c r="AL439" s="133">
        <v>0.949044585987261</v>
      </c>
      <c r="AM439" s="133">
        <v>0.940389481257528</v>
      </c>
      <c r="AN439" s="132">
        <v>0.99</v>
      </c>
      <c r="AO439" s="137">
        <v>1</v>
      </c>
      <c r="AP439" s="137">
        <v>1</v>
      </c>
      <c r="AQ439" s="137">
        <v>1</v>
      </c>
      <c r="AR439" s="137">
        <v>1</v>
      </c>
      <c r="AS439" s="158">
        <v>0.05</v>
      </c>
      <c r="AT439" s="141">
        <v>0.0689655172413793</v>
      </c>
      <c r="AU439" s="141">
        <v>0.161290322580645</v>
      </c>
      <c r="AV439" s="141">
        <v>0.173913043478261</v>
      </c>
      <c r="AW439" s="141">
        <v>0.0572987721691678</v>
      </c>
      <c r="AX439" s="95"/>
      <c r="AY439" s="93"/>
    </row>
    <row r="440" ht="14.5" spans="1:51">
      <c r="A440" s="91"/>
      <c r="B440" s="95"/>
      <c r="C440" s="152" t="s">
        <v>375</v>
      </c>
      <c r="D440" s="153" t="s">
        <v>25</v>
      </c>
      <c r="E440" s="130" t="s">
        <v>376</v>
      </c>
      <c r="F440" s="154" t="s">
        <v>466</v>
      </c>
      <c r="G440" s="154" t="s">
        <v>466</v>
      </c>
      <c r="H440" s="154" t="s">
        <v>466</v>
      </c>
      <c r="I440" s="154" t="s">
        <v>466</v>
      </c>
      <c r="J440" s="132">
        <v>0.9</v>
      </c>
      <c r="K440" s="133">
        <v>0.444444444444444</v>
      </c>
      <c r="L440" s="133">
        <v>0.463414634146341</v>
      </c>
      <c r="M440" s="134">
        <v>0.55</v>
      </c>
      <c r="N440" s="133">
        <v>0.54876615746181</v>
      </c>
      <c r="O440" s="135">
        <v>0.9</v>
      </c>
      <c r="P440" s="133">
        <v>0.741751990898749</v>
      </c>
      <c r="Q440" s="133">
        <v>0.60053799596503</v>
      </c>
      <c r="R440" s="133">
        <v>0.717808219178082</v>
      </c>
      <c r="S440" s="133">
        <v>0.635213984033593</v>
      </c>
      <c r="T440" s="135">
        <v>0.9</v>
      </c>
      <c r="U440" s="133">
        <v>0.729237770193402</v>
      </c>
      <c r="V440" s="133">
        <v>0.663080026899798</v>
      </c>
      <c r="W440" s="133">
        <v>0.685479452054795</v>
      </c>
      <c r="X440" s="133">
        <v>0.68662874441542</v>
      </c>
      <c r="Y440" s="135">
        <v>0.92</v>
      </c>
      <c r="Z440" s="135">
        <v>0.912729026036644</v>
      </c>
      <c r="AA440" s="135">
        <v>0.709081022294725</v>
      </c>
      <c r="AB440" s="135">
        <v>0.713235294117647</v>
      </c>
      <c r="AC440" s="135">
        <v>0.764044608778626</v>
      </c>
      <c r="AD440" s="135">
        <v>0.92</v>
      </c>
      <c r="AE440" s="133">
        <v>0.993670886075949</v>
      </c>
      <c r="AF440" s="133">
        <v>0.986181483187471</v>
      </c>
      <c r="AG440" s="133">
        <v>0.993653032440056</v>
      </c>
      <c r="AH440" s="133">
        <v>0.987231279757611</v>
      </c>
      <c r="AI440" s="135">
        <v>0.92</v>
      </c>
      <c r="AJ440" s="133">
        <v>0.919174839364221</v>
      </c>
      <c r="AK440" s="133">
        <v>0.770939657760432</v>
      </c>
      <c r="AL440" s="133">
        <v>0.746410591087078</v>
      </c>
      <c r="AM440" s="133">
        <v>0.802549949611221</v>
      </c>
      <c r="AN440" s="132">
        <v>0.99</v>
      </c>
      <c r="AO440" s="137">
        <v>1</v>
      </c>
      <c r="AP440" s="137">
        <v>1</v>
      </c>
      <c r="AQ440" s="137">
        <v>1</v>
      </c>
      <c r="AR440" s="137">
        <v>1</v>
      </c>
      <c r="AS440" s="158">
        <v>0.05</v>
      </c>
      <c r="AT440" s="141">
        <v>0.0454545454545455</v>
      </c>
      <c r="AU440" s="141">
        <v>0.0526315789473684</v>
      </c>
      <c r="AV440" s="141">
        <v>0.111111111111111</v>
      </c>
      <c r="AW440" s="141">
        <v>0.0294659300184162</v>
      </c>
      <c r="AX440" s="95"/>
      <c r="AY440" s="93"/>
    </row>
    <row r="441" ht="14.5" spans="1:51">
      <c r="A441" s="91"/>
      <c r="B441" s="95"/>
      <c r="C441" s="152" t="s">
        <v>375</v>
      </c>
      <c r="D441" s="153" t="s">
        <v>25</v>
      </c>
      <c r="E441" s="130" t="s">
        <v>376</v>
      </c>
      <c r="F441" s="154" t="s">
        <v>467</v>
      </c>
      <c r="G441" s="154" t="s">
        <v>467</v>
      </c>
      <c r="H441" s="154" t="s">
        <v>467</v>
      </c>
      <c r="I441" s="154" t="s">
        <v>467</v>
      </c>
      <c r="J441" s="132">
        <v>0.9</v>
      </c>
      <c r="K441" s="133">
        <v>0.946236559139785</v>
      </c>
      <c r="L441" s="133">
        <v>0.975</v>
      </c>
      <c r="M441" s="134">
        <v>0.929411764705882</v>
      </c>
      <c r="N441" s="133">
        <v>0.952933985330073</v>
      </c>
      <c r="O441" s="135">
        <v>0.9</v>
      </c>
      <c r="P441" s="133">
        <v>0.976221928665786</v>
      </c>
      <c r="Q441" s="133">
        <v>0.961338289962825</v>
      </c>
      <c r="R441" s="133">
        <v>0.976100331282537</v>
      </c>
      <c r="S441" s="133">
        <v>0.978742638358969</v>
      </c>
      <c r="T441" s="135">
        <v>0.9</v>
      </c>
      <c r="U441" s="133">
        <v>0.903566710700132</v>
      </c>
      <c r="V441" s="133">
        <v>0.896282527881041</v>
      </c>
      <c r="W441" s="133">
        <v>0.925698059630857</v>
      </c>
      <c r="X441" s="133">
        <v>0.921896810731046</v>
      </c>
      <c r="Y441" s="135">
        <v>0.92</v>
      </c>
      <c r="Z441" s="135">
        <v>0.927647783251232</v>
      </c>
      <c r="AA441" s="135">
        <v>0.883321403006442</v>
      </c>
      <c r="AB441" s="135">
        <v>0.941357497008036</v>
      </c>
      <c r="AC441" s="135">
        <v>0.946177073709354</v>
      </c>
      <c r="AD441" s="135">
        <v>0.92</v>
      </c>
      <c r="AE441" s="133">
        <v>0.669745958429561</v>
      </c>
      <c r="AF441" s="133">
        <v>0.961783439490446</v>
      </c>
      <c r="AG441" s="133">
        <v>0.990654205607477</v>
      </c>
      <c r="AH441" s="133">
        <v>0.922850472033296</v>
      </c>
      <c r="AI441" s="135">
        <v>0.92</v>
      </c>
      <c r="AJ441" s="133">
        <v>0.940163762334663</v>
      </c>
      <c r="AK441" s="133">
        <v>0.92289464090412</v>
      </c>
      <c r="AL441" s="133">
        <v>0.958948934060486</v>
      </c>
      <c r="AM441" s="133">
        <v>0.964116596683467</v>
      </c>
      <c r="AN441" s="132">
        <v>0.99</v>
      </c>
      <c r="AO441" s="137">
        <v>1</v>
      </c>
      <c r="AP441" s="137">
        <v>1</v>
      </c>
      <c r="AQ441" s="137">
        <v>1</v>
      </c>
      <c r="AR441" s="137">
        <v>1</v>
      </c>
      <c r="AS441" s="158">
        <v>0.05</v>
      </c>
      <c r="AT441" s="141">
        <v>0.117647058823529</v>
      </c>
      <c r="AU441" s="141">
        <v>0.0769230769230769</v>
      </c>
      <c r="AV441" s="141">
        <v>0</v>
      </c>
      <c r="AW441" s="141">
        <v>0.0323886639676113</v>
      </c>
      <c r="AX441" s="95"/>
      <c r="AY441" s="93"/>
    </row>
    <row r="442" ht="14.5" spans="1:51">
      <c r="A442" s="91"/>
      <c r="B442" s="95"/>
      <c r="C442" s="152" t="s">
        <v>375</v>
      </c>
      <c r="D442" s="153" t="s">
        <v>25</v>
      </c>
      <c r="E442" s="130" t="s">
        <v>376</v>
      </c>
      <c r="F442" s="173" t="s">
        <v>468</v>
      </c>
      <c r="G442" s="173" t="s">
        <v>468</v>
      </c>
      <c r="H442" s="173" t="s">
        <v>468</v>
      </c>
      <c r="I442" s="173" t="s">
        <v>468</v>
      </c>
      <c r="J442" s="132">
        <v>0.9</v>
      </c>
      <c r="K442" s="133">
        <v>0.933333333333333</v>
      </c>
      <c r="L442" s="133">
        <v>0.8</v>
      </c>
      <c r="M442" s="134">
        <v>0.888888888888889</v>
      </c>
      <c r="N442" s="133">
        <v>0.873376623376623</v>
      </c>
      <c r="O442" s="135">
        <v>0.9</v>
      </c>
      <c r="P442" s="133">
        <v>0.969021065675341</v>
      </c>
      <c r="Q442" s="133">
        <v>0.987566607460036</v>
      </c>
      <c r="R442" s="133">
        <v>0.978615071283096</v>
      </c>
      <c r="S442" s="133">
        <v>0.978100975138949</v>
      </c>
      <c r="T442" s="135">
        <v>0.9</v>
      </c>
      <c r="U442" s="133">
        <v>0.9182156133829</v>
      </c>
      <c r="V442" s="133">
        <v>0.962699822380107</v>
      </c>
      <c r="W442" s="133">
        <v>0.965885947046843</v>
      </c>
      <c r="X442" s="133">
        <v>0.94984524245349</v>
      </c>
      <c r="Y442" s="135">
        <v>0.92</v>
      </c>
      <c r="Z442" s="135" t="s">
        <v>35</v>
      </c>
      <c r="AA442" s="135" t="s">
        <v>35</v>
      </c>
      <c r="AB442" s="135" t="s">
        <v>35</v>
      </c>
      <c r="AC442" s="135">
        <v>0</v>
      </c>
      <c r="AD442" s="135">
        <v>0.92</v>
      </c>
      <c r="AE442" s="133">
        <v>1</v>
      </c>
      <c r="AF442" s="133">
        <v>1</v>
      </c>
      <c r="AG442" s="133">
        <v>0.979591836734694</v>
      </c>
      <c r="AH442" s="133">
        <v>0.97768479776848</v>
      </c>
      <c r="AI442" s="135">
        <v>0.92</v>
      </c>
      <c r="AJ442" s="133">
        <v>0.954151177199504</v>
      </c>
      <c r="AK442" s="133">
        <v>0.988158673771462</v>
      </c>
      <c r="AL442" s="133">
        <v>0.986761710794297</v>
      </c>
      <c r="AM442" s="133">
        <v>0.98645635752554</v>
      </c>
      <c r="AN442" s="132">
        <v>0.99</v>
      </c>
      <c r="AO442" s="137">
        <v>1</v>
      </c>
      <c r="AP442" s="137">
        <v>1</v>
      </c>
      <c r="AQ442" s="137">
        <v>1</v>
      </c>
      <c r="AR442" s="137">
        <v>1</v>
      </c>
      <c r="AS442" s="158">
        <v>0.05</v>
      </c>
      <c r="AT442" s="141">
        <v>0</v>
      </c>
      <c r="AU442" s="141">
        <v>0</v>
      </c>
      <c r="AV442" s="141">
        <v>0</v>
      </c>
      <c r="AW442" s="141">
        <v>0.0740740740740741</v>
      </c>
      <c r="AX442" s="95"/>
      <c r="AY442" s="93"/>
    </row>
    <row r="443" ht="14.5" spans="1:51">
      <c r="A443" s="91"/>
      <c r="B443" s="95"/>
      <c r="C443" s="152" t="s">
        <v>375</v>
      </c>
      <c r="D443" s="153" t="s">
        <v>25</v>
      </c>
      <c r="E443" s="130" t="s">
        <v>376</v>
      </c>
      <c r="F443" s="154" t="s">
        <v>469</v>
      </c>
      <c r="G443" s="154" t="s">
        <v>469</v>
      </c>
      <c r="H443" s="154" t="s">
        <v>469</v>
      </c>
      <c r="I443" s="154" t="s">
        <v>469</v>
      </c>
      <c r="J443" s="132">
        <v>0.9</v>
      </c>
      <c r="K443" s="133">
        <v>0.983050847457627</v>
      </c>
      <c r="L443" s="133">
        <v>0.901960784313726</v>
      </c>
      <c r="M443" s="134">
        <v>0.909090909090909</v>
      </c>
      <c r="N443" s="133">
        <v>0.897880539499037</v>
      </c>
      <c r="O443" s="135">
        <v>0.9</v>
      </c>
      <c r="P443" s="133">
        <v>0.970491803278689</v>
      </c>
      <c r="Q443" s="133">
        <v>0.919742237844171</v>
      </c>
      <c r="R443" s="133">
        <v>0.954109303295786</v>
      </c>
      <c r="S443" s="133">
        <v>0.922451573319309</v>
      </c>
      <c r="T443" s="135">
        <v>0.9</v>
      </c>
      <c r="U443" s="133">
        <v>0.875409836065574</v>
      </c>
      <c r="V443" s="133">
        <v>0.844756883421207</v>
      </c>
      <c r="W443" s="133">
        <v>0.864413850646642</v>
      </c>
      <c r="X443" s="133">
        <v>0.858401262161452</v>
      </c>
      <c r="Y443" s="135">
        <v>0.92</v>
      </c>
      <c r="Z443" s="135">
        <v>0.908866995073892</v>
      </c>
      <c r="AA443" s="135">
        <v>0.809053069719043</v>
      </c>
      <c r="AB443" s="135">
        <v>0.869493521790342</v>
      </c>
      <c r="AC443" s="135">
        <v>0.895322328123712</v>
      </c>
      <c r="AD443" s="135">
        <v>0.92</v>
      </c>
      <c r="AE443" s="133">
        <v>0.993150684931507</v>
      </c>
      <c r="AF443" s="133">
        <v>0.992982456140351</v>
      </c>
      <c r="AG443" s="133">
        <v>0.99109131403118</v>
      </c>
      <c r="AH443" s="133">
        <v>0.994593550878548</v>
      </c>
      <c r="AI443" s="135">
        <v>0.92</v>
      </c>
      <c r="AJ443" s="133">
        <v>0.91918505942275</v>
      </c>
      <c r="AK443" s="133">
        <v>0.869661063653899</v>
      </c>
      <c r="AL443" s="133">
        <v>0.902164111812444</v>
      </c>
      <c r="AM443" s="133">
        <v>0.922336729186345</v>
      </c>
      <c r="AN443" s="132">
        <v>0.99</v>
      </c>
      <c r="AO443" s="137">
        <v>1</v>
      </c>
      <c r="AP443" s="137">
        <v>1</v>
      </c>
      <c r="AQ443" s="137">
        <v>1</v>
      </c>
      <c r="AR443" s="137">
        <v>1</v>
      </c>
      <c r="AS443" s="158">
        <v>0.05</v>
      </c>
      <c r="AT443" s="141">
        <v>0</v>
      </c>
      <c r="AU443" s="141">
        <v>0</v>
      </c>
      <c r="AV443" s="141">
        <v>0</v>
      </c>
      <c r="AW443" s="141">
        <v>0.0268096514745308</v>
      </c>
      <c r="AX443" s="95"/>
      <c r="AY443" s="93"/>
    </row>
    <row r="444" ht="14.5" spans="1:51">
      <c r="A444" s="91"/>
      <c r="B444" s="95"/>
      <c r="C444" s="152" t="s">
        <v>375</v>
      </c>
      <c r="D444" s="153" t="s">
        <v>25</v>
      </c>
      <c r="E444" s="130" t="s">
        <v>376</v>
      </c>
      <c r="F444" s="154" t="s">
        <v>470</v>
      </c>
      <c r="G444" s="154" t="s">
        <v>470</v>
      </c>
      <c r="H444" s="154" t="s">
        <v>470</v>
      </c>
      <c r="I444" s="154" t="s">
        <v>470</v>
      </c>
      <c r="J444" s="132">
        <v>0.9</v>
      </c>
      <c r="K444" s="133">
        <v>0.836734693877551</v>
      </c>
      <c r="L444" s="133">
        <v>0.826086956521739</v>
      </c>
      <c r="M444" s="134">
        <v>0.882352941176471</v>
      </c>
      <c r="N444" s="133">
        <v>0.851015801354402</v>
      </c>
      <c r="O444" s="135">
        <v>0.9</v>
      </c>
      <c r="P444" s="133">
        <v>0.940715883668904</v>
      </c>
      <c r="Q444" s="133">
        <v>0.918331374853114</v>
      </c>
      <c r="R444" s="133">
        <v>0.923045097227969</v>
      </c>
      <c r="S444" s="133">
        <v>0.941762897731993</v>
      </c>
      <c r="T444" s="135">
        <v>0.9</v>
      </c>
      <c r="U444" s="133">
        <v>0.879194630872483</v>
      </c>
      <c r="V444" s="133">
        <v>0.85957696827262</v>
      </c>
      <c r="W444" s="133">
        <v>0.905254447662391</v>
      </c>
      <c r="X444" s="133">
        <v>0.893702749854615</v>
      </c>
      <c r="Y444" s="135">
        <v>0.92</v>
      </c>
      <c r="Z444" s="135">
        <v>0.947623666343356</v>
      </c>
      <c r="AA444" s="135">
        <v>0.894466628636623</v>
      </c>
      <c r="AB444" s="135">
        <v>0.941104891701144</v>
      </c>
      <c r="AC444" s="135">
        <v>0.953611898016997</v>
      </c>
      <c r="AD444" s="135">
        <v>0.92</v>
      </c>
      <c r="AE444" s="133">
        <v>1</v>
      </c>
      <c r="AF444" s="133">
        <v>0.93452380952381</v>
      </c>
      <c r="AG444" s="133">
        <v>0.911991199119912</v>
      </c>
      <c r="AH444" s="133">
        <v>0.989934086147872</v>
      </c>
      <c r="AI444" s="135">
        <v>0.92</v>
      </c>
      <c r="AJ444" s="133">
        <v>0.952638700947226</v>
      </c>
      <c r="AK444" s="133">
        <v>0.927083333333333</v>
      </c>
      <c r="AL444" s="133">
        <v>0.954858454475899</v>
      </c>
      <c r="AM444" s="133">
        <v>0.964356578809958</v>
      </c>
      <c r="AN444" s="132">
        <v>0.99</v>
      </c>
      <c r="AO444" s="137">
        <v>1</v>
      </c>
      <c r="AP444" s="137">
        <v>1</v>
      </c>
      <c r="AQ444" s="137">
        <v>1</v>
      </c>
      <c r="AR444" s="137">
        <v>1</v>
      </c>
      <c r="AS444" s="158">
        <v>0.05</v>
      </c>
      <c r="AT444" s="141">
        <v>0</v>
      </c>
      <c r="AU444" s="141">
        <v>0.333333333333333</v>
      </c>
      <c r="AV444" s="141">
        <v>0.19047619047619</v>
      </c>
      <c r="AW444" s="141">
        <v>0.0659340659340659</v>
      </c>
      <c r="AX444" s="95"/>
      <c r="AY444" s="93"/>
    </row>
    <row r="445" ht="14.5" spans="1:51">
      <c r="A445" s="91"/>
      <c r="B445" s="95"/>
      <c r="C445" s="152" t="s">
        <v>375</v>
      </c>
      <c r="D445" s="153" t="s">
        <v>25</v>
      </c>
      <c r="E445" s="130" t="s">
        <v>376</v>
      </c>
      <c r="F445" s="154" t="s">
        <v>471</v>
      </c>
      <c r="G445" s="154" t="s">
        <v>471</v>
      </c>
      <c r="H445" s="154" t="s">
        <v>471</v>
      </c>
      <c r="I445" s="154" t="s">
        <v>471</v>
      </c>
      <c r="J445" s="132">
        <v>0.9</v>
      </c>
      <c r="K445" s="133">
        <v>0.888888888888889</v>
      </c>
      <c r="L445" s="133">
        <v>0.804347826086957</v>
      </c>
      <c r="M445" s="134">
        <v>0.918367346938776</v>
      </c>
      <c r="N445" s="133">
        <v>0.909880564603692</v>
      </c>
      <c r="O445" s="135">
        <v>0.9</v>
      </c>
      <c r="P445" s="133">
        <v>0.975717439293598</v>
      </c>
      <c r="Q445" s="133">
        <v>0.952216465169833</v>
      </c>
      <c r="R445" s="133">
        <v>0.969953449005502</v>
      </c>
      <c r="S445" s="133">
        <v>0.97443021663848</v>
      </c>
      <c r="T445" s="135">
        <v>0.9</v>
      </c>
      <c r="U445" s="133">
        <v>0.901766004415011</v>
      </c>
      <c r="V445" s="133">
        <v>0.849165227403569</v>
      </c>
      <c r="W445" s="133">
        <v>0.892509521794329</v>
      </c>
      <c r="X445" s="133">
        <v>0.899995973262463</v>
      </c>
      <c r="Y445" s="135">
        <v>0.92</v>
      </c>
      <c r="Z445" s="135">
        <v>0.934508816120907</v>
      </c>
      <c r="AA445" s="135">
        <v>0.922259507829978</v>
      </c>
      <c r="AB445" s="135">
        <v>0.920454545454545</v>
      </c>
      <c r="AC445" s="135">
        <v>0.955596296874187</v>
      </c>
      <c r="AD445" s="135">
        <v>0.92</v>
      </c>
      <c r="AE445" s="133">
        <v>0.984615384615385</v>
      </c>
      <c r="AF445" s="133">
        <v>0.947761194029851</v>
      </c>
      <c r="AG445" s="133">
        <v>0.917241379310345</v>
      </c>
      <c r="AH445" s="133">
        <v>0.95546875</v>
      </c>
      <c r="AI445" s="135">
        <v>0.92</v>
      </c>
      <c r="AJ445" s="133">
        <v>0.946786454733932</v>
      </c>
      <c r="AK445" s="133">
        <v>0.940425531914894</v>
      </c>
      <c r="AL445" s="133">
        <v>0.937557674561673</v>
      </c>
      <c r="AM445" s="133">
        <v>0.96643792396277</v>
      </c>
      <c r="AN445" s="132">
        <v>0.99</v>
      </c>
      <c r="AO445" s="137">
        <v>1</v>
      </c>
      <c r="AP445" s="137">
        <v>1</v>
      </c>
      <c r="AQ445" s="137">
        <v>1</v>
      </c>
      <c r="AR445" s="137">
        <v>1</v>
      </c>
      <c r="AS445" s="158">
        <v>0.05</v>
      </c>
      <c r="AT445" s="141">
        <v>0</v>
      </c>
      <c r="AU445" s="141">
        <v>0.0625</v>
      </c>
      <c r="AV445" s="141">
        <v>0</v>
      </c>
      <c r="AW445" s="141">
        <v>0.0338164251207729</v>
      </c>
      <c r="AX445" s="95"/>
      <c r="AY445" s="93"/>
    </row>
    <row r="446" ht="14.5" spans="1:51">
      <c r="A446" s="91"/>
      <c r="B446" s="95"/>
      <c r="C446" s="152" t="s">
        <v>375</v>
      </c>
      <c r="D446" s="153" t="s">
        <v>25</v>
      </c>
      <c r="E446" s="130" t="s">
        <v>376</v>
      </c>
      <c r="F446" s="154" t="s">
        <v>472</v>
      </c>
      <c r="G446" s="154" t="s">
        <v>472</v>
      </c>
      <c r="H446" s="154" t="s">
        <v>472</v>
      </c>
      <c r="I446" s="154" t="s">
        <v>472</v>
      </c>
      <c r="J446" s="132">
        <v>0.9</v>
      </c>
      <c r="K446" s="133">
        <v>0.922077922077922</v>
      </c>
      <c r="L446" s="133">
        <v>0.935483870967742</v>
      </c>
      <c r="M446" s="134">
        <v>0.973684210526316</v>
      </c>
      <c r="N446" s="133">
        <v>0.946883852691218</v>
      </c>
      <c r="O446" s="135">
        <v>0.9</v>
      </c>
      <c r="P446" s="133">
        <v>0.987878787878788</v>
      </c>
      <c r="Q446" s="133">
        <v>0.991525423728814</v>
      </c>
      <c r="R446" s="133">
        <v>0.990342679127726</v>
      </c>
      <c r="S446" s="133">
        <v>0.983436395759717</v>
      </c>
      <c r="T446" s="135">
        <v>0.9</v>
      </c>
      <c r="U446" s="133">
        <v>0.872121212121212</v>
      </c>
      <c r="V446" s="133">
        <v>0.844430992736077</v>
      </c>
      <c r="W446" s="133">
        <v>0.939563862928349</v>
      </c>
      <c r="X446" s="133">
        <v>0.920678739693757</v>
      </c>
      <c r="Y446" s="135">
        <v>0.92</v>
      </c>
      <c r="Z446" s="135">
        <v>0.922644163150492</v>
      </c>
      <c r="AA446" s="135">
        <v>0.843196544276458</v>
      </c>
      <c r="AB446" s="135">
        <v>0.907430264132313</v>
      </c>
      <c r="AC446" s="135">
        <v>0.909393900214053</v>
      </c>
      <c r="AD446" s="135">
        <v>0.92</v>
      </c>
      <c r="AE446" s="133">
        <v>0.996898022489337</v>
      </c>
      <c r="AF446" s="133">
        <v>0.997458703939009</v>
      </c>
      <c r="AG446" s="133">
        <v>0.99812147777082</v>
      </c>
      <c r="AH446" s="133">
        <v>0.995302534045854</v>
      </c>
      <c r="AI446" s="135">
        <v>0.92</v>
      </c>
      <c r="AJ446" s="133">
        <v>0.938921205711264</v>
      </c>
      <c r="AK446" s="133">
        <v>0.890345349130325</v>
      </c>
      <c r="AL446" s="133">
        <v>0.937887343341138</v>
      </c>
      <c r="AM446" s="133">
        <v>0.939782066896268</v>
      </c>
      <c r="AN446" s="132">
        <v>0.99</v>
      </c>
      <c r="AO446" s="137">
        <v>1</v>
      </c>
      <c r="AP446" s="137">
        <v>1</v>
      </c>
      <c r="AQ446" s="137">
        <v>1</v>
      </c>
      <c r="AR446" s="137">
        <v>1</v>
      </c>
      <c r="AS446" s="158">
        <v>0.05</v>
      </c>
      <c r="AT446" s="141">
        <v>0.0909090909090909</v>
      </c>
      <c r="AU446" s="141">
        <v>0</v>
      </c>
      <c r="AV446" s="141">
        <v>0</v>
      </c>
      <c r="AW446" s="141">
        <v>0.0670553935860058</v>
      </c>
      <c r="AX446" s="95"/>
      <c r="AY446" s="93"/>
    </row>
    <row r="447" ht="14.5" spans="1:51">
      <c r="A447" s="91"/>
      <c r="B447" s="95"/>
      <c r="C447" s="152" t="s">
        <v>375</v>
      </c>
      <c r="D447" s="153" t="s">
        <v>25</v>
      </c>
      <c r="E447" s="130" t="s">
        <v>376</v>
      </c>
      <c r="F447" s="154" t="s">
        <v>473</v>
      </c>
      <c r="G447" s="154" t="s">
        <v>473</v>
      </c>
      <c r="H447" s="154" t="s">
        <v>473</v>
      </c>
      <c r="I447" s="154" t="s">
        <v>473</v>
      </c>
      <c r="J447" s="132">
        <v>0.9</v>
      </c>
      <c r="K447" s="133">
        <v>0.870967741935484</v>
      </c>
      <c r="L447" s="133">
        <v>0.826086956521739</v>
      </c>
      <c r="M447" s="134">
        <v>0.854838709677419</v>
      </c>
      <c r="N447" s="133">
        <v>0.880425155004429</v>
      </c>
      <c r="O447" s="135">
        <v>0.9</v>
      </c>
      <c r="P447" s="133">
        <v>0.992296404988995</v>
      </c>
      <c r="Q447" s="133">
        <v>0.941923076923077</v>
      </c>
      <c r="R447" s="133">
        <v>0.984571599760335</v>
      </c>
      <c r="S447" s="133">
        <v>0.988083880502086</v>
      </c>
      <c r="T447" s="135">
        <v>0.9</v>
      </c>
      <c r="U447" s="133">
        <v>0.885913426265591</v>
      </c>
      <c r="V447" s="133">
        <v>0.788846153846154</v>
      </c>
      <c r="W447" s="133">
        <v>0.924805272618334</v>
      </c>
      <c r="X447" s="133">
        <v>0.904876816880858</v>
      </c>
      <c r="Y447" s="135">
        <v>0.92</v>
      </c>
      <c r="Z447" s="135" t="s">
        <v>35</v>
      </c>
      <c r="AA447" s="135">
        <v>0</v>
      </c>
      <c r="AB447" s="135" t="s">
        <v>35</v>
      </c>
      <c r="AC447" s="135">
        <v>0.793103448275862</v>
      </c>
      <c r="AD447" s="135">
        <v>0.92</v>
      </c>
      <c r="AE447" s="133">
        <v>0.996350364963504</v>
      </c>
      <c r="AF447" s="133">
        <v>0.982758620689655</v>
      </c>
      <c r="AG447" s="133">
        <v>0.997690531177829</v>
      </c>
      <c r="AH447" s="133">
        <v>0.989248568423513</v>
      </c>
      <c r="AI447" s="135">
        <v>0.92</v>
      </c>
      <c r="AJ447" s="133">
        <v>0.972497249724973</v>
      </c>
      <c r="AK447" s="133">
        <v>0.902574942352037</v>
      </c>
      <c r="AL447" s="133">
        <v>0.976935749588138</v>
      </c>
      <c r="AM447" s="133">
        <v>0.979270687237027</v>
      </c>
      <c r="AN447" s="132">
        <v>0.99</v>
      </c>
      <c r="AO447" s="137">
        <v>1</v>
      </c>
      <c r="AP447" s="137">
        <v>1</v>
      </c>
      <c r="AQ447" s="137">
        <v>1</v>
      </c>
      <c r="AR447" s="137">
        <v>1</v>
      </c>
      <c r="AS447" s="158">
        <v>0.05</v>
      </c>
      <c r="AT447" s="141">
        <v>0.0833333333333333</v>
      </c>
      <c r="AU447" s="141">
        <v>0</v>
      </c>
      <c r="AV447" s="141">
        <v>0.111111111111111</v>
      </c>
      <c r="AW447" s="141">
        <v>0.029126213592233</v>
      </c>
      <c r="AX447" s="95"/>
      <c r="AY447" s="93"/>
    </row>
    <row r="448" ht="14.5" spans="1:51">
      <c r="A448" s="91"/>
      <c r="B448" s="95"/>
      <c r="C448" s="152" t="s">
        <v>375</v>
      </c>
      <c r="D448" s="153" t="s">
        <v>25</v>
      </c>
      <c r="E448" s="130" t="s">
        <v>376</v>
      </c>
      <c r="F448" s="154" t="s">
        <v>474</v>
      </c>
      <c r="G448" s="154" t="s">
        <v>474</v>
      </c>
      <c r="H448" s="154" t="s">
        <v>474</v>
      </c>
      <c r="I448" s="154" t="s">
        <v>474</v>
      </c>
      <c r="J448" s="132">
        <v>0.9</v>
      </c>
      <c r="K448" s="133">
        <v>1</v>
      </c>
      <c r="L448" s="133">
        <v>0.978723404255319</v>
      </c>
      <c r="M448" s="134">
        <v>0.96</v>
      </c>
      <c r="N448" s="133">
        <v>0.95855472901169</v>
      </c>
      <c r="O448" s="135">
        <v>0.9</v>
      </c>
      <c r="P448" s="133">
        <v>0.964793500338524</v>
      </c>
      <c r="Q448" s="133">
        <v>0.95952380952381</v>
      </c>
      <c r="R448" s="133">
        <v>0.969320066334992</v>
      </c>
      <c r="S448" s="133">
        <v>0.964058390056824</v>
      </c>
      <c r="T448" s="135">
        <v>0.9</v>
      </c>
      <c r="U448" s="133">
        <v>0.934326337169939</v>
      </c>
      <c r="V448" s="133">
        <v>0.908928571428571</v>
      </c>
      <c r="W448" s="133">
        <v>0.947761194029851</v>
      </c>
      <c r="X448" s="133">
        <v>0.947452964680843</v>
      </c>
      <c r="Y448" s="135">
        <v>0.92</v>
      </c>
      <c r="Z448" s="135">
        <v>0.96078431372549</v>
      </c>
      <c r="AA448" s="135">
        <v>0.906060606060606</v>
      </c>
      <c r="AB448" s="135">
        <v>0.938302624232273</v>
      </c>
      <c r="AC448" s="135">
        <v>0.945733814607173</v>
      </c>
      <c r="AD448" s="135">
        <v>0.92</v>
      </c>
      <c r="AE448" s="133">
        <v>0.998685939553219</v>
      </c>
      <c r="AF448" s="133">
        <v>0.997699827487062</v>
      </c>
      <c r="AG448" s="133">
        <v>0.993852065321806</v>
      </c>
      <c r="AH448" s="133">
        <v>0.993947947748314</v>
      </c>
      <c r="AI448" s="135">
        <v>0.92</v>
      </c>
      <c r="AJ448" s="133">
        <v>0.962518301610542</v>
      </c>
      <c r="AK448" s="133">
        <v>0.934834834834835</v>
      </c>
      <c r="AL448" s="133">
        <v>0.954954954954955</v>
      </c>
      <c r="AM448" s="133">
        <v>0.962671375878628</v>
      </c>
      <c r="AN448" s="132">
        <v>0.99</v>
      </c>
      <c r="AO448" s="137">
        <v>1</v>
      </c>
      <c r="AP448" s="137">
        <v>1</v>
      </c>
      <c r="AQ448" s="137">
        <v>1</v>
      </c>
      <c r="AR448" s="137">
        <v>1</v>
      </c>
      <c r="AS448" s="158">
        <v>0.05</v>
      </c>
      <c r="AT448" s="141">
        <v>0.173913043478261</v>
      </c>
      <c r="AU448" s="141">
        <v>0</v>
      </c>
      <c r="AV448" s="141">
        <v>0.0344827586206897</v>
      </c>
      <c r="AW448" s="141">
        <v>0.0489038785834739</v>
      </c>
      <c r="AX448" s="95"/>
      <c r="AY448" s="93"/>
    </row>
    <row r="449" ht="14.5" spans="1:51">
      <c r="A449" s="91"/>
      <c r="B449" s="95"/>
      <c r="C449" s="152" t="s">
        <v>375</v>
      </c>
      <c r="D449" s="153" t="s">
        <v>25</v>
      </c>
      <c r="E449" s="130" t="s">
        <v>376</v>
      </c>
      <c r="F449" s="154" t="s">
        <v>475</v>
      </c>
      <c r="G449" s="154" t="s">
        <v>475</v>
      </c>
      <c r="H449" s="154" t="s">
        <v>475</v>
      </c>
      <c r="I449" s="154" t="s">
        <v>475</v>
      </c>
      <c r="J449" s="132">
        <v>0.9</v>
      </c>
      <c r="K449" s="133">
        <v>1</v>
      </c>
      <c r="L449" s="133">
        <v>1</v>
      </c>
      <c r="M449" s="134">
        <v>0.875</v>
      </c>
      <c r="N449" s="133">
        <v>0.966101694915254</v>
      </c>
      <c r="O449" s="135">
        <v>0.9</v>
      </c>
      <c r="P449" s="133">
        <v>0.935665914221219</v>
      </c>
      <c r="Q449" s="133">
        <v>0.971563981042654</v>
      </c>
      <c r="R449" s="133">
        <v>0.915216170690623</v>
      </c>
      <c r="S449" s="133">
        <v>0.971247881079671</v>
      </c>
      <c r="T449" s="135">
        <v>0.9</v>
      </c>
      <c r="U449" s="133">
        <v>0.86568848758465</v>
      </c>
      <c r="V449" s="133">
        <v>0.890995260663507</v>
      </c>
      <c r="W449" s="133">
        <v>0.86692869174621</v>
      </c>
      <c r="X449" s="133">
        <v>0.933628895553527</v>
      </c>
      <c r="Y449" s="135">
        <v>0.92</v>
      </c>
      <c r="Z449" s="135" t="s">
        <v>35</v>
      </c>
      <c r="AA449" s="135" t="s">
        <v>35</v>
      </c>
      <c r="AB449" s="135">
        <v>0.5</v>
      </c>
      <c r="AC449" s="135">
        <v>0.571428571428571</v>
      </c>
      <c r="AD449" s="135">
        <v>0.92</v>
      </c>
      <c r="AE449" s="133">
        <v>0.923076923076923</v>
      </c>
      <c r="AF449" s="133">
        <v>0.979591836734694</v>
      </c>
      <c r="AG449" s="133">
        <v>0.964912280701754</v>
      </c>
      <c r="AH449" s="133">
        <v>0.99197247706422</v>
      </c>
      <c r="AI449" s="135">
        <v>0.92</v>
      </c>
      <c r="AJ449" s="133">
        <v>0.895033860045147</v>
      </c>
      <c r="AK449" s="133">
        <v>0.9322951929587</v>
      </c>
      <c r="AL449" s="133">
        <v>0.991587212563096</v>
      </c>
      <c r="AM449" s="133">
        <v>0.978163804060881</v>
      </c>
      <c r="AN449" s="132">
        <v>0.99</v>
      </c>
      <c r="AO449" s="137">
        <v>1</v>
      </c>
      <c r="AP449" s="137">
        <v>1</v>
      </c>
      <c r="AQ449" s="137">
        <v>1</v>
      </c>
      <c r="AR449" s="137">
        <v>1</v>
      </c>
      <c r="AS449" s="158">
        <v>0.05</v>
      </c>
      <c r="AT449" s="141">
        <v>0.25</v>
      </c>
      <c r="AU449" s="141">
        <v>0</v>
      </c>
      <c r="AV449" s="141">
        <v>0</v>
      </c>
      <c r="AW449" s="141">
        <v>0.0641025641025641</v>
      </c>
      <c r="AX449" s="95"/>
      <c r="AY449" s="93"/>
    </row>
    <row r="450" ht="14.5" spans="1:51">
      <c r="A450" s="91"/>
      <c r="B450" s="95"/>
      <c r="C450" s="152" t="s">
        <v>375</v>
      </c>
      <c r="D450" s="153" t="s">
        <v>25</v>
      </c>
      <c r="E450" s="130" t="s">
        <v>376</v>
      </c>
      <c r="F450" s="154" t="s">
        <v>476</v>
      </c>
      <c r="G450" s="154" t="s">
        <v>476</v>
      </c>
      <c r="H450" s="154" t="s">
        <v>476</v>
      </c>
      <c r="I450" s="154" t="s">
        <v>476</v>
      </c>
      <c r="J450" s="132">
        <v>0.9</v>
      </c>
      <c r="K450" s="133">
        <v>0.96969696969697</v>
      </c>
      <c r="L450" s="133">
        <v>0.9</v>
      </c>
      <c r="M450" s="134">
        <v>0.885714285714286</v>
      </c>
      <c r="N450" s="133">
        <v>0.922287390029325</v>
      </c>
      <c r="O450" s="135">
        <v>0.9</v>
      </c>
      <c r="P450" s="133">
        <v>0.946061643835616</v>
      </c>
      <c r="Q450" s="133">
        <v>0.932708483537611</v>
      </c>
      <c r="R450" s="133">
        <v>0.96736938588451</v>
      </c>
      <c r="S450" s="133">
        <v>0.974510474144245</v>
      </c>
      <c r="T450" s="135">
        <v>0.9</v>
      </c>
      <c r="U450" s="133">
        <v>0.886986301369863</v>
      </c>
      <c r="V450" s="133">
        <v>0.799086757990868</v>
      </c>
      <c r="W450" s="133">
        <v>0.92942254812099</v>
      </c>
      <c r="X450" s="133">
        <v>0.934261926851897</v>
      </c>
      <c r="Y450" s="135">
        <v>0.92</v>
      </c>
      <c r="Z450" s="135">
        <v>0</v>
      </c>
      <c r="AA450" s="135" t="s">
        <v>35</v>
      </c>
      <c r="AB450" s="135">
        <v>0</v>
      </c>
      <c r="AC450" s="135">
        <v>0.375</v>
      </c>
      <c r="AD450" s="135">
        <v>0.92</v>
      </c>
      <c r="AE450" s="133">
        <v>0.997173144876325</v>
      </c>
      <c r="AF450" s="133">
        <v>0.994510521500457</v>
      </c>
      <c r="AG450" s="133">
        <v>0.994715208455667</v>
      </c>
      <c r="AH450" s="133">
        <v>0.996508379888268</v>
      </c>
      <c r="AI450" s="135">
        <v>0.92</v>
      </c>
      <c r="AJ450" s="133">
        <v>0.932420872540633</v>
      </c>
      <c r="AK450" s="133">
        <v>0.893560788082653</v>
      </c>
      <c r="AL450" s="133">
        <v>0.967192082111437</v>
      </c>
      <c r="AM450" s="133">
        <v>0.968471932330001</v>
      </c>
      <c r="AN450" s="132">
        <v>0.99</v>
      </c>
      <c r="AO450" s="137">
        <v>1</v>
      </c>
      <c r="AP450" s="137">
        <v>1</v>
      </c>
      <c r="AQ450" s="137">
        <v>1</v>
      </c>
      <c r="AR450" s="137">
        <v>1</v>
      </c>
      <c r="AS450" s="158">
        <v>0.05</v>
      </c>
      <c r="AT450" s="141">
        <v>0</v>
      </c>
      <c r="AU450" s="141">
        <v>0.166666666666667</v>
      </c>
      <c r="AV450" s="141">
        <v>0.0909090909090909</v>
      </c>
      <c r="AW450" s="141">
        <v>0.065</v>
      </c>
      <c r="AX450" s="95"/>
      <c r="AY450" s="93"/>
    </row>
    <row r="451" ht="14.5" spans="1:51">
      <c r="A451" s="91"/>
      <c r="B451" s="95"/>
      <c r="C451" s="152" t="s">
        <v>375</v>
      </c>
      <c r="D451" s="153" t="s">
        <v>25</v>
      </c>
      <c r="E451" s="130" t="s">
        <v>376</v>
      </c>
      <c r="F451" s="154" t="s">
        <v>477</v>
      </c>
      <c r="G451" s="154" t="s">
        <v>477</v>
      </c>
      <c r="H451" s="154" t="s">
        <v>477</v>
      </c>
      <c r="I451" s="154" t="s">
        <v>477</v>
      </c>
      <c r="J451" s="132">
        <v>0.9</v>
      </c>
      <c r="K451" s="133">
        <v>0.924242424242424</v>
      </c>
      <c r="L451" s="133">
        <v>0.950819672131147</v>
      </c>
      <c r="M451" s="134">
        <v>0.970149253731343</v>
      </c>
      <c r="N451" s="133">
        <v>0.970149253731343</v>
      </c>
      <c r="O451" s="135">
        <v>0.9</v>
      </c>
      <c r="P451" s="133">
        <v>0.988755020080321</v>
      </c>
      <c r="Q451" s="133">
        <v>0.994114984155727</v>
      </c>
      <c r="R451" s="133">
        <v>0.99189850198716</v>
      </c>
      <c r="S451" s="133">
        <v>0.989072092051554</v>
      </c>
      <c r="T451" s="135">
        <v>0.9</v>
      </c>
      <c r="U451" s="133">
        <v>0.924497991967872</v>
      </c>
      <c r="V451" s="133">
        <v>0.939565414214577</v>
      </c>
      <c r="W451" s="133">
        <v>0.938550901864873</v>
      </c>
      <c r="X451" s="133">
        <v>0.948670973548035</v>
      </c>
      <c r="Y451" s="135">
        <v>0.92</v>
      </c>
      <c r="Z451" s="135" t="s">
        <v>35</v>
      </c>
      <c r="AA451" s="135" t="s">
        <v>35</v>
      </c>
      <c r="AB451" s="135" t="s">
        <v>35</v>
      </c>
      <c r="AC451" s="135">
        <v>0.75</v>
      </c>
      <c r="AD451" s="135">
        <v>0.92</v>
      </c>
      <c r="AE451" s="133">
        <v>0.997536945812808</v>
      </c>
      <c r="AF451" s="133">
        <v>0.957894736842105</v>
      </c>
      <c r="AG451" s="133">
        <v>0.98546511627907</v>
      </c>
      <c r="AH451" s="133">
        <v>0.989090372991302</v>
      </c>
      <c r="AI451" s="135">
        <v>0.92</v>
      </c>
      <c r="AJ451" s="133">
        <v>0.968273092369478</v>
      </c>
      <c r="AK451" s="133">
        <v>0.969669533725668</v>
      </c>
      <c r="AL451" s="133">
        <v>0.986397676906618</v>
      </c>
      <c r="AM451" s="133">
        <v>0.983065008515698</v>
      </c>
      <c r="AN451" s="132">
        <v>0.99</v>
      </c>
      <c r="AO451" s="137">
        <v>1</v>
      </c>
      <c r="AP451" s="137">
        <v>1</v>
      </c>
      <c r="AQ451" s="137">
        <v>1</v>
      </c>
      <c r="AR451" s="137">
        <v>1</v>
      </c>
      <c r="AS451" s="158">
        <v>0.05</v>
      </c>
      <c r="AT451" s="141">
        <v>0</v>
      </c>
      <c r="AU451" s="141">
        <v>0.272727272727273</v>
      </c>
      <c r="AV451" s="141">
        <v>0.214285714285714</v>
      </c>
      <c r="AW451" s="141">
        <v>0.0757575757575758</v>
      </c>
      <c r="AX451" s="95"/>
      <c r="AY451" s="93"/>
    </row>
    <row r="452" ht="14.5" spans="1:51">
      <c r="A452" s="91"/>
      <c r="B452" s="95"/>
      <c r="C452" s="152" t="s">
        <v>375</v>
      </c>
      <c r="D452" s="153" t="s">
        <v>25</v>
      </c>
      <c r="E452" s="130" t="s">
        <v>376</v>
      </c>
      <c r="F452" s="154" t="s">
        <v>478</v>
      </c>
      <c r="G452" s="154" t="s">
        <v>478</v>
      </c>
      <c r="H452" s="154" t="s">
        <v>478</v>
      </c>
      <c r="I452" s="154" t="s">
        <v>478</v>
      </c>
      <c r="J452" s="132">
        <v>0.9</v>
      </c>
      <c r="K452" s="133">
        <v>0.902777777777778</v>
      </c>
      <c r="L452" s="133">
        <v>0.915492957746479</v>
      </c>
      <c r="M452" s="134">
        <v>0.905405405405405</v>
      </c>
      <c r="N452" s="133">
        <v>0.915646258503401</v>
      </c>
      <c r="O452" s="135">
        <v>0.9</v>
      </c>
      <c r="P452" s="133">
        <v>0.922014925373134</v>
      </c>
      <c r="Q452" s="133">
        <v>0.918169209431345</v>
      </c>
      <c r="R452" s="133">
        <v>0.935158501440922</v>
      </c>
      <c r="S452" s="133">
        <v>0.954005726324888</v>
      </c>
      <c r="T452" s="135">
        <v>0.9</v>
      </c>
      <c r="U452" s="133">
        <v>0.908208955223881</v>
      </c>
      <c r="V452" s="133">
        <v>0.903606102635229</v>
      </c>
      <c r="W452" s="133">
        <v>0.85806916426513</v>
      </c>
      <c r="X452" s="133">
        <v>0.899875749554319</v>
      </c>
      <c r="Y452" s="135">
        <v>0.92</v>
      </c>
      <c r="Z452" s="135">
        <v>0.920774647887324</v>
      </c>
      <c r="AA452" s="135">
        <v>0.875092661230541</v>
      </c>
      <c r="AB452" s="135">
        <v>0.891198394495413</v>
      </c>
      <c r="AC452" s="135">
        <v>0.880758675723545</v>
      </c>
      <c r="AD452" s="135">
        <v>0.92</v>
      </c>
      <c r="AE452" s="133">
        <v>0.995580696482234</v>
      </c>
      <c r="AF452" s="133">
        <v>0.992627927146574</v>
      </c>
      <c r="AG452" s="133">
        <v>0.984561011904762</v>
      </c>
      <c r="AH452" s="133">
        <v>0.963287360665029</v>
      </c>
      <c r="AI452" s="135">
        <v>0.92</v>
      </c>
      <c r="AJ452" s="133">
        <v>0.94388843314192</v>
      </c>
      <c r="AK452" s="133">
        <v>0.921551107934239</v>
      </c>
      <c r="AL452" s="133">
        <v>0.919171077419934</v>
      </c>
      <c r="AM452" s="133">
        <v>0.927727542398887</v>
      </c>
      <c r="AN452" s="132">
        <v>0.99</v>
      </c>
      <c r="AO452" s="137">
        <v>1</v>
      </c>
      <c r="AP452" s="137">
        <v>1</v>
      </c>
      <c r="AQ452" s="137">
        <v>1</v>
      </c>
      <c r="AR452" s="137">
        <v>1</v>
      </c>
      <c r="AS452" s="158">
        <v>0.05</v>
      </c>
      <c r="AT452" s="141">
        <v>0.0555555555555556</v>
      </c>
      <c r="AU452" s="141">
        <v>0.0625</v>
      </c>
      <c r="AV452" s="141">
        <v>0</v>
      </c>
      <c r="AW452" s="141">
        <v>0.0603085553997195</v>
      </c>
      <c r="AX452" s="95"/>
      <c r="AY452" s="93"/>
    </row>
    <row r="453" ht="14.5" spans="1:51">
      <c r="A453" s="91"/>
      <c r="B453" s="95"/>
      <c r="C453" s="152" t="s">
        <v>375</v>
      </c>
      <c r="D453" s="153" t="s">
        <v>25</v>
      </c>
      <c r="E453" s="130" t="s">
        <v>376</v>
      </c>
      <c r="F453" s="154" t="s">
        <v>479</v>
      </c>
      <c r="G453" s="154" t="s">
        <v>479</v>
      </c>
      <c r="H453" s="154" t="s">
        <v>479</v>
      </c>
      <c r="I453" s="154" t="s">
        <v>479</v>
      </c>
      <c r="J453" s="132">
        <v>0.9</v>
      </c>
      <c r="K453" s="133">
        <v>0.905660377358491</v>
      </c>
      <c r="L453" s="133">
        <v>0.936170212765957</v>
      </c>
      <c r="M453" s="134">
        <v>0.875</v>
      </c>
      <c r="N453" s="133">
        <v>0.964620187304891</v>
      </c>
      <c r="O453" s="135">
        <v>0.9</v>
      </c>
      <c r="P453" s="133">
        <v>0.959316037735849</v>
      </c>
      <c r="Q453" s="133">
        <v>0.950469238790407</v>
      </c>
      <c r="R453" s="133">
        <v>0.948979591836735</v>
      </c>
      <c r="S453" s="133">
        <v>0.966270091254342</v>
      </c>
      <c r="T453" s="135">
        <v>0.9</v>
      </c>
      <c r="U453" s="133">
        <v>0.930424528301887</v>
      </c>
      <c r="V453" s="133">
        <v>0.880604796663191</v>
      </c>
      <c r="W453" s="133">
        <v>0.929275158339198</v>
      </c>
      <c r="X453" s="133">
        <v>0.942763548659983</v>
      </c>
      <c r="Y453" s="135">
        <v>0.92</v>
      </c>
      <c r="Z453" s="135">
        <v>0.951219512195122</v>
      </c>
      <c r="AA453" s="135">
        <v>0.883689839572192</v>
      </c>
      <c r="AB453" s="135">
        <v>0.912797281993205</v>
      </c>
      <c r="AC453" s="135">
        <v>0.950452884157</v>
      </c>
      <c r="AD453" s="135">
        <v>0.92</v>
      </c>
      <c r="AE453" s="133">
        <v>0.998931623931624</v>
      </c>
      <c r="AF453" s="133">
        <v>0.990752972258917</v>
      </c>
      <c r="AG453" s="133">
        <v>0.998332936413432</v>
      </c>
      <c r="AH453" s="133">
        <v>0.996060249357388</v>
      </c>
      <c r="AI453" s="135">
        <v>0.92</v>
      </c>
      <c r="AJ453" s="133">
        <v>0.958947672737785</v>
      </c>
      <c r="AK453" s="133">
        <v>0.911247803163445</v>
      </c>
      <c r="AL453" s="133">
        <v>0.936156862745098</v>
      </c>
      <c r="AM453" s="133">
        <v>0.965203674491974</v>
      </c>
      <c r="AN453" s="132">
        <v>0.99</v>
      </c>
      <c r="AO453" s="137">
        <v>1</v>
      </c>
      <c r="AP453" s="137">
        <v>1</v>
      </c>
      <c r="AQ453" s="137">
        <v>1</v>
      </c>
      <c r="AR453" s="137">
        <v>1</v>
      </c>
      <c r="AS453" s="158">
        <v>0.05</v>
      </c>
      <c r="AT453" s="141">
        <v>0</v>
      </c>
      <c r="AU453" s="141">
        <v>0</v>
      </c>
      <c r="AV453" s="141">
        <v>0.0833333333333333</v>
      </c>
      <c r="AW453" s="141">
        <v>0.037199124726477</v>
      </c>
      <c r="AX453" s="95"/>
      <c r="AY453" s="93"/>
    </row>
    <row r="454" ht="14.5" spans="1:51">
      <c r="A454" s="91"/>
      <c r="B454" s="95"/>
      <c r="C454" s="152" t="s">
        <v>375</v>
      </c>
      <c r="D454" s="153" t="s">
        <v>25</v>
      </c>
      <c r="E454" s="130" t="s">
        <v>376</v>
      </c>
      <c r="F454" s="154" t="s">
        <v>480</v>
      </c>
      <c r="G454" s="154" t="s">
        <v>480</v>
      </c>
      <c r="H454" s="154" t="s">
        <v>480</v>
      </c>
      <c r="I454" s="154" t="s">
        <v>480</v>
      </c>
      <c r="J454" s="132">
        <v>0.9</v>
      </c>
      <c r="K454" s="133">
        <v>0.846153846153846</v>
      </c>
      <c r="L454" s="133">
        <v>0.833333333333333</v>
      </c>
      <c r="M454" s="134">
        <v>1</v>
      </c>
      <c r="N454" s="133">
        <v>0.930232558139535</v>
      </c>
      <c r="O454" s="135">
        <v>0.9</v>
      </c>
      <c r="P454" s="133">
        <v>0.934940855323021</v>
      </c>
      <c r="Q454" s="133">
        <v>0.879255319148936</v>
      </c>
      <c r="R454" s="133">
        <v>0.950619878125657</v>
      </c>
      <c r="S454" s="133">
        <v>0.969172790653853</v>
      </c>
      <c r="T454" s="135">
        <v>0.9</v>
      </c>
      <c r="U454" s="133">
        <v>0.871701546860782</v>
      </c>
      <c r="V454" s="133">
        <v>0.787765957446809</v>
      </c>
      <c r="W454" s="133">
        <v>0.875814246690481</v>
      </c>
      <c r="X454" s="133">
        <v>0.920658250109918</v>
      </c>
      <c r="Y454" s="135">
        <v>0.92</v>
      </c>
      <c r="Z454" s="135">
        <v>1</v>
      </c>
      <c r="AA454" s="135">
        <v>1</v>
      </c>
      <c r="AB454" s="135">
        <v>1</v>
      </c>
      <c r="AC454" s="135">
        <v>0.96</v>
      </c>
      <c r="AD454" s="135">
        <v>0.92</v>
      </c>
      <c r="AE454" s="133">
        <v>0.996150885296382</v>
      </c>
      <c r="AF454" s="133">
        <v>0.968253968253968</v>
      </c>
      <c r="AG454" s="133">
        <v>0.975572519083969</v>
      </c>
      <c r="AH454" s="133">
        <v>0.994912379875636</v>
      </c>
      <c r="AI454" s="135">
        <v>0.92</v>
      </c>
      <c r="AJ454" s="133">
        <v>0.912232833105957</v>
      </c>
      <c r="AK454" s="133">
        <v>0.848219032429559</v>
      </c>
      <c r="AL454" s="133">
        <v>0.944747899159664</v>
      </c>
      <c r="AM454" s="133">
        <v>0.969613259668508</v>
      </c>
      <c r="AN454" s="132">
        <v>0.99</v>
      </c>
      <c r="AO454" s="137">
        <v>1</v>
      </c>
      <c r="AP454" s="137">
        <v>1</v>
      </c>
      <c r="AQ454" s="137">
        <v>1</v>
      </c>
      <c r="AR454" s="137">
        <v>1</v>
      </c>
      <c r="AS454" s="158">
        <v>0.05</v>
      </c>
      <c r="AT454" s="141">
        <v>0.4</v>
      </c>
      <c r="AU454" s="141">
        <v>0</v>
      </c>
      <c r="AV454" s="141">
        <v>0</v>
      </c>
      <c r="AW454" s="141">
        <v>0.036697247706422</v>
      </c>
      <c r="AX454" s="95"/>
      <c r="AY454" s="93"/>
    </row>
    <row r="455" ht="14.5" spans="1:51">
      <c r="A455" s="91"/>
      <c r="B455" s="95"/>
      <c r="C455" s="152" t="s">
        <v>375</v>
      </c>
      <c r="D455" s="153" t="s">
        <v>25</v>
      </c>
      <c r="E455" s="130" t="s">
        <v>376</v>
      </c>
      <c r="F455" s="154" t="s">
        <v>481</v>
      </c>
      <c r="G455" s="154" t="s">
        <v>481</v>
      </c>
      <c r="H455" s="154" t="s">
        <v>481</v>
      </c>
      <c r="I455" s="154" t="s">
        <v>481</v>
      </c>
      <c r="J455" s="132">
        <v>0.9</v>
      </c>
      <c r="K455" s="133">
        <v>1</v>
      </c>
      <c r="L455" s="133">
        <v>1</v>
      </c>
      <c r="M455" s="134">
        <v>1</v>
      </c>
      <c r="N455" s="133">
        <v>0.984126984126984</v>
      </c>
      <c r="O455" s="135">
        <v>0.9</v>
      </c>
      <c r="P455" s="133">
        <v>0.98455949137148</v>
      </c>
      <c r="Q455" s="133">
        <v>0.991095280498664</v>
      </c>
      <c r="R455" s="133">
        <v>0.994108194965185</v>
      </c>
      <c r="S455" s="133">
        <v>0.987162658826</v>
      </c>
      <c r="T455" s="135">
        <v>0.9</v>
      </c>
      <c r="U455" s="133">
        <v>0.960036330608538</v>
      </c>
      <c r="V455" s="133">
        <v>0.881567230632235</v>
      </c>
      <c r="W455" s="133">
        <v>0.926084627745046</v>
      </c>
      <c r="X455" s="133">
        <v>0.958442717630999</v>
      </c>
      <c r="Y455" s="135">
        <v>0.92</v>
      </c>
      <c r="Z455" s="135">
        <v>0.977711738484398</v>
      </c>
      <c r="AA455" s="135">
        <v>0.952522255192878</v>
      </c>
      <c r="AB455" s="135">
        <v>0.982014388489209</v>
      </c>
      <c r="AC455" s="135">
        <v>0.974181229504794</v>
      </c>
      <c r="AD455" s="135">
        <v>0.92</v>
      </c>
      <c r="AE455" s="133">
        <v>0.99824612686349</v>
      </c>
      <c r="AF455" s="133">
        <v>0.994332493702771</v>
      </c>
      <c r="AG455" s="133">
        <v>0.997684210526316</v>
      </c>
      <c r="AH455" s="133">
        <v>0.994619176900685</v>
      </c>
      <c r="AI455" s="135">
        <v>0.92</v>
      </c>
      <c r="AJ455" s="133">
        <v>0.982040816326531</v>
      </c>
      <c r="AK455" s="133">
        <v>0.966815054633752</v>
      </c>
      <c r="AL455" s="133">
        <v>0.98751882935227</v>
      </c>
      <c r="AM455" s="133">
        <v>0.983024941525208</v>
      </c>
      <c r="AN455" s="132">
        <v>0.99</v>
      </c>
      <c r="AO455" s="137">
        <v>1</v>
      </c>
      <c r="AP455" s="137">
        <v>1</v>
      </c>
      <c r="AQ455" s="137">
        <v>1</v>
      </c>
      <c r="AR455" s="137">
        <v>1</v>
      </c>
      <c r="AS455" s="158">
        <v>0.05</v>
      </c>
      <c r="AT455" s="141">
        <v>0</v>
      </c>
      <c r="AU455" s="141">
        <v>0</v>
      </c>
      <c r="AV455" s="141">
        <v>0.0769230769230769</v>
      </c>
      <c r="AW455" s="141">
        <v>0.0704845814977974</v>
      </c>
      <c r="AX455" s="95"/>
      <c r="AY455" s="93"/>
    </row>
    <row r="456" ht="14.5" spans="1:51">
      <c r="A456" s="91"/>
      <c r="B456" s="95"/>
      <c r="C456" s="152" t="s">
        <v>375</v>
      </c>
      <c r="D456" s="153" t="s">
        <v>25</v>
      </c>
      <c r="E456" s="130" t="s">
        <v>376</v>
      </c>
      <c r="F456" s="154" t="s">
        <v>482</v>
      </c>
      <c r="G456" s="154" t="s">
        <v>482</v>
      </c>
      <c r="H456" s="154" t="s">
        <v>482</v>
      </c>
      <c r="I456" s="154" t="s">
        <v>482</v>
      </c>
      <c r="J456" s="132">
        <v>0.9</v>
      </c>
      <c r="K456" s="133">
        <v>0.945945945945946</v>
      </c>
      <c r="L456" s="133">
        <v>0.935483870967742</v>
      </c>
      <c r="M456" s="134">
        <v>0.96875</v>
      </c>
      <c r="N456" s="133">
        <v>0.979233226837061</v>
      </c>
      <c r="O456" s="135">
        <v>0.9</v>
      </c>
      <c r="P456" s="133">
        <v>0.994106090373281</v>
      </c>
      <c r="Q456" s="133">
        <v>0.998216939078752</v>
      </c>
      <c r="R456" s="133">
        <v>0.997905759162304</v>
      </c>
      <c r="S456" s="133">
        <v>0.996168477517173</v>
      </c>
      <c r="T456" s="135">
        <v>0.9</v>
      </c>
      <c r="U456" s="133">
        <v>0.960707269155206</v>
      </c>
      <c r="V456" s="133">
        <v>0.964338781575037</v>
      </c>
      <c r="W456" s="133">
        <v>0.956439790575916</v>
      </c>
      <c r="X456" s="133">
        <v>0.969457292208325</v>
      </c>
      <c r="Y456" s="135">
        <v>0.92</v>
      </c>
      <c r="Z456" s="135">
        <v>0.990958408679928</v>
      </c>
      <c r="AA456" s="135">
        <v>0.973360655737705</v>
      </c>
      <c r="AB456" s="135">
        <v>0.833333333333333</v>
      </c>
      <c r="AC456" s="135">
        <v>0.982372558361124</v>
      </c>
      <c r="AD456" s="135">
        <v>0.92</v>
      </c>
      <c r="AE456" s="133">
        <v>1</v>
      </c>
      <c r="AF456" s="133">
        <v>1</v>
      </c>
      <c r="AG456" s="133">
        <v>0.995746691871456</v>
      </c>
      <c r="AH456" s="133">
        <v>0.985467418890739</v>
      </c>
      <c r="AI456" s="135">
        <v>0.92</v>
      </c>
      <c r="AJ456" s="133">
        <v>0.988716502115656</v>
      </c>
      <c r="AK456" s="133">
        <v>0.990789776652084</v>
      </c>
      <c r="AL456" s="133">
        <v>0.998326709893328</v>
      </c>
      <c r="AM456" s="133">
        <v>0.997180738593295</v>
      </c>
      <c r="AN456" s="132">
        <v>0.99</v>
      </c>
      <c r="AO456" s="137">
        <v>1</v>
      </c>
      <c r="AP456" s="137">
        <v>1</v>
      </c>
      <c r="AQ456" s="137">
        <v>1</v>
      </c>
      <c r="AR456" s="137">
        <v>1</v>
      </c>
      <c r="AS456" s="158">
        <v>0.05</v>
      </c>
      <c r="AT456" s="141">
        <v>0</v>
      </c>
      <c r="AU456" s="141">
        <v>0</v>
      </c>
      <c r="AV456" s="141">
        <v>0.25</v>
      </c>
      <c r="AW456" s="141">
        <v>0.0520231213872832</v>
      </c>
      <c r="AX456" s="95"/>
      <c r="AY456" s="93"/>
    </row>
    <row r="457" ht="14.5" spans="1:51">
      <c r="A457" s="91"/>
      <c r="B457" s="95"/>
      <c r="C457" s="152" t="s">
        <v>375</v>
      </c>
      <c r="D457" s="153" t="s">
        <v>25</v>
      </c>
      <c r="E457" s="130" t="s">
        <v>376</v>
      </c>
      <c r="F457" s="154" t="s">
        <v>483</v>
      </c>
      <c r="G457" s="154" t="s">
        <v>483</v>
      </c>
      <c r="H457" s="154" t="s">
        <v>483</v>
      </c>
      <c r="I457" s="154" t="s">
        <v>483</v>
      </c>
      <c r="J457" s="132">
        <v>0.9</v>
      </c>
      <c r="K457" s="133">
        <v>0.897058823529412</v>
      </c>
      <c r="L457" s="133">
        <v>0.967741935483871</v>
      </c>
      <c r="M457" s="134">
        <v>0.838235294117647</v>
      </c>
      <c r="N457" s="133">
        <v>0.91415313225058</v>
      </c>
      <c r="O457" s="135">
        <v>0.9</v>
      </c>
      <c r="P457" s="133">
        <v>0.75</v>
      </c>
      <c r="Q457" s="133" t="s">
        <v>35</v>
      </c>
      <c r="R457" s="133" t="s">
        <v>35</v>
      </c>
      <c r="S457" s="133">
        <v>0.774193548387097</v>
      </c>
      <c r="T457" s="135">
        <v>0.9</v>
      </c>
      <c r="U457" s="133">
        <v>0.75</v>
      </c>
      <c r="V457" s="133" t="s">
        <v>35</v>
      </c>
      <c r="W457" s="133" t="s">
        <v>35</v>
      </c>
      <c r="X457" s="133">
        <v>0.774193548387097</v>
      </c>
      <c r="Y457" s="135">
        <v>0.92</v>
      </c>
      <c r="Z457" s="135">
        <v>0.5</v>
      </c>
      <c r="AA457" s="135">
        <v>0.166666666666667</v>
      </c>
      <c r="AB457" s="135">
        <v>1</v>
      </c>
      <c r="AC457" s="135">
        <v>0.285714285714286</v>
      </c>
      <c r="AD457" s="135">
        <v>0.92</v>
      </c>
      <c r="AE457" s="133">
        <v>0.998729351969504</v>
      </c>
      <c r="AF457" s="133">
        <v>0.991051454138702</v>
      </c>
      <c r="AG457" s="133">
        <v>0.987341772151899</v>
      </c>
      <c r="AH457" s="133">
        <v>0.99354656556286</v>
      </c>
      <c r="AI457" s="135">
        <v>0.92</v>
      </c>
      <c r="AJ457" s="133">
        <v>0.951651344909772</v>
      </c>
      <c r="AK457" s="133">
        <v>0.928682774746687</v>
      </c>
      <c r="AL457" s="133">
        <v>0.978740801308258</v>
      </c>
      <c r="AM457" s="133">
        <v>0.974425728740899</v>
      </c>
      <c r="AN457" s="132">
        <v>0.99</v>
      </c>
      <c r="AO457" s="137">
        <v>1</v>
      </c>
      <c r="AP457" s="137">
        <v>1</v>
      </c>
      <c r="AQ457" s="137">
        <v>1</v>
      </c>
      <c r="AR457" s="137">
        <v>1</v>
      </c>
      <c r="AS457" s="158">
        <v>0.05</v>
      </c>
      <c r="AT457" s="141">
        <v>0</v>
      </c>
      <c r="AU457" s="141">
        <v>0</v>
      </c>
      <c r="AV457" s="141">
        <v>0</v>
      </c>
      <c r="AW457" s="141">
        <v>0.0544959128065395</v>
      </c>
      <c r="AX457" s="95"/>
      <c r="AY457" s="93"/>
    </row>
    <row r="458" ht="14.5" spans="1:51">
      <c r="A458" s="91"/>
      <c r="B458" s="95"/>
      <c r="C458" s="152" t="s">
        <v>375</v>
      </c>
      <c r="D458" s="153" t="s">
        <v>25</v>
      </c>
      <c r="E458" s="130" t="s">
        <v>376</v>
      </c>
      <c r="F458" s="154" t="s">
        <v>484</v>
      </c>
      <c r="G458" s="154" t="s">
        <v>484</v>
      </c>
      <c r="H458" s="154" t="s">
        <v>484</v>
      </c>
      <c r="I458" s="154" t="s">
        <v>484</v>
      </c>
      <c r="J458" s="132">
        <v>0.9</v>
      </c>
      <c r="K458" s="133">
        <v>0.903225806451613</v>
      </c>
      <c r="L458" s="133">
        <v>0.813559322033898</v>
      </c>
      <c r="M458" s="134">
        <v>0.828125</v>
      </c>
      <c r="N458" s="133">
        <v>0.898431048720066</v>
      </c>
      <c r="O458" s="135">
        <v>0.9</v>
      </c>
      <c r="P458" s="133">
        <v>0.973182359952324</v>
      </c>
      <c r="Q458" s="133">
        <v>0.906281661600811</v>
      </c>
      <c r="R458" s="133">
        <v>0.966971187631764</v>
      </c>
      <c r="S458" s="133">
        <v>0.965701219512195</v>
      </c>
      <c r="T458" s="135">
        <v>0.9</v>
      </c>
      <c r="U458" s="133">
        <v>0.932657926102503</v>
      </c>
      <c r="V458" s="133">
        <v>0.865248226950355</v>
      </c>
      <c r="W458" s="133">
        <v>0.942726633872101</v>
      </c>
      <c r="X458" s="133">
        <v>0.930730981416957</v>
      </c>
      <c r="Y458" s="135">
        <v>0.92</v>
      </c>
      <c r="Z458" s="135">
        <v>0.926400759734093</v>
      </c>
      <c r="AA458" s="135">
        <v>0.796315789473684</v>
      </c>
      <c r="AB458" s="135">
        <v>0.916604244694132</v>
      </c>
      <c r="AC458" s="135">
        <v>0.917825304363848</v>
      </c>
      <c r="AD458" s="135">
        <v>0.92</v>
      </c>
      <c r="AE458" s="133">
        <v>0.991242603550296</v>
      </c>
      <c r="AF458" s="133">
        <v>0.99972497249725</v>
      </c>
      <c r="AG458" s="133">
        <v>0.996966939642099</v>
      </c>
      <c r="AH458" s="133">
        <v>0.985529558418879</v>
      </c>
      <c r="AI458" s="135">
        <v>0.92</v>
      </c>
      <c r="AJ458" s="133">
        <v>0.941067653276956</v>
      </c>
      <c r="AK458" s="133">
        <v>0.864774193548387</v>
      </c>
      <c r="AL458" s="133">
        <v>0.943812025685931</v>
      </c>
      <c r="AM458" s="133">
        <v>0.942993025234812</v>
      </c>
      <c r="AN458" s="132">
        <v>0.99</v>
      </c>
      <c r="AO458" s="137">
        <v>1</v>
      </c>
      <c r="AP458" s="137">
        <v>1</v>
      </c>
      <c r="AQ458" s="137">
        <v>1</v>
      </c>
      <c r="AR458" s="137">
        <v>1</v>
      </c>
      <c r="AS458" s="158">
        <v>0.05</v>
      </c>
      <c r="AT458" s="141">
        <v>0.0588235294117647</v>
      </c>
      <c r="AU458" s="141">
        <v>0</v>
      </c>
      <c r="AV458" s="141">
        <v>0.0555555555555556</v>
      </c>
      <c r="AW458" s="141">
        <v>0.0469135802469136</v>
      </c>
      <c r="AX458" s="95"/>
      <c r="AY458" s="93"/>
    </row>
    <row r="459" ht="14.5" spans="1:51">
      <c r="A459" s="91"/>
      <c r="B459" s="95"/>
      <c r="C459" s="152" t="s">
        <v>375</v>
      </c>
      <c r="D459" s="153" t="s">
        <v>25</v>
      </c>
      <c r="E459" s="130" t="s">
        <v>376</v>
      </c>
      <c r="F459" s="154" t="s">
        <v>485</v>
      </c>
      <c r="G459" s="154" t="s">
        <v>485</v>
      </c>
      <c r="H459" s="154" t="s">
        <v>485</v>
      </c>
      <c r="I459" s="154" t="s">
        <v>485</v>
      </c>
      <c r="J459" s="132">
        <v>0.9</v>
      </c>
      <c r="K459" s="133">
        <v>0.962962962962963</v>
      </c>
      <c r="L459" s="133">
        <v>0.957446808510638</v>
      </c>
      <c r="M459" s="134">
        <v>0.934782608695652</v>
      </c>
      <c r="N459" s="133">
        <v>0.943</v>
      </c>
      <c r="O459" s="135">
        <v>0.9</v>
      </c>
      <c r="P459" s="133">
        <v>0.965876436781609</v>
      </c>
      <c r="Q459" s="133">
        <v>0.949217956530571</v>
      </c>
      <c r="R459" s="133">
        <v>0.935219911353563</v>
      </c>
      <c r="S459" s="133">
        <v>0.962913710209889</v>
      </c>
      <c r="T459" s="135">
        <v>0.9</v>
      </c>
      <c r="U459" s="133">
        <v>0.927083333333333</v>
      </c>
      <c r="V459" s="133">
        <v>0.893967093235832</v>
      </c>
      <c r="W459" s="133">
        <v>0.897545175588135</v>
      </c>
      <c r="X459" s="133">
        <v>0.929258925167158</v>
      </c>
      <c r="Y459" s="135">
        <v>0.92</v>
      </c>
      <c r="Z459" s="135">
        <v>0.333333333333333</v>
      </c>
      <c r="AA459" s="135">
        <v>0.666666666666667</v>
      </c>
      <c r="AB459" s="135" t="s">
        <v>35</v>
      </c>
      <c r="AC459" s="135">
        <v>0.555555555555556</v>
      </c>
      <c r="AD459" s="135">
        <v>0.92</v>
      </c>
      <c r="AE459" s="133">
        <v>0.996998123827392</v>
      </c>
      <c r="AF459" s="133">
        <v>0.991156462585034</v>
      </c>
      <c r="AG459" s="133">
        <v>0.99373321396598</v>
      </c>
      <c r="AH459" s="133">
        <v>0.987975357571346</v>
      </c>
      <c r="AI459" s="135">
        <v>0.92</v>
      </c>
      <c r="AJ459" s="133">
        <v>0.960172228202368</v>
      </c>
      <c r="AK459" s="133">
        <v>0.92793341453512</v>
      </c>
      <c r="AL459" s="133">
        <v>0.927719058983975</v>
      </c>
      <c r="AM459" s="133">
        <v>0.966035665805084</v>
      </c>
      <c r="AN459" s="132">
        <v>0.99</v>
      </c>
      <c r="AO459" s="137">
        <v>1</v>
      </c>
      <c r="AP459" s="137">
        <v>1</v>
      </c>
      <c r="AQ459" s="137">
        <v>1</v>
      </c>
      <c r="AR459" s="137">
        <v>1</v>
      </c>
      <c r="AS459" s="158">
        <v>0.05</v>
      </c>
      <c r="AT459" s="141">
        <v>0.0769230769230769</v>
      </c>
      <c r="AU459" s="141">
        <v>0</v>
      </c>
      <c r="AV459" s="141">
        <v>0.0909090909090909</v>
      </c>
      <c r="AW459" s="141">
        <v>0.0531914893617021</v>
      </c>
      <c r="AX459" s="95"/>
      <c r="AY459" s="93"/>
    </row>
    <row r="460" ht="14.5" spans="1:51">
      <c r="A460" s="91"/>
      <c r="B460" s="95"/>
      <c r="C460" s="152" t="s">
        <v>375</v>
      </c>
      <c r="D460" s="153" t="s">
        <v>25</v>
      </c>
      <c r="E460" s="130" t="s">
        <v>376</v>
      </c>
      <c r="F460" s="154" t="s">
        <v>486</v>
      </c>
      <c r="G460" s="154" t="s">
        <v>486</v>
      </c>
      <c r="H460" s="154" t="s">
        <v>486</v>
      </c>
      <c r="I460" s="154" t="s">
        <v>486</v>
      </c>
      <c r="J460" s="132">
        <v>0.9</v>
      </c>
      <c r="K460" s="133">
        <v>0.961538461538462</v>
      </c>
      <c r="L460" s="133">
        <v>0.80952380952381</v>
      </c>
      <c r="M460" s="134">
        <v>1</v>
      </c>
      <c r="N460" s="133">
        <v>0.970021413276231</v>
      </c>
      <c r="O460" s="135">
        <v>0.9</v>
      </c>
      <c r="P460" s="133">
        <v>0.981757877280265</v>
      </c>
      <c r="Q460" s="133">
        <v>0.988941548183254</v>
      </c>
      <c r="R460" s="133">
        <v>0.975924333619948</v>
      </c>
      <c r="S460" s="133">
        <v>0.983908441614319</v>
      </c>
      <c r="T460" s="135">
        <v>0.9</v>
      </c>
      <c r="U460" s="133">
        <v>0.963515754560531</v>
      </c>
      <c r="V460" s="133">
        <v>0.947867298578199</v>
      </c>
      <c r="W460" s="133">
        <v>0.965606190885641</v>
      </c>
      <c r="X460" s="133">
        <v>0.968075036571724</v>
      </c>
      <c r="Y460" s="135">
        <v>0.92</v>
      </c>
      <c r="Z460" s="135">
        <v>0.960149439601494</v>
      </c>
      <c r="AA460" s="135">
        <v>0.951273532668881</v>
      </c>
      <c r="AB460" s="135">
        <v>0.958258795468098</v>
      </c>
      <c r="AC460" s="135">
        <v>0.97604596059593</v>
      </c>
      <c r="AD460" s="135">
        <v>0.92</v>
      </c>
      <c r="AE460" s="133">
        <v>0.975862068965517</v>
      </c>
      <c r="AF460" s="133">
        <v>0.972477064220184</v>
      </c>
      <c r="AG460" s="133">
        <v>0.993150684931507</v>
      </c>
      <c r="AH460" s="133">
        <v>0.985792896448224</v>
      </c>
      <c r="AI460" s="135">
        <v>0.92</v>
      </c>
      <c r="AJ460" s="133">
        <v>0.968705547652916</v>
      </c>
      <c r="AK460" s="133">
        <v>0.966818477553676</v>
      </c>
      <c r="AL460" s="133">
        <v>0.969014084507042</v>
      </c>
      <c r="AM460" s="133">
        <v>0.982713675608719</v>
      </c>
      <c r="AN460" s="132">
        <v>0.99</v>
      </c>
      <c r="AO460" s="137">
        <v>1</v>
      </c>
      <c r="AP460" s="137">
        <v>1</v>
      </c>
      <c r="AQ460" s="137">
        <v>1</v>
      </c>
      <c r="AR460" s="137">
        <v>1</v>
      </c>
      <c r="AS460" s="158">
        <v>0.05</v>
      </c>
      <c r="AT460" s="141">
        <v>0</v>
      </c>
      <c r="AU460" s="141">
        <v>0</v>
      </c>
      <c r="AV460" s="141">
        <v>0.222222222222222</v>
      </c>
      <c r="AW460" s="141">
        <v>0.0460251046025105</v>
      </c>
      <c r="AX460" s="95"/>
      <c r="AY460" s="93"/>
    </row>
    <row r="461" ht="14.5" spans="1:51">
      <c r="A461" s="91"/>
      <c r="B461" s="95"/>
      <c r="C461" s="152" t="s">
        <v>375</v>
      </c>
      <c r="D461" s="153" t="s">
        <v>25</v>
      </c>
      <c r="E461" s="130" t="s">
        <v>376</v>
      </c>
      <c r="F461" s="154" t="s">
        <v>487</v>
      </c>
      <c r="G461" s="154" t="s">
        <v>487</v>
      </c>
      <c r="H461" s="154" t="s">
        <v>487</v>
      </c>
      <c r="I461" s="154" t="s">
        <v>487</v>
      </c>
      <c r="J461" s="132">
        <v>0.9</v>
      </c>
      <c r="K461" s="133">
        <v>1</v>
      </c>
      <c r="L461" s="133">
        <v>1</v>
      </c>
      <c r="M461" s="134">
        <v>1</v>
      </c>
      <c r="N461" s="133">
        <v>0.997514498757249</v>
      </c>
      <c r="O461" s="135">
        <v>0.9</v>
      </c>
      <c r="P461" s="133">
        <v>0.992694063926941</v>
      </c>
      <c r="Q461" s="133">
        <v>0.984622144112478</v>
      </c>
      <c r="R461" s="133">
        <v>0.98991784914115</v>
      </c>
      <c r="S461" s="133">
        <v>0.989764965423614</v>
      </c>
      <c r="T461" s="135">
        <v>0.9</v>
      </c>
      <c r="U461" s="133">
        <v>0.909132420091324</v>
      </c>
      <c r="V461" s="133">
        <v>0.720562390158172</v>
      </c>
      <c r="W461" s="133">
        <v>0.939693801344287</v>
      </c>
      <c r="X461" s="133">
        <v>0.919784905180094</v>
      </c>
      <c r="Y461" s="135">
        <v>0.92</v>
      </c>
      <c r="Z461" s="135">
        <v>0.790387182910547</v>
      </c>
      <c r="AA461" s="135">
        <v>0.800262812089356</v>
      </c>
      <c r="AB461" s="135">
        <v>0.882404951370469</v>
      </c>
      <c r="AC461" s="135">
        <v>0.883331527040208</v>
      </c>
      <c r="AD461" s="135">
        <v>0.92</v>
      </c>
      <c r="AE461" s="133">
        <v>0.998435054773083</v>
      </c>
      <c r="AF461" s="133">
        <v>0.989539748953975</v>
      </c>
      <c r="AG461" s="133">
        <v>0.994869163673679</v>
      </c>
      <c r="AH461" s="133">
        <v>0.99309839369694</v>
      </c>
      <c r="AI461" s="135">
        <v>0.92</v>
      </c>
      <c r="AJ461" s="133">
        <v>0.931632653061224</v>
      </c>
      <c r="AK461" s="133">
        <v>0.942970073404856</v>
      </c>
      <c r="AL461" s="133">
        <v>0.96655879180151</v>
      </c>
      <c r="AM461" s="133">
        <v>0.969408571631306</v>
      </c>
      <c r="AN461" s="132">
        <v>0.99</v>
      </c>
      <c r="AO461" s="137">
        <v>1</v>
      </c>
      <c r="AP461" s="137">
        <v>1</v>
      </c>
      <c r="AQ461" s="137">
        <v>1</v>
      </c>
      <c r="AR461" s="137">
        <v>1</v>
      </c>
      <c r="AS461" s="158">
        <v>0.05</v>
      </c>
      <c r="AT461" s="141">
        <v>0</v>
      </c>
      <c r="AU461" s="141">
        <v>0.0769230769230769</v>
      </c>
      <c r="AV461" s="141">
        <v>0.125</v>
      </c>
      <c r="AW461" s="141">
        <v>0.074468085106383</v>
      </c>
      <c r="AX461" s="95"/>
      <c r="AY461" s="93"/>
    </row>
    <row r="462" ht="14.5" spans="1:51">
      <c r="A462" s="91"/>
      <c r="B462" s="95"/>
      <c r="C462" s="152" t="s">
        <v>375</v>
      </c>
      <c r="D462" s="153" t="s">
        <v>25</v>
      </c>
      <c r="E462" s="130" t="s">
        <v>376</v>
      </c>
      <c r="F462" s="154" t="s">
        <v>488</v>
      </c>
      <c r="G462" s="154" t="s">
        <v>488</v>
      </c>
      <c r="H462" s="154" t="s">
        <v>488</v>
      </c>
      <c r="I462" s="154" t="s">
        <v>488</v>
      </c>
      <c r="J462" s="132">
        <v>0.9</v>
      </c>
      <c r="K462" s="133">
        <v>1</v>
      </c>
      <c r="L462" s="133">
        <v>1</v>
      </c>
      <c r="M462" s="134">
        <v>1</v>
      </c>
      <c r="N462" s="133">
        <v>0.998367346938775</v>
      </c>
      <c r="O462" s="135">
        <v>0.9</v>
      </c>
      <c r="P462" s="133">
        <v>0.997284084736556</v>
      </c>
      <c r="Q462" s="133">
        <v>0.995267745952677</v>
      </c>
      <c r="R462" s="133">
        <v>0.993903720832457</v>
      </c>
      <c r="S462" s="133">
        <v>0.992841490138787</v>
      </c>
      <c r="T462" s="135">
        <v>0.9</v>
      </c>
      <c r="U462" s="133">
        <v>0.962520369364476</v>
      </c>
      <c r="V462" s="133">
        <v>0.691158156911582</v>
      </c>
      <c r="W462" s="133">
        <v>0.939457641370612</v>
      </c>
      <c r="X462" s="133">
        <v>0.923423423423423</v>
      </c>
      <c r="Y462" s="135">
        <v>0.92</v>
      </c>
      <c r="Z462" s="135">
        <v>0.830656934306569</v>
      </c>
      <c r="AA462" s="135">
        <v>0.630872483221476</v>
      </c>
      <c r="AB462" s="135">
        <v>0.840148698884758</v>
      </c>
      <c r="AC462" s="135">
        <v>0.84158273381295</v>
      </c>
      <c r="AD462" s="135">
        <v>0.92</v>
      </c>
      <c r="AE462" s="133">
        <v>0.998145859085291</v>
      </c>
      <c r="AF462" s="133">
        <v>0.99875</v>
      </c>
      <c r="AG462" s="133">
        <v>0.99</v>
      </c>
      <c r="AH462" s="133">
        <v>0.994635951598819</v>
      </c>
      <c r="AI462" s="135">
        <v>0.92</v>
      </c>
      <c r="AJ462" s="133">
        <v>0.938638163103721</v>
      </c>
      <c r="AK462" s="133">
        <v>0.896813353566009</v>
      </c>
      <c r="AL462" s="133">
        <v>0.959381739755572</v>
      </c>
      <c r="AM462" s="133">
        <v>0.960603441993149</v>
      </c>
      <c r="AN462" s="132">
        <v>0.99</v>
      </c>
      <c r="AO462" s="137">
        <v>1</v>
      </c>
      <c r="AP462" s="137">
        <v>1</v>
      </c>
      <c r="AQ462" s="137">
        <v>1</v>
      </c>
      <c r="AR462" s="137">
        <v>1</v>
      </c>
      <c r="AS462" s="158">
        <v>0.05</v>
      </c>
      <c r="AT462" s="141">
        <v>0</v>
      </c>
      <c r="AU462" s="141">
        <v>0.25</v>
      </c>
      <c r="AV462" s="141">
        <v>0</v>
      </c>
      <c r="AW462" s="141">
        <v>0.0651340996168582</v>
      </c>
      <c r="AX462" s="95"/>
      <c r="AY462" s="93"/>
    </row>
    <row r="463" ht="14.5" spans="1:51">
      <c r="A463" s="91"/>
      <c r="B463" s="95"/>
      <c r="C463" s="152" t="s">
        <v>375</v>
      </c>
      <c r="D463" s="153" t="s">
        <v>25</v>
      </c>
      <c r="E463" s="130" t="s">
        <v>376</v>
      </c>
      <c r="F463" s="154" t="s">
        <v>489</v>
      </c>
      <c r="G463" s="154" t="s">
        <v>489</v>
      </c>
      <c r="H463" s="154" t="s">
        <v>489</v>
      </c>
      <c r="I463" s="154" t="s">
        <v>489</v>
      </c>
      <c r="J463" s="132">
        <v>0.9</v>
      </c>
      <c r="K463" s="133">
        <v>1</v>
      </c>
      <c r="L463" s="133">
        <v>0.979591836734694</v>
      </c>
      <c r="M463" s="134">
        <v>1</v>
      </c>
      <c r="N463" s="133">
        <v>0.995731056563501</v>
      </c>
      <c r="O463" s="135">
        <v>0.9</v>
      </c>
      <c r="P463" s="133">
        <v>0.986720554272517</v>
      </c>
      <c r="Q463" s="133">
        <v>0.986508364813815</v>
      </c>
      <c r="R463" s="133">
        <v>0.984665427509294</v>
      </c>
      <c r="S463" s="133">
        <v>0.983899683629424</v>
      </c>
      <c r="T463" s="135">
        <v>0.9</v>
      </c>
      <c r="U463" s="133">
        <v>0.960739030023095</v>
      </c>
      <c r="V463" s="133">
        <v>0.84646519158122</v>
      </c>
      <c r="W463" s="133">
        <v>0.954925650557621</v>
      </c>
      <c r="X463" s="133">
        <v>0.948099855263663</v>
      </c>
      <c r="Y463" s="135">
        <v>0.92</v>
      </c>
      <c r="Z463" s="135">
        <v>0.825242718446602</v>
      </c>
      <c r="AA463" s="135">
        <v>0.811501597444089</v>
      </c>
      <c r="AB463" s="135">
        <v>0.879682179341657</v>
      </c>
      <c r="AC463" s="135">
        <v>0.874679186228482</v>
      </c>
      <c r="AD463" s="135">
        <v>0.92</v>
      </c>
      <c r="AE463" s="133">
        <v>0.996266334785314</v>
      </c>
      <c r="AF463" s="133">
        <v>0.97029702970297</v>
      </c>
      <c r="AG463" s="133">
        <v>0.998718770019218</v>
      </c>
      <c r="AH463" s="133">
        <v>0.97314454866436</v>
      </c>
      <c r="AI463" s="135">
        <v>0.92</v>
      </c>
      <c r="AJ463" s="133">
        <v>0.941276595744681</v>
      </c>
      <c r="AK463" s="133">
        <v>0.950842372490192</v>
      </c>
      <c r="AL463" s="133">
        <v>0.969340532202082</v>
      </c>
      <c r="AM463" s="133">
        <v>0.969241074276479</v>
      </c>
      <c r="AN463" s="132">
        <v>0.99</v>
      </c>
      <c r="AO463" s="137">
        <v>1</v>
      </c>
      <c r="AP463" s="137">
        <v>1</v>
      </c>
      <c r="AQ463" s="137">
        <v>1</v>
      </c>
      <c r="AR463" s="137">
        <v>1</v>
      </c>
      <c r="AS463" s="158">
        <v>0.05</v>
      </c>
      <c r="AT463" s="141">
        <v>0.0909090909090909</v>
      </c>
      <c r="AU463" s="141">
        <v>0</v>
      </c>
      <c r="AV463" s="141">
        <v>0.0588235294117647</v>
      </c>
      <c r="AW463" s="141">
        <v>0.0488599348534202</v>
      </c>
      <c r="AX463" s="95"/>
      <c r="AY463" s="93"/>
    </row>
    <row r="464" ht="14.5" spans="1:51">
      <c r="A464" s="91"/>
      <c r="B464" s="95"/>
      <c r="C464" s="152" t="s">
        <v>375</v>
      </c>
      <c r="D464" s="153" t="s">
        <v>25</v>
      </c>
      <c r="E464" s="130" t="s">
        <v>376</v>
      </c>
      <c r="F464" s="154" t="s">
        <v>490</v>
      </c>
      <c r="G464" s="154" t="s">
        <v>490</v>
      </c>
      <c r="H464" s="154" t="s">
        <v>490</v>
      </c>
      <c r="I464" s="154" t="s">
        <v>490</v>
      </c>
      <c r="J464" s="132">
        <v>0.9</v>
      </c>
      <c r="K464" s="133">
        <v>1</v>
      </c>
      <c r="L464" s="133">
        <v>1</v>
      </c>
      <c r="M464" s="134">
        <v>1</v>
      </c>
      <c r="N464" s="133">
        <v>0.994866529774127</v>
      </c>
      <c r="O464" s="135">
        <v>0.9</v>
      </c>
      <c r="P464" s="133">
        <v>0.985436893203884</v>
      </c>
      <c r="Q464" s="133">
        <v>0.971586424625099</v>
      </c>
      <c r="R464" s="133">
        <v>0.984776640878463</v>
      </c>
      <c r="S464" s="133">
        <v>0.981358189081225</v>
      </c>
      <c r="T464" s="135">
        <v>0.9</v>
      </c>
      <c r="U464" s="133">
        <v>0.952063106796116</v>
      </c>
      <c r="V464" s="133">
        <v>0.748487240199947</v>
      </c>
      <c r="W464" s="133">
        <v>0.955078612428251</v>
      </c>
      <c r="X464" s="133">
        <v>0.929636301924232</v>
      </c>
      <c r="Y464" s="135">
        <v>0.92</v>
      </c>
      <c r="Z464" s="135">
        <v>0.846390168970814</v>
      </c>
      <c r="AA464" s="135">
        <v>0.829446064139942</v>
      </c>
      <c r="AB464" s="135">
        <v>0.860068259385666</v>
      </c>
      <c r="AC464" s="135">
        <v>0.862786393515859</v>
      </c>
      <c r="AD464" s="135">
        <v>0.92</v>
      </c>
      <c r="AE464" s="133">
        <v>0.998519615099926</v>
      </c>
      <c r="AF464" s="133">
        <v>0.975890985324948</v>
      </c>
      <c r="AG464" s="133">
        <v>0.991589571068125</v>
      </c>
      <c r="AH464" s="133">
        <v>0.985916619988797</v>
      </c>
      <c r="AI464" s="135">
        <v>0.92</v>
      </c>
      <c r="AJ464" s="133">
        <v>0.936929099608525</v>
      </c>
      <c r="AK464" s="133">
        <v>0.944964349376114</v>
      </c>
      <c r="AL464" s="133">
        <v>0.963160049119934</v>
      </c>
      <c r="AM464" s="133">
        <v>0.964269845570306</v>
      </c>
      <c r="AN464" s="132">
        <v>0.99</v>
      </c>
      <c r="AO464" s="137">
        <v>1</v>
      </c>
      <c r="AP464" s="137">
        <v>1</v>
      </c>
      <c r="AQ464" s="137">
        <v>1</v>
      </c>
      <c r="AR464" s="137">
        <v>1</v>
      </c>
      <c r="AS464" s="158">
        <v>0.05</v>
      </c>
      <c r="AT464" s="141">
        <v>0.285714285714286</v>
      </c>
      <c r="AU464" s="141">
        <v>0.1</v>
      </c>
      <c r="AV464" s="141">
        <v>0.0714285714285714</v>
      </c>
      <c r="AW464" s="141">
        <v>0.0599369085173502</v>
      </c>
      <c r="AX464" s="95"/>
      <c r="AY464" s="93"/>
    </row>
    <row r="465" ht="14.5" spans="1:51">
      <c r="A465" s="91"/>
      <c r="B465" s="95"/>
      <c r="C465" s="152" t="s">
        <v>375</v>
      </c>
      <c r="D465" s="153" t="s">
        <v>25</v>
      </c>
      <c r="E465" s="130" t="s">
        <v>376</v>
      </c>
      <c r="F465" s="154" t="s">
        <v>491</v>
      </c>
      <c r="G465" s="154" t="s">
        <v>491</v>
      </c>
      <c r="H465" s="154" t="s">
        <v>491</v>
      </c>
      <c r="I465" s="154" t="s">
        <v>491</v>
      </c>
      <c r="J465" s="132">
        <v>0.9</v>
      </c>
      <c r="K465" s="133">
        <v>1</v>
      </c>
      <c r="L465" s="133">
        <v>1</v>
      </c>
      <c r="M465" s="134">
        <v>1</v>
      </c>
      <c r="N465" s="133">
        <v>0.994138335287222</v>
      </c>
      <c r="O465" s="135">
        <v>0.9</v>
      </c>
      <c r="P465" s="133">
        <v>0.979708636836629</v>
      </c>
      <c r="Q465" s="133">
        <v>0.984832635983264</v>
      </c>
      <c r="R465" s="133">
        <v>0.980546549328393</v>
      </c>
      <c r="S465" s="133">
        <v>0.984967824316978</v>
      </c>
      <c r="T465" s="135">
        <v>0.9</v>
      </c>
      <c r="U465" s="133">
        <v>0.957856399583767</v>
      </c>
      <c r="V465" s="133">
        <v>0.905073221757322</v>
      </c>
      <c r="W465" s="133">
        <v>0.942566002779064</v>
      </c>
      <c r="X465" s="133">
        <v>0.938151889452192</v>
      </c>
      <c r="Y465" s="135">
        <v>0.92</v>
      </c>
      <c r="Z465" s="135">
        <v>0.937106918238994</v>
      </c>
      <c r="AA465" s="135">
        <v>0.927728613569322</v>
      </c>
      <c r="AB465" s="135">
        <v>0.945305378304467</v>
      </c>
      <c r="AC465" s="135">
        <v>0.957073275169941</v>
      </c>
      <c r="AD465" s="135">
        <v>0.92</v>
      </c>
      <c r="AE465" s="133">
        <v>0.999770062083237</v>
      </c>
      <c r="AF465" s="133">
        <v>0.997291807718348</v>
      </c>
      <c r="AG465" s="133">
        <v>0.998336798336798</v>
      </c>
      <c r="AH465" s="133">
        <v>0.997402597402597</v>
      </c>
      <c r="AI465" s="135">
        <v>0.92</v>
      </c>
      <c r="AJ465" s="133">
        <v>0.965783664459161</v>
      </c>
      <c r="AK465" s="133">
        <v>0.959573522878721</v>
      </c>
      <c r="AL465" s="133">
        <v>0.975253924284395</v>
      </c>
      <c r="AM465" s="133">
        <v>0.980150532796106</v>
      </c>
      <c r="AN465" s="132">
        <v>0.99</v>
      </c>
      <c r="AO465" s="137">
        <v>1</v>
      </c>
      <c r="AP465" s="137">
        <v>1</v>
      </c>
      <c r="AQ465" s="137">
        <v>1</v>
      </c>
      <c r="AR465" s="137">
        <v>1</v>
      </c>
      <c r="AS465" s="158">
        <v>0.05</v>
      </c>
      <c r="AT465" s="141">
        <v>0</v>
      </c>
      <c r="AU465" s="141">
        <v>0.133333333333333</v>
      </c>
      <c r="AV465" s="141">
        <v>0.285714285714286</v>
      </c>
      <c r="AW465" s="141">
        <v>0.0777777777777778</v>
      </c>
      <c r="AX465" s="95"/>
      <c r="AY465" s="93"/>
    </row>
    <row r="466" ht="14.5" spans="1:51">
      <c r="A466" s="91"/>
      <c r="B466" s="95"/>
      <c r="C466" s="152" t="s">
        <v>375</v>
      </c>
      <c r="D466" s="153" t="s">
        <v>25</v>
      </c>
      <c r="E466" s="130" t="s">
        <v>376</v>
      </c>
      <c r="F466" s="154" t="s">
        <v>492</v>
      </c>
      <c r="G466" s="154" t="s">
        <v>492</v>
      </c>
      <c r="H466" s="154" t="s">
        <v>492</v>
      </c>
      <c r="I466" s="154" t="s">
        <v>492</v>
      </c>
      <c r="J466" s="132">
        <v>0.9</v>
      </c>
      <c r="K466" s="133">
        <v>1</v>
      </c>
      <c r="L466" s="133">
        <v>1</v>
      </c>
      <c r="M466" s="134">
        <v>1</v>
      </c>
      <c r="N466" s="133">
        <v>0.986193293885602</v>
      </c>
      <c r="O466" s="135">
        <v>0.9</v>
      </c>
      <c r="P466" s="133">
        <v>0.994350282485876</v>
      </c>
      <c r="Q466" s="133">
        <v>0.994916820702403</v>
      </c>
      <c r="R466" s="133">
        <v>0.995361422497101</v>
      </c>
      <c r="S466" s="133">
        <v>0.994484417913158</v>
      </c>
      <c r="T466" s="135">
        <v>0.9</v>
      </c>
      <c r="U466" s="133">
        <v>0.939736346516008</v>
      </c>
      <c r="V466" s="133">
        <v>0.953789279112754</v>
      </c>
      <c r="W466" s="133">
        <v>0.967916505604948</v>
      </c>
      <c r="X466" s="133">
        <v>0.960278729827269</v>
      </c>
      <c r="Y466" s="135">
        <v>0.92</v>
      </c>
      <c r="Z466" s="135">
        <v>0.945414847161572</v>
      </c>
      <c r="AA466" s="135">
        <v>0.943699731903485</v>
      </c>
      <c r="AB466" s="135">
        <v>0.971305595408895</v>
      </c>
      <c r="AC466" s="135">
        <v>0.965014289937913</v>
      </c>
      <c r="AD466" s="135">
        <v>0.92</v>
      </c>
      <c r="AE466" s="133">
        <v>0.998636983189459</v>
      </c>
      <c r="AF466" s="133">
        <v>0.997821350762527</v>
      </c>
      <c r="AG466" s="133">
        <v>0.997184860807007</v>
      </c>
      <c r="AH466" s="133">
        <v>0.99699971230118</v>
      </c>
      <c r="AI466" s="135">
        <v>0.92</v>
      </c>
      <c r="AJ466" s="133">
        <v>0.95921052631579</v>
      </c>
      <c r="AK466" s="133">
        <v>0.975955853370122</v>
      </c>
      <c r="AL466" s="133">
        <v>0.986906211936663</v>
      </c>
      <c r="AM466" s="133">
        <v>0.984466950762817</v>
      </c>
      <c r="AN466" s="132">
        <v>0.99</v>
      </c>
      <c r="AO466" s="137">
        <v>1</v>
      </c>
      <c r="AP466" s="137">
        <v>1</v>
      </c>
      <c r="AQ466" s="137">
        <v>1</v>
      </c>
      <c r="AR466" s="137">
        <v>1</v>
      </c>
      <c r="AS466" s="158">
        <v>0.05</v>
      </c>
      <c r="AT466" s="141">
        <v>0</v>
      </c>
      <c r="AU466" s="141">
        <v>0.0666666666666667</v>
      </c>
      <c r="AV466" s="141">
        <v>0.0833333333333333</v>
      </c>
      <c r="AW466" s="141">
        <v>0.0338983050847458</v>
      </c>
      <c r="AX466" s="95"/>
      <c r="AY466" s="93"/>
    </row>
    <row r="467" ht="14.5" spans="1:51">
      <c r="A467" s="91"/>
      <c r="B467" s="95"/>
      <c r="C467" s="152" t="s">
        <v>375</v>
      </c>
      <c r="D467" s="153" t="s">
        <v>25</v>
      </c>
      <c r="E467" s="130" t="s">
        <v>376</v>
      </c>
      <c r="F467" s="154" t="s">
        <v>493</v>
      </c>
      <c r="G467" s="154" t="s">
        <v>493</v>
      </c>
      <c r="H467" s="154" t="s">
        <v>493</v>
      </c>
      <c r="I467" s="154" t="s">
        <v>493</v>
      </c>
      <c r="J467" s="132">
        <v>0.9</v>
      </c>
      <c r="K467" s="133">
        <v>0.926829268292683</v>
      </c>
      <c r="L467" s="133">
        <v>0.91304347826087</v>
      </c>
      <c r="M467" s="134">
        <v>0.956521739130435</v>
      </c>
      <c r="N467" s="133">
        <v>0.971188475390156</v>
      </c>
      <c r="O467" s="135">
        <v>0.9</v>
      </c>
      <c r="P467" s="133">
        <v>0.959478021978022</v>
      </c>
      <c r="Q467" s="133">
        <v>0.975391498881432</v>
      </c>
      <c r="R467" s="133">
        <v>0.986824046115839</v>
      </c>
      <c r="S467" s="133">
        <v>0.983311711286708</v>
      </c>
      <c r="T467" s="135">
        <v>0.9</v>
      </c>
      <c r="U467" s="133">
        <v>0.932005494505495</v>
      </c>
      <c r="V467" s="133">
        <v>0.692873122403324</v>
      </c>
      <c r="W467" s="133">
        <v>0.886631896788361</v>
      </c>
      <c r="X467" s="133">
        <v>0.884700436372214</v>
      </c>
      <c r="Y467" s="135">
        <v>0.92</v>
      </c>
      <c r="Z467" s="135">
        <v>0.755424063116371</v>
      </c>
      <c r="AA467" s="135">
        <v>0.747048903878583</v>
      </c>
      <c r="AB467" s="135">
        <v>0.759640102827764</v>
      </c>
      <c r="AC467" s="135">
        <v>0.801526717557252</v>
      </c>
      <c r="AD467" s="135">
        <v>0.92</v>
      </c>
      <c r="AE467" s="133">
        <v>1</v>
      </c>
      <c r="AF467" s="133">
        <v>0.976525821596244</v>
      </c>
      <c r="AG467" s="133">
        <v>0.998118532455315</v>
      </c>
      <c r="AH467" s="133">
        <v>0.994562160135008</v>
      </c>
      <c r="AI467" s="135">
        <v>0.92</v>
      </c>
      <c r="AJ467" s="133">
        <v>0.907794192562404</v>
      </c>
      <c r="AK467" s="133">
        <v>0.896829661472327</v>
      </c>
      <c r="AL467" s="133">
        <v>0.931915856141145</v>
      </c>
      <c r="AM467" s="133">
        <v>0.94498649332067</v>
      </c>
      <c r="AN467" s="132">
        <v>0.99</v>
      </c>
      <c r="AO467" s="137">
        <v>1</v>
      </c>
      <c r="AP467" s="137">
        <v>1</v>
      </c>
      <c r="AQ467" s="137">
        <v>1</v>
      </c>
      <c r="AR467" s="137">
        <v>1</v>
      </c>
      <c r="AS467" s="158">
        <v>0.05</v>
      </c>
      <c r="AT467" s="141">
        <v>0</v>
      </c>
      <c r="AU467" s="141">
        <v>0.0625</v>
      </c>
      <c r="AV467" s="141">
        <v>0.0555555555555556</v>
      </c>
      <c r="AW467" s="141">
        <v>0.0448717948717949</v>
      </c>
      <c r="AX467" s="95"/>
      <c r="AY467" s="93"/>
    </row>
    <row r="468" ht="14.5" spans="1:51">
      <c r="A468" s="91"/>
      <c r="B468" s="95"/>
      <c r="C468" s="152" t="s">
        <v>375</v>
      </c>
      <c r="D468" s="153" t="s">
        <v>25</v>
      </c>
      <c r="E468" s="130" t="s">
        <v>376</v>
      </c>
      <c r="F468" s="154" t="s">
        <v>494</v>
      </c>
      <c r="G468" s="154" t="s">
        <v>494</v>
      </c>
      <c r="H468" s="154" t="s">
        <v>494</v>
      </c>
      <c r="I468" s="154" t="s">
        <v>494</v>
      </c>
      <c r="J468" s="132">
        <v>0.9</v>
      </c>
      <c r="K468" s="133">
        <v>1</v>
      </c>
      <c r="L468" s="133">
        <v>0.977777777777778</v>
      </c>
      <c r="M468" s="134">
        <v>0.978723404255319</v>
      </c>
      <c r="N468" s="133">
        <v>0.992063492063492</v>
      </c>
      <c r="O468" s="135">
        <v>0.9</v>
      </c>
      <c r="P468" s="133">
        <v>0.983299933199733</v>
      </c>
      <c r="Q468" s="133">
        <v>0.986412164348107</v>
      </c>
      <c r="R468" s="133">
        <v>0.983711615487316</v>
      </c>
      <c r="S468" s="133">
        <v>0.987594762232943</v>
      </c>
      <c r="T468" s="135">
        <v>0.9</v>
      </c>
      <c r="U468" s="133">
        <v>0.909151636606546</v>
      </c>
      <c r="V468" s="133">
        <v>0.680038822387577</v>
      </c>
      <c r="W468" s="133">
        <v>0.901201602136182</v>
      </c>
      <c r="X468" s="133">
        <v>0.921104567382996</v>
      </c>
      <c r="Y468" s="135">
        <v>0.92</v>
      </c>
      <c r="Z468" s="135">
        <v>0.884210526315789</v>
      </c>
      <c r="AA468" s="135">
        <v>0.850180505415162</v>
      </c>
      <c r="AB468" s="135">
        <v>0.927756653992395</v>
      </c>
      <c r="AC468" s="135">
        <v>0.913373037357878</v>
      </c>
      <c r="AD468" s="135">
        <v>0.92</v>
      </c>
      <c r="AE468" s="133">
        <v>0.992682926829268</v>
      </c>
      <c r="AF468" s="133">
        <v>0.995897435897436</v>
      </c>
      <c r="AG468" s="133">
        <v>0.994198694706309</v>
      </c>
      <c r="AH468" s="133">
        <v>0.989889013074104</v>
      </c>
      <c r="AI468" s="135">
        <v>0.92</v>
      </c>
      <c r="AJ468" s="133">
        <v>0.948234155781326</v>
      </c>
      <c r="AK468" s="133">
        <v>0.935253772290809</v>
      </c>
      <c r="AL468" s="133">
        <v>0.975297750330834</v>
      </c>
      <c r="AM468" s="133">
        <v>0.973378483980203</v>
      </c>
      <c r="AN468" s="132">
        <v>0.99</v>
      </c>
      <c r="AO468" s="137">
        <v>1</v>
      </c>
      <c r="AP468" s="137">
        <v>1</v>
      </c>
      <c r="AQ468" s="137">
        <v>1</v>
      </c>
      <c r="AR468" s="137">
        <v>1</v>
      </c>
      <c r="AS468" s="158">
        <v>0.05</v>
      </c>
      <c r="AT468" s="141">
        <v>0</v>
      </c>
      <c r="AU468" s="141">
        <v>0</v>
      </c>
      <c r="AV468" s="141">
        <v>0</v>
      </c>
      <c r="AW468" s="141">
        <v>0.025</v>
      </c>
      <c r="AX468" s="95"/>
      <c r="AY468" s="93"/>
    </row>
    <row r="469" ht="14.5" spans="1:51">
      <c r="A469" s="91"/>
      <c r="B469" s="95"/>
      <c r="C469" s="152" t="s">
        <v>375</v>
      </c>
      <c r="D469" s="153" t="s">
        <v>25</v>
      </c>
      <c r="E469" s="130" t="s">
        <v>376</v>
      </c>
      <c r="F469" s="154" t="s">
        <v>495</v>
      </c>
      <c r="G469" s="154" t="s">
        <v>495</v>
      </c>
      <c r="H469" s="154" t="s">
        <v>495</v>
      </c>
      <c r="I469" s="154" t="s">
        <v>495</v>
      </c>
      <c r="J469" s="132">
        <v>0.9</v>
      </c>
      <c r="K469" s="133">
        <v>0.980769230769231</v>
      </c>
      <c r="L469" s="133">
        <v>0.944444444444444</v>
      </c>
      <c r="M469" s="134">
        <v>0.925925925925926</v>
      </c>
      <c r="N469" s="133">
        <v>0.98001998001998</v>
      </c>
      <c r="O469" s="135">
        <v>0.9</v>
      </c>
      <c r="P469" s="133">
        <v>0.987639788110653</v>
      </c>
      <c r="Q469" s="133">
        <v>0.989217583632845</v>
      </c>
      <c r="R469" s="133">
        <v>0.98444863336475</v>
      </c>
      <c r="S469" s="133">
        <v>0.988759071214906</v>
      </c>
      <c r="T469" s="135">
        <v>0.9</v>
      </c>
      <c r="U469" s="133">
        <v>0.934078869923484</v>
      </c>
      <c r="V469" s="133">
        <v>0.729610174177495</v>
      </c>
      <c r="W469" s="133">
        <v>0.932139491046183</v>
      </c>
      <c r="X469" s="133">
        <v>0.931213027673074</v>
      </c>
      <c r="Y469" s="135">
        <v>0.92</v>
      </c>
      <c r="Z469" s="135">
        <v>0.864827586206897</v>
      </c>
      <c r="AA469" s="135">
        <v>0.819241982507289</v>
      </c>
      <c r="AB469" s="135">
        <v>0.88124410933082</v>
      </c>
      <c r="AC469" s="135">
        <v>0.917983529935455</v>
      </c>
      <c r="AD469" s="135">
        <v>0.92</v>
      </c>
      <c r="AE469" s="133">
        <v>0.998593035525853</v>
      </c>
      <c r="AF469" s="133">
        <v>0.998671096345515</v>
      </c>
      <c r="AG469" s="133">
        <v>0.996541786743516</v>
      </c>
      <c r="AH469" s="133">
        <v>0.995870229917007</v>
      </c>
      <c r="AI469" s="135">
        <v>0.92</v>
      </c>
      <c r="AJ469" s="133">
        <v>0.942244224422442</v>
      </c>
      <c r="AK469" s="133">
        <v>0.93796468401487</v>
      </c>
      <c r="AL469" s="133">
        <v>0.962509419743783</v>
      </c>
      <c r="AM469" s="133">
        <v>0.971835552481411</v>
      </c>
      <c r="AN469" s="132">
        <v>0.99</v>
      </c>
      <c r="AO469" s="137">
        <v>1</v>
      </c>
      <c r="AP469" s="137">
        <v>1</v>
      </c>
      <c r="AQ469" s="137">
        <v>1</v>
      </c>
      <c r="AR469" s="137">
        <v>1</v>
      </c>
      <c r="AS469" s="158">
        <v>0.05</v>
      </c>
      <c r="AT469" s="141">
        <v>0.125</v>
      </c>
      <c r="AU469" s="141">
        <v>0</v>
      </c>
      <c r="AV469" s="141">
        <v>0.0588235294117647</v>
      </c>
      <c r="AW469" s="141">
        <v>0.0495356037151703</v>
      </c>
      <c r="AX469" s="95"/>
      <c r="AY469" s="93"/>
    </row>
    <row r="470" ht="14.5" spans="1:51">
      <c r="A470" s="91"/>
      <c r="B470" s="95"/>
      <c r="C470" s="152" t="s">
        <v>375</v>
      </c>
      <c r="D470" s="153" t="s">
        <v>25</v>
      </c>
      <c r="E470" s="130" t="s">
        <v>376</v>
      </c>
      <c r="F470" s="154" t="s">
        <v>496</v>
      </c>
      <c r="G470" s="154" t="s">
        <v>496</v>
      </c>
      <c r="H470" s="154" t="s">
        <v>496</v>
      </c>
      <c r="I470" s="154" t="s">
        <v>496</v>
      </c>
      <c r="J470" s="132">
        <v>0.9</v>
      </c>
      <c r="K470" s="133">
        <v>1</v>
      </c>
      <c r="L470" s="133">
        <v>0.983606557377049</v>
      </c>
      <c r="M470" s="134">
        <v>1</v>
      </c>
      <c r="N470" s="133">
        <v>0.976883561643836</v>
      </c>
      <c r="O470" s="135">
        <v>0.9</v>
      </c>
      <c r="P470" s="133">
        <v>0.988177339901478</v>
      </c>
      <c r="Q470" s="133">
        <v>0.973800139114306</v>
      </c>
      <c r="R470" s="133">
        <v>0.990801073208126</v>
      </c>
      <c r="S470" s="133">
        <v>0.987085586510599</v>
      </c>
      <c r="T470" s="135">
        <v>0.9</v>
      </c>
      <c r="U470" s="133">
        <v>0.924630541871921</v>
      </c>
      <c r="V470" s="133">
        <v>0.783909111987016</v>
      </c>
      <c r="W470" s="133">
        <v>0.937523955538521</v>
      </c>
      <c r="X470" s="133">
        <v>0.924395920323088</v>
      </c>
      <c r="Y470" s="135">
        <v>0.92</v>
      </c>
      <c r="Z470" s="135">
        <v>0.889972144846797</v>
      </c>
      <c r="AA470" s="135">
        <v>0.73632538569425</v>
      </c>
      <c r="AB470" s="135">
        <v>0.913978494623656</v>
      </c>
      <c r="AC470" s="135">
        <v>0.897035515115938</v>
      </c>
      <c r="AD470" s="135">
        <v>0.92</v>
      </c>
      <c r="AE470" s="133">
        <v>0.999055712936733</v>
      </c>
      <c r="AF470" s="133">
        <v>0.986135181975737</v>
      </c>
      <c r="AG470" s="133">
        <v>0.994845360824742</v>
      </c>
      <c r="AH470" s="133">
        <v>0.974613831265899</v>
      </c>
      <c r="AI470" s="135">
        <v>0.92</v>
      </c>
      <c r="AJ470" s="133">
        <v>0.95414847161572</v>
      </c>
      <c r="AK470" s="133">
        <v>0.926382809391166</v>
      </c>
      <c r="AL470" s="133">
        <v>0.971266182507105</v>
      </c>
      <c r="AM470" s="133">
        <v>0.970628128223742</v>
      </c>
      <c r="AN470" s="132">
        <v>0.99</v>
      </c>
      <c r="AO470" s="137">
        <v>1</v>
      </c>
      <c r="AP470" s="137">
        <v>1</v>
      </c>
      <c r="AQ470" s="137">
        <v>1</v>
      </c>
      <c r="AR470" s="137">
        <v>1</v>
      </c>
      <c r="AS470" s="158">
        <v>0.05</v>
      </c>
      <c r="AT470" s="141">
        <v>0.111111111111111</v>
      </c>
      <c r="AU470" s="141">
        <v>0</v>
      </c>
      <c r="AV470" s="141">
        <v>0.0769230769230769</v>
      </c>
      <c r="AW470" s="141">
        <v>0.0292887029288703</v>
      </c>
      <c r="AX470" s="95"/>
      <c r="AY470" s="93"/>
    </row>
    <row r="471" ht="14.5" spans="1:51">
      <c r="A471" s="91"/>
      <c r="B471" s="95"/>
      <c r="C471" s="152" t="s">
        <v>375</v>
      </c>
      <c r="D471" s="153" t="s">
        <v>25</v>
      </c>
      <c r="E471" s="130" t="s">
        <v>376</v>
      </c>
      <c r="F471" s="154" t="s">
        <v>497</v>
      </c>
      <c r="G471" s="154" t="s">
        <v>497</v>
      </c>
      <c r="H471" s="154" t="s">
        <v>497</v>
      </c>
      <c r="I471" s="154" t="s">
        <v>497</v>
      </c>
      <c r="J471" s="132">
        <v>0.9</v>
      </c>
      <c r="K471" s="133">
        <v>1</v>
      </c>
      <c r="L471" s="133">
        <v>1</v>
      </c>
      <c r="M471" s="134">
        <v>1</v>
      </c>
      <c r="N471" s="133">
        <v>0.993031358885017</v>
      </c>
      <c r="O471" s="135">
        <v>0.9</v>
      </c>
      <c r="P471" s="133">
        <v>0.991951710261569</v>
      </c>
      <c r="Q471" s="133">
        <v>0.998048780487805</v>
      </c>
      <c r="R471" s="133">
        <v>0.995416348357525</v>
      </c>
      <c r="S471" s="133">
        <v>0.997257001283016</v>
      </c>
      <c r="T471" s="135">
        <v>0.9</v>
      </c>
      <c r="U471" s="133">
        <v>0.951710261569417</v>
      </c>
      <c r="V471" s="133">
        <v>0.91609756097561</v>
      </c>
      <c r="W471" s="133">
        <v>0.977081741787624</v>
      </c>
      <c r="X471" s="133">
        <v>0.957616245631111</v>
      </c>
      <c r="Y471" s="135">
        <v>0.92</v>
      </c>
      <c r="Z471" s="135">
        <v>0.846153846153846</v>
      </c>
      <c r="AA471" s="135">
        <v>0.883040935672515</v>
      </c>
      <c r="AB471" s="135">
        <v>0.935483870967742</v>
      </c>
      <c r="AC471" s="135">
        <v>0.921478060046189</v>
      </c>
      <c r="AD471" s="135">
        <v>0.92</v>
      </c>
      <c r="AE471" s="133">
        <v>1</v>
      </c>
      <c r="AF471" s="133">
        <v>1</v>
      </c>
      <c r="AG471" s="133">
        <v>1</v>
      </c>
      <c r="AH471" s="133">
        <v>0.995863495346432</v>
      </c>
      <c r="AI471" s="135">
        <v>0.92</v>
      </c>
      <c r="AJ471" s="133">
        <v>0.938438438438438</v>
      </c>
      <c r="AK471" s="133">
        <v>0.967418546365915</v>
      </c>
      <c r="AL471" s="133">
        <v>0.981108312342569</v>
      </c>
      <c r="AM471" s="133">
        <v>0.980879186158758</v>
      </c>
      <c r="AN471" s="132">
        <v>0.99</v>
      </c>
      <c r="AO471" s="137">
        <v>1</v>
      </c>
      <c r="AP471" s="137">
        <v>1</v>
      </c>
      <c r="AQ471" s="137">
        <v>1</v>
      </c>
      <c r="AR471" s="137">
        <v>1</v>
      </c>
      <c r="AS471" s="158">
        <v>0.05</v>
      </c>
      <c r="AT471" s="141">
        <v>0</v>
      </c>
      <c r="AU471" s="141">
        <v>1</v>
      </c>
      <c r="AV471" s="141">
        <v>0</v>
      </c>
      <c r="AW471" s="141">
        <v>0.0277777777777778</v>
      </c>
      <c r="AX471" s="95"/>
      <c r="AY471" s="93"/>
    </row>
    <row r="472" ht="14.5" spans="1:51">
      <c r="A472" s="91"/>
      <c r="B472" s="95"/>
      <c r="C472" s="152" t="s">
        <v>375</v>
      </c>
      <c r="D472" s="153" t="s">
        <v>25</v>
      </c>
      <c r="E472" s="130" t="s">
        <v>376</v>
      </c>
      <c r="F472" s="154" t="s">
        <v>498</v>
      </c>
      <c r="G472" s="154" t="s">
        <v>498</v>
      </c>
      <c r="H472" s="154" t="s">
        <v>498</v>
      </c>
      <c r="I472" s="154" t="s">
        <v>498</v>
      </c>
      <c r="J472" s="132">
        <v>0.9</v>
      </c>
      <c r="K472" s="133">
        <v>0.981818181818182</v>
      </c>
      <c r="L472" s="133">
        <v>0.985507246376812</v>
      </c>
      <c r="M472" s="134">
        <v>1</v>
      </c>
      <c r="N472" s="133">
        <v>0.978190630048465</v>
      </c>
      <c r="O472" s="135">
        <v>0.9</v>
      </c>
      <c r="P472" s="133">
        <v>0.978547050219405</v>
      </c>
      <c r="Q472" s="133">
        <v>0.976993166287016</v>
      </c>
      <c r="R472" s="133">
        <v>0.986453201970443</v>
      </c>
      <c r="S472" s="133">
        <v>0.982473335255117</v>
      </c>
      <c r="T472" s="135">
        <v>0.9</v>
      </c>
      <c r="U472" s="133">
        <v>0.932715748415407</v>
      </c>
      <c r="V472" s="133">
        <v>0.866059225512528</v>
      </c>
      <c r="W472" s="133">
        <v>0.916050903119869</v>
      </c>
      <c r="X472" s="133">
        <v>0.93257999423465</v>
      </c>
      <c r="Y472" s="135">
        <v>0.92</v>
      </c>
      <c r="Z472" s="135">
        <v>0.838315217391304</v>
      </c>
      <c r="AA472" s="135">
        <v>0.774774774774775</v>
      </c>
      <c r="AB472" s="135">
        <v>0.81758034026465</v>
      </c>
      <c r="AC472" s="135">
        <v>0.836888183794583</v>
      </c>
      <c r="AD472" s="135">
        <v>0.92</v>
      </c>
      <c r="AE472" s="133">
        <v>1</v>
      </c>
      <c r="AF472" s="133">
        <v>0.996588195155237</v>
      </c>
      <c r="AG472" s="133">
        <v>0.993141877411059</v>
      </c>
      <c r="AH472" s="133">
        <v>0.989354609298604</v>
      </c>
      <c r="AI472" s="135">
        <v>0.92</v>
      </c>
      <c r="AJ472" s="133">
        <v>0.932185145317546</v>
      </c>
      <c r="AK472" s="133">
        <v>0.922600619195046</v>
      </c>
      <c r="AL472" s="133">
        <v>0.939629005059022</v>
      </c>
      <c r="AM472" s="133">
        <v>0.952212969388542</v>
      </c>
      <c r="AN472" s="132">
        <v>0.99</v>
      </c>
      <c r="AO472" s="137">
        <v>1</v>
      </c>
      <c r="AP472" s="137">
        <v>1</v>
      </c>
      <c r="AQ472" s="137">
        <v>1</v>
      </c>
      <c r="AR472" s="137">
        <v>1</v>
      </c>
      <c r="AS472" s="158">
        <v>0.05</v>
      </c>
      <c r="AT472" s="141">
        <v>0.0625</v>
      </c>
      <c r="AU472" s="141">
        <v>0</v>
      </c>
      <c r="AV472" s="141">
        <v>0</v>
      </c>
      <c r="AW472" s="141">
        <v>0.0396341463414634</v>
      </c>
      <c r="AX472" s="95"/>
      <c r="AY472" s="93"/>
    </row>
    <row r="473" ht="14.5" spans="1:51">
      <c r="A473" s="91"/>
      <c r="B473" s="95"/>
      <c r="C473" s="152" t="s">
        <v>375</v>
      </c>
      <c r="D473" s="153" t="s">
        <v>25</v>
      </c>
      <c r="E473" s="130" t="s">
        <v>376</v>
      </c>
      <c r="F473" s="154" t="s">
        <v>499</v>
      </c>
      <c r="G473" s="154" t="s">
        <v>499</v>
      </c>
      <c r="H473" s="154" t="s">
        <v>499</v>
      </c>
      <c r="I473" s="154" t="s">
        <v>499</v>
      </c>
      <c r="J473" s="132">
        <v>0.9</v>
      </c>
      <c r="K473" s="133">
        <v>1</v>
      </c>
      <c r="L473" s="133">
        <v>1</v>
      </c>
      <c r="M473" s="134">
        <v>1</v>
      </c>
      <c r="N473" s="133">
        <v>0.995749202975558</v>
      </c>
      <c r="O473" s="135">
        <v>0.9</v>
      </c>
      <c r="P473" s="133">
        <v>0.98686679174484</v>
      </c>
      <c r="Q473" s="133">
        <v>0.983316481294237</v>
      </c>
      <c r="R473" s="133">
        <v>0.99109995435874</v>
      </c>
      <c r="S473" s="133">
        <v>0.986103450595278</v>
      </c>
      <c r="T473" s="135">
        <v>0.9</v>
      </c>
      <c r="U473" s="133">
        <v>0.959974984365228</v>
      </c>
      <c r="V473" s="133">
        <v>0.57355915065723</v>
      </c>
      <c r="W473" s="133">
        <v>0.951620264719306</v>
      </c>
      <c r="X473" s="133">
        <v>0.926575637317549</v>
      </c>
      <c r="Y473" s="135">
        <v>0.92</v>
      </c>
      <c r="Z473" s="135">
        <v>0.881526104417671</v>
      </c>
      <c r="AA473" s="135">
        <v>0.9125</v>
      </c>
      <c r="AB473" s="135">
        <v>0.930362116991644</v>
      </c>
      <c r="AC473" s="135">
        <v>0.918569020989735</v>
      </c>
      <c r="AD473" s="135">
        <v>0.92</v>
      </c>
      <c r="AE473" s="133">
        <v>1</v>
      </c>
      <c r="AF473" s="133">
        <v>0.967105263157895</v>
      </c>
      <c r="AG473" s="133">
        <v>0.991253644314869</v>
      </c>
      <c r="AH473" s="133">
        <v>0.991176664252321</v>
      </c>
      <c r="AI473" s="135">
        <v>0.92</v>
      </c>
      <c r="AJ473" s="133">
        <v>0.96137339055794</v>
      </c>
      <c r="AK473" s="133">
        <v>0.964833183047791</v>
      </c>
      <c r="AL473" s="133">
        <v>0.980003920799843</v>
      </c>
      <c r="AM473" s="133">
        <v>0.97864768683274</v>
      </c>
      <c r="AN473" s="132">
        <v>0.99</v>
      </c>
      <c r="AO473" s="137">
        <v>1</v>
      </c>
      <c r="AP473" s="137">
        <v>1</v>
      </c>
      <c r="AQ473" s="137">
        <v>1</v>
      </c>
      <c r="AR473" s="137">
        <v>1</v>
      </c>
      <c r="AS473" s="158">
        <v>0.05</v>
      </c>
      <c r="AT473" s="141">
        <v>0</v>
      </c>
      <c r="AU473" s="141">
        <v>0</v>
      </c>
      <c r="AV473" s="141">
        <v>0</v>
      </c>
      <c r="AW473" s="141">
        <v>0.0611353711790393</v>
      </c>
      <c r="AX473" s="95"/>
      <c r="AY473" s="93"/>
    </row>
    <row r="474" ht="14.5" spans="1:51">
      <c r="A474" s="91"/>
      <c r="B474" s="95"/>
      <c r="C474" s="152" t="s">
        <v>375</v>
      </c>
      <c r="D474" s="153" t="s">
        <v>25</v>
      </c>
      <c r="E474" s="130" t="s">
        <v>376</v>
      </c>
      <c r="F474" s="154" t="s">
        <v>500</v>
      </c>
      <c r="G474" s="154" t="s">
        <v>500</v>
      </c>
      <c r="H474" s="154" t="s">
        <v>500</v>
      </c>
      <c r="I474" s="154" t="s">
        <v>500</v>
      </c>
      <c r="J474" s="132">
        <v>0.9</v>
      </c>
      <c r="K474" s="133">
        <v>0.971428571428571</v>
      </c>
      <c r="L474" s="133">
        <v>0.942857142857143</v>
      </c>
      <c r="M474" s="134">
        <v>0.941176470588235</v>
      </c>
      <c r="N474" s="133">
        <v>0.958083832335329</v>
      </c>
      <c r="O474" s="135">
        <v>0.9</v>
      </c>
      <c r="P474" s="133">
        <v>0.983870967741935</v>
      </c>
      <c r="Q474" s="133">
        <v>0.982568027210884</v>
      </c>
      <c r="R474" s="133">
        <v>0.984986033519553</v>
      </c>
      <c r="S474" s="133">
        <v>0.982449544914919</v>
      </c>
      <c r="T474" s="135">
        <v>0.9</v>
      </c>
      <c r="U474" s="133">
        <v>0.921052631578947</v>
      </c>
      <c r="V474" s="133">
        <v>0.529761904761905</v>
      </c>
      <c r="W474" s="133">
        <v>0.924930167597765</v>
      </c>
      <c r="X474" s="133">
        <v>0.906529481598734</v>
      </c>
      <c r="Y474" s="135">
        <v>0.92</v>
      </c>
      <c r="Z474" s="135">
        <v>0.748166259168704</v>
      </c>
      <c r="AA474" s="135">
        <v>0.372596153846154</v>
      </c>
      <c r="AB474" s="135">
        <v>0.849785407725322</v>
      </c>
      <c r="AC474" s="135">
        <v>0.746262666800442</v>
      </c>
      <c r="AD474" s="135">
        <v>0.92</v>
      </c>
      <c r="AE474" s="133">
        <v>0.988394584139265</v>
      </c>
      <c r="AF474" s="133">
        <v>0.716417910447761</v>
      </c>
      <c r="AG474" s="133">
        <v>0.995529061102832</v>
      </c>
      <c r="AH474" s="133">
        <v>0.955495875695377</v>
      </c>
      <c r="AI474" s="135">
        <v>0.92</v>
      </c>
      <c r="AJ474" s="133">
        <v>0.899810964083176</v>
      </c>
      <c r="AK474" s="133">
        <v>0.845431563741423</v>
      </c>
      <c r="AL474" s="133">
        <v>0.95453269716531</v>
      </c>
      <c r="AM474" s="133">
        <v>0.938587648118462</v>
      </c>
      <c r="AN474" s="132">
        <v>0.99</v>
      </c>
      <c r="AO474" s="137">
        <v>1</v>
      </c>
      <c r="AP474" s="137">
        <v>1</v>
      </c>
      <c r="AQ474" s="137">
        <v>1</v>
      </c>
      <c r="AR474" s="137">
        <v>1</v>
      </c>
      <c r="AS474" s="158">
        <v>0.05</v>
      </c>
      <c r="AT474" s="141">
        <v>0.0833333333333333</v>
      </c>
      <c r="AU474" s="141">
        <v>0</v>
      </c>
      <c r="AV474" s="141">
        <v>0</v>
      </c>
      <c r="AW474" s="141">
        <v>0.0515463917525773</v>
      </c>
      <c r="AX474" s="95"/>
      <c r="AY474" s="93"/>
    </row>
    <row r="475" ht="14.5" spans="1:51">
      <c r="A475" s="91"/>
      <c r="B475" s="95"/>
      <c r="C475" s="152" t="s">
        <v>375</v>
      </c>
      <c r="D475" s="153" t="s">
        <v>25</v>
      </c>
      <c r="E475" s="130" t="s">
        <v>376</v>
      </c>
      <c r="F475" s="154" t="s">
        <v>501</v>
      </c>
      <c r="G475" s="154" t="s">
        <v>501</v>
      </c>
      <c r="H475" s="154" t="s">
        <v>501</v>
      </c>
      <c r="I475" s="154" t="s">
        <v>501</v>
      </c>
      <c r="J475" s="132">
        <v>0.9</v>
      </c>
      <c r="K475" s="133">
        <v>0.958333333333333</v>
      </c>
      <c r="L475" s="133">
        <v>0.91304347826087</v>
      </c>
      <c r="M475" s="134">
        <v>1</v>
      </c>
      <c r="N475" s="133">
        <v>0.980132450331126</v>
      </c>
      <c r="O475" s="135">
        <v>0.9</v>
      </c>
      <c r="P475" s="133">
        <v>0.960511033681765</v>
      </c>
      <c r="Q475" s="133">
        <v>0.845496383957922</v>
      </c>
      <c r="R475" s="133">
        <v>0.970035252643948</v>
      </c>
      <c r="S475" s="133">
        <v>0.972847973823307</v>
      </c>
      <c r="T475" s="135">
        <v>0.9</v>
      </c>
      <c r="U475" s="133">
        <v>0.880371660859466</v>
      </c>
      <c r="V475" s="133">
        <v>0.48586456278764</v>
      </c>
      <c r="W475" s="133">
        <v>0.881903642773208</v>
      </c>
      <c r="X475" s="133">
        <v>0.851749307827838</v>
      </c>
      <c r="Y475" s="135">
        <v>0.92</v>
      </c>
      <c r="Z475" s="135">
        <v>0</v>
      </c>
      <c r="AA475" s="135" t="s">
        <v>35</v>
      </c>
      <c r="AB475" s="135" t="s">
        <v>35</v>
      </c>
      <c r="AC475" s="135">
        <v>0.833333333333333</v>
      </c>
      <c r="AD475" s="135">
        <v>0.92</v>
      </c>
      <c r="AE475" s="133">
        <v>0.999024865919064</v>
      </c>
      <c r="AF475" s="133">
        <v>0.99136786188579</v>
      </c>
      <c r="AG475" s="133">
        <v>0.994674887892377</v>
      </c>
      <c r="AH475" s="133">
        <v>0.988788589998195</v>
      </c>
      <c r="AI475" s="135">
        <v>0.92</v>
      </c>
      <c r="AJ475" s="133">
        <v>0.936268829663963</v>
      </c>
      <c r="AK475" s="133">
        <v>0.811965811965812</v>
      </c>
      <c r="AL475" s="133">
        <v>0.963615023474178</v>
      </c>
      <c r="AM475" s="133">
        <v>0.955030032390956</v>
      </c>
      <c r="AN475" s="132">
        <v>0.99</v>
      </c>
      <c r="AO475" s="137">
        <v>1</v>
      </c>
      <c r="AP475" s="137">
        <v>1</v>
      </c>
      <c r="AQ475" s="137">
        <v>1</v>
      </c>
      <c r="AR475" s="137">
        <v>1</v>
      </c>
      <c r="AS475" s="158">
        <v>0.05</v>
      </c>
      <c r="AT475" s="141">
        <v>0</v>
      </c>
      <c r="AU475" s="141">
        <v>0</v>
      </c>
      <c r="AV475" s="141">
        <v>0</v>
      </c>
      <c r="AW475" s="141">
        <v>0.0769230769230769</v>
      </c>
      <c r="AX475" s="95"/>
      <c r="AY475" s="93"/>
    </row>
    <row r="476" ht="14.5" spans="1:51">
      <c r="A476" s="91"/>
      <c r="B476" s="95"/>
      <c r="C476" s="152" t="s">
        <v>375</v>
      </c>
      <c r="D476" s="153" t="s">
        <v>25</v>
      </c>
      <c r="E476" s="130" t="s">
        <v>376</v>
      </c>
      <c r="F476" s="154" t="s">
        <v>502</v>
      </c>
      <c r="G476" s="154" t="s">
        <v>502</v>
      </c>
      <c r="H476" s="154" t="s">
        <v>502</v>
      </c>
      <c r="I476" s="154" t="s">
        <v>502</v>
      </c>
      <c r="J476" s="132">
        <v>0.9</v>
      </c>
      <c r="K476" s="133">
        <v>1</v>
      </c>
      <c r="L476" s="133">
        <v>1</v>
      </c>
      <c r="M476" s="134">
        <v>1</v>
      </c>
      <c r="N476" s="133">
        <v>1</v>
      </c>
      <c r="O476" s="135">
        <v>0.9</v>
      </c>
      <c r="P476" s="133">
        <v>0.99558693733451</v>
      </c>
      <c r="Q476" s="133">
        <v>0.970697674418605</v>
      </c>
      <c r="R476" s="133">
        <v>0.996503496503496</v>
      </c>
      <c r="S476" s="133">
        <v>0.992892236326907</v>
      </c>
      <c r="T476" s="135">
        <v>0.9</v>
      </c>
      <c r="U476" s="133">
        <v>0.966460723742277</v>
      </c>
      <c r="V476" s="133">
        <v>0.830697674418605</v>
      </c>
      <c r="W476" s="133">
        <v>0.963286713286713</v>
      </c>
      <c r="X476" s="133">
        <v>0.95069456567823</v>
      </c>
      <c r="Y476" s="135">
        <v>0.92</v>
      </c>
      <c r="Z476" s="135">
        <v>0.940677966101695</v>
      </c>
      <c r="AA476" s="135">
        <v>0.924528301886792</v>
      </c>
      <c r="AB476" s="135">
        <v>0.943396226415094</v>
      </c>
      <c r="AC476" s="135">
        <v>0.956166589967786</v>
      </c>
      <c r="AD476" s="135">
        <v>0.92</v>
      </c>
      <c r="AE476" s="133">
        <v>0.998934469898775</v>
      </c>
      <c r="AF476" s="133">
        <v>0.997658079625293</v>
      </c>
      <c r="AG476" s="133">
        <v>0.994871794871795</v>
      </c>
      <c r="AH476" s="133">
        <v>0.995862383527725</v>
      </c>
      <c r="AI476" s="135">
        <v>0.92</v>
      </c>
      <c r="AJ476" s="133">
        <v>0.977150537634409</v>
      </c>
      <c r="AK476" s="133">
        <v>0.955834683954619</v>
      </c>
      <c r="AL476" s="133">
        <v>0.980127750177431</v>
      </c>
      <c r="AM476" s="133">
        <v>0.9829282288806</v>
      </c>
      <c r="AN476" s="132">
        <v>0.99</v>
      </c>
      <c r="AO476" s="137">
        <v>1</v>
      </c>
      <c r="AP476" s="137">
        <v>1</v>
      </c>
      <c r="AQ476" s="137">
        <v>1</v>
      </c>
      <c r="AR476" s="137">
        <v>1</v>
      </c>
      <c r="AS476" s="158">
        <v>0.05</v>
      </c>
      <c r="AT476" s="141">
        <v>0.125</v>
      </c>
      <c r="AU476" s="141">
        <v>0</v>
      </c>
      <c r="AV476" s="141">
        <v>0</v>
      </c>
      <c r="AW476" s="141">
        <v>0.0422535211267606</v>
      </c>
      <c r="AX476" s="95"/>
      <c r="AY476" s="93"/>
    </row>
    <row r="477" ht="14.5" spans="1:51">
      <c r="A477" s="91"/>
      <c r="B477" s="95"/>
      <c r="C477" s="152" t="s">
        <v>375</v>
      </c>
      <c r="D477" s="153" t="s">
        <v>25</v>
      </c>
      <c r="E477" s="130" t="s">
        <v>376</v>
      </c>
      <c r="F477" s="154" t="s">
        <v>503</v>
      </c>
      <c r="G477" s="154" t="s">
        <v>503</v>
      </c>
      <c r="H477" s="154" t="s">
        <v>503</v>
      </c>
      <c r="I477" s="154" t="s">
        <v>503</v>
      </c>
      <c r="J477" s="132">
        <v>0.9</v>
      </c>
      <c r="K477" s="133">
        <v>1</v>
      </c>
      <c r="L477" s="133">
        <v>0.944444444444444</v>
      </c>
      <c r="M477" s="134">
        <v>0.947368421052632</v>
      </c>
      <c r="N477" s="133">
        <v>0.901408450704225</v>
      </c>
      <c r="O477" s="135">
        <v>0.9</v>
      </c>
      <c r="P477" s="133">
        <v>0.979768786127168</v>
      </c>
      <c r="Q477" s="133">
        <v>0.928700906344411</v>
      </c>
      <c r="R477" s="133">
        <v>0.983201832527361</v>
      </c>
      <c r="S477" s="133">
        <v>0.982080531199455</v>
      </c>
      <c r="T477" s="135">
        <v>0.9</v>
      </c>
      <c r="U477" s="133">
        <v>0.906936416184971</v>
      </c>
      <c r="V477" s="133">
        <v>0.42809667673716</v>
      </c>
      <c r="W477" s="133">
        <v>0.885212522270298</v>
      </c>
      <c r="X477" s="133">
        <v>0.870179620328595</v>
      </c>
      <c r="Y477" s="135">
        <v>0.92</v>
      </c>
      <c r="Z477" s="135">
        <v>0</v>
      </c>
      <c r="AA477" s="135">
        <v>0</v>
      </c>
      <c r="AB477" s="135" t="s">
        <v>35</v>
      </c>
      <c r="AC477" s="135">
        <v>0</v>
      </c>
      <c r="AD477" s="135">
        <v>0.92</v>
      </c>
      <c r="AE477" s="133">
        <v>1</v>
      </c>
      <c r="AF477" s="133">
        <v>0.914110429447853</v>
      </c>
      <c r="AG477" s="133">
        <v>0.990839694656489</v>
      </c>
      <c r="AH477" s="133">
        <v>0.991739056378811</v>
      </c>
      <c r="AI477" s="135">
        <v>0.92</v>
      </c>
      <c r="AJ477" s="133">
        <v>0.946335833814195</v>
      </c>
      <c r="AK477" s="133">
        <v>0.945048309178744</v>
      </c>
      <c r="AL477" s="133">
        <v>0.969457877322474</v>
      </c>
      <c r="AM477" s="133">
        <v>0.974846782431052</v>
      </c>
      <c r="AN477" s="132">
        <v>0.99</v>
      </c>
      <c r="AO477" s="137">
        <v>1</v>
      </c>
      <c r="AP477" s="137">
        <v>1</v>
      </c>
      <c r="AQ477" s="137">
        <v>1</v>
      </c>
      <c r="AR477" s="137">
        <v>1</v>
      </c>
      <c r="AS477" s="158">
        <v>0.05</v>
      </c>
      <c r="AT477" s="141">
        <v>0</v>
      </c>
      <c r="AU477" s="141">
        <v>0</v>
      </c>
      <c r="AV477" s="141">
        <v>0.153846153846154</v>
      </c>
      <c r="AW477" s="141">
        <v>0.0579150579150579</v>
      </c>
      <c r="AX477" s="95"/>
      <c r="AY477" s="93"/>
    </row>
    <row r="478" ht="14.5" spans="1:51">
      <c r="A478" s="91"/>
      <c r="B478" s="95"/>
      <c r="C478" s="152" t="s">
        <v>375</v>
      </c>
      <c r="D478" s="153" t="s">
        <v>25</v>
      </c>
      <c r="E478" s="130" t="s">
        <v>376</v>
      </c>
      <c r="F478" s="154" t="s">
        <v>504</v>
      </c>
      <c r="G478" s="154" t="s">
        <v>504</v>
      </c>
      <c r="H478" s="154" t="s">
        <v>504</v>
      </c>
      <c r="I478" s="154" t="s">
        <v>504</v>
      </c>
      <c r="J478" s="132">
        <v>0.9</v>
      </c>
      <c r="K478" s="133">
        <v>1</v>
      </c>
      <c r="L478" s="133">
        <v>0.961538461538462</v>
      </c>
      <c r="M478" s="134">
        <v>0.888888888888889</v>
      </c>
      <c r="N478" s="133">
        <v>0.956087824351297</v>
      </c>
      <c r="O478" s="135">
        <v>0.9</v>
      </c>
      <c r="P478" s="133">
        <v>0.993067590987868</v>
      </c>
      <c r="Q478" s="133">
        <v>0.992027334851936</v>
      </c>
      <c r="R478" s="133">
        <v>0.991299619358347</v>
      </c>
      <c r="S478" s="133">
        <v>0.988309916288675</v>
      </c>
      <c r="T478" s="135">
        <v>0.9</v>
      </c>
      <c r="U478" s="133">
        <v>0.902946273830156</v>
      </c>
      <c r="V478" s="133">
        <v>0.905466970387244</v>
      </c>
      <c r="W478" s="133">
        <v>0.905927134312126</v>
      </c>
      <c r="X478" s="133">
        <v>0.879005789726002</v>
      </c>
      <c r="Y478" s="135">
        <v>0.92</v>
      </c>
      <c r="Z478" s="135">
        <v>0.913793103448276</v>
      </c>
      <c r="AA478" s="135">
        <v>0.924078091106291</v>
      </c>
      <c r="AB478" s="135">
        <v>0.903934593765968</v>
      </c>
      <c r="AC478" s="135">
        <v>0.90998461847121</v>
      </c>
      <c r="AD478" s="135">
        <v>0.92</v>
      </c>
      <c r="AE478" s="133">
        <v>1</v>
      </c>
      <c r="AF478" s="133">
        <v>1</v>
      </c>
      <c r="AG478" s="133">
        <v>1</v>
      </c>
      <c r="AH478" s="133">
        <v>0.998738329548322</v>
      </c>
      <c r="AI478" s="135">
        <v>0.92</v>
      </c>
      <c r="AJ478" s="133">
        <v>0.928239202657807</v>
      </c>
      <c r="AK478" s="133">
        <v>0.948888888888889</v>
      </c>
      <c r="AL478" s="133">
        <v>0.938883034773446</v>
      </c>
      <c r="AM478" s="133">
        <v>0.942015009117688</v>
      </c>
      <c r="AN478" s="132">
        <v>0.99</v>
      </c>
      <c r="AO478" s="137">
        <v>1</v>
      </c>
      <c r="AP478" s="137">
        <v>1</v>
      </c>
      <c r="AQ478" s="137">
        <v>1</v>
      </c>
      <c r="AR478" s="137">
        <v>1</v>
      </c>
      <c r="AS478" s="158">
        <v>0.05</v>
      </c>
      <c r="AT478" s="141">
        <v>0</v>
      </c>
      <c r="AU478" s="141">
        <v>0</v>
      </c>
      <c r="AV478" s="141">
        <v>0</v>
      </c>
      <c r="AW478" s="141">
        <v>0.0632911392405063</v>
      </c>
      <c r="AX478" s="95"/>
      <c r="AY478" s="93"/>
    </row>
    <row r="479" ht="14.5" spans="1:51">
      <c r="A479" s="91"/>
      <c r="B479" s="95"/>
      <c r="C479" s="152" t="s">
        <v>375</v>
      </c>
      <c r="D479" s="153" t="s">
        <v>25</v>
      </c>
      <c r="E479" s="130" t="s">
        <v>376</v>
      </c>
      <c r="F479" s="154" t="s">
        <v>505</v>
      </c>
      <c r="G479" s="154" t="s">
        <v>505</v>
      </c>
      <c r="H479" s="154" t="s">
        <v>505</v>
      </c>
      <c r="I479" s="154" t="s">
        <v>505</v>
      </c>
      <c r="J479" s="132">
        <v>0.9</v>
      </c>
      <c r="K479" s="133">
        <v>0.76</v>
      </c>
      <c r="L479" s="133">
        <v>0.923076923076923</v>
      </c>
      <c r="M479" s="134">
        <v>0.916666666666667</v>
      </c>
      <c r="N479" s="133">
        <v>0.88517745302714</v>
      </c>
      <c r="O479" s="135">
        <v>0.9</v>
      </c>
      <c r="P479" s="133">
        <v>0.988645579886456</v>
      </c>
      <c r="Q479" s="133">
        <v>0.996941896024465</v>
      </c>
      <c r="R479" s="133">
        <v>0.995575221238938</v>
      </c>
      <c r="S479" s="133">
        <v>0.99233513100344</v>
      </c>
      <c r="T479" s="135">
        <v>0.9</v>
      </c>
      <c r="U479" s="133">
        <v>0.920519059205191</v>
      </c>
      <c r="V479" s="133">
        <v>0.942332896461337</v>
      </c>
      <c r="W479" s="133">
        <v>0.872050147492625</v>
      </c>
      <c r="X479" s="133">
        <v>0.910548218608009</v>
      </c>
      <c r="Y479" s="135">
        <v>0.92</v>
      </c>
      <c r="Z479" s="135" t="s">
        <v>35</v>
      </c>
      <c r="AA479" s="135">
        <v>0</v>
      </c>
      <c r="AB479" s="135" t="s">
        <v>35</v>
      </c>
      <c r="AC479" s="135">
        <v>0</v>
      </c>
      <c r="AD479" s="135">
        <v>0.92</v>
      </c>
      <c r="AE479" s="133">
        <v>1</v>
      </c>
      <c r="AF479" s="133">
        <v>1</v>
      </c>
      <c r="AG479" s="133">
        <v>1</v>
      </c>
      <c r="AH479" s="133">
        <v>0.99435318275154</v>
      </c>
      <c r="AI479" s="135">
        <v>0.92</v>
      </c>
      <c r="AJ479" s="133">
        <v>0.97404703974047</v>
      </c>
      <c r="AK479" s="133">
        <v>0.981230903535574</v>
      </c>
      <c r="AL479" s="133">
        <v>0.974926253687316</v>
      </c>
      <c r="AM479" s="133">
        <v>0.986773385418878</v>
      </c>
      <c r="AN479" s="132">
        <v>0.99</v>
      </c>
      <c r="AO479" s="137">
        <v>1</v>
      </c>
      <c r="AP479" s="137">
        <v>1</v>
      </c>
      <c r="AQ479" s="137">
        <v>1</v>
      </c>
      <c r="AR479" s="137">
        <v>1</v>
      </c>
      <c r="AS479" s="158">
        <v>0.05</v>
      </c>
      <c r="AT479" s="141">
        <v>0</v>
      </c>
      <c r="AU479" s="141">
        <v>0</v>
      </c>
      <c r="AV479" s="141">
        <v>0</v>
      </c>
      <c r="AW479" s="141">
        <v>0.0495867768595041</v>
      </c>
      <c r="AX479" s="95"/>
      <c r="AY479" s="93"/>
    </row>
    <row r="480" ht="14.5" spans="1:51">
      <c r="A480" s="91"/>
      <c r="B480" s="95"/>
      <c r="C480" s="152" t="s">
        <v>375</v>
      </c>
      <c r="D480" s="153" t="s">
        <v>25</v>
      </c>
      <c r="E480" s="130" t="s">
        <v>376</v>
      </c>
      <c r="F480" s="154" t="s">
        <v>506</v>
      </c>
      <c r="G480" s="154" t="s">
        <v>506</v>
      </c>
      <c r="H480" s="154" t="s">
        <v>506</v>
      </c>
      <c r="I480" s="154" t="s">
        <v>506</v>
      </c>
      <c r="J480" s="132">
        <v>0.9</v>
      </c>
      <c r="K480" s="133">
        <v>0.816326530612245</v>
      </c>
      <c r="L480" s="133">
        <v>0.75609756097561</v>
      </c>
      <c r="M480" s="134">
        <v>0.893617021276596</v>
      </c>
      <c r="N480" s="133">
        <v>0.777380952380952</v>
      </c>
      <c r="O480" s="135">
        <v>0.9</v>
      </c>
      <c r="P480" s="133">
        <v>0.985227272727273</v>
      </c>
      <c r="Q480" s="133">
        <v>0.992576095025984</v>
      </c>
      <c r="R480" s="133">
        <v>0.984590429845904</v>
      </c>
      <c r="S480" s="133">
        <v>0.984956268221574</v>
      </c>
      <c r="T480" s="135">
        <v>0.9</v>
      </c>
      <c r="U480" s="133">
        <v>0.872727272727273</v>
      </c>
      <c r="V480" s="133">
        <v>0.902746844840386</v>
      </c>
      <c r="W480" s="133">
        <v>0.89132197891322</v>
      </c>
      <c r="X480" s="133">
        <v>0.88997084548105</v>
      </c>
      <c r="Y480" s="135">
        <v>0.92</v>
      </c>
      <c r="Z480" s="135">
        <v>0.870614035087719</v>
      </c>
      <c r="AA480" s="135">
        <v>0.787692307692308</v>
      </c>
      <c r="AB480" s="135">
        <v>0.869649805447471</v>
      </c>
      <c r="AC480" s="135">
        <v>0.855648936461442</v>
      </c>
      <c r="AD480" s="135">
        <v>0.92</v>
      </c>
      <c r="AE480" s="133">
        <v>0.997881355932203</v>
      </c>
      <c r="AF480" s="133">
        <v>0.932203389830508</v>
      </c>
      <c r="AG480" s="133">
        <v>0.996138996138996</v>
      </c>
      <c r="AH480" s="133">
        <v>0.994477485131691</v>
      </c>
      <c r="AI480" s="135">
        <v>0.92</v>
      </c>
      <c r="AJ480" s="133">
        <v>0.90346975088968</v>
      </c>
      <c r="AK480" s="133">
        <v>0.871930487344163</v>
      </c>
      <c r="AL480" s="133">
        <v>0.916435093290988</v>
      </c>
      <c r="AM480" s="133">
        <v>0.912440184633626</v>
      </c>
      <c r="AN480" s="132">
        <v>0.99</v>
      </c>
      <c r="AO480" s="137">
        <v>1</v>
      </c>
      <c r="AP480" s="137">
        <v>1</v>
      </c>
      <c r="AQ480" s="137">
        <v>1</v>
      </c>
      <c r="AR480" s="137">
        <v>1</v>
      </c>
      <c r="AS480" s="158">
        <v>0.05</v>
      </c>
      <c r="AT480" s="141">
        <v>0</v>
      </c>
      <c r="AU480" s="141">
        <v>0.333333333333333</v>
      </c>
      <c r="AV480" s="141">
        <v>0.0833333333333333</v>
      </c>
      <c r="AW480" s="141">
        <v>0.0523255813953488</v>
      </c>
      <c r="AX480" s="95"/>
      <c r="AY480" s="93"/>
    </row>
    <row r="481" ht="14.5" spans="1:51">
      <c r="A481" s="91"/>
      <c r="B481" s="95"/>
      <c r="C481" s="152" t="s">
        <v>375</v>
      </c>
      <c r="D481" s="153" t="s">
        <v>25</v>
      </c>
      <c r="E481" s="130" t="s">
        <v>376</v>
      </c>
      <c r="F481" s="154" t="s">
        <v>507</v>
      </c>
      <c r="G481" s="154" t="s">
        <v>507</v>
      </c>
      <c r="H481" s="154" t="s">
        <v>507</v>
      </c>
      <c r="I481" s="154" t="s">
        <v>507</v>
      </c>
      <c r="J481" s="132">
        <v>0.9</v>
      </c>
      <c r="K481" s="133">
        <v>0.944444444444444</v>
      </c>
      <c r="L481" s="133">
        <v>0.967741935483871</v>
      </c>
      <c r="M481" s="134">
        <v>0.970588235294118</v>
      </c>
      <c r="N481" s="133">
        <v>0.980830670926518</v>
      </c>
      <c r="O481" s="135">
        <v>0.9</v>
      </c>
      <c r="P481" s="133">
        <v>0.983154670750383</v>
      </c>
      <c r="Q481" s="133">
        <v>0.994703389830508</v>
      </c>
      <c r="R481" s="133">
        <v>0.993389423076923</v>
      </c>
      <c r="S481" s="133">
        <v>0.995672624647225</v>
      </c>
      <c r="T481" s="135">
        <v>0.9</v>
      </c>
      <c r="U481" s="133">
        <v>0.868300153139357</v>
      </c>
      <c r="V481" s="133">
        <v>0.93114406779661</v>
      </c>
      <c r="W481" s="133">
        <v>0.908052884615385</v>
      </c>
      <c r="X481" s="133">
        <v>0.920827845719661</v>
      </c>
      <c r="Y481" s="135">
        <v>0.92</v>
      </c>
      <c r="Z481" s="135">
        <v>0.933689839572193</v>
      </c>
      <c r="AA481" s="135">
        <v>0.920056100981767</v>
      </c>
      <c r="AB481" s="135">
        <v>0.9484404837683</v>
      </c>
      <c r="AC481" s="135">
        <v>0.951661155723508</v>
      </c>
      <c r="AD481" s="135">
        <v>0.92</v>
      </c>
      <c r="AE481" s="133">
        <v>0.997516556291391</v>
      </c>
      <c r="AF481" s="133">
        <v>0.907915993537964</v>
      </c>
      <c r="AG481" s="133">
        <v>0.998986828774063</v>
      </c>
      <c r="AH481" s="133">
        <v>0.989716967004443</v>
      </c>
      <c r="AI481" s="135">
        <v>0.92</v>
      </c>
      <c r="AJ481" s="133">
        <v>0.947732997481108</v>
      </c>
      <c r="AK481" s="133">
        <v>0.953530476765238</v>
      </c>
      <c r="AL481" s="133">
        <v>0.967233384853168</v>
      </c>
      <c r="AM481" s="133">
        <v>0.967970297982033</v>
      </c>
      <c r="AN481" s="132">
        <v>0.99</v>
      </c>
      <c r="AO481" s="137">
        <v>1</v>
      </c>
      <c r="AP481" s="137">
        <v>1</v>
      </c>
      <c r="AQ481" s="137">
        <v>1</v>
      </c>
      <c r="AR481" s="137">
        <v>1</v>
      </c>
      <c r="AS481" s="158">
        <v>0.05</v>
      </c>
      <c r="AT481" s="141">
        <v>0</v>
      </c>
      <c r="AU481" s="141">
        <v>0</v>
      </c>
      <c r="AV481" s="141">
        <v>0</v>
      </c>
      <c r="AW481" s="141">
        <v>0.0384615384615385</v>
      </c>
      <c r="AX481" s="95"/>
      <c r="AY481" s="93"/>
    </row>
    <row r="482" ht="14.5" spans="1:51">
      <c r="A482" s="91"/>
      <c r="B482" s="95"/>
      <c r="C482" s="152" t="s">
        <v>375</v>
      </c>
      <c r="D482" s="153" t="s">
        <v>25</v>
      </c>
      <c r="E482" s="130" t="s">
        <v>376</v>
      </c>
      <c r="F482" s="154" t="s">
        <v>508</v>
      </c>
      <c r="G482" s="154" t="s">
        <v>508</v>
      </c>
      <c r="H482" s="154" t="s">
        <v>508</v>
      </c>
      <c r="I482" s="154" t="s">
        <v>508</v>
      </c>
      <c r="J482" s="132">
        <v>0.9</v>
      </c>
      <c r="K482" s="133">
        <v>0.947368421052632</v>
      </c>
      <c r="L482" s="133">
        <v>0.947368421052632</v>
      </c>
      <c r="M482" s="134">
        <v>0.954545454545455</v>
      </c>
      <c r="N482" s="133">
        <v>0.937321937321937</v>
      </c>
      <c r="O482" s="135">
        <v>0.9</v>
      </c>
      <c r="P482" s="133">
        <v>0.994444444444444</v>
      </c>
      <c r="Q482" s="133">
        <v>0.994475138121547</v>
      </c>
      <c r="R482" s="133">
        <v>0.991752577319588</v>
      </c>
      <c r="S482" s="133">
        <v>0.994347443788469</v>
      </c>
      <c r="T482" s="135">
        <v>0.9</v>
      </c>
      <c r="U482" s="133">
        <v>0.911111111111111</v>
      </c>
      <c r="V482" s="133">
        <v>0.906077348066298</v>
      </c>
      <c r="W482" s="133">
        <v>0.945360824742268</v>
      </c>
      <c r="X482" s="133">
        <v>0.930536364778294</v>
      </c>
      <c r="Y482" s="135">
        <v>0.92</v>
      </c>
      <c r="Z482" s="135">
        <v>0.97148288973384</v>
      </c>
      <c r="AA482" s="135">
        <v>0.967611336032389</v>
      </c>
      <c r="AB482" s="135">
        <v>0.958614051973051</v>
      </c>
      <c r="AC482" s="135">
        <v>0.963621665319321</v>
      </c>
      <c r="AD482" s="135">
        <v>0.92</v>
      </c>
      <c r="AE482" s="133">
        <v>0.985611510791367</v>
      </c>
      <c r="AF482" s="133">
        <v>1</v>
      </c>
      <c r="AG482" s="133">
        <v>0.846153846153846</v>
      </c>
      <c r="AH482" s="133">
        <v>0.987856388595565</v>
      </c>
      <c r="AI482" s="135">
        <v>0.92</v>
      </c>
      <c r="AJ482" s="133">
        <v>0.978555304740406</v>
      </c>
      <c r="AK482" s="133">
        <v>0.980732177263969</v>
      </c>
      <c r="AL482" s="133">
        <v>0.974116475858636</v>
      </c>
      <c r="AM482" s="133">
        <v>0.978486936175744</v>
      </c>
      <c r="AN482" s="132">
        <v>0.99</v>
      </c>
      <c r="AO482" s="137">
        <v>1</v>
      </c>
      <c r="AP482" s="137">
        <v>1</v>
      </c>
      <c r="AQ482" s="137">
        <v>1</v>
      </c>
      <c r="AR482" s="137">
        <v>1</v>
      </c>
      <c r="AS482" s="158">
        <v>0.05</v>
      </c>
      <c r="AT482" s="141">
        <v>0.2</v>
      </c>
      <c r="AU482" s="141">
        <v>0.333333333333333</v>
      </c>
      <c r="AV482" s="141">
        <v>0.166666666666667</v>
      </c>
      <c r="AW482" s="141">
        <v>0.102272727272727</v>
      </c>
      <c r="AX482" s="95"/>
      <c r="AY482" s="93"/>
    </row>
    <row r="483" ht="14.5" spans="1:51">
      <c r="A483" s="91"/>
      <c r="B483" s="95"/>
      <c r="C483" s="152" t="s">
        <v>375</v>
      </c>
      <c r="D483" s="153" t="s">
        <v>25</v>
      </c>
      <c r="E483" s="130" t="s">
        <v>376</v>
      </c>
      <c r="F483" s="154" t="s">
        <v>509</v>
      </c>
      <c r="G483" s="154" t="s">
        <v>509</v>
      </c>
      <c r="H483" s="154" t="s">
        <v>509</v>
      </c>
      <c r="I483" s="154" t="s">
        <v>509</v>
      </c>
      <c r="J483" s="132">
        <v>0.9</v>
      </c>
      <c r="K483" s="133">
        <v>0.957446808510638</v>
      </c>
      <c r="L483" s="133">
        <v>0.923076923076923</v>
      </c>
      <c r="M483" s="134">
        <v>0.951219512195122</v>
      </c>
      <c r="N483" s="133">
        <v>0.890804597701149</v>
      </c>
      <c r="O483" s="135">
        <v>0.9</v>
      </c>
      <c r="P483" s="133">
        <v>0.983484723369116</v>
      </c>
      <c r="Q483" s="133">
        <v>0.961222091656874</v>
      </c>
      <c r="R483" s="133">
        <v>0.938915857605178</v>
      </c>
      <c r="S483" s="133">
        <v>0.952465274583755</v>
      </c>
      <c r="T483" s="135">
        <v>0.9</v>
      </c>
      <c r="U483" s="133">
        <v>0.884393063583815</v>
      </c>
      <c r="V483" s="133">
        <v>0.870740305522914</v>
      </c>
      <c r="W483" s="133">
        <v>0.835355987055016</v>
      </c>
      <c r="X483" s="133">
        <v>0.852359488547512</v>
      </c>
      <c r="Y483" s="135">
        <v>0.92</v>
      </c>
      <c r="Z483" s="135">
        <v>0.879156010230179</v>
      </c>
      <c r="AA483" s="135">
        <v>0.836750788643533</v>
      </c>
      <c r="AB483" s="135">
        <v>0.877623621487015</v>
      </c>
      <c r="AC483" s="135">
        <v>0.88350767245749</v>
      </c>
      <c r="AD483" s="135">
        <v>0.92</v>
      </c>
      <c r="AE483" s="133">
        <v>0.982029244335305</v>
      </c>
      <c r="AF483" s="133">
        <v>0.997968069666183</v>
      </c>
      <c r="AG483" s="133">
        <v>0.987647831800263</v>
      </c>
      <c r="AH483" s="133">
        <v>0.936019012740094</v>
      </c>
      <c r="AI483" s="135">
        <v>0.92</v>
      </c>
      <c r="AJ483" s="133">
        <v>0.915315315315315</v>
      </c>
      <c r="AK483" s="133">
        <v>0.906734006734007</v>
      </c>
      <c r="AL483" s="133">
        <v>0.917660420215787</v>
      </c>
      <c r="AM483" s="133">
        <v>0.926724286750066</v>
      </c>
      <c r="AN483" s="132">
        <v>0.99</v>
      </c>
      <c r="AO483" s="137">
        <v>1</v>
      </c>
      <c r="AP483" s="137">
        <v>1</v>
      </c>
      <c r="AQ483" s="137">
        <v>1</v>
      </c>
      <c r="AR483" s="137">
        <v>1</v>
      </c>
      <c r="AS483" s="158">
        <v>0.05</v>
      </c>
      <c r="AT483" s="141">
        <v>0.111111111111111</v>
      </c>
      <c r="AU483" s="141">
        <v>0.0476190476190476</v>
      </c>
      <c r="AV483" s="141">
        <v>0.0645161290322581</v>
      </c>
      <c r="AW483" s="141">
        <v>0.0631970260223048</v>
      </c>
      <c r="AX483" s="95"/>
      <c r="AY483" s="93"/>
    </row>
    <row r="484" ht="14.5" spans="1:51">
      <c r="A484" s="91"/>
      <c r="B484" s="95"/>
      <c r="C484" s="152" t="s">
        <v>375</v>
      </c>
      <c r="D484" s="153" t="s">
        <v>25</v>
      </c>
      <c r="E484" s="130" t="s">
        <v>376</v>
      </c>
      <c r="F484" s="154" t="s">
        <v>510</v>
      </c>
      <c r="G484" s="154" t="s">
        <v>510</v>
      </c>
      <c r="H484" s="154" t="s">
        <v>510</v>
      </c>
      <c r="I484" s="154" t="s">
        <v>510</v>
      </c>
      <c r="J484" s="132">
        <v>0.9</v>
      </c>
      <c r="K484" s="133">
        <v>0.818181818181818</v>
      </c>
      <c r="L484" s="133">
        <v>0.838709677419355</v>
      </c>
      <c r="M484" s="134">
        <v>0.911764705882353</v>
      </c>
      <c r="N484" s="133">
        <v>0.843410852713178</v>
      </c>
      <c r="O484" s="135">
        <v>0.9</v>
      </c>
      <c r="P484" s="133">
        <v>0.927835051546392</v>
      </c>
      <c r="Q484" s="133">
        <v>0.931818181818182</v>
      </c>
      <c r="R484" s="133">
        <v>0.963144963144963</v>
      </c>
      <c r="S484" s="133">
        <v>0.941344359471624</v>
      </c>
      <c r="T484" s="135">
        <v>0.9</v>
      </c>
      <c r="U484" s="133">
        <v>0.851251840942563</v>
      </c>
      <c r="V484" s="133">
        <v>0.825413223140496</v>
      </c>
      <c r="W484" s="133">
        <v>0.894963144963145</v>
      </c>
      <c r="X484" s="133">
        <v>0.889421493651433</v>
      </c>
      <c r="Y484" s="135">
        <v>0.92</v>
      </c>
      <c r="Z484" s="135">
        <v>0.894607843137255</v>
      </c>
      <c r="AA484" s="135">
        <v>0.850066934404284</v>
      </c>
      <c r="AB484" s="135">
        <v>0.899524779361847</v>
      </c>
      <c r="AC484" s="135">
        <v>0.892059936664864</v>
      </c>
      <c r="AD484" s="135">
        <v>0.92</v>
      </c>
      <c r="AE484" s="133">
        <v>0.999240698557327</v>
      </c>
      <c r="AF484" s="133">
        <v>0.992994746059545</v>
      </c>
      <c r="AG484" s="133">
        <v>0.998282524688708</v>
      </c>
      <c r="AH484" s="133">
        <v>0.996370085526752</v>
      </c>
      <c r="AI484" s="135">
        <v>0.92</v>
      </c>
      <c r="AJ484" s="133">
        <v>0.91438127090301</v>
      </c>
      <c r="AK484" s="133">
        <v>0.886297376093295</v>
      </c>
      <c r="AL484" s="133">
        <v>0.934214769429216</v>
      </c>
      <c r="AM484" s="133">
        <v>0.929626150666917</v>
      </c>
      <c r="AN484" s="132">
        <v>0.99</v>
      </c>
      <c r="AO484" s="137">
        <v>1</v>
      </c>
      <c r="AP484" s="137">
        <v>1</v>
      </c>
      <c r="AQ484" s="137">
        <v>1</v>
      </c>
      <c r="AR484" s="137">
        <v>1</v>
      </c>
      <c r="AS484" s="158">
        <v>0.05</v>
      </c>
      <c r="AT484" s="141">
        <v>0.1</v>
      </c>
      <c r="AU484" s="141">
        <v>0.142857142857143</v>
      </c>
      <c r="AV484" s="141">
        <v>0</v>
      </c>
      <c r="AW484" s="141">
        <v>0.0609756097560976</v>
      </c>
      <c r="AX484" s="95"/>
      <c r="AY484" s="93"/>
    </row>
    <row r="485" ht="14.5" spans="1:51">
      <c r="A485" s="91"/>
      <c r="B485" s="95"/>
      <c r="C485" s="152" t="s">
        <v>375</v>
      </c>
      <c r="D485" s="153" t="s">
        <v>25</v>
      </c>
      <c r="E485" s="130" t="s">
        <v>376</v>
      </c>
      <c r="F485" s="154" t="s">
        <v>511</v>
      </c>
      <c r="G485" s="154" t="s">
        <v>511</v>
      </c>
      <c r="H485" s="154" t="s">
        <v>511</v>
      </c>
      <c r="I485" s="154" t="s">
        <v>511</v>
      </c>
      <c r="J485" s="132">
        <v>0.9</v>
      </c>
      <c r="K485" s="133">
        <v>0.736842105263158</v>
      </c>
      <c r="L485" s="133">
        <v>0.666666666666667</v>
      </c>
      <c r="M485" s="134">
        <v>0.794871794871795</v>
      </c>
      <c r="N485" s="133">
        <v>0.755129958960328</v>
      </c>
      <c r="O485" s="135">
        <v>0.9</v>
      </c>
      <c r="P485" s="133">
        <v>0.971541501976285</v>
      </c>
      <c r="Q485" s="133">
        <v>0.882746051032807</v>
      </c>
      <c r="R485" s="133">
        <v>0.969930922389273</v>
      </c>
      <c r="S485" s="133">
        <v>0.949721724365626</v>
      </c>
      <c r="T485" s="135">
        <v>0.9</v>
      </c>
      <c r="U485" s="133">
        <v>0.84901185770751</v>
      </c>
      <c r="V485" s="133">
        <v>0.793438639125152</v>
      </c>
      <c r="W485" s="133">
        <v>0.824055262088582</v>
      </c>
      <c r="X485" s="133">
        <v>0.826785208942553</v>
      </c>
      <c r="Y485" s="135">
        <v>0.92</v>
      </c>
      <c r="Z485" s="135">
        <v>0.884160756501182</v>
      </c>
      <c r="AA485" s="135">
        <v>0.798909338786639</v>
      </c>
      <c r="AB485" s="135">
        <v>0.870280373831776</v>
      </c>
      <c r="AC485" s="135">
        <v>0.860305121847707</v>
      </c>
      <c r="AD485" s="135">
        <v>0.92</v>
      </c>
      <c r="AE485" s="133">
        <v>0.979362101313321</v>
      </c>
      <c r="AF485" s="133">
        <v>0.955673758865248</v>
      </c>
      <c r="AG485" s="133">
        <v>0.996545768566494</v>
      </c>
      <c r="AH485" s="133">
        <v>0.977415627230398</v>
      </c>
      <c r="AI485" s="135">
        <v>0.92</v>
      </c>
      <c r="AJ485" s="133">
        <v>0.910074374577417</v>
      </c>
      <c r="AK485" s="133">
        <v>0.857693543205911</v>
      </c>
      <c r="AL485" s="133">
        <v>0.91452492211838</v>
      </c>
      <c r="AM485" s="133">
        <v>0.908434066564213</v>
      </c>
      <c r="AN485" s="132">
        <v>0.99</v>
      </c>
      <c r="AO485" s="137">
        <v>1</v>
      </c>
      <c r="AP485" s="137">
        <v>1</v>
      </c>
      <c r="AQ485" s="137">
        <v>1</v>
      </c>
      <c r="AR485" s="137">
        <v>1</v>
      </c>
      <c r="AS485" s="158">
        <v>0.05</v>
      </c>
      <c r="AT485" s="141">
        <v>0.00233644859813084</v>
      </c>
      <c r="AU485" s="141">
        <v>0.00222222222222222</v>
      </c>
      <c r="AV485" s="141">
        <v>0</v>
      </c>
      <c r="AW485" s="141">
        <v>0.00500345065562457</v>
      </c>
      <c r="AX485" s="95"/>
      <c r="AY485" s="93"/>
    </row>
    <row r="486" ht="14.5" spans="1:51">
      <c r="A486" s="91"/>
      <c r="B486" s="95"/>
      <c r="C486" s="152" t="s">
        <v>375</v>
      </c>
      <c r="D486" s="153" t="s">
        <v>25</v>
      </c>
      <c r="E486" s="130" t="s">
        <v>376</v>
      </c>
      <c r="F486" s="154" t="s">
        <v>512</v>
      </c>
      <c r="G486" s="154" t="s">
        <v>512</v>
      </c>
      <c r="H486" s="154" t="s">
        <v>512</v>
      </c>
      <c r="I486" s="154" t="s">
        <v>512</v>
      </c>
      <c r="J486" s="132">
        <v>0.9</v>
      </c>
      <c r="K486" s="133">
        <v>0.974358974358974</v>
      </c>
      <c r="L486" s="133">
        <v>1</v>
      </c>
      <c r="M486" s="134">
        <v>0.971428571428571</v>
      </c>
      <c r="N486" s="133">
        <v>0.986089644513138</v>
      </c>
      <c r="O486" s="135">
        <v>0.9</v>
      </c>
      <c r="P486" s="133">
        <v>0.996323529411765</v>
      </c>
      <c r="Q486" s="133">
        <v>1</v>
      </c>
      <c r="R486" s="133">
        <v>0.990757855822551</v>
      </c>
      <c r="S486" s="133">
        <v>0.994283107799909</v>
      </c>
      <c r="T486" s="135">
        <v>0.9</v>
      </c>
      <c r="U486" s="133">
        <v>0.900735294117647</v>
      </c>
      <c r="V486" s="133">
        <v>0.928270042194093</v>
      </c>
      <c r="W486" s="133">
        <v>0.912199630314233</v>
      </c>
      <c r="X486" s="133">
        <v>0.925224266382849</v>
      </c>
      <c r="Y486" s="135">
        <v>0.92</v>
      </c>
      <c r="Z486" s="135">
        <v>0.925233644859813</v>
      </c>
      <c r="AA486" s="135">
        <v>0.912946428571429</v>
      </c>
      <c r="AB486" s="135">
        <v>0.916324435318275</v>
      </c>
      <c r="AC486" s="135">
        <v>0.936866894638364</v>
      </c>
      <c r="AD486" s="135">
        <v>0.92</v>
      </c>
      <c r="AE486" s="133">
        <v>1</v>
      </c>
      <c r="AF486" s="133">
        <v>1</v>
      </c>
      <c r="AG486" s="133">
        <v>0.997536945812808</v>
      </c>
      <c r="AH486" s="133">
        <v>0.997534376481745</v>
      </c>
      <c r="AI486" s="135">
        <v>0.92</v>
      </c>
      <c r="AJ486" s="133">
        <v>0.943296237413884</v>
      </c>
      <c r="AK486" s="133">
        <v>0.951946179721288</v>
      </c>
      <c r="AL486" s="133">
        <v>0.952334630350194</v>
      </c>
      <c r="AM486" s="133">
        <v>0.962731655396945</v>
      </c>
      <c r="AN486" s="132">
        <v>0.99</v>
      </c>
      <c r="AO486" s="137">
        <v>1</v>
      </c>
      <c r="AP486" s="137">
        <v>1</v>
      </c>
      <c r="AQ486" s="137">
        <v>1</v>
      </c>
      <c r="AR486" s="137">
        <v>1</v>
      </c>
      <c r="AS486" s="158">
        <v>0.05</v>
      </c>
      <c r="AT486" s="141">
        <v>0</v>
      </c>
      <c r="AU486" s="141">
        <v>0.142857142857143</v>
      </c>
      <c r="AV486" s="141">
        <v>0.0769230769230769</v>
      </c>
      <c r="AW486" s="141">
        <v>0.0661764705882353</v>
      </c>
      <c r="AX486" s="95"/>
      <c r="AY486" s="93"/>
    </row>
    <row r="487" ht="14.5" spans="1:51">
      <c r="A487" s="91"/>
      <c r="B487" s="95"/>
      <c r="C487" s="152" t="s">
        <v>375</v>
      </c>
      <c r="D487" s="153" t="s">
        <v>25</v>
      </c>
      <c r="E487" s="130" t="s">
        <v>376</v>
      </c>
      <c r="F487" s="154" t="s">
        <v>513</v>
      </c>
      <c r="G487" s="154" t="s">
        <v>513</v>
      </c>
      <c r="H487" s="154" t="s">
        <v>513</v>
      </c>
      <c r="I487" s="154" t="s">
        <v>513</v>
      </c>
      <c r="J487" s="132">
        <v>0.9</v>
      </c>
      <c r="K487" s="133">
        <v>0.916666666666667</v>
      </c>
      <c r="L487" s="133">
        <v>1</v>
      </c>
      <c r="M487" s="134">
        <v>1</v>
      </c>
      <c r="N487" s="133">
        <v>0.950819672131147</v>
      </c>
      <c r="O487" s="135">
        <v>0.9</v>
      </c>
      <c r="P487" s="133">
        <v>0.860971524288107</v>
      </c>
      <c r="Q487" s="133">
        <v>0.975206611570248</v>
      </c>
      <c r="R487" s="133">
        <v>0.915312232677502</v>
      </c>
      <c r="S487" s="133">
        <v>0.925291445460019</v>
      </c>
      <c r="T487" s="135">
        <v>0.9</v>
      </c>
      <c r="U487" s="133">
        <v>0.795644891122278</v>
      </c>
      <c r="V487" s="133">
        <v>0.887052341597796</v>
      </c>
      <c r="W487" s="133">
        <v>0.828913601368691</v>
      </c>
      <c r="X487" s="133">
        <v>0.86339007169832</v>
      </c>
      <c r="Y487" s="135">
        <v>0.92</v>
      </c>
      <c r="Z487" s="135">
        <v>0.832049306625578</v>
      </c>
      <c r="AA487" s="135">
        <v>0.862475442043222</v>
      </c>
      <c r="AB487" s="135">
        <v>0.840796019900497</v>
      </c>
      <c r="AC487" s="135">
        <v>0.894449659704295</v>
      </c>
      <c r="AD487" s="135">
        <v>0.92</v>
      </c>
      <c r="AE487" s="133">
        <v>0.994535519125683</v>
      </c>
      <c r="AF487" s="133">
        <v>0.98780487804878</v>
      </c>
      <c r="AG487" s="133">
        <v>0.935483870967742</v>
      </c>
      <c r="AH487" s="133">
        <v>0.993038740920097</v>
      </c>
      <c r="AI487" s="135">
        <v>0.92</v>
      </c>
      <c r="AJ487" s="133">
        <v>0.892455858747994</v>
      </c>
      <c r="AK487" s="133">
        <v>0.922267206477733</v>
      </c>
      <c r="AL487" s="133">
        <v>0.891368421052632</v>
      </c>
      <c r="AM487" s="133">
        <v>0.932189473088139</v>
      </c>
      <c r="AN487" s="132">
        <v>0.99</v>
      </c>
      <c r="AO487" s="137">
        <v>1</v>
      </c>
      <c r="AP487" s="137">
        <v>1</v>
      </c>
      <c r="AQ487" s="137">
        <v>1</v>
      </c>
      <c r="AR487" s="137">
        <v>1</v>
      </c>
      <c r="AS487" s="158">
        <v>0.05</v>
      </c>
      <c r="AT487" s="141">
        <v>0</v>
      </c>
      <c r="AU487" s="141">
        <v>0</v>
      </c>
      <c r="AV487" s="141">
        <v>0</v>
      </c>
      <c r="AW487" s="141">
        <v>0.00538461538461538</v>
      </c>
      <c r="AX487" s="95"/>
      <c r="AY487" s="93"/>
    </row>
    <row r="488" ht="14.5" spans="1:51">
      <c r="A488" s="91"/>
      <c r="B488" s="95"/>
      <c r="C488" s="152" t="s">
        <v>375</v>
      </c>
      <c r="D488" s="153" t="s">
        <v>25</v>
      </c>
      <c r="E488" s="130" t="s">
        <v>376</v>
      </c>
      <c r="F488" s="154" t="s">
        <v>514</v>
      </c>
      <c r="G488" s="154" t="s">
        <v>514</v>
      </c>
      <c r="H488" s="154" t="s">
        <v>514</v>
      </c>
      <c r="I488" s="154" t="s">
        <v>514</v>
      </c>
      <c r="J488" s="132">
        <v>0.9</v>
      </c>
      <c r="K488" s="133">
        <v>0.705882352941177</v>
      </c>
      <c r="L488" s="133">
        <v>0.794117647058823</v>
      </c>
      <c r="M488" s="134">
        <v>0.75</v>
      </c>
      <c r="N488" s="133">
        <v>0.726094003241491</v>
      </c>
      <c r="O488" s="135">
        <v>0.9</v>
      </c>
      <c r="P488" s="133">
        <v>0.96448087431694</v>
      </c>
      <c r="Q488" s="133">
        <v>0.92948717948718</v>
      </c>
      <c r="R488" s="133">
        <v>0.983827493261456</v>
      </c>
      <c r="S488" s="133">
        <v>0.960569550930997</v>
      </c>
      <c r="T488" s="135">
        <v>0.9</v>
      </c>
      <c r="U488" s="133">
        <v>0.801912568306011</v>
      </c>
      <c r="V488" s="133">
        <v>0.912393162393162</v>
      </c>
      <c r="W488" s="133">
        <v>0.8544474393531</v>
      </c>
      <c r="X488" s="133">
        <v>0.836473165388828</v>
      </c>
      <c r="Y488" s="135">
        <v>0.92</v>
      </c>
      <c r="Z488" s="135">
        <v>0.860681114551084</v>
      </c>
      <c r="AA488" s="135">
        <v>0.867379679144385</v>
      </c>
      <c r="AB488" s="135">
        <v>0.825069637883008</v>
      </c>
      <c r="AC488" s="135">
        <v>0.865892216419766</v>
      </c>
      <c r="AD488" s="135">
        <v>0.92</v>
      </c>
      <c r="AE488" s="133">
        <v>1</v>
      </c>
      <c r="AF488" s="133">
        <v>0.96078431372549</v>
      </c>
      <c r="AG488" s="133">
        <v>0.993548387096774</v>
      </c>
      <c r="AH488" s="133">
        <v>0.98583836858006</v>
      </c>
      <c r="AI488" s="135">
        <v>0.92</v>
      </c>
      <c r="AJ488" s="133">
        <v>0.901234567901235</v>
      </c>
      <c r="AK488" s="133">
        <v>0.92143238909674</v>
      </c>
      <c r="AL488" s="133">
        <v>0.901917808219178</v>
      </c>
      <c r="AM488" s="133">
        <v>0.917820053634744</v>
      </c>
      <c r="AN488" s="132">
        <v>0.99</v>
      </c>
      <c r="AO488" s="137">
        <v>1</v>
      </c>
      <c r="AP488" s="137">
        <v>1</v>
      </c>
      <c r="AQ488" s="137">
        <v>1</v>
      </c>
      <c r="AR488" s="137">
        <v>1</v>
      </c>
      <c r="AS488" s="158">
        <v>0.05</v>
      </c>
      <c r="AT488" s="141">
        <v>0.333333333333333</v>
      </c>
      <c r="AU488" s="141">
        <v>0.25</v>
      </c>
      <c r="AV488" s="141">
        <v>0</v>
      </c>
      <c r="AW488" s="141">
        <v>0.105633802816901</v>
      </c>
      <c r="AX488" s="95"/>
      <c r="AY488" s="93"/>
    </row>
    <row r="489" ht="14.5" spans="1:51">
      <c r="A489" s="91"/>
      <c r="B489" s="95"/>
      <c r="C489" s="152" t="s">
        <v>375</v>
      </c>
      <c r="D489" s="153" t="s">
        <v>25</v>
      </c>
      <c r="E489" s="130" t="s">
        <v>376</v>
      </c>
      <c r="F489" s="154" t="s">
        <v>515</v>
      </c>
      <c r="G489" s="154" t="s">
        <v>515</v>
      </c>
      <c r="H489" s="154" t="s">
        <v>515</v>
      </c>
      <c r="I489" s="154" t="s">
        <v>515</v>
      </c>
      <c r="J489" s="132">
        <v>0.9</v>
      </c>
      <c r="K489" s="133">
        <v>0.951219512195122</v>
      </c>
      <c r="L489" s="133">
        <v>0.971428571428571</v>
      </c>
      <c r="M489" s="134">
        <v>0.971428571428571</v>
      </c>
      <c r="N489" s="133">
        <v>0.967142857142857</v>
      </c>
      <c r="O489" s="135">
        <v>0.9</v>
      </c>
      <c r="P489" s="133">
        <v>0.989071038251366</v>
      </c>
      <c r="Q489" s="133">
        <v>0.982142857142857</v>
      </c>
      <c r="R489" s="133">
        <v>0.975374215354901</v>
      </c>
      <c r="S489" s="133">
        <v>0.981455321451114</v>
      </c>
      <c r="T489" s="135">
        <v>0.9</v>
      </c>
      <c r="U489" s="133">
        <v>0.93879781420765</v>
      </c>
      <c r="V489" s="133">
        <v>0.881802721088435</v>
      </c>
      <c r="W489" s="133">
        <v>0.917431192660551</v>
      </c>
      <c r="X489" s="133">
        <v>0.918968471040846</v>
      </c>
      <c r="Y489" s="135">
        <v>0.92</v>
      </c>
      <c r="Z489" s="135">
        <v>0.927304964539007</v>
      </c>
      <c r="AA489" s="135">
        <v>0.904709748083242</v>
      </c>
      <c r="AB489" s="135">
        <v>0.892685531233316</v>
      </c>
      <c r="AC489" s="135">
        <v>0.916876020600427</v>
      </c>
      <c r="AD489" s="135">
        <v>0.92</v>
      </c>
      <c r="AE489" s="133">
        <v>0.990278843694039</v>
      </c>
      <c r="AF489" s="133">
        <v>0.985139022051774</v>
      </c>
      <c r="AG489" s="133">
        <v>0.99622030237581</v>
      </c>
      <c r="AH489" s="133">
        <v>0.989587211466865</v>
      </c>
      <c r="AI489" s="135">
        <v>0.92</v>
      </c>
      <c r="AJ489" s="133">
        <v>0.949583945178659</v>
      </c>
      <c r="AK489" s="133">
        <v>0.934897079942556</v>
      </c>
      <c r="AL489" s="133">
        <v>0.934347275031686</v>
      </c>
      <c r="AM489" s="133">
        <v>0.949064049999232</v>
      </c>
      <c r="AN489" s="132">
        <v>0.99</v>
      </c>
      <c r="AO489" s="137">
        <v>1</v>
      </c>
      <c r="AP489" s="137">
        <v>1</v>
      </c>
      <c r="AQ489" s="137">
        <v>1</v>
      </c>
      <c r="AR489" s="137">
        <v>1</v>
      </c>
      <c r="AS489" s="158">
        <v>0.05</v>
      </c>
      <c r="AT489" s="141">
        <v>0.0833333333333333</v>
      </c>
      <c r="AU489" s="141">
        <v>0</v>
      </c>
      <c r="AV489" s="141">
        <v>0</v>
      </c>
      <c r="AW489" s="141">
        <v>0.0519877675840979</v>
      </c>
      <c r="AX489" s="95"/>
      <c r="AY489" s="93"/>
    </row>
    <row r="490" ht="14.5" spans="1:51">
      <c r="A490" s="91"/>
      <c r="B490" s="95"/>
      <c r="C490" s="152" t="s">
        <v>375</v>
      </c>
      <c r="D490" s="153" t="s">
        <v>25</v>
      </c>
      <c r="E490" s="130" t="s">
        <v>376</v>
      </c>
      <c r="F490" s="154" t="s">
        <v>516</v>
      </c>
      <c r="G490" s="154" t="s">
        <v>516</v>
      </c>
      <c r="H490" s="154" t="s">
        <v>516</v>
      </c>
      <c r="I490" s="154" t="s">
        <v>516</v>
      </c>
      <c r="J490" s="132">
        <v>0.9</v>
      </c>
      <c r="K490" s="133">
        <v>0.926829268292683</v>
      </c>
      <c r="L490" s="133">
        <v>0.923076923076923</v>
      </c>
      <c r="M490" s="134">
        <v>0.906976744186046</v>
      </c>
      <c r="N490" s="133">
        <v>0.911627906976744</v>
      </c>
      <c r="O490" s="135">
        <v>0.9</v>
      </c>
      <c r="P490" s="133">
        <v>0.928571428571429</v>
      </c>
      <c r="Q490" s="133">
        <v>0.962135319677219</v>
      </c>
      <c r="R490" s="133">
        <v>0.95367027677497</v>
      </c>
      <c r="S490" s="133">
        <v>0.957839459864966</v>
      </c>
      <c r="T490" s="135">
        <v>0.9</v>
      </c>
      <c r="U490" s="133">
        <v>0.945468509984639</v>
      </c>
      <c r="V490" s="133">
        <v>0.920235878336437</v>
      </c>
      <c r="W490" s="133">
        <v>0.941636582430806</v>
      </c>
      <c r="X490" s="133">
        <v>0.934667000083354</v>
      </c>
      <c r="Y490" s="135">
        <v>0.92</v>
      </c>
      <c r="Z490" s="135">
        <v>0.915137614678899</v>
      </c>
      <c r="AA490" s="135">
        <v>0.918727915194346</v>
      </c>
      <c r="AB490" s="135">
        <v>0.927953890489914</v>
      </c>
      <c r="AC490" s="135">
        <v>0.946173340091232</v>
      </c>
      <c r="AD490" s="135">
        <v>0.92</v>
      </c>
      <c r="AE490" s="133">
        <v>0.998960498960499</v>
      </c>
      <c r="AF490" s="133">
        <v>0.990328820116054</v>
      </c>
      <c r="AG490" s="133">
        <v>0.980722891566265</v>
      </c>
      <c r="AH490" s="133">
        <v>0.994061838782336</v>
      </c>
      <c r="AI490" s="135">
        <v>0.92</v>
      </c>
      <c r="AJ490" s="133">
        <v>0.952205882352941</v>
      </c>
      <c r="AK490" s="133">
        <v>0.968320235756385</v>
      </c>
      <c r="AL490" s="133">
        <v>0.975727043737119</v>
      </c>
      <c r="AM490" s="133">
        <v>0.979982189667499</v>
      </c>
      <c r="AN490" s="132">
        <v>0.99</v>
      </c>
      <c r="AO490" s="137">
        <v>1</v>
      </c>
      <c r="AP490" s="137">
        <v>1</v>
      </c>
      <c r="AQ490" s="137">
        <v>1</v>
      </c>
      <c r="AR490" s="137">
        <v>1</v>
      </c>
      <c r="AS490" s="158">
        <v>0.05</v>
      </c>
      <c r="AT490" s="141">
        <v>0.2</v>
      </c>
      <c r="AU490" s="141">
        <v>0.214285714285714</v>
      </c>
      <c r="AV490" s="141">
        <v>0.166666666666667</v>
      </c>
      <c r="AW490" s="141">
        <v>0.0912052117263844</v>
      </c>
      <c r="AX490" s="95"/>
      <c r="AY490" s="93"/>
    </row>
    <row r="491" ht="14.5" spans="1:51">
      <c r="A491" s="91"/>
      <c r="B491" s="95"/>
      <c r="C491" s="152" t="s">
        <v>375</v>
      </c>
      <c r="D491" s="153" t="s">
        <v>25</v>
      </c>
      <c r="E491" s="130" t="s">
        <v>376</v>
      </c>
      <c r="F491" s="154" t="s">
        <v>517</v>
      </c>
      <c r="G491" s="154" t="s">
        <v>517</v>
      </c>
      <c r="H491" s="154" t="s">
        <v>517</v>
      </c>
      <c r="I491" s="154" t="s">
        <v>517</v>
      </c>
      <c r="J491" s="132">
        <v>0.9</v>
      </c>
      <c r="K491" s="133">
        <v>0.818181818181818</v>
      </c>
      <c r="L491" s="133">
        <v>0.810810810810811</v>
      </c>
      <c r="M491" s="134">
        <v>0.764705882352941</v>
      </c>
      <c r="N491" s="133">
        <v>0.871517027863777</v>
      </c>
      <c r="O491" s="135">
        <v>0.9</v>
      </c>
      <c r="P491" s="133">
        <v>0.990731204943357</v>
      </c>
      <c r="Q491" s="133">
        <v>0.950869236583522</v>
      </c>
      <c r="R491" s="133">
        <v>0.976917613636364</v>
      </c>
      <c r="S491" s="133">
        <v>0.961056585960703</v>
      </c>
      <c r="T491" s="135">
        <v>0.9</v>
      </c>
      <c r="U491" s="133">
        <v>0.924819773429454</v>
      </c>
      <c r="V491" s="133">
        <v>0.884731670445956</v>
      </c>
      <c r="W491" s="133">
        <v>0.9296875</v>
      </c>
      <c r="X491" s="133">
        <v>0.910705505182621</v>
      </c>
      <c r="Y491" s="135">
        <v>0.92</v>
      </c>
      <c r="Z491" s="135">
        <v>0.858823529411765</v>
      </c>
      <c r="AA491" s="135">
        <v>0.882352941176471</v>
      </c>
      <c r="AB491" s="135">
        <v>0.868131868131868</v>
      </c>
      <c r="AC491" s="135">
        <v>0.909493631944872</v>
      </c>
      <c r="AD491" s="135">
        <v>0.92</v>
      </c>
      <c r="AE491" s="133">
        <v>0.999559762271627</v>
      </c>
      <c r="AF491" s="133">
        <v>0.999172185430464</v>
      </c>
      <c r="AG491" s="133">
        <v>0.989051094890511</v>
      </c>
      <c r="AH491" s="133">
        <v>0.998586159443512</v>
      </c>
      <c r="AI491" s="135">
        <v>0.92</v>
      </c>
      <c r="AJ491" s="133">
        <v>0.915859564164649</v>
      </c>
      <c r="AK491" s="133">
        <v>0.922355698798711</v>
      </c>
      <c r="AL491" s="133">
        <v>0.937031082529475</v>
      </c>
      <c r="AM491" s="133">
        <v>0.954076767195136</v>
      </c>
      <c r="AN491" s="132">
        <v>0.99</v>
      </c>
      <c r="AO491" s="137">
        <v>1</v>
      </c>
      <c r="AP491" s="137">
        <v>1</v>
      </c>
      <c r="AQ491" s="137">
        <v>1</v>
      </c>
      <c r="AR491" s="137">
        <v>1</v>
      </c>
      <c r="AS491" s="158">
        <v>0.05</v>
      </c>
      <c r="AT491" s="141">
        <v>0.0454545454545455</v>
      </c>
      <c r="AU491" s="141">
        <v>0.0666666666666667</v>
      </c>
      <c r="AV491" s="141">
        <v>0</v>
      </c>
      <c r="AW491" s="141">
        <v>0.0393700787401575</v>
      </c>
      <c r="AX491" s="95"/>
      <c r="AY491" s="93"/>
    </row>
    <row r="492" ht="14.5" spans="1:51">
      <c r="A492" s="91"/>
      <c r="B492" s="95"/>
      <c r="C492" s="152" t="s">
        <v>375</v>
      </c>
      <c r="D492" s="153" t="s">
        <v>25</v>
      </c>
      <c r="E492" s="130" t="s">
        <v>376</v>
      </c>
      <c r="F492" s="154" t="s">
        <v>518</v>
      </c>
      <c r="G492" s="154" t="s">
        <v>518</v>
      </c>
      <c r="H492" s="154" t="s">
        <v>518</v>
      </c>
      <c r="I492" s="154" t="s">
        <v>518</v>
      </c>
      <c r="J492" s="132">
        <v>0.9</v>
      </c>
      <c r="K492" s="133">
        <v>0.976744186046512</v>
      </c>
      <c r="L492" s="133">
        <v>0.953488372093023</v>
      </c>
      <c r="M492" s="134">
        <v>0.954545454545455</v>
      </c>
      <c r="N492" s="133">
        <v>0.965770171149144</v>
      </c>
      <c r="O492" s="135">
        <v>0.9</v>
      </c>
      <c r="P492" s="133">
        <v>1</v>
      </c>
      <c r="Q492" s="133">
        <v>1</v>
      </c>
      <c r="R492" s="133" t="s">
        <v>35</v>
      </c>
      <c r="S492" s="133">
        <v>0.8</v>
      </c>
      <c r="T492" s="135">
        <v>0.9</v>
      </c>
      <c r="U492" s="133">
        <v>0</v>
      </c>
      <c r="V492" s="133">
        <v>0</v>
      </c>
      <c r="W492" s="133" t="s">
        <v>35</v>
      </c>
      <c r="X492" s="133">
        <v>0.4</v>
      </c>
      <c r="Y492" s="135">
        <v>0.92</v>
      </c>
      <c r="Z492" s="135">
        <v>0</v>
      </c>
      <c r="AA492" s="135" t="s">
        <v>35</v>
      </c>
      <c r="AB492" s="135" t="s">
        <v>35</v>
      </c>
      <c r="AC492" s="135">
        <v>0</v>
      </c>
      <c r="AD492" s="135">
        <v>0.92</v>
      </c>
      <c r="AE492" s="133">
        <v>0.998692810457516</v>
      </c>
      <c r="AF492" s="133">
        <v>0.996884735202492</v>
      </c>
      <c r="AG492" s="133">
        <v>0.982222222222222</v>
      </c>
      <c r="AH492" s="133">
        <v>0.990369994931576</v>
      </c>
      <c r="AI492" s="135">
        <v>0.92</v>
      </c>
      <c r="AJ492" s="133">
        <v>0.957884885353299</v>
      </c>
      <c r="AK492" s="133">
        <v>0.950693024312656</v>
      </c>
      <c r="AL492" s="133">
        <v>0.95610204550678</v>
      </c>
      <c r="AM492" s="133">
        <v>0.971549954651773</v>
      </c>
      <c r="AN492" s="132">
        <v>0.99</v>
      </c>
      <c r="AO492" s="137">
        <v>1</v>
      </c>
      <c r="AP492" s="137">
        <v>1</v>
      </c>
      <c r="AQ492" s="137">
        <v>1</v>
      </c>
      <c r="AR492" s="137">
        <v>1</v>
      </c>
      <c r="AS492" s="158">
        <v>0.05</v>
      </c>
      <c r="AT492" s="141">
        <v>0.111111111111111</v>
      </c>
      <c r="AU492" s="141">
        <v>0</v>
      </c>
      <c r="AV492" s="141">
        <v>0</v>
      </c>
      <c r="AW492" s="141">
        <v>0.0629139072847682</v>
      </c>
      <c r="AX492" s="95"/>
      <c r="AY492" s="93"/>
    </row>
    <row r="493" ht="14.5" spans="1:51">
      <c r="A493" s="91"/>
      <c r="B493" s="95"/>
      <c r="C493" s="152" t="s">
        <v>375</v>
      </c>
      <c r="D493" s="153" t="s">
        <v>25</v>
      </c>
      <c r="E493" s="130" t="s">
        <v>376</v>
      </c>
      <c r="F493" s="154" t="s">
        <v>519</v>
      </c>
      <c r="G493" s="154" t="s">
        <v>519</v>
      </c>
      <c r="H493" s="154" t="s">
        <v>519</v>
      </c>
      <c r="I493" s="154" t="s">
        <v>519</v>
      </c>
      <c r="J493" s="132">
        <v>0.9</v>
      </c>
      <c r="K493" s="133">
        <v>0.888888888888889</v>
      </c>
      <c r="L493" s="133">
        <v>0.880952380952381</v>
      </c>
      <c r="M493" s="134">
        <v>0.916666666666667</v>
      </c>
      <c r="N493" s="133">
        <v>0.901916572717024</v>
      </c>
      <c r="O493" s="135">
        <v>0.9</v>
      </c>
      <c r="P493" s="133">
        <v>0</v>
      </c>
      <c r="Q493" s="133">
        <v>0</v>
      </c>
      <c r="R493" s="133">
        <v>0</v>
      </c>
      <c r="S493" s="133">
        <v>0.0454545454545455</v>
      </c>
      <c r="T493" s="135">
        <v>0.9</v>
      </c>
      <c r="U493" s="133">
        <v>0</v>
      </c>
      <c r="V493" s="133">
        <v>0</v>
      </c>
      <c r="W493" s="133">
        <v>0</v>
      </c>
      <c r="X493" s="133">
        <v>0.363636363636364</v>
      </c>
      <c r="Y493" s="135">
        <v>0.92</v>
      </c>
      <c r="Z493" s="135">
        <v>0</v>
      </c>
      <c r="AA493" s="135">
        <v>0</v>
      </c>
      <c r="AB493" s="135" t="s">
        <v>35</v>
      </c>
      <c r="AC493" s="135">
        <v>0.333333333333333</v>
      </c>
      <c r="AD493" s="135">
        <v>0.92</v>
      </c>
      <c r="AE493" s="133">
        <v>1</v>
      </c>
      <c r="AF493" s="133">
        <v>0.985</v>
      </c>
      <c r="AG493" s="133">
        <v>0.997658079625293</v>
      </c>
      <c r="AH493" s="133">
        <v>0.989366465189165</v>
      </c>
      <c r="AI493" s="135">
        <v>0.92</v>
      </c>
      <c r="AJ493" s="133">
        <v>0.812208562950403</v>
      </c>
      <c r="AK493" s="133">
        <v>0.804464078121367</v>
      </c>
      <c r="AL493" s="133">
        <v>0.923847695390782</v>
      </c>
      <c r="AM493" s="133">
        <v>0.912847155410173</v>
      </c>
      <c r="AN493" s="132">
        <v>0.99</v>
      </c>
      <c r="AO493" s="137">
        <v>1</v>
      </c>
      <c r="AP493" s="137">
        <v>1</v>
      </c>
      <c r="AQ493" s="137">
        <v>1</v>
      </c>
      <c r="AR493" s="137">
        <v>1</v>
      </c>
      <c r="AS493" s="158">
        <v>0.05</v>
      </c>
      <c r="AT493" s="141">
        <v>0.125</v>
      </c>
      <c r="AU493" s="141">
        <v>0.0769230769230769</v>
      </c>
      <c r="AV493" s="141">
        <v>0</v>
      </c>
      <c r="AW493" s="141">
        <v>0.0597014925373134</v>
      </c>
      <c r="AX493" s="95"/>
      <c r="AY493" s="93"/>
    </row>
    <row r="494" ht="14.5" spans="1:51">
      <c r="A494" s="91"/>
      <c r="B494" s="95"/>
      <c r="C494" s="152" t="s">
        <v>375</v>
      </c>
      <c r="D494" s="153" t="s">
        <v>25</v>
      </c>
      <c r="E494" s="130" t="s">
        <v>376</v>
      </c>
      <c r="F494" s="154" t="s">
        <v>520</v>
      </c>
      <c r="G494" s="154" t="s">
        <v>520</v>
      </c>
      <c r="H494" s="154" t="s">
        <v>520</v>
      </c>
      <c r="I494" s="154" t="s">
        <v>520</v>
      </c>
      <c r="J494" s="132">
        <v>0.9</v>
      </c>
      <c r="K494" s="133">
        <v>0.928571428571429</v>
      </c>
      <c r="L494" s="133">
        <v>0.875</v>
      </c>
      <c r="M494" s="134">
        <v>0.966666666666667</v>
      </c>
      <c r="N494" s="133">
        <v>0.924590163934426</v>
      </c>
      <c r="O494" s="135">
        <v>0.9</v>
      </c>
      <c r="P494" s="133">
        <v>0.795525170913611</v>
      </c>
      <c r="Q494" s="133">
        <v>0.881114551083591</v>
      </c>
      <c r="R494" s="133">
        <v>0.930379746835443</v>
      </c>
      <c r="S494" s="133">
        <v>0.928566557555919</v>
      </c>
      <c r="T494" s="135">
        <v>0.9</v>
      </c>
      <c r="U494" s="133">
        <v>0.83219390926041</v>
      </c>
      <c r="V494" s="133">
        <v>0.834674922600619</v>
      </c>
      <c r="W494" s="133">
        <v>0.856329113924051</v>
      </c>
      <c r="X494" s="133">
        <v>0.871010638297872</v>
      </c>
      <c r="Y494" s="135">
        <v>0.92</v>
      </c>
      <c r="Z494" s="135">
        <v>0.333333333333333</v>
      </c>
      <c r="AA494" s="135">
        <v>0</v>
      </c>
      <c r="AB494" s="135" t="s">
        <v>35</v>
      </c>
      <c r="AC494" s="135">
        <v>0.285714285714286</v>
      </c>
      <c r="AD494" s="135">
        <v>0.92</v>
      </c>
      <c r="AE494" s="133">
        <v>1</v>
      </c>
      <c r="AF494" s="133">
        <v>0.951014695591323</v>
      </c>
      <c r="AG494" s="133">
        <v>0.9952</v>
      </c>
      <c r="AH494" s="133">
        <v>0.994479712945073</v>
      </c>
      <c r="AI494" s="135">
        <v>0.92</v>
      </c>
      <c r="AJ494" s="133">
        <v>0.903965303593556</v>
      </c>
      <c r="AK494" s="133">
        <v>0.930074257425743</v>
      </c>
      <c r="AL494" s="133">
        <v>0.922784810126582</v>
      </c>
      <c r="AM494" s="133">
        <v>0.961512894373519</v>
      </c>
      <c r="AN494" s="132">
        <v>0.99</v>
      </c>
      <c r="AO494" s="137">
        <v>1</v>
      </c>
      <c r="AP494" s="137">
        <v>1</v>
      </c>
      <c r="AQ494" s="137">
        <v>1</v>
      </c>
      <c r="AR494" s="137">
        <v>1</v>
      </c>
      <c r="AS494" s="158">
        <v>0.05</v>
      </c>
      <c r="AT494" s="141">
        <v>0</v>
      </c>
      <c r="AU494" s="141">
        <v>0</v>
      </c>
      <c r="AV494" s="141">
        <v>0.181818181818182</v>
      </c>
      <c r="AW494" s="141">
        <v>0.0643564356435644</v>
      </c>
      <c r="AX494" s="95"/>
      <c r="AY494" s="93"/>
    </row>
    <row r="495" ht="14.5" spans="1:51">
      <c r="A495" s="91"/>
      <c r="B495" s="95"/>
      <c r="C495" s="152" t="s">
        <v>375</v>
      </c>
      <c r="D495" s="153" t="s">
        <v>25</v>
      </c>
      <c r="E495" s="130" t="s">
        <v>376</v>
      </c>
      <c r="F495" s="154" t="s">
        <v>521</v>
      </c>
      <c r="G495" s="154" t="s">
        <v>521</v>
      </c>
      <c r="H495" s="154" t="s">
        <v>521</v>
      </c>
      <c r="I495" s="154" t="s">
        <v>521</v>
      </c>
      <c r="J495" s="132">
        <v>0.9</v>
      </c>
      <c r="K495" s="133">
        <v>0.909090909090909</v>
      </c>
      <c r="L495" s="133">
        <v>0.930232558139535</v>
      </c>
      <c r="M495" s="134">
        <v>0.945945945945946</v>
      </c>
      <c r="N495" s="133">
        <v>0.956577266922095</v>
      </c>
      <c r="O495" s="135">
        <v>0.9</v>
      </c>
      <c r="P495" s="133">
        <v>0.981570512820513</v>
      </c>
      <c r="Q495" s="133">
        <v>0.964705882352941</v>
      </c>
      <c r="R495" s="133">
        <v>0.961884753901561</v>
      </c>
      <c r="S495" s="133">
        <v>0.965647202219621</v>
      </c>
      <c r="T495" s="135">
        <v>0.9</v>
      </c>
      <c r="U495" s="133">
        <v>0.926282051282051</v>
      </c>
      <c r="V495" s="133">
        <v>0.908529411764706</v>
      </c>
      <c r="W495" s="133">
        <v>0.929471788715486</v>
      </c>
      <c r="X495" s="133">
        <v>0.920805735088929</v>
      </c>
      <c r="Y495" s="135">
        <v>0.92</v>
      </c>
      <c r="Z495" s="135">
        <v>0.92420814479638</v>
      </c>
      <c r="AA495" s="135">
        <v>0.867944621938232</v>
      </c>
      <c r="AB495" s="135">
        <v>0.893081761006289</v>
      </c>
      <c r="AC495" s="135">
        <v>0.907197061240273</v>
      </c>
      <c r="AD495" s="135">
        <v>0.92</v>
      </c>
      <c r="AE495" s="133">
        <v>0.999451453647833</v>
      </c>
      <c r="AF495" s="133">
        <v>0.992237120677488</v>
      </c>
      <c r="AG495" s="133">
        <v>0.971476510067114</v>
      </c>
      <c r="AH495" s="133">
        <v>0.992176023503864</v>
      </c>
      <c r="AI495" s="135">
        <v>0.92</v>
      </c>
      <c r="AJ495" s="133">
        <v>0.947491795593061</v>
      </c>
      <c r="AK495" s="133">
        <v>0.936248561565017</v>
      </c>
      <c r="AL495" s="133">
        <v>0.949426837491571</v>
      </c>
      <c r="AM495" s="133">
        <v>0.957092809072632</v>
      </c>
      <c r="AN495" s="132">
        <v>0.99</v>
      </c>
      <c r="AO495" s="137">
        <v>1</v>
      </c>
      <c r="AP495" s="137">
        <v>1</v>
      </c>
      <c r="AQ495" s="137">
        <v>1</v>
      </c>
      <c r="AR495" s="137">
        <v>1</v>
      </c>
      <c r="AS495" s="158">
        <v>0.05</v>
      </c>
      <c r="AT495" s="141">
        <v>0.125</v>
      </c>
      <c r="AU495" s="141">
        <v>0.0588235294117647</v>
      </c>
      <c r="AV495" s="141">
        <v>0.130434782608696</v>
      </c>
      <c r="AW495" s="141">
        <v>0.0451306413301663</v>
      </c>
      <c r="AX495" s="95"/>
      <c r="AY495" s="93"/>
    </row>
    <row r="496" ht="14.5" spans="1:51">
      <c r="A496" s="91"/>
      <c r="B496" s="95"/>
      <c r="C496" s="152" t="s">
        <v>375</v>
      </c>
      <c r="D496" s="153" t="s">
        <v>25</v>
      </c>
      <c r="E496" s="130" t="s">
        <v>376</v>
      </c>
      <c r="F496" s="154" t="s">
        <v>522</v>
      </c>
      <c r="G496" s="154" t="s">
        <v>522</v>
      </c>
      <c r="H496" s="154" t="s">
        <v>522</v>
      </c>
      <c r="I496" s="154" t="s">
        <v>522</v>
      </c>
      <c r="J496" s="132">
        <v>0.9</v>
      </c>
      <c r="K496" s="133">
        <v>0.952380952380952</v>
      </c>
      <c r="L496" s="133">
        <v>0.951219512195122</v>
      </c>
      <c r="M496" s="134">
        <v>1</v>
      </c>
      <c r="N496" s="133">
        <v>0.97012987012987</v>
      </c>
      <c r="O496" s="135">
        <v>0.9</v>
      </c>
      <c r="P496" s="133">
        <v>0.976569037656904</v>
      </c>
      <c r="Q496" s="133">
        <v>0.976413570274636</v>
      </c>
      <c r="R496" s="133">
        <v>0.960766961651917</v>
      </c>
      <c r="S496" s="133">
        <v>0.974540789965971</v>
      </c>
      <c r="T496" s="135">
        <v>0.9</v>
      </c>
      <c r="U496" s="133">
        <v>0.902092050209205</v>
      </c>
      <c r="V496" s="133">
        <v>0.915024232633279</v>
      </c>
      <c r="W496" s="133">
        <v>0.909734513274336</v>
      </c>
      <c r="X496" s="133">
        <v>0.919613746904452</v>
      </c>
      <c r="Y496" s="135">
        <v>0.92</v>
      </c>
      <c r="Z496" s="135">
        <v>0.936578171091445</v>
      </c>
      <c r="AA496" s="135">
        <v>0.911032028469751</v>
      </c>
      <c r="AB496" s="135">
        <v>0.905660377358491</v>
      </c>
      <c r="AC496" s="135">
        <v>0.93186971188409</v>
      </c>
      <c r="AD496" s="135">
        <v>0.92</v>
      </c>
      <c r="AE496" s="133">
        <v>1</v>
      </c>
      <c r="AF496" s="133">
        <v>0.998734977862113</v>
      </c>
      <c r="AG496" s="133">
        <v>0.995945945945946</v>
      </c>
      <c r="AH496" s="133">
        <v>0.998430029258546</v>
      </c>
      <c r="AI496" s="135">
        <v>0.92</v>
      </c>
      <c r="AJ496" s="133">
        <v>0.963180362860192</v>
      </c>
      <c r="AK496" s="133">
        <v>0.961147790756729</v>
      </c>
      <c r="AL496" s="133">
        <v>0.960882419831703</v>
      </c>
      <c r="AM496" s="133">
        <v>0.972014875097685</v>
      </c>
      <c r="AN496" s="132">
        <v>0.99</v>
      </c>
      <c r="AO496" s="137">
        <v>1</v>
      </c>
      <c r="AP496" s="137">
        <v>1</v>
      </c>
      <c r="AQ496" s="137">
        <v>1</v>
      </c>
      <c r="AR496" s="137">
        <v>1</v>
      </c>
      <c r="AS496" s="158">
        <v>0.05</v>
      </c>
      <c r="AT496" s="141">
        <v>0.4</v>
      </c>
      <c r="AU496" s="141">
        <v>0.142857142857143</v>
      </c>
      <c r="AV496" s="141">
        <v>0.2</v>
      </c>
      <c r="AW496" s="141">
        <v>0.0611353711790393</v>
      </c>
      <c r="AX496" s="95"/>
      <c r="AY496" s="93"/>
    </row>
    <row r="497" ht="14.5" spans="1:51">
      <c r="A497" s="91"/>
      <c r="B497" s="95"/>
      <c r="C497" s="152" t="s">
        <v>375</v>
      </c>
      <c r="D497" s="153" t="s">
        <v>25</v>
      </c>
      <c r="E497" s="130" t="s">
        <v>376</v>
      </c>
      <c r="F497" s="154" t="s">
        <v>523</v>
      </c>
      <c r="G497" s="154" t="s">
        <v>523</v>
      </c>
      <c r="H497" s="154" t="s">
        <v>523</v>
      </c>
      <c r="I497" s="154" t="s">
        <v>523</v>
      </c>
      <c r="J497" s="132">
        <v>0.9</v>
      </c>
      <c r="K497" s="133">
        <v>0.952380952380952</v>
      </c>
      <c r="L497" s="133">
        <v>0.987341772151899</v>
      </c>
      <c r="M497" s="134">
        <v>0.96551724137931</v>
      </c>
      <c r="N497" s="133">
        <v>0.977019041365726</v>
      </c>
      <c r="O497" s="135">
        <v>0.9</v>
      </c>
      <c r="P497" s="133">
        <v>0.978275627970129</v>
      </c>
      <c r="Q497" s="133">
        <v>0.976416539050536</v>
      </c>
      <c r="R497" s="133">
        <v>0.968763748350198</v>
      </c>
      <c r="S497" s="133">
        <v>0.979707122455456</v>
      </c>
      <c r="T497" s="135">
        <v>0.9</v>
      </c>
      <c r="U497" s="133">
        <v>0.921928038017651</v>
      </c>
      <c r="V497" s="133">
        <v>0.946401225114854</v>
      </c>
      <c r="W497" s="133">
        <v>0.964657574424402</v>
      </c>
      <c r="X497" s="133">
        <v>0.950754862401959</v>
      </c>
      <c r="Y497" s="135">
        <v>0.92</v>
      </c>
      <c r="Z497" s="135">
        <v>0.930629669156884</v>
      </c>
      <c r="AA497" s="135">
        <v>0.807981927710843</v>
      </c>
      <c r="AB497" s="135">
        <v>0.968854282536151</v>
      </c>
      <c r="AC497" s="135">
        <v>0.940292513136316</v>
      </c>
      <c r="AD497" s="135">
        <v>0.92</v>
      </c>
      <c r="AE497" s="133">
        <v>0.998427672955975</v>
      </c>
      <c r="AF497" s="133">
        <v>0.98972602739726</v>
      </c>
      <c r="AG497" s="133">
        <v>0.969740634005764</v>
      </c>
      <c r="AH497" s="133">
        <v>0.985195027047547</v>
      </c>
      <c r="AI497" s="135">
        <v>0.92</v>
      </c>
      <c r="AJ497" s="133">
        <v>0.966049382716049</v>
      </c>
      <c r="AK497" s="133">
        <v>0.957538774472413</v>
      </c>
      <c r="AL497" s="133">
        <v>0.988979118329466</v>
      </c>
      <c r="AM497" s="133">
        <v>0.981090354011969</v>
      </c>
      <c r="AN497" s="132">
        <v>0.99</v>
      </c>
      <c r="AO497" s="137">
        <v>1</v>
      </c>
      <c r="AP497" s="137">
        <v>1</v>
      </c>
      <c r="AQ497" s="137">
        <v>1</v>
      </c>
      <c r="AR497" s="137">
        <v>1</v>
      </c>
      <c r="AS497" s="158">
        <v>0.05</v>
      </c>
      <c r="AT497" s="141">
        <v>0.0588235294117647</v>
      </c>
      <c r="AU497" s="141">
        <v>0.05</v>
      </c>
      <c r="AV497" s="141">
        <v>0.0666666666666667</v>
      </c>
      <c r="AW497" s="141">
        <v>0.0525164113785558</v>
      </c>
      <c r="AX497" s="95"/>
      <c r="AY497" s="93"/>
    </row>
    <row r="498" ht="14.5" spans="1:51">
      <c r="A498" s="91"/>
      <c r="B498" s="95"/>
      <c r="C498" s="152" t="s">
        <v>375</v>
      </c>
      <c r="D498" s="153" t="s">
        <v>25</v>
      </c>
      <c r="E498" s="130" t="s">
        <v>376</v>
      </c>
      <c r="F498" s="154" t="s">
        <v>524</v>
      </c>
      <c r="G498" s="154" t="s">
        <v>524</v>
      </c>
      <c r="H498" s="154" t="s">
        <v>524</v>
      </c>
      <c r="I498" s="154" t="s">
        <v>524</v>
      </c>
      <c r="J498" s="132">
        <v>0.9</v>
      </c>
      <c r="K498" s="133">
        <v>1</v>
      </c>
      <c r="L498" s="133">
        <v>1</v>
      </c>
      <c r="M498" s="134">
        <v>1</v>
      </c>
      <c r="N498" s="133">
        <v>0.974358974358974</v>
      </c>
      <c r="O498" s="135">
        <v>0.9</v>
      </c>
      <c r="P498" s="133">
        <v>1</v>
      </c>
      <c r="Q498" s="133">
        <v>0</v>
      </c>
      <c r="R498" s="133" t="s">
        <v>35</v>
      </c>
      <c r="S498" s="133">
        <v>0.4</v>
      </c>
      <c r="T498" s="135">
        <v>0.9</v>
      </c>
      <c r="U498" s="133">
        <v>0</v>
      </c>
      <c r="V498" s="133">
        <v>0</v>
      </c>
      <c r="W498" s="133" t="s">
        <v>35</v>
      </c>
      <c r="X498" s="133">
        <v>0.2</v>
      </c>
      <c r="Y498" s="135">
        <v>0.92</v>
      </c>
      <c r="Z498" s="135" t="s">
        <v>35</v>
      </c>
      <c r="AA498" s="135" t="s">
        <v>35</v>
      </c>
      <c r="AB498" s="135" t="s">
        <v>35</v>
      </c>
      <c r="AC498" s="135">
        <v>1</v>
      </c>
      <c r="AD498" s="135">
        <v>0.92</v>
      </c>
      <c r="AE498" s="133">
        <v>0.98989898989899</v>
      </c>
      <c r="AF498" s="133">
        <v>0.978260869565217</v>
      </c>
      <c r="AG498" s="133">
        <v>0.974358974358974</v>
      </c>
      <c r="AH498" s="133">
        <v>0.966075558982267</v>
      </c>
      <c r="AI498" s="135">
        <v>0.92</v>
      </c>
      <c r="AJ498" s="133">
        <v>0.964140730717185</v>
      </c>
      <c r="AK498" s="133">
        <v>0.976666666666667</v>
      </c>
      <c r="AL498" s="133">
        <v>0.979811136437643</v>
      </c>
      <c r="AM498" s="133">
        <v>0.984248114849188</v>
      </c>
      <c r="AN498" s="132">
        <v>0.99</v>
      </c>
      <c r="AO498" s="137">
        <v>1</v>
      </c>
      <c r="AP498" s="137">
        <v>1</v>
      </c>
      <c r="AQ498" s="137">
        <v>1</v>
      </c>
      <c r="AR498" s="137">
        <v>1</v>
      </c>
      <c r="AS498" s="158">
        <v>0.05</v>
      </c>
      <c r="AT498" s="141">
        <v>0</v>
      </c>
      <c r="AU498" s="141">
        <v>0</v>
      </c>
      <c r="AV498" s="141">
        <v>0</v>
      </c>
      <c r="AW498" s="141">
        <v>0.0427350427350427</v>
      </c>
      <c r="AX498" s="95"/>
      <c r="AY498" s="93"/>
    </row>
    <row r="499" ht="14.5" spans="1:51">
      <c r="A499" s="91"/>
      <c r="B499" s="95"/>
      <c r="C499" s="152" t="s">
        <v>375</v>
      </c>
      <c r="D499" s="153" t="s">
        <v>25</v>
      </c>
      <c r="E499" s="130" t="s">
        <v>376</v>
      </c>
      <c r="F499" s="154" t="s">
        <v>525</v>
      </c>
      <c r="G499" s="154" t="s">
        <v>525</v>
      </c>
      <c r="H499" s="154" t="s">
        <v>525</v>
      </c>
      <c r="I499" s="154" t="s">
        <v>525</v>
      </c>
      <c r="J499" s="132">
        <v>0.9</v>
      </c>
      <c r="K499" s="133">
        <v>0.866666666666667</v>
      </c>
      <c r="L499" s="133">
        <v>0.892857142857143</v>
      </c>
      <c r="M499" s="134">
        <v>0.979166666666667</v>
      </c>
      <c r="N499" s="133">
        <v>0.923155737704918</v>
      </c>
      <c r="O499" s="135">
        <v>0.9</v>
      </c>
      <c r="P499" s="133">
        <v>0.333333333333333</v>
      </c>
      <c r="Q499" s="133">
        <v>0.5</v>
      </c>
      <c r="R499" s="133">
        <v>1</v>
      </c>
      <c r="S499" s="133">
        <v>0.538461538461538</v>
      </c>
      <c r="T499" s="135">
        <v>0.9</v>
      </c>
      <c r="U499" s="133">
        <v>0.333333333333333</v>
      </c>
      <c r="V499" s="133">
        <v>0</v>
      </c>
      <c r="W499" s="133">
        <v>1</v>
      </c>
      <c r="X499" s="133">
        <v>0.384615384615385</v>
      </c>
      <c r="Y499" s="135">
        <v>0.92</v>
      </c>
      <c r="Z499" s="135" t="s">
        <v>35</v>
      </c>
      <c r="AA499" s="135" t="s">
        <v>35</v>
      </c>
      <c r="AB499" s="135" t="s">
        <v>35</v>
      </c>
      <c r="AC499" s="135" t="s">
        <v>35</v>
      </c>
      <c r="AD499" s="135">
        <v>0.92</v>
      </c>
      <c r="AE499" s="133">
        <v>1</v>
      </c>
      <c r="AF499" s="133">
        <v>0.97841726618705</v>
      </c>
      <c r="AG499" s="133">
        <v>0.973404255319149</v>
      </c>
      <c r="AH499" s="133">
        <v>0.988565746955009</v>
      </c>
      <c r="AI499" s="135">
        <v>0.92</v>
      </c>
      <c r="AJ499" s="133">
        <v>0.932286555446516</v>
      </c>
      <c r="AK499" s="133">
        <v>0.963930348258706</v>
      </c>
      <c r="AL499" s="133">
        <v>0.95</v>
      </c>
      <c r="AM499" s="133">
        <v>0.966936299292214</v>
      </c>
      <c r="AN499" s="132">
        <v>0.99</v>
      </c>
      <c r="AO499" s="137">
        <v>1</v>
      </c>
      <c r="AP499" s="137">
        <v>1</v>
      </c>
      <c r="AQ499" s="137">
        <v>1</v>
      </c>
      <c r="AR499" s="137">
        <v>1</v>
      </c>
      <c r="AS499" s="158">
        <v>0.05</v>
      </c>
      <c r="AT499" s="141">
        <v>0.142857142857143</v>
      </c>
      <c r="AU499" s="141">
        <v>0</v>
      </c>
      <c r="AV499" s="141">
        <v>0</v>
      </c>
      <c r="AW499" s="141">
        <v>0.0467625899280576</v>
      </c>
      <c r="AX499" s="95"/>
      <c r="AY499" s="93"/>
    </row>
    <row r="500" ht="14.5" spans="1:51">
      <c r="A500" s="91"/>
      <c r="B500" s="95"/>
      <c r="C500" s="152" t="s">
        <v>375</v>
      </c>
      <c r="D500" s="153" t="s">
        <v>25</v>
      </c>
      <c r="E500" s="130" t="s">
        <v>376</v>
      </c>
      <c r="F500" s="154" t="s">
        <v>526</v>
      </c>
      <c r="G500" s="154" t="s">
        <v>526</v>
      </c>
      <c r="H500" s="154" t="s">
        <v>526</v>
      </c>
      <c r="I500" s="154" t="s">
        <v>526</v>
      </c>
      <c r="J500" s="132">
        <v>0.9</v>
      </c>
      <c r="K500" s="133">
        <v>0.894736842105263</v>
      </c>
      <c r="L500" s="133">
        <v>0.8125</v>
      </c>
      <c r="M500" s="134">
        <v>1</v>
      </c>
      <c r="N500" s="133">
        <v>0.919689119170985</v>
      </c>
      <c r="O500" s="135">
        <v>0.9</v>
      </c>
      <c r="P500" s="133">
        <v>0</v>
      </c>
      <c r="Q500" s="133" t="s">
        <v>35</v>
      </c>
      <c r="R500" s="133" t="s">
        <v>35</v>
      </c>
      <c r="S500" s="133">
        <v>0.25</v>
      </c>
      <c r="T500" s="135">
        <v>0.9</v>
      </c>
      <c r="U500" s="133">
        <v>0</v>
      </c>
      <c r="V500" s="133" t="s">
        <v>35</v>
      </c>
      <c r="W500" s="133" t="s">
        <v>35</v>
      </c>
      <c r="X500" s="133">
        <v>0.125</v>
      </c>
      <c r="Y500" s="135">
        <v>0.92</v>
      </c>
      <c r="Z500" s="135" t="s">
        <v>35</v>
      </c>
      <c r="AA500" s="135" t="s">
        <v>35</v>
      </c>
      <c r="AB500" s="135" t="s">
        <v>35</v>
      </c>
      <c r="AC500" s="135">
        <v>1</v>
      </c>
      <c r="AD500" s="135">
        <v>0.92</v>
      </c>
      <c r="AE500" s="133">
        <v>1</v>
      </c>
      <c r="AF500" s="133">
        <v>0.96875</v>
      </c>
      <c r="AG500" s="133">
        <v>1</v>
      </c>
      <c r="AH500" s="133">
        <v>0.932543299908842</v>
      </c>
      <c r="AI500" s="135">
        <v>0.92</v>
      </c>
      <c r="AJ500" s="133">
        <v>0.856899488926746</v>
      </c>
      <c r="AK500" s="133">
        <v>0.839735099337748</v>
      </c>
      <c r="AL500" s="133">
        <v>0.96978021978022</v>
      </c>
      <c r="AM500" s="133">
        <v>0.955528472150192</v>
      </c>
      <c r="AN500" s="132">
        <v>0.99</v>
      </c>
      <c r="AO500" s="137">
        <v>1</v>
      </c>
      <c r="AP500" s="137">
        <v>1</v>
      </c>
      <c r="AQ500" s="137">
        <v>1</v>
      </c>
      <c r="AR500" s="137">
        <v>1</v>
      </c>
      <c r="AS500" s="158">
        <v>0.05</v>
      </c>
      <c r="AT500" s="141">
        <v>0</v>
      </c>
      <c r="AU500" s="141">
        <v>0</v>
      </c>
      <c r="AV500" s="141">
        <v>0</v>
      </c>
      <c r="AW500" s="141">
        <v>0.0659340659340659</v>
      </c>
      <c r="AX500" s="95"/>
      <c r="AY500" s="93"/>
    </row>
    <row r="501" ht="14.5" spans="1:51">
      <c r="A501" s="91"/>
      <c r="B501" s="95"/>
      <c r="C501" s="152" t="s">
        <v>375</v>
      </c>
      <c r="D501" s="153" t="s">
        <v>25</v>
      </c>
      <c r="E501" s="130" t="s">
        <v>376</v>
      </c>
      <c r="F501" s="154" t="s">
        <v>527</v>
      </c>
      <c r="G501" s="154" t="s">
        <v>527</v>
      </c>
      <c r="H501" s="154" t="s">
        <v>527</v>
      </c>
      <c r="I501" s="154" t="s">
        <v>527</v>
      </c>
      <c r="J501" s="132">
        <v>0.9</v>
      </c>
      <c r="K501" s="133">
        <v>0.9375</v>
      </c>
      <c r="L501" s="133">
        <v>0.961538461538462</v>
      </c>
      <c r="M501" s="134">
        <v>0.950819672131147</v>
      </c>
      <c r="N501" s="133">
        <v>0.929342492639843</v>
      </c>
      <c r="O501" s="135">
        <v>0.9</v>
      </c>
      <c r="P501" s="133">
        <v>0.947629157820241</v>
      </c>
      <c r="Q501" s="133">
        <v>0.960789338800615</v>
      </c>
      <c r="R501" s="133">
        <v>0.963932806324111</v>
      </c>
      <c r="S501" s="133">
        <v>0.960883894321681</v>
      </c>
      <c r="T501" s="135">
        <v>0.9</v>
      </c>
      <c r="U501" s="133">
        <v>0.930644019815994</v>
      </c>
      <c r="V501" s="133">
        <v>0.914915427985648</v>
      </c>
      <c r="W501" s="133">
        <v>0.926136363636364</v>
      </c>
      <c r="X501" s="133">
        <v>0.890809876276406</v>
      </c>
      <c r="Y501" s="135">
        <v>0.92</v>
      </c>
      <c r="Z501" s="135">
        <v>0.933801404212638</v>
      </c>
      <c r="AA501" s="135">
        <v>0.912144702842377</v>
      </c>
      <c r="AB501" s="135">
        <v>0.908809891808346</v>
      </c>
      <c r="AC501" s="135">
        <v>0.92272043095936</v>
      </c>
      <c r="AD501" s="135">
        <v>0.92</v>
      </c>
      <c r="AE501" s="133">
        <v>0.999470338983051</v>
      </c>
      <c r="AF501" s="133">
        <v>0.996050552922591</v>
      </c>
      <c r="AG501" s="133">
        <v>0.996791443850267</v>
      </c>
      <c r="AH501" s="133">
        <v>0.994828957836118</v>
      </c>
      <c r="AI501" s="135">
        <v>0.92</v>
      </c>
      <c r="AJ501" s="133">
        <v>0.956485702445089</v>
      </c>
      <c r="AK501" s="133">
        <v>0.957749259624877</v>
      </c>
      <c r="AL501" s="133">
        <v>0.964439453490548</v>
      </c>
      <c r="AM501" s="133">
        <v>0.966053050291031</v>
      </c>
      <c r="AN501" s="132">
        <v>0.99</v>
      </c>
      <c r="AO501" s="137">
        <v>1</v>
      </c>
      <c r="AP501" s="137">
        <v>1</v>
      </c>
      <c r="AQ501" s="137">
        <v>1</v>
      </c>
      <c r="AR501" s="137">
        <v>1</v>
      </c>
      <c r="AS501" s="158">
        <v>0.05</v>
      </c>
      <c r="AT501" s="141">
        <v>0.0555555555555556</v>
      </c>
      <c r="AU501" s="141">
        <v>0.272727272727273</v>
      </c>
      <c r="AV501" s="141">
        <v>0.0434782608695652</v>
      </c>
      <c r="AW501" s="141">
        <v>0.0898203592814371</v>
      </c>
      <c r="AX501" s="95"/>
      <c r="AY501" s="93"/>
    </row>
    <row r="502" ht="14.5" spans="1:51">
      <c r="A502" s="91"/>
      <c r="B502" s="95"/>
      <c r="C502" s="152" t="s">
        <v>375</v>
      </c>
      <c r="D502" s="153" t="s">
        <v>25</v>
      </c>
      <c r="E502" s="130" t="s">
        <v>376</v>
      </c>
      <c r="F502" s="154" t="s">
        <v>528</v>
      </c>
      <c r="G502" s="154" t="s">
        <v>528</v>
      </c>
      <c r="H502" s="154" t="s">
        <v>528</v>
      </c>
      <c r="I502" s="154" t="s">
        <v>528</v>
      </c>
      <c r="J502" s="132">
        <v>0.9</v>
      </c>
      <c r="K502" s="133">
        <v>0.962962962962963</v>
      </c>
      <c r="L502" s="133">
        <v>0.96875</v>
      </c>
      <c r="M502" s="134">
        <v>0.9375</v>
      </c>
      <c r="N502" s="133">
        <v>0.972776769509982</v>
      </c>
      <c r="O502" s="135">
        <v>0.9</v>
      </c>
      <c r="P502" s="133">
        <v>0.982939632545932</v>
      </c>
      <c r="Q502" s="133">
        <v>0.983271375464684</v>
      </c>
      <c r="R502" s="133">
        <v>0.978102189781022</v>
      </c>
      <c r="S502" s="133">
        <v>0.980741887295045</v>
      </c>
      <c r="T502" s="135">
        <v>0.9</v>
      </c>
      <c r="U502" s="133">
        <v>0.926509186351706</v>
      </c>
      <c r="V502" s="133">
        <v>0.917843866171004</v>
      </c>
      <c r="W502" s="133">
        <v>0.939384322437322</v>
      </c>
      <c r="X502" s="133">
        <v>0.921761667356599</v>
      </c>
      <c r="Y502" s="135">
        <v>0.92</v>
      </c>
      <c r="Z502" s="135" t="s">
        <v>35</v>
      </c>
      <c r="AA502" s="135" t="s">
        <v>35</v>
      </c>
      <c r="AB502" s="135" t="s">
        <v>35</v>
      </c>
      <c r="AC502" s="135">
        <v>0</v>
      </c>
      <c r="AD502" s="135">
        <v>0.92</v>
      </c>
      <c r="AE502" s="133">
        <v>0.996868475991649</v>
      </c>
      <c r="AF502" s="133">
        <v>0.983974358974359</v>
      </c>
      <c r="AG502" s="133">
        <v>0.985632183908046</v>
      </c>
      <c r="AH502" s="133">
        <v>0.990498812351544</v>
      </c>
      <c r="AI502" s="135">
        <v>0.92</v>
      </c>
      <c r="AJ502" s="133">
        <v>0.965223097112861</v>
      </c>
      <c r="AK502" s="133">
        <v>0.975473801560758</v>
      </c>
      <c r="AL502" s="133">
        <v>0.983819796954315</v>
      </c>
      <c r="AM502" s="133">
        <v>0.986558220718694</v>
      </c>
      <c r="AN502" s="132">
        <v>0.99</v>
      </c>
      <c r="AO502" s="137">
        <v>1</v>
      </c>
      <c r="AP502" s="137">
        <v>1</v>
      </c>
      <c r="AQ502" s="137">
        <v>1</v>
      </c>
      <c r="AR502" s="137">
        <v>1</v>
      </c>
      <c r="AS502" s="158">
        <v>0.05</v>
      </c>
      <c r="AT502" s="141">
        <v>0</v>
      </c>
      <c r="AU502" s="141">
        <v>0.117647058823529</v>
      </c>
      <c r="AV502" s="141">
        <v>0</v>
      </c>
      <c r="AW502" s="141">
        <v>0.0318471337579618</v>
      </c>
      <c r="AX502" s="95"/>
      <c r="AY502" s="93"/>
    </row>
    <row r="503" ht="14.5" spans="1:51">
      <c r="A503" s="91"/>
      <c r="B503" s="95"/>
      <c r="C503" s="152" t="s">
        <v>375</v>
      </c>
      <c r="D503" s="153" t="s">
        <v>25</v>
      </c>
      <c r="E503" s="130" t="s">
        <v>376</v>
      </c>
      <c r="F503" s="154" t="s">
        <v>529</v>
      </c>
      <c r="G503" s="154" t="s">
        <v>529</v>
      </c>
      <c r="H503" s="154" t="s">
        <v>529</v>
      </c>
      <c r="I503" s="154" t="s">
        <v>529</v>
      </c>
      <c r="J503" s="132">
        <v>0.9</v>
      </c>
      <c r="K503" s="133">
        <v>0.96</v>
      </c>
      <c r="L503" s="133">
        <v>0.96</v>
      </c>
      <c r="M503" s="134">
        <v>0.96</v>
      </c>
      <c r="N503" s="133">
        <v>0.983673469387755</v>
      </c>
      <c r="O503" s="135">
        <v>0.9</v>
      </c>
      <c r="P503" s="133">
        <v>0</v>
      </c>
      <c r="Q503" s="133" t="s">
        <v>35</v>
      </c>
      <c r="R503" s="133">
        <v>0</v>
      </c>
      <c r="S503" s="133">
        <v>0.375</v>
      </c>
      <c r="T503" s="135">
        <v>0.9</v>
      </c>
      <c r="U503" s="133">
        <v>0</v>
      </c>
      <c r="V503" s="133" t="s">
        <v>35</v>
      </c>
      <c r="W503" s="133">
        <v>0</v>
      </c>
      <c r="X503" s="133">
        <v>0.375</v>
      </c>
      <c r="Y503" s="135">
        <v>0.92</v>
      </c>
      <c r="Z503" s="135" t="s">
        <v>35</v>
      </c>
      <c r="AA503" s="135">
        <v>0</v>
      </c>
      <c r="AB503" s="135" t="s">
        <v>35</v>
      </c>
      <c r="AC503" s="135">
        <v>0</v>
      </c>
      <c r="AD503" s="135">
        <v>0.92</v>
      </c>
      <c r="AE503" s="133">
        <v>0.998233215547703</v>
      </c>
      <c r="AF503" s="133">
        <v>1</v>
      </c>
      <c r="AG503" s="133">
        <v>1</v>
      </c>
      <c r="AH503" s="133">
        <v>0.994387934058225</v>
      </c>
      <c r="AI503" s="135">
        <v>0.92</v>
      </c>
      <c r="AJ503" s="133">
        <v>0.969673405909798</v>
      </c>
      <c r="AK503" s="133">
        <v>0.981992797118848</v>
      </c>
      <c r="AL503" s="133">
        <v>0.97366320830008</v>
      </c>
      <c r="AM503" s="133">
        <v>0.983183057244705</v>
      </c>
      <c r="AN503" s="132">
        <v>0.99</v>
      </c>
      <c r="AO503" s="137">
        <v>1</v>
      </c>
      <c r="AP503" s="137">
        <v>1</v>
      </c>
      <c r="AQ503" s="137">
        <v>1</v>
      </c>
      <c r="AR503" s="137">
        <v>1</v>
      </c>
      <c r="AS503" s="158">
        <v>0.05</v>
      </c>
      <c r="AT503" s="141">
        <v>0</v>
      </c>
      <c r="AU503" s="141">
        <v>0.285714285714286</v>
      </c>
      <c r="AV503" s="141">
        <v>0</v>
      </c>
      <c r="AW503" s="141">
        <v>0.114754098360656</v>
      </c>
      <c r="AX503" s="95"/>
      <c r="AY503" s="93"/>
    </row>
    <row r="504" ht="14.5" spans="1:51">
      <c r="A504" s="91"/>
      <c r="B504" s="95"/>
      <c r="C504" s="152" t="s">
        <v>375</v>
      </c>
      <c r="D504" s="153" t="s">
        <v>25</v>
      </c>
      <c r="E504" s="130" t="s">
        <v>376</v>
      </c>
      <c r="F504" s="154" t="s">
        <v>530</v>
      </c>
      <c r="G504" s="154" t="s">
        <v>530</v>
      </c>
      <c r="H504" s="154" t="s">
        <v>530</v>
      </c>
      <c r="I504" s="154" t="s">
        <v>530</v>
      </c>
      <c r="J504" s="132">
        <v>0.9</v>
      </c>
      <c r="K504" s="133">
        <v>0.883720930232558</v>
      </c>
      <c r="L504" s="133">
        <v>0.972972972972973</v>
      </c>
      <c r="M504" s="134">
        <v>0.973684210526316</v>
      </c>
      <c r="N504" s="133">
        <v>0.969127516778523</v>
      </c>
      <c r="O504" s="135">
        <v>0.9</v>
      </c>
      <c r="P504" s="133">
        <v>0</v>
      </c>
      <c r="Q504" s="133">
        <v>0</v>
      </c>
      <c r="R504" s="133">
        <v>0.2</v>
      </c>
      <c r="S504" s="133">
        <v>0.222222222222222</v>
      </c>
      <c r="T504" s="135">
        <v>0.9</v>
      </c>
      <c r="U504" s="133">
        <v>0</v>
      </c>
      <c r="V504" s="133">
        <v>0</v>
      </c>
      <c r="W504" s="133">
        <v>0</v>
      </c>
      <c r="X504" s="133">
        <v>0.222222222222222</v>
      </c>
      <c r="Y504" s="135">
        <v>0.92</v>
      </c>
      <c r="Z504" s="135" t="s">
        <v>35</v>
      </c>
      <c r="AA504" s="135" t="s">
        <v>35</v>
      </c>
      <c r="AB504" s="135">
        <v>0</v>
      </c>
      <c r="AC504" s="135">
        <v>0.8</v>
      </c>
      <c r="AD504" s="135">
        <v>0.92</v>
      </c>
      <c r="AE504" s="133">
        <v>1</v>
      </c>
      <c r="AF504" s="133">
        <v>1</v>
      </c>
      <c r="AG504" s="133">
        <v>0.972972972972973</v>
      </c>
      <c r="AH504" s="133">
        <v>0.990631561944759</v>
      </c>
      <c r="AI504" s="135">
        <v>0.92</v>
      </c>
      <c r="AJ504" s="133">
        <v>0.952195664257921</v>
      </c>
      <c r="AK504" s="133">
        <v>0.914362416107383</v>
      </c>
      <c r="AL504" s="133">
        <v>0.934213868427737</v>
      </c>
      <c r="AM504" s="133">
        <v>0.958918388619781</v>
      </c>
      <c r="AN504" s="132">
        <v>0.99</v>
      </c>
      <c r="AO504" s="137">
        <v>1</v>
      </c>
      <c r="AP504" s="137">
        <v>1</v>
      </c>
      <c r="AQ504" s="137">
        <v>1</v>
      </c>
      <c r="AR504" s="137">
        <v>1</v>
      </c>
      <c r="AS504" s="158">
        <v>0.05</v>
      </c>
      <c r="AT504" s="141">
        <v>0</v>
      </c>
      <c r="AU504" s="141">
        <v>0</v>
      </c>
      <c r="AV504" s="141">
        <v>0.111111111111111</v>
      </c>
      <c r="AW504" s="141">
        <v>0.0316455696202532</v>
      </c>
      <c r="AX504" s="95"/>
      <c r="AY504" s="93"/>
    </row>
    <row r="505" ht="14.5" spans="1:51">
      <c r="A505" s="91"/>
      <c r="B505" s="95"/>
      <c r="C505" s="152" t="s">
        <v>375</v>
      </c>
      <c r="D505" s="153" t="s">
        <v>25</v>
      </c>
      <c r="E505" s="130" t="s">
        <v>376</v>
      </c>
      <c r="F505" s="154" t="s">
        <v>531</v>
      </c>
      <c r="G505" s="154" t="s">
        <v>531</v>
      </c>
      <c r="H505" s="154" t="s">
        <v>531</v>
      </c>
      <c r="I505" s="154" t="s">
        <v>531</v>
      </c>
      <c r="J505" s="132">
        <v>0.9</v>
      </c>
      <c r="K505" s="133">
        <v>0.909090909090909</v>
      </c>
      <c r="L505" s="133">
        <v>0.906976744186046</v>
      </c>
      <c r="M505" s="134">
        <v>0.930232558139535</v>
      </c>
      <c r="N505" s="133">
        <v>0.952380952380952</v>
      </c>
      <c r="O505" s="135">
        <v>0.9</v>
      </c>
      <c r="P505" s="133">
        <v>0</v>
      </c>
      <c r="Q505" s="133" t="s">
        <v>35</v>
      </c>
      <c r="R505" s="133" t="s">
        <v>35</v>
      </c>
      <c r="S505" s="133">
        <v>0.428571428571429</v>
      </c>
      <c r="T505" s="135">
        <v>0.9</v>
      </c>
      <c r="U505" s="133">
        <v>0</v>
      </c>
      <c r="V505" s="133" t="s">
        <v>35</v>
      </c>
      <c r="W505" s="133" t="s">
        <v>35</v>
      </c>
      <c r="X505" s="133">
        <v>0.714285714285714</v>
      </c>
      <c r="Y505" s="135">
        <v>0.92</v>
      </c>
      <c r="Z505" s="135" t="s">
        <v>35</v>
      </c>
      <c r="AA505" s="135" t="s">
        <v>35</v>
      </c>
      <c r="AB505" s="135" t="s">
        <v>35</v>
      </c>
      <c r="AC505" s="135" t="s">
        <v>35</v>
      </c>
      <c r="AD505" s="135">
        <v>0.92</v>
      </c>
      <c r="AE505" s="133">
        <v>1</v>
      </c>
      <c r="AF505" s="133">
        <v>0.9</v>
      </c>
      <c r="AG505" s="133">
        <v>0.979591836734694</v>
      </c>
      <c r="AH505" s="133">
        <v>0.968253968253968</v>
      </c>
      <c r="AI505" s="135">
        <v>0.92</v>
      </c>
      <c r="AJ505" s="133">
        <v>0.965262700825011</v>
      </c>
      <c r="AK505" s="133">
        <v>0.970099667774086</v>
      </c>
      <c r="AL505" s="133">
        <v>0.975620975160994</v>
      </c>
      <c r="AM505" s="133">
        <v>0.986982010821125</v>
      </c>
      <c r="AN505" s="132">
        <v>0.99</v>
      </c>
      <c r="AO505" s="137">
        <v>1</v>
      </c>
      <c r="AP505" s="137">
        <v>1</v>
      </c>
      <c r="AQ505" s="137">
        <v>1</v>
      </c>
      <c r="AR505" s="137">
        <v>1</v>
      </c>
      <c r="AS505" s="158">
        <v>0.05</v>
      </c>
      <c r="AT505" s="141">
        <v>0.2</v>
      </c>
      <c r="AU505" s="141">
        <v>0.0666666666666667</v>
      </c>
      <c r="AV505" s="141">
        <v>0.1</v>
      </c>
      <c r="AW505" s="141">
        <v>0.105882352941176</v>
      </c>
      <c r="AX505" s="95"/>
      <c r="AY505" s="93"/>
    </row>
    <row r="506" ht="14.5" spans="1:51">
      <c r="A506" s="91"/>
      <c r="B506" s="95"/>
      <c r="C506" s="152" t="s">
        <v>375</v>
      </c>
      <c r="D506" s="153" t="s">
        <v>25</v>
      </c>
      <c r="E506" s="130" t="s">
        <v>376</v>
      </c>
      <c r="F506" s="154" t="s">
        <v>532</v>
      </c>
      <c r="G506" s="154" t="s">
        <v>532</v>
      </c>
      <c r="H506" s="154" t="s">
        <v>532</v>
      </c>
      <c r="I506" s="154" t="s">
        <v>532</v>
      </c>
      <c r="J506" s="132">
        <v>0.9</v>
      </c>
      <c r="K506" s="133">
        <v>1</v>
      </c>
      <c r="L506" s="133">
        <v>0.964285714285714</v>
      </c>
      <c r="M506" s="134">
        <v>1</v>
      </c>
      <c r="N506" s="133">
        <v>0.995959595959596</v>
      </c>
      <c r="O506" s="135">
        <v>0.9</v>
      </c>
      <c r="P506" s="133">
        <v>0.993150684931507</v>
      </c>
      <c r="Q506" s="133">
        <v>0.994467496542185</v>
      </c>
      <c r="R506" s="133">
        <v>0.993254637436762</v>
      </c>
      <c r="S506" s="133">
        <v>0.99424565282943</v>
      </c>
      <c r="T506" s="135">
        <v>0.9</v>
      </c>
      <c r="U506" s="133">
        <v>0.938356164383562</v>
      </c>
      <c r="V506" s="133">
        <v>0.952973720608575</v>
      </c>
      <c r="W506" s="133">
        <v>0.950674536256324</v>
      </c>
      <c r="X506" s="133">
        <v>0.962131872550005</v>
      </c>
      <c r="Y506" s="135">
        <v>0.92</v>
      </c>
      <c r="Z506" s="135">
        <v>0.945326278659612</v>
      </c>
      <c r="AA506" s="135">
        <v>0.93968253968254</v>
      </c>
      <c r="AB506" s="135">
        <v>0.948148148148148</v>
      </c>
      <c r="AC506" s="135">
        <v>0.951365187713311</v>
      </c>
      <c r="AD506" s="135">
        <v>0.92</v>
      </c>
      <c r="AE506" s="133">
        <v>0.999370277078086</v>
      </c>
      <c r="AF506" s="133">
        <v>0.999416909620991</v>
      </c>
      <c r="AG506" s="133">
        <v>0.999210734017364</v>
      </c>
      <c r="AH506" s="133">
        <v>0.99893671754416</v>
      </c>
      <c r="AI506" s="135">
        <v>0.92</v>
      </c>
      <c r="AJ506" s="133">
        <v>0.962991518889746</v>
      </c>
      <c r="AK506" s="133">
        <v>0.977151017493752</v>
      </c>
      <c r="AL506" s="133">
        <v>0.981949458483754</v>
      </c>
      <c r="AM506" s="133">
        <v>0.984375606537013</v>
      </c>
      <c r="AN506" s="132">
        <v>0.99</v>
      </c>
      <c r="AO506" s="137">
        <v>1</v>
      </c>
      <c r="AP506" s="137">
        <v>1</v>
      </c>
      <c r="AQ506" s="137">
        <v>1</v>
      </c>
      <c r="AR506" s="137">
        <v>1</v>
      </c>
      <c r="AS506" s="158">
        <v>0.05</v>
      </c>
      <c r="AT506" s="141">
        <v>0.333333333333333</v>
      </c>
      <c r="AU506" s="141">
        <v>0.1</v>
      </c>
      <c r="AV506" s="141">
        <v>0</v>
      </c>
      <c r="AW506" s="141">
        <v>0.0671140939597315</v>
      </c>
      <c r="AX506" s="95"/>
      <c r="AY506" s="93"/>
    </row>
    <row r="507" ht="14.5" spans="1:51">
      <c r="A507" s="91"/>
      <c r="B507" s="95"/>
      <c r="C507" s="152" t="s">
        <v>375</v>
      </c>
      <c r="D507" s="153" t="s">
        <v>25</v>
      </c>
      <c r="E507" s="130" t="s">
        <v>376</v>
      </c>
      <c r="F507" s="154" t="s">
        <v>533</v>
      </c>
      <c r="G507" s="154" t="s">
        <v>533</v>
      </c>
      <c r="H507" s="154" t="s">
        <v>533</v>
      </c>
      <c r="I507" s="154" t="s">
        <v>533</v>
      </c>
      <c r="J507" s="132">
        <v>0.9</v>
      </c>
      <c r="K507" s="133">
        <v>0.979591836734694</v>
      </c>
      <c r="L507" s="133">
        <v>0.963636363636364</v>
      </c>
      <c r="M507" s="134">
        <v>0.96078431372549</v>
      </c>
      <c r="N507" s="133">
        <v>0.981517509727626</v>
      </c>
      <c r="O507" s="135">
        <v>0.9</v>
      </c>
      <c r="P507" s="133">
        <v>0.983291562238931</v>
      </c>
      <c r="Q507" s="133">
        <v>0.979627221499783</v>
      </c>
      <c r="R507" s="133">
        <v>0.984152139461173</v>
      </c>
      <c r="S507" s="133">
        <v>0.984019235206256</v>
      </c>
      <c r="T507" s="135">
        <v>0.9</v>
      </c>
      <c r="U507" s="133">
        <v>0.897243107769424</v>
      </c>
      <c r="V507" s="133">
        <v>0.931296055483312</v>
      </c>
      <c r="W507" s="133">
        <v>0.922741679873217</v>
      </c>
      <c r="X507" s="133">
        <v>0.938614919428287</v>
      </c>
      <c r="Y507" s="135">
        <v>0.92</v>
      </c>
      <c r="Z507" s="135" t="s">
        <v>35</v>
      </c>
      <c r="AA507" s="135">
        <v>0</v>
      </c>
      <c r="AB507" s="135" t="s">
        <v>35</v>
      </c>
      <c r="AC507" s="135">
        <v>0</v>
      </c>
      <c r="AD507" s="135">
        <v>0.92</v>
      </c>
      <c r="AE507" s="133">
        <v>0.978021978021978</v>
      </c>
      <c r="AF507" s="133">
        <v>1</v>
      </c>
      <c r="AG507" s="133">
        <v>0.950819672131147</v>
      </c>
      <c r="AH507" s="133">
        <v>0.951176470588235</v>
      </c>
      <c r="AI507" s="135">
        <v>0.92</v>
      </c>
      <c r="AJ507" s="133">
        <v>0.974241794765268</v>
      </c>
      <c r="AK507" s="133">
        <v>0.983975747076657</v>
      </c>
      <c r="AL507" s="133">
        <v>0.988314517726282</v>
      </c>
      <c r="AM507" s="133">
        <v>0.990046490173944</v>
      </c>
      <c r="AN507" s="132">
        <v>0.99</v>
      </c>
      <c r="AO507" s="137">
        <v>1</v>
      </c>
      <c r="AP507" s="137">
        <v>1</v>
      </c>
      <c r="AQ507" s="137">
        <v>1</v>
      </c>
      <c r="AR507" s="137">
        <v>1</v>
      </c>
      <c r="AS507" s="158">
        <v>0.05</v>
      </c>
      <c r="AT507" s="141">
        <v>0</v>
      </c>
      <c r="AU507" s="141">
        <v>0</v>
      </c>
      <c r="AV507" s="141">
        <v>0</v>
      </c>
      <c r="AW507" s="141">
        <v>0.0238095238095238</v>
      </c>
      <c r="AX507" s="95"/>
      <c r="AY507" s="93"/>
    </row>
    <row r="508" ht="14.5" spans="1:51">
      <c r="A508" s="91"/>
      <c r="B508" s="95"/>
      <c r="C508" s="152" t="s">
        <v>375</v>
      </c>
      <c r="D508" s="153" t="s">
        <v>25</v>
      </c>
      <c r="E508" s="130" t="s">
        <v>376</v>
      </c>
      <c r="F508" s="154" t="s">
        <v>534</v>
      </c>
      <c r="G508" s="154" t="s">
        <v>534</v>
      </c>
      <c r="H508" s="154" t="s">
        <v>534</v>
      </c>
      <c r="I508" s="154" t="s">
        <v>534</v>
      </c>
      <c r="J508" s="132">
        <v>0.9</v>
      </c>
      <c r="K508" s="133">
        <v>0.894736842105263</v>
      </c>
      <c r="L508" s="133">
        <v>0.904761904761905</v>
      </c>
      <c r="M508" s="134">
        <v>0.954545454545455</v>
      </c>
      <c r="N508" s="133">
        <v>0.915632754342432</v>
      </c>
      <c r="O508" s="135">
        <v>0.9</v>
      </c>
      <c r="P508" s="133">
        <v>0.965899403239557</v>
      </c>
      <c r="Q508" s="133">
        <v>0.962429555416406</v>
      </c>
      <c r="R508" s="133">
        <v>0.984159427695452</v>
      </c>
      <c r="S508" s="133">
        <v>0.973617467859954</v>
      </c>
      <c r="T508" s="135">
        <v>0.9</v>
      </c>
      <c r="U508" s="133">
        <v>0.895993179880648</v>
      </c>
      <c r="V508" s="133">
        <v>0.86662492172824</v>
      </c>
      <c r="W508" s="133">
        <v>0.947879407256004</v>
      </c>
      <c r="X508" s="133">
        <v>0.939043232370347</v>
      </c>
      <c r="Y508" s="135">
        <v>0.92</v>
      </c>
      <c r="Z508" s="135" t="s">
        <v>35</v>
      </c>
      <c r="AA508" s="135" t="s">
        <v>35</v>
      </c>
      <c r="AB508" s="135" t="s">
        <v>35</v>
      </c>
      <c r="AC508" s="135">
        <v>1</v>
      </c>
      <c r="AD508" s="135">
        <v>0.92</v>
      </c>
      <c r="AE508" s="133">
        <v>0.964705882352941</v>
      </c>
      <c r="AF508" s="133">
        <v>1</v>
      </c>
      <c r="AG508" s="133">
        <v>1</v>
      </c>
      <c r="AH508" s="133">
        <v>0.986200551977921</v>
      </c>
      <c r="AI508" s="135">
        <v>0.92</v>
      </c>
      <c r="AJ508" s="133">
        <v>0.964224872231687</v>
      </c>
      <c r="AK508" s="133">
        <v>0.974968710888611</v>
      </c>
      <c r="AL508" s="133">
        <v>0.982115482881962</v>
      </c>
      <c r="AM508" s="133">
        <v>0.983998367775219</v>
      </c>
      <c r="AN508" s="132">
        <v>0.99</v>
      </c>
      <c r="AO508" s="137">
        <v>1</v>
      </c>
      <c r="AP508" s="137">
        <v>1</v>
      </c>
      <c r="AQ508" s="137">
        <v>1</v>
      </c>
      <c r="AR508" s="137">
        <v>1</v>
      </c>
      <c r="AS508" s="158">
        <v>0.05</v>
      </c>
      <c r="AT508" s="141">
        <v>0</v>
      </c>
      <c r="AU508" s="141" t="s">
        <v>35</v>
      </c>
      <c r="AV508" s="141">
        <v>0</v>
      </c>
      <c r="AW508" s="141">
        <v>0.036144578313253</v>
      </c>
      <c r="AX508" s="95"/>
      <c r="AY508" s="93"/>
    </row>
    <row r="509" ht="14.5" spans="1:51">
      <c r="A509" s="91"/>
      <c r="B509" s="95"/>
      <c r="C509" s="152" t="s">
        <v>375</v>
      </c>
      <c r="D509" s="153" t="s">
        <v>25</v>
      </c>
      <c r="E509" s="130" t="s">
        <v>376</v>
      </c>
      <c r="F509" s="154" t="s">
        <v>535</v>
      </c>
      <c r="G509" s="154" t="s">
        <v>535</v>
      </c>
      <c r="H509" s="154" t="s">
        <v>535</v>
      </c>
      <c r="I509" s="154" t="s">
        <v>535</v>
      </c>
      <c r="J509" s="132">
        <v>0.9</v>
      </c>
      <c r="K509" s="133">
        <v>1</v>
      </c>
      <c r="L509" s="133">
        <v>0.947368421052632</v>
      </c>
      <c r="M509" s="134">
        <v>0.911764705882353</v>
      </c>
      <c r="N509" s="133">
        <v>0.913669064748201</v>
      </c>
      <c r="O509" s="135">
        <v>0.9</v>
      </c>
      <c r="P509" s="133">
        <v>0</v>
      </c>
      <c r="Q509" s="133" t="s">
        <v>35</v>
      </c>
      <c r="R509" s="133">
        <v>1</v>
      </c>
      <c r="S509" s="133">
        <v>0.5</v>
      </c>
      <c r="T509" s="135">
        <v>0.9</v>
      </c>
      <c r="U509" s="133">
        <v>0</v>
      </c>
      <c r="V509" s="133" t="s">
        <v>35</v>
      </c>
      <c r="W509" s="133">
        <v>1</v>
      </c>
      <c r="X509" s="133">
        <v>0.5</v>
      </c>
      <c r="Y509" s="135">
        <v>0.92</v>
      </c>
      <c r="Z509" s="135" t="s">
        <v>35</v>
      </c>
      <c r="AA509" s="135" t="s">
        <v>35</v>
      </c>
      <c r="AB509" s="135" t="s">
        <v>35</v>
      </c>
      <c r="AC509" s="135">
        <v>0.333333333333333</v>
      </c>
      <c r="AD509" s="135">
        <v>0.92</v>
      </c>
      <c r="AE509" s="133">
        <v>1</v>
      </c>
      <c r="AF509" s="133">
        <v>0.990929705215419</v>
      </c>
      <c r="AG509" s="133">
        <v>0.982758620689655</v>
      </c>
      <c r="AH509" s="133">
        <v>0.991815935762817</v>
      </c>
      <c r="AI509" s="135">
        <v>0.92</v>
      </c>
      <c r="AJ509" s="133">
        <v>0.915957446808511</v>
      </c>
      <c r="AK509" s="133">
        <v>0.973858173076923</v>
      </c>
      <c r="AL509" s="133">
        <v>0.971501852379595</v>
      </c>
      <c r="AM509" s="133">
        <v>0.968369781897813</v>
      </c>
      <c r="AN509" s="132">
        <v>0.99</v>
      </c>
      <c r="AO509" s="137">
        <v>1</v>
      </c>
      <c r="AP509" s="137">
        <v>1</v>
      </c>
      <c r="AQ509" s="137">
        <v>1</v>
      </c>
      <c r="AR509" s="137">
        <v>1</v>
      </c>
      <c r="AS509" s="158">
        <v>0.05</v>
      </c>
      <c r="AT509" s="141">
        <v>0</v>
      </c>
      <c r="AU509" s="141">
        <v>0</v>
      </c>
      <c r="AV509" s="141">
        <v>0.2</v>
      </c>
      <c r="AW509" s="141">
        <v>0.0614035087719298</v>
      </c>
      <c r="AX509" s="95"/>
      <c r="AY509" s="93"/>
    </row>
    <row r="510" ht="14.5" spans="1:51">
      <c r="A510" s="91"/>
      <c r="B510" s="95"/>
      <c r="C510" s="152" t="s">
        <v>375</v>
      </c>
      <c r="D510" s="153" t="s">
        <v>25</v>
      </c>
      <c r="E510" s="130" t="s">
        <v>376</v>
      </c>
      <c r="F510" s="154" t="s">
        <v>536</v>
      </c>
      <c r="G510" s="154" t="s">
        <v>536</v>
      </c>
      <c r="H510" s="154" t="s">
        <v>536</v>
      </c>
      <c r="I510" s="154" t="s">
        <v>536</v>
      </c>
      <c r="J510" s="132">
        <v>0.9</v>
      </c>
      <c r="K510" s="133">
        <v>0.912280701754386</v>
      </c>
      <c r="L510" s="133">
        <v>0.88135593220339</v>
      </c>
      <c r="M510" s="134">
        <v>0.95</v>
      </c>
      <c r="N510" s="133">
        <v>0.93645251396648</v>
      </c>
      <c r="O510" s="135">
        <v>0.9</v>
      </c>
      <c r="P510" s="133">
        <v>0.5</v>
      </c>
      <c r="Q510" s="133" t="s">
        <v>35</v>
      </c>
      <c r="R510" s="133" t="s">
        <v>35</v>
      </c>
      <c r="S510" s="133">
        <v>0.5</v>
      </c>
      <c r="T510" s="135">
        <v>0.9</v>
      </c>
      <c r="U510" s="133">
        <v>0.25</v>
      </c>
      <c r="V510" s="133" t="s">
        <v>35</v>
      </c>
      <c r="W510" s="133" t="s">
        <v>35</v>
      </c>
      <c r="X510" s="133">
        <v>0.166666666666667</v>
      </c>
      <c r="Y510" s="135">
        <v>0.92</v>
      </c>
      <c r="Z510" s="135" t="s">
        <v>35</v>
      </c>
      <c r="AA510" s="135" t="s">
        <v>35</v>
      </c>
      <c r="AB510" s="135" t="s">
        <v>35</v>
      </c>
      <c r="AC510" s="135" t="s">
        <v>35</v>
      </c>
      <c r="AD510" s="135">
        <v>0.92</v>
      </c>
      <c r="AE510" s="133">
        <v>1</v>
      </c>
      <c r="AF510" s="133">
        <v>0.993220338983051</v>
      </c>
      <c r="AG510" s="133">
        <v>0.972477064220184</v>
      </c>
      <c r="AH510" s="133">
        <v>0.987561014013541</v>
      </c>
      <c r="AI510" s="135">
        <v>0.92</v>
      </c>
      <c r="AJ510" s="133">
        <v>0.916185951815406</v>
      </c>
      <c r="AK510" s="133">
        <v>0.879693629740332</v>
      </c>
      <c r="AL510" s="133">
        <v>0.96781033153431</v>
      </c>
      <c r="AM510" s="133">
        <v>0.947680006461253</v>
      </c>
      <c r="AN510" s="132">
        <v>0.99</v>
      </c>
      <c r="AO510" s="137">
        <v>1</v>
      </c>
      <c r="AP510" s="137">
        <v>1</v>
      </c>
      <c r="AQ510" s="137">
        <v>1</v>
      </c>
      <c r="AR510" s="137">
        <v>1</v>
      </c>
      <c r="AS510" s="158">
        <v>0.05</v>
      </c>
      <c r="AT510" s="141">
        <v>0</v>
      </c>
      <c r="AU510" s="141">
        <v>0.125</v>
      </c>
      <c r="AV510" s="141">
        <v>0</v>
      </c>
      <c r="AW510" s="141">
        <v>0.0823170731707317</v>
      </c>
      <c r="AX510" s="95"/>
      <c r="AY510" s="93"/>
    </row>
    <row r="511" ht="14.5" spans="1:51">
      <c r="A511" s="91"/>
      <c r="B511" s="95"/>
      <c r="C511" s="152" t="s">
        <v>375</v>
      </c>
      <c r="D511" s="153" t="s">
        <v>25</v>
      </c>
      <c r="E511" s="130" t="s">
        <v>376</v>
      </c>
      <c r="F511" s="154" t="s">
        <v>537</v>
      </c>
      <c r="G511" s="154" t="s">
        <v>537</v>
      </c>
      <c r="H511" s="154" t="s">
        <v>537</v>
      </c>
      <c r="I511" s="154" t="s">
        <v>537</v>
      </c>
      <c r="J511" s="132">
        <v>0.9</v>
      </c>
      <c r="K511" s="133">
        <v>0.982758620689655</v>
      </c>
      <c r="L511" s="133">
        <v>0.9375</v>
      </c>
      <c r="M511" s="134">
        <v>0.950819672131147</v>
      </c>
      <c r="N511" s="133">
        <v>0.942324755989352</v>
      </c>
      <c r="O511" s="135">
        <v>0.9</v>
      </c>
      <c r="P511" s="133" t="s">
        <v>35</v>
      </c>
      <c r="Q511" s="133">
        <v>0</v>
      </c>
      <c r="R511" s="133" t="s">
        <v>35</v>
      </c>
      <c r="S511" s="133">
        <v>0</v>
      </c>
      <c r="T511" s="135">
        <v>0.9</v>
      </c>
      <c r="U511" s="133" t="s">
        <v>35</v>
      </c>
      <c r="V511" s="133">
        <v>0</v>
      </c>
      <c r="W511" s="133" t="s">
        <v>35</v>
      </c>
      <c r="X511" s="133">
        <v>0.4</v>
      </c>
      <c r="Y511" s="135">
        <v>0.92</v>
      </c>
      <c r="Z511" s="135" t="s">
        <v>35</v>
      </c>
      <c r="AA511" s="135" t="s">
        <v>35</v>
      </c>
      <c r="AB511" s="135" t="s">
        <v>35</v>
      </c>
      <c r="AC511" s="135" t="s">
        <v>35</v>
      </c>
      <c r="AD511" s="135">
        <v>0.92</v>
      </c>
      <c r="AE511" s="133">
        <v>1</v>
      </c>
      <c r="AF511" s="133">
        <v>0.934065934065934</v>
      </c>
      <c r="AG511" s="133">
        <v>0.941747572815534</v>
      </c>
      <c r="AH511" s="133">
        <v>0.922334004024145</v>
      </c>
      <c r="AI511" s="135">
        <v>0.92</v>
      </c>
      <c r="AJ511" s="133">
        <v>0.9600153787005</v>
      </c>
      <c r="AK511" s="133">
        <v>0.976616231086658</v>
      </c>
      <c r="AL511" s="133">
        <v>0.987212718161396</v>
      </c>
      <c r="AM511" s="133">
        <v>0.984482357666857</v>
      </c>
      <c r="AN511" s="132">
        <v>0.99</v>
      </c>
      <c r="AO511" s="137">
        <v>1</v>
      </c>
      <c r="AP511" s="137">
        <v>1</v>
      </c>
      <c r="AQ511" s="137">
        <v>1</v>
      </c>
      <c r="AR511" s="137">
        <v>1</v>
      </c>
      <c r="AS511" s="158">
        <v>0.05</v>
      </c>
      <c r="AT511" s="141">
        <v>0.333333333333333</v>
      </c>
      <c r="AU511" s="141">
        <v>0.5</v>
      </c>
      <c r="AV511" s="141">
        <v>0</v>
      </c>
      <c r="AW511" s="141">
        <v>0.0945273631840796</v>
      </c>
      <c r="AX511" s="95"/>
      <c r="AY511" s="93"/>
    </row>
    <row r="512" ht="14.5" spans="1:51">
      <c r="A512" s="91"/>
      <c r="B512" s="95"/>
      <c r="C512" s="152" t="s">
        <v>375</v>
      </c>
      <c r="D512" s="153" t="s">
        <v>25</v>
      </c>
      <c r="E512" s="130" t="s">
        <v>376</v>
      </c>
      <c r="F512" s="154" t="s">
        <v>538</v>
      </c>
      <c r="G512" s="154" t="s">
        <v>538</v>
      </c>
      <c r="H512" s="154" t="s">
        <v>538</v>
      </c>
      <c r="I512" s="154" t="s">
        <v>538</v>
      </c>
      <c r="J512" s="132">
        <v>0.9</v>
      </c>
      <c r="K512" s="133">
        <v>1</v>
      </c>
      <c r="L512" s="133">
        <v>1</v>
      </c>
      <c r="M512" s="134">
        <v>1</v>
      </c>
      <c r="N512" s="133">
        <v>0.998178506375228</v>
      </c>
      <c r="O512" s="135">
        <v>0.9</v>
      </c>
      <c r="P512" s="133">
        <v>0.975017844396859</v>
      </c>
      <c r="Q512" s="133">
        <v>0.987553481135745</v>
      </c>
      <c r="R512" s="133">
        <v>0.983677910772579</v>
      </c>
      <c r="S512" s="133">
        <v>0.988414595045209</v>
      </c>
      <c r="T512" s="135">
        <v>0.9</v>
      </c>
      <c r="U512" s="133">
        <v>0.939329050678087</v>
      </c>
      <c r="V512" s="133">
        <v>0.969661610268378</v>
      </c>
      <c r="W512" s="133">
        <v>0.964454116793616</v>
      </c>
      <c r="X512" s="133">
        <v>0.971912874334694</v>
      </c>
      <c r="Y512" s="135">
        <v>0.92</v>
      </c>
      <c r="Z512" s="135" t="s">
        <v>35</v>
      </c>
      <c r="AA512" s="135" t="s">
        <v>35</v>
      </c>
      <c r="AB512" s="135" t="s">
        <v>35</v>
      </c>
      <c r="AC512" s="135" t="s">
        <v>35</v>
      </c>
      <c r="AD512" s="135">
        <v>0.92</v>
      </c>
      <c r="AE512" s="133">
        <v>0.9875</v>
      </c>
      <c r="AF512" s="133">
        <v>0.984375</v>
      </c>
      <c r="AG512" s="133">
        <v>0.96</v>
      </c>
      <c r="AH512" s="133">
        <v>0.979634831460674</v>
      </c>
      <c r="AI512" s="135">
        <v>0.92</v>
      </c>
      <c r="AJ512" s="133">
        <v>0.960028551034975</v>
      </c>
      <c r="AK512" s="133">
        <v>0.983281493001555</v>
      </c>
      <c r="AL512" s="133">
        <v>0.986216902430178</v>
      </c>
      <c r="AM512" s="133">
        <v>0.989355790193648</v>
      </c>
      <c r="AN512" s="132">
        <v>0.99</v>
      </c>
      <c r="AO512" s="137">
        <v>1</v>
      </c>
      <c r="AP512" s="137">
        <v>1</v>
      </c>
      <c r="AQ512" s="137">
        <v>1</v>
      </c>
      <c r="AR512" s="137">
        <v>1</v>
      </c>
      <c r="AS512" s="158">
        <v>0.05</v>
      </c>
      <c r="AT512" s="141">
        <v>0</v>
      </c>
      <c r="AU512" s="141">
        <v>0</v>
      </c>
      <c r="AV512" s="141">
        <v>0</v>
      </c>
      <c r="AW512" s="141">
        <v>0.0459770114942529</v>
      </c>
      <c r="AX512" s="95"/>
      <c r="AY512" s="93"/>
    </row>
    <row r="513" ht="14.5" spans="1:51">
      <c r="A513" s="91"/>
      <c r="B513" s="95"/>
      <c r="C513" s="152" t="s">
        <v>375</v>
      </c>
      <c r="D513" s="153" t="s">
        <v>25</v>
      </c>
      <c r="E513" s="130" t="s">
        <v>376</v>
      </c>
      <c r="F513" s="154" t="s">
        <v>539</v>
      </c>
      <c r="G513" s="154" t="s">
        <v>539</v>
      </c>
      <c r="H513" s="154" t="s">
        <v>539</v>
      </c>
      <c r="I513" s="154" t="s">
        <v>539</v>
      </c>
      <c r="J513" s="132">
        <v>0.9</v>
      </c>
      <c r="K513" s="133">
        <v>1</v>
      </c>
      <c r="L513" s="133">
        <v>1</v>
      </c>
      <c r="M513" s="134">
        <v>1</v>
      </c>
      <c r="N513" s="133">
        <v>0.997777777777778</v>
      </c>
      <c r="O513" s="135">
        <v>0.9</v>
      </c>
      <c r="P513" s="133">
        <v>0.967071057192374</v>
      </c>
      <c r="Q513" s="133">
        <v>0.988668555240793</v>
      </c>
      <c r="R513" s="133">
        <v>0.976519337016575</v>
      </c>
      <c r="S513" s="133">
        <v>0.98099063878627</v>
      </c>
      <c r="T513" s="135">
        <v>0.9</v>
      </c>
      <c r="U513" s="133">
        <v>0.925476603119584</v>
      </c>
      <c r="V513" s="133">
        <v>0.936260623229462</v>
      </c>
      <c r="W513" s="133">
        <v>0.94060773480663</v>
      </c>
      <c r="X513" s="133">
        <v>0.9381299092572</v>
      </c>
      <c r="Y513" s="135">
        <v>0.92</v>
      </c>
      <c r="Z513" s="135">
        <v>0.920245398773006</v>
      </c>
      <c r="AA513" s="135">
        <v>0.895408163265306</v>
      </c>
      <c r="AB513" s="135">
        <v>0.960905349794239</v>
      </c>
      <c r="AC513" s="135">
        <v>0.96142162818955</v>
      </c>
      <c r="AD513" s="135">
        <v>0.92</v>
      </c>
      <c r="AE513" s="133">
        <v>1</v>
      </c>
      <c r="AF513" s="133">
        <v>0.998942917547569</v>
      </c>
      <c r="AG513" s="133">
        <v>1</v>
      </c>
      <c r="AH513" s="133">
        <v>0.998512878472429</v>
      </c>
      <c r="AI513" s="135">
        <v>0.92</v>
      </c>
      <c r="AJ513" s="133">
        <v>0.950166112956811</v>
      </c>
      <c r="AK513" s="133">
        <v>0.964523281596452</v>
      </c>
      <c r="AL513" s="133">
        <v>0.979328165374677</v>
      </c>
      <c r="AM513" s="133">
        <v>0.98138389428806</v>
      </c>
      <c r="AN513" s="132">
        <v>0.99</v>
      </c>
      <c r="AO513" s="137">
        <v>1</v>
      </c>
      <c r="AP513" s="137">
        <v>1</v>
      </c>
      <c r="AQ513" s="137">
        <v>1</v>
      </c>
      <c r="AR513" s="137">
        <v>1</v>
      </c>
      <c r="AS513" s="158">
        <v>0.05</v>
      </c>
      <c r="AT513" s="141">
        <v>0.142857142857143</v>
      </c>
      <c r="AU513" s="141">
        <v>0</v>
      </c>
      <c r="AV513" s="141">
        <v>0</v>
      </c>
      <c r="AW513" s="141">
        <v>0.0373831775700935</v>
      </c>
      <c r="AX513" s="95"/>
      <c r="AY513" s="93"/>
    </row>
    <row r="514" ht="14.5" spans="1:51">
      <c r="A514" s="91"/>
      <c r="B514" s="95"/>
      <c r="C514" s="152" t="s">
        <v>375</v>
      </c>
      <c r="D514" s="153" t="s">
        <v>25</v>
      </c>
      <c r="E514" s="130" t="s">
        <v>376</v>
      </c>
      <c r="F514" s="154" t="s">
        <v>540</v>
      </c>
      <c r="G514" s="154" t="s">
        <v>540</v>
      </c>
      <c r="H514" s="154" t="s">
        <v>540</v>
      </c>
      <c r="I514" s="154" t="s">
        <v>540</v>
      </c>
      <c r="J514" s="132">
        <v>0.9</v>
      </c>
      <c r="K514" s="133">
        <v>0.953488372093023</v>
      </c>
      <c r="L514" s="133">
        <v>0.962962962962963</v>
      </c>
      <c r="M514" s="134">
        <v>0.979591836734694</v>
      </c>
      <c r="N514" s="133">
        <v>0.963362068965517</v>
      </c>
      <c r="O514" s="135">
        <v>0.9</v>
      </c>
      <c r="P514" s="133">
        <v>1</v>
      </c>
      <c r="Q514" s="133" t="s">
        <v>35</v>
      </c>
      <c r="R514" s="133">
        <v>0</v>
      </c>
      <c r="S514" s="133">
        <v>0.375</v>
      </c>
      <c r="T514" s="135">
        <v>0.9</v>
      </c>
      <c r="U514" s="133">
        <v>0</v>
      </c>
      <c r="V514" s="133" t="s">
        <v>35</v>
      </c>
      <c r="W514" s="133">
        <v>0</v>
      </c>
      <c r="X514" s="133">
        <v>0.125</v>
      </c>
      <c r="Y514" s="135">
        <v>0.92</v>
      </c>
      <c r="Z514" s="135" t="s">
        <v>35</v>
      </c>
      <c r="AA514" s="135" t="s">
        <v>35</v>
      </c>
      <c r="AB514" s="135" t="s">
        <v>35</v>
      </c>
      <c r="AC514" s="135">
        <v>1</v>
      </c>
      <c r="AD514" s="135">
        <v>0.92</v>
      </c>
      <c r="AE514" s="133">
        <v>1</v>
      </c>
      <c r="AF514" s="133">
        <v>0.976525821596244</v>
      </c>
      <c r="AG514" s="133">
        <v>0.916058394160584</v>
      </c>
      <c r="AH514" s="133">
        <v>0.982898828031571</v>
      </c>
      <c r="AI514" s="135">
        <v>0.92</v>
      </c>
      <c r="AJ514" s="133">
        <v>0.958784346378018</v>
      </c>
      <c r="AK514" s="133">
        <v>0.970679975046787</v>
      </c>
      <c r="AL514" s="133">
        <v>0.975498338870432</v>
      </c>
      <c r="AM514" s="133">
        <v>0.979956147387561</v>
      </c>
      <c r="AN514" s="132">
        <v>0.99</v>
      </c>
      <c r="AO514" s="137">
        <v>1</v>
      </c>
      <c r="AP514" s="137">
        <v>1</v>
      </c>
      <c r="AQ514" s="137">
        <v>1</v>
      </c>
      <c r="AR514" s="137">
        <v>1</v>
      </c>
      <c r="AS514" s="158">
        <v>0.05</v>
      </c>
      <c r="AT514" s="141">
        <v>0.2</v>
      </c>
      <c r="AU514" s="141">
        <v>0.111111111111111</v>
      </c>
      <c r="AV514" s="141">
        <v>0.0909090909090909</v>
      </c>
      <c r="AW514" s="141">
        <v>0.0664206642066421</v>
      </c>
      <c r="AX514" s="95"/>
      <c r="AY514" s="93"/>
    </row>
    <row r="515" ht="14.5" spans="1:51">
      <c r="A515" s="91"/>
      <c r="B515" s="95"/>
      <c r="C515" s="152" t="s">
        <v>375</v>
      </c>
      <c r="D515" s="153" t="s">
        <v>25</v>
      </c>
      <c r="E515" s="130" t="s">
        <v>376</v>
      </c>
      <c r="F515" s="154" t="s">
        <v>541</v>
      </c>
      <c r="G515" s="154" t="s">
        <v>541</v>
      </c>
      <c r="H515" s="154" t="s">
        <v>541</v>
      </c>
      <c r="I515" s="154" t="s">
        <v>541</v>
      </c>
      <c r="J515" s="132">
        <v>0.9</v>
      </c>
      <c r="K515" s="133">
        <v>0.828125</v>
      </c>
      <c r="L515" s="133">
        <v>0.883333333333333</v>
      </c>
      <c r="M515" s="134">
        <v>0.962962962962963</v>
      </c>
      <c r="N515" s="133">
        <v>0.919039145907473</v>
      </c>
      <c r="O515" s="135">
        <v>0.9</v>
      </c>
      <c r="P515" s="133">
        <v>0.934301958307012</v>
      </c>
      <c r="Q515" s="133">
        <v>0.890895410082769</v>
      </c>
      <c r="R515" s="133">
        <v>0.897165788813644</v>
      </c>
      <c r="S515" s="133">
        <v>0.914876624807226</v>
      </c>
      <c r="T515" s="135">
        <v>0.9</v>
      </c>
      <c r="U515" s="133">
        <v>0.852811118130133</v>
      </c>
      <c r="V515" s="133">
        <v>0.838475043892651</v>
      </c>
      <c r="W515" s="133">
        <v>0.857286180085277</v>
      </c>
      <c r="X515" s="133">
        <v>0.855984247631637</v>
      </c>
      <c r="Y515" s="135">
        <v>0.92</v>
      </c>
      <c r="Z515" s="135">
        <v>0.772380952380952</v>
      </c>
      <c r="AA515" s="135">
        <v>0.675967596759676</v>
      </c>
      <c r="AB515" s="135">
        <v>0.712389380530973</v>
      </c>
      <c r="AC515" s="135">
        <v>0.797415063360418</v>
      </c>
      <c r="AD515" s="135">
        <v>0.92</v>
      </c>
      <c r="AE515" s="133">
        <v>0.99954128440367</v>
      </c>
      <c r="AF515" s="133">
        <v>0.998377939983779</v>
      </c>
      <c r="AG515" s="133">
        <v>0.997668997668998</v>
      </c>
      <c r="AH515" s="133">
        <v>0.998078515819115</v>
      </c>
      <c r="AI515" s="135">
        <v>0.92</v>
      </c>
      <c r="AJ515" s="133">
        <v>0.85995457986374</v>
      </c>
      <c r="AK515" s="133">
        <v>0.853978831830655</v>
      </c>
      <c r="AL515" s="133">
        <v>0.860430308699719</v>
      </c>
      <c r="AM515" s="133">
        <v>0.911731148221139</v>
      </c>
      <c r="AN515" s="132">
        <v>0.99</v>
      </c>
      <c r="AO515" s="137">
        <v>1</v>
      </c>
      <c r="AP515" s="137">
        <v>1</v>
      </c>
      <c r="AQ515" s="137">
        <v>1</v>
      </c>
      <c r="AR515" s="137">
        <v>1</v>
      </c>
      <c r="AS515" s="158">
        <v>0.05</v>
      </c>
      <c r="AT515" s="141">
        <v>0.0666666666666667</v>
      </c>
      <c r="AU515" s="141">
        <v>0.0833333333333333</v>
      </c>
      <c r="AV515" s="141">
        <v>0.0666666666666667</v>
      </c>
      <c r="AW515" s="141">
        <v>0.0302197802197802</v>
      </c>
      <c r="AX515" s="95"/>
      <c r="AY515" s="93"/>
    </row>
    <row r="516" ht="14.5" spans="1:51">
      <c r="A516" s="91"/>
      <c r="B516" s="95"/>
      <c r="C516" s="152" t="s">
        <v>375</v>
      </c>
      <c r="D516" s="153" t="s">
        <v>25</v>
      </c>
      <c r="E516" s="130" t="s">
        <v>376</v>
      </c>
      <c r="F516" s="154" t="s">
        <v>542</v>
      </c>
      <c r="G516" s="154" t="s">
        <v>542</v>
      </c>
      <c r="H516" s="154" t="s">
        <v>542</v>
      </c>
      <c r="I516" s="154" t="s">
        <v>542</v>
      </c>
      <c r="J516" s="132">
        <v>0.9</v>
      </c>
      <c r="K516" s="133">
        <v>0.904761904761905</v>
      </c>
      <c r="L516" s="133">
        <v>0.956521739130435</v>
      </c>
      <c r="M516" s="134">
        <v>0.956521739130435</v>
      </c>
      <c r="N516" s="133">
        <v>0.949275362318841</v>
      </c>
      <c r="O516" s="135">
        <v>0.9</v>
      </c>
      <c r="P516" s="133">
        <v>0.986234021632252</v>
      </c>
      <c r="Q516" s="133">
        <v>0.9631315430132</v>
      </c>
      <c r="R516" s="133">
        <v>0.984461152882205</v>
      </c>
      <c r="S516" s="133">
        <v>0.979088290999663</v>
      </c>
      <c r="T516" s="135">
        <v>0.9</v>
      </c>
      <c r="U516" s="133">
        <v>0.982300884955752</v>
      </c>
      <c r="V516" s="133">
        <v>0.988620846609012</v>
      </c>
      <c r="W516" s="133">
        <v>0.93984962406015</v>
      </c>
      <c r="X516" s="133">
        <v>0.96167916353164</v>
      </c>
      <c r="Y516" s="135">
        <v>0.92</v>
      </c>
      <c r="Z516" s="135">
        <v>0</v>
      </c>
      <c r="AA516" s="135" t="s">
        <v>35</v>
      </c>
      <c r="AB516" s="135" t="s">
        <v>35</v>
      </c>
      <c r="AC516" s="135">
        <v>0</v>
      </c>
      <c r="AD516" s="135">
        <v>0.92</v>
      </c>
      <c r="AE516" s="133">
        <v>1</v>
      </c>
      <c r="AF516" s="133">
        <v>0.98125</v>
      </c>
      <c r="AG516" s="133">
        <v>1</v>
      </c>
      <c r="AH516" s="133">
        <v>0.983382570162482</v>
      </c>
      <c r="AI516" s="135">
        <v>0.92</v>
      </c>
      <c r="AJ516" s="133">
        <v>0.989205103042198</v>
      </c>
      <c r="AK516" s="133">
        <v>0.995448338643605</v>
      </c>
      <c r="AL516" s="133">
        <v>0.990476190476191</v>
      </c>
      <c r="AM516" s="133">
        <v>0.989700884634342</v>
      </c>
      <c r="AN516" s="132">
        <v>0.99</v>
      </c>
      <c r="AO516" s="137">
        <v>1</v>
      </c>
      <c r="AP516" s="137">
        <v>1</v>
      </c>
      <c r="AQ516" s="137">
        <v>1</v>
      </c>
      <c r="AR516" s="137">
        <v>1</v>
      </c>
      <c r="AS516" s="158">
        <v>0.05</v>
      </c>
      <c r="AT516" s="141">
        <v>0.333333333333333</v>
      </c>
      <c r="AU516" s="141">
        <v>0.142857142857143</v>
      </c>
      <c r="AV516" s="141">
        <v>0</v>
      </c>
      <c r="AW516" s="141">
        <v>0.0555555555555556</v>
      </c>
      <c r="AX516" s="95"/>
      <c r="AY516" s="93"/>
    </row>
    <row r="517" ht="14.5" spans="1:51">
      <c r="A517" s="91"/>
      <c r="B517" s="95"/>
      <c r="C517" s="152" t="s">
        <v>375</v>
      </c>
      <c r="D517" s="153" t="s">
        <v>25</v>
      </c>
      <c r="E517" s="130" t="s">
        <v>376</v>
      </c>
      <c r="F517" s="154" t="s">
        <v>543</v>
      </c>
      <c r="G517" s="154" t="s">
        <v>543</v>
      </c>
      <c r="H517" s="154" t="s">
        <v>543</v>
      </c>
      <c r="I517" s="154" t="s">
        <v>543</v>
      </c>
      <c r="J517" s="132">
        <v>0.9</v>
      </c>
      <c r="K517" s="133">
        <v>0.939393939393939</v>
      </c>
      <c r="L517" s="133">
        <v>0.939393939393939</v>
      </c>
      <c r="M517" s="134">
        <v>0.970588235294118</v>
      </c>
      <c r="N517" s="133">
        <v>0.970358814352574</v>
      </c>
      <c r="O517" s="135">
        <v>0.9</v>
      </c>
      <c r="P517" s="133">
        <v>0.5</v>
      </c>
      <c r="Q517" s="133" t="s">
        <v>35</v>
      </c>
      <c r="R517" s="133">
        <v>1</v>
      </c>
      <c r="S517" s="133">
        <v>0.727272727272727</v>
      </c>
      <c r="T517" s="135">
        <v>0.9</v>
      </c>
      <c r="U517" s="133">
        <v>0</v>
      </c>
      <c r="V517" s="133" t="s">
        <v>35</v>
      </c>
      <c r="W517" s="133">
        <v>1</v>
      </c>
      <c r="X517" s="133">
        <v>0.727272727272727</v>
      </c>
      <c r="Y517" s="135">
        <v>0.92</v>
      </c>
      <c r="Z517" s="135" t="s">
        <v>35</v>
      </c>
      <c r="AA517" s="135" t="s">
        <v>35</v>
      </c>
      <c r="AB517" s="135" t="s">
        <v>35</v>
      </c>
      <c r="AC517" s="135" t="s">
        <v>35</v>
      </c>
      <c r="AD517" s="135">
        <v>0.92</v>
      </c>
      <c r="AE517" s="133">
        <v>0.999343401181878</v>
      </c>
      <c r="AF517" s="133">
        <v>0.994444444444444</v>
      </c>
      <c r="AG517" s="133">
        <v>0.987951807228916</v>
      </c>
      <c r="AH517" s="133">
        <v>0.996299535759941</v>
      </c>
      <c r="AI517" s="135">
        <v>0.92</v>
      </c>
      <c r="AJ517" s="133">
        <v>0.990432801822324</v>
      </c>
      <c r="AK517" s="133">
        <v>0.986907114624506</v>
      </c>
      <c r="AL517" s="133">
        <v>0.990220048899755</v>
      </c>
      <c r="AM517" s="133">
        <v>0.992109900672861</v>
      </c>
      <c r="AN517" s="132">
        <v>0.99</v>
      </c>
      <c r="AO517" s="137">
        <v>1</v>
      </c>
      <c r="AP517" s="137">
        <v>1</v>
      </c>
      <c r="AQ517" s="137">
        <v>1</v>
      </c>
      <c r="AR517" s="137">
        <v>1</v>
      </c>
      <c r="AS517" s="158">
        <v>0.05</v>
      </c>
      <c r="AT517" s="141">
        <v>0.142857142857143</v>
      </c>
      <c r="AU517" s="141">
        <v>0</v>
      </c>
      <c r="AV517" s="141">
        <v>0.0769230769230769</v>
      </c>
      <c r="AW517" s="141">
        <v>0.04</v>
      </c>
      <c r="AX517" s="95"/>
      <c r="AY517" s="93"/>
    </row>
    <row r="518" ht="14.5" spans="1:51">
      <c r="A518" s="91"/>
      <c r="B518" s="95"/>
      <c r="C518" s="152" t="s">
        <v>375</v>
      </c>
      <c r="D518" s="153" t="s">
        <v>25</v>
      </c>
      <c r="E518" s="130" t="s">
        <v>376</v>
      </c>
      <c r="F518" s="154" t="s">
        <v>544</v>
      </c>
      <c r="G518" s="154" t="s">
        <v>544</v>
      </c>
      <c r="H518" s="154" t="s">
        <v>544</v>
      </c>
      <c r="I518" s="154" t="s">
        <v>544</v>
      </c>
      <c r="J518" s="132">
        <v>0.9</v>
      </c>
      <c r="K518" s="133">
        <v>1</v>
      </c>
      <c r="L518" s="133">
        <v>0.962962962962963</v>
      </c>
      <c r="M518" s="134">
        <v>1</v>
      </c>
      <c r="N518" s="133">
        <v>0.964467005076142</v>
      </c>
      <c r="O518" s="135">
        <v>0.9</v>
      </c>
      <c r="P518" s="133">
        <v>0.888679245283019</v>
      </c>
      <c r="Q518" s="133">
        <v>0.692018779342723</v>
      </c>
      <c r="R518" s="133">
        <v>0.913294797687861</v>
      </c>
      <c r="S518" s="133">
        <v>0.94088575953594</v>
      </c>
      <c r="T518" s="135">
        <v>0.9</v>
      </c>
      <c r="U518" s="133">
        <v>0.781132075471698</v>
      </c>
      <c r="V518" s="133">
        <v>0.749295774647887</v>
      </c>
      <c r="W518" s="133">
        <v>0.838872832369942</v>
      </c>
      <c r="X518" s="133">
        <v>0.902303127444807</v>
      </c>
      <c r="Y518" s="135">
        <v>0.92</v>
      </c>
      <c r="Z518" s="135">
        <v>0.816285998013903</v>
      </c>
      <c r="AA518" s="135">
        <v>0.794759825327511</v>
      </c>
      <c r="AB518" s="135">
        <v>0.832822085889571</v>
      </c>
      <c r="AC518" s="135">
        <v>0.839609483960948</v>
      </c>
      <c r="AD518" s="135">
        <v>0.92</v>
      </c>
      <c r="AE518" s="133">
        <v>1</v>
      </c>
      <c r="AF518" s="133">
        <v>0.939393939393939</v>
      </c>
      <c r="AG518" s="133">
        <v>0.934782608695652</v>
      </c>
      <c r="AH518" s="133">
        <v>0.976357267950963</v>
      </c>
      <c r="AI518" s="135">
        <v>0.92</v>
      </c>
      <c r="AJ518" s="133">
        <v>0.840598568640208</v>
      </c>
      <c r="AK518" s="133">
        <v>0.848362720403023</v>
      </c>
      <c r="AL518" s="133">
        <v>0.87855219862399</v>
      </c>
      <c r="AM518" s="133">
        <v>0.959957361209016</v>
      </c>
      <c r="AN518" s="132">
        <v>0.99</v>
      </c>
      <c r="AO518" s="137">
        <v>1</v>
      </c>
      <c r="AP518" s="137">
        <v>1</v>
      </c>
      <c r="AQ518" s="137">
        <v>1</v>
      </c>
      <c r="AR518" s="137">
        <v>1</v>
      </c>
      <c r="AS518" s="158">
        <v>0.05</v>
      </c>
      <c r="AT518" s="141">
        <v>0.2</v>
      </c>
      <c r="AU518" s="141">
        <v>0.666666666666667</v>
      </c>
      <c r="AV518" s="141">
        <v>0</v>
      </c>
      <c r="AW518" s="141">
        <v>0.055</v>
      </c>
      <c r="AX518" s="95"/>
      <c r="AY518" s="93"/>
    </row>
    <row r="519" ht="14.5" spans="1:51">
      <c r="A519" s="91"/>
      <c r="B519" s="95"/>
      <c r="C519" s="152" t="s">
        <v>375</v>
      </c>
      <c r="D519" s="153" t="s">
        <v>25</v>
      </c>
      <c r="E519" s="130" t="s">
        <v>376</v>
      </c>
      <c r="F519" s="154" t="s">
        <v>545</v>
      </c>
      <c r="G519" s="154" t="s">
        <v>545</v>
      </c>
      <c r="H519" s="154" t="s">
        <v>545</v>
      </c>
      <c r="I519" s="154" t="s">
        <v>545</v>
      </c>
      <c r="J519" s="132">
        <v>0.9</v>
      </c>
      <c r="K519" s="133">
        <v>1</v>
      </c>
      <c r="L519" s="133">
        <v>1</v>
      </c>
      <c r="M519" s="134">
        <v>1</v>
      </c>
      <c r="N519" s="133">
        <v>0.988980716253444</v>
      </c>
      <c r="O519" s="135">
        <v>0.9</v>
      </c>
      <c r="P519" s="133">
        <v>0.984</v>
      </c>
      <c r="Q519" s="133">
        <v>0.953674121405751</v>
      </c>
      <c r="R519" s="133">
        <v>0.948772678762006</v>
      </c>
      <c r="S519" s="133">
        <v>0.961647103132258</v>
      </c>
      <c r="T519" s="135">
        <v>0.9</v>
      </c>
      <c r="U519" s="133">
        <v>0.956</v>
      </c>
      <c r="V519" s="133">
        <v>0.94408945686901</v>
      </c>
      <c r="W519" s="133">
        <v>0.96051227321238</v>
      </c>
      <c r="X519" s="133">
        <v>0.950787772267905</v>
      </c>
      <c r="Y519" s="135">
        <v>0.92</v>
      </c>
      <c r="Z519" s="135">
        <v>0.960493827160494</v>
      </c>
      <c r="AA519" s="135">
        <v>0.970254957507082</v>
      </c>
      <c r="AB519" s="135">
        <v>0.956760466712423</v>
      </c>
      <c r="AC519" s="135">
        <v>0.964349820502593</v>
      </c>
      <c r="AD519" s="135">
        <v>0.92</v>
      </c>
      <c r="AE519" s="133">
        <v>1</v>
      </c>
      <c r="AF519" s="133">
        <v>1</v>
      </c>
      <c r="AG519" s="133">
        <v>0.98</v>
      </c>
      <c r="AH519" s="133">
        <v>0.98211091234347</v>
      </c>
      <c r="AI519" s="135">
        <v>0.92</v>
      </c>
      <c r="AJ519" s="133">
        <v>0.962299717247879</v>
      </c>
      <c r="AK519" s="133">
        <v>0.978228228228228</v>
      </c>
      <c r="AL519" s="133">
        <v>0.969532554257095</v>
      </c>
      <c r="AM519" s="133">
        <v>0.974466431683828</v>
      </c>
      <c r="AN519" s="132">
        <v>0.99</v>
      </c>
      <c r="AO519" s="137">
        <v>1</v>
      </c>
      <c r="AP519" s="137">
        <v>1</v>
      </c>
      <c r="AQ519" s="137">
        <v>1</v>
      </c>
      <c r="AR519" s="137">
        <v>1</v>
      </c>
      <c r="AS519" s="158">
        <v>0.05</v>
      </c>
      <c r="AT519" s="141">
        <v>0</v>
      </c>
      <c r="AU519" s="141">
        <v>0.333333333333333</v>
      </c>
      <c r="AV519" s="141">
        <v>0</v>
      </c>
      <c r="AW519" s="141">
        <v>0.0434782608695652</v>
      </c>
      <c r="AX519" s="95"/>
      <c r="AY519" s="93"/>
    </row>
    <row r="520" ht="14.5" spans="1:51">
      <c r="A520" s="91"/>
      <c r="B520" s="95"/>
      <c r="C520" s="152" t="s">
        <v>375</v>
      </c>
      <c r="D520" s="153" t="s">
        <v>25</v>
      </c>
      <c r="E520" s="130" t="s">
        <v>376</v>
      </c>
      <c r="F520" s="154" t="s">
        <v>546</v>
      </c>
      <c r="G520" s="154" t="s">
        <v>546</v>
      </c>
      <c r="H520" s="154" t="s">
        <v>546</v>
      </c>
      <c r="I520" s="154" t="s">
        <v>546</v>
      </c>
      <c r="J520" s="132">
        <v>0.9</v>
      </c>
      <c r="K520" s="133">
        <v>0.952380952380952</v>
      </c>
      <c r="L520" s="133">
        <v>0.966101694915254</v>
      </c>
      <c r="M520" s="134">
        <v>0.928571428571429</v>
      </c>
      <c r="N520" s="133">
        <v>0.924083769633508</v>
      </c>
      <c r="O520" s="135">
        <v>0.9</v>
      </c>
      <c r="P520" s="133">
        <v>0.947935368043088</v>
      </c>
      <c r="Q520" s="133">
        <v>0.766752577319588</v>
      </c>
      <c r="R520" s="133">
        <v>0.778435239973702</v>
      </c>
      <c r="S520" s="133">
        <v>0.831890179514256</v>
      </c>
      <c r="T520" s="135">
        <v>0.9</v>
      </c>
      <c r="U520" s="133">
        <v>0.822262118491921</v>
      </c>
      <c r="V520" s="133">
        <v>0.766323024054983</v>
      </c>
      <c r="W520" s="133">
        <v>0.807692307692308</v>
      </c>
      <c r="X520" s="133">
        <v>0.802303926274359</v>
      </c>
      <c r="Y520" s="135">
        <v>0.92</v>
      </c>
      <c r="Z520" s="135">
        <v>0.827234042553191</v>
      </c>
      <c r="AA520" s="135">
        <v>0.747325522159959</v>
      </c>
      <c r="AB520" s="135">
        <v>0.770264011116258</v>
      </c>
      <c r="AC520" s="135">
        <v>0.852189781021898</v>
      </c>
      <c r="AD520" s="135">
        <v>0.92</v>
      </c>
      <c r="AE520" s="133">
        <v>0.997683397683398</v>
      </c>
      <c r="AF520" s="133">
        <v>0.994768962510898</v>
      </c>
      <c r="AG520" s="133">
        <v>0.994344957587182</v>
      </c>
      <c r="AH520" s="133">
        <v>0.995165603785229</v>
      </c>
      <c r="AI520" s="135">
        <v>0.92</v>
      </c>
      <c r="AJ520" s="133">
        <v>0.86431870669746</v>
      </c>
      <c r="AK520" s="133">
        <v>0.835546238061961</v>
      </c>
      <c r="AL520" s="133">
        <v>0.828897338403042</v>
      </c>
      <c r="AM520" s="133">
        <v>0.895427116397502</v>
      </c>
      <c r="AN520" s="132">
        <v>0.99</v>
      </c>
      <c r="AO520" s="137">
        <v>1</v>
      </c>
      <c r="AP520" s="137">
        <v>1</v>
      </c>
      <c r="AQ520" s="137">
        <v>1</v>
      </c>
      <c r="AR520" s="137">
        <v>1</v>
      </c>
      <c r="AS520" s="158">
        <v>0.05</v>
      </c>
      <c r="AT520" s="141">
        <v>0.1</v>
      </c>
      <c r="AU520" s="141">
        <v>0.35</v>
      </c>
      <c r="AV520" s="141">
        <v>0</v>
      </c>
      <c r="AW520" s="141">
        <v>0.127167630057803</v>
      </c>
      <c r="AX520" s="95"/>
      <c r="AY520" s="93"/>
    </row>
    <row r="521" ht="14.5" spans="1:51">
      <c r="A521" s="91"/>
      <c r="B521" s="95"/>
      <c r="C521" s="152" t="s">
        <v>375</v>
      </c>
      <c r="D521" s="153" t="s">
        <v>25</v>
      </c>
      <c r="E521" s="130" t="s">
        <v>376</v>
      </c>
      <c r="F521" s="154" t="s">
        <v>547</v>
      </c>
      <c r="G521" s="154" t="s">
        <v>547</v>
      </c>
      <c r="H521" s="154" t="s">
        <v>547</v>
      </c>
      <c r="I521" s="154" t="s">
        <v>547</v>
      </c>
      <c r="J521" s="132">
        <v>0.9</v>
      </c>
      <c r="K521" s="133">
        <v>0.985507246376812</v>
      </c>
      <c r="L521" s="133">
        <v>0.985714285714286</v>
      </c>
      <c r="M521" s="134">
        <v>0.986111111111111</v>
      </c>
      <c r="N521" s="133">
        <v>0.987246811702926</v>
      </c>
      <c r="O521" s="135">
        <v>0.9</v>
      </c>
      <c r="P521" s="133">
        <v>0.923015236567763</v>
      </c>
      <c r="Q521" s="133">
        <v>0.948339483394834</v>
      </c>
      <c r="R521" s="133">
        <v>0.960868018498755</v>
      </c>
      <c r="S521" s="133">
        <v>0.963250574209778</v>
      </c>
      <c r="T521" s="135">
        <v>0.9</v>
      </c>
      <c r="U521" s="133">
        <v>0.882117080994387</v>
      </c>
      <c r="V521" s="133">
        <v>0.869464944649446</v>
      </c>
      <c r="W521" s="133">
        <v>0.935254357879758</v>
      </c>
      <c r="X521" s="133">
        <v>0.904553574683729</v>
      </c>
      <c r="Y521" s="135">
        <v>0.92</v>
      </c>
      <c r="Z521" s="135">
        <v>0.90011350737798</v>
      </c>
      <c r="AA521" s="135">
        <v>0.860684769775679</v>
      </c>
      <c r="AB521" s="135">
        <v>0.896398891966759</v>
      </c>
      <c r="AC521" s="135">
        <v>0.914520412574887</v>
      </c>
      <c r="AD521" s="135">
        <v>0.92</v>
      </c>
      <c r="AE521" s="133">
        <v>1</v>
      </c>
      <c r="AF521" s="133">
        <v>0.995945945945946</v>
      </c>
      <c r="AG521" s="133">
        <v>0.995384615384615</v>
      </c>
      <c r="AH521" s="133">
        <v>0.997188190399679</v>
      </c>
      <c r="AI521" s="135">
        <v>0.92</v>
      </c>
      <c r="AJ521" s="133">
        <v>0.92093023255814</v>
      </c>
      <c r="AK521" s="133">
        <v>0.921066252587992</v>
      </c>
      <c r="AL521" s="133">
        <v>0.934173669467787</v>
      </c>
      <c r="AM521" s="133">
        <v>0.948788753608636</v>
      </c>
      <c r="AN521" s="132">
        <v>0.99</v>
      </c>
      <c r="AO521" s="137">
        <v>1</v>
      </c>
      <c r="AP521" s="137">
        <v>1</v>
      </c>
      <c r="AQ521" s="137">
        <v>1</v>
      </c>
      <c r="AR521" s="137">
        <v>1</v>
      </c>
      <c r="AS521" s="158">
        <v>0.05</v>
      </c>
      <c r="AT521" s="141">
        <v>0.0833333333333333</v>
      </c>
      <c r="AU521" s="141">
        <v>0.2</v>
      </c>
      <c r="AV521" s="141">
        <v>0.0869565217391304</v>
      </c>
      <c r="AW521" s="141">
        <v>0.0536723163841808</v>
      </c>
      <c r="AX521" s="95"/>
      <c r="AY521" s="93"/>
    </row>
    <row r="522" ht="14.5" spans="1:51">
      <c r="A522" s="91"/>
      <c r="B522" s="95"/>
      <c r="C522" s="152" t="s">
        <v>375</v>
      </c>
      <c r="D522" s="153" t="s">
        <v>25</v>
      </c>
      <c r="E522" s="130" t="s">
        <v>376</v>
      </c>
      <c r="F522" s="154" t="s">
        <v>548</v>
      </c>
      <c r="G522" s="154" t="s">
        <v>548</v>
      </c>
      <c r="H522" s="154" t="s">
        <v>548</v>
      </c>
      <c r="I522" s="154" t="s">
        <v>548</v>
      </c>
      <c r="J522" s="132">
        <v>0.9</v>
      </c>
      <c r="K522" s="133">
        <v>0.982142857142857</v>
      </c>
      <c r="L522" s="133">
        <v>1</v>
      </c>
      <c r="M522" s="134">
        <v>0.982758620689655</v>
      </c>
      <c r="N522" s="133">
        <v>0.9892578125</v>
      </c>
      <c r="O522" s="135">
        <v>0.9</v>
      </c>
      <c r="P522" s="133">
        <v>0.933279742765273</v>
      </c>
      <c r="Q522" s="133">
        <v>0.960521121200158</v>
      </c>
      <c r="R522" s="133">
        <v>0.968083097261567</v>
      </c>
      <c r="S522" s="133">
        <v>0.956533931575996</v>
      </c>
      <c r="T522" s="135">
        <v>0.9</v>
      </c>
      <c r="U522" s="133">
        <v>0.87540192926045</v>
      </c>
      <c r="V522" s="133">
        <v>0.914133438610343</v>
      </c>
      <c r="W522" s="133">
        <v>0.935221907459868</v>
      </c>
      <c r="X522" s="133">
        <v>0.907685836317356</v>
      </c>
      <c r="Y522" s="135">
        <v>0.92</v>
      </c>
      <c r="Z522" s="135">
        <v>0</v>
      </c>
      <c r="AA522" s="135">
        <v>0</v>
      </c>
      <c r="AB522" s="135">
        <v>0</v>
      </c>
      <c r="AC522" s="135">
        <v>0.166666666666667</v>
      </c>
      <c r="AD522" s="135">
        <v>0.92</v>
      </c>
      <c r="AE522" s="133">
        <v>0.99746835443038</v>
      </c>
      <c r="AF522" s="133">
        <v>0.930232558139535</v>
      </c>
      <c r="AG522" s="133">
        <v>0.975</v>
      </c>
      <c r="AH522" s="133">
        <v>0.989623411449225</v>
      </c>
      <c r="AI522" s="135">
        <v>0.92</v>
      </c>
      <c r="AJ522" s="133">
        <v>0.977099236641221</v>
      </c>
      <c r="AK522" s="133">
        <v>0.959936846260114</v>
      </c>
      <c r="AL522" s="133">
        <v>0.980929003021148</v>
      </c>
      <c r="AM522" s="133">
        <v>0.974428938116089</v>
      </c>
      <c r="AN522" s="132">
        <v>0.99</v>
      </c>
      <c r="AO522" s="137">
        <v>1</v>
      </c>
      <c r="AP522" s="137">
        <v>1</v>
      </c>
      <c r="AQ522" s="137">
        <v>1</v>
      </c>
      <c r="AR522" s="137">
        <v>1</v>
      </c>
      <c r="AS522" s="158">
        <v>0.05</v>
      </c>
      <c r="AT522" s="141">
        <v>0.0833333333333333</v>
      </c>
      <c r="AU522" s="141">
        <v>0</v>
      </c>
      <c r="AV522" s="141">
        <v>0</v>
      </c>
      <c r="AW522" s="141">
        <v>0.0601719197707736</v>
      </c>
      <c r="AX522" s="95"/>
      <c r="AY522" s="93"/>
    </row>
    <row r="523" ht="14.5" spans="1:51">
      <c r="A523" s="91"/>
      <c r="B523" s="95"/>
      <c r="C523" s="152" t="s">
        <v>375</v>
      </c>
      <c r="D523" s="153" t="s">
        <v>25</v>
      </c>
      <c r="E523" s="130" t="s">
        <v>376</v>
      </c>
      <c r="F523" s="154" t="s">
        <v>549</v>
      </c>
      <c r="G523" s="154" t="s">
        <v>549</v>
      </c>
      <c r="H523" s="154" t="s">
        <v>549</v>
      </c>
      <c r="I523" s="154" t="s">
        <v>549</v>
      </c>
      <c r="J523" s="132">
        <v>0.9</v>
      </c>
      <c r="K523" s="133">
        <v>0.909090909090909</v>
      </c>
      <c r="L523" s="133">
        <v>0.968253968253968</v>
      </c>
      <c r="M523" s="134">
        <v>0.964912280701754</v>
      </c>
      <c r="N523" s="133">
        <v>0.962478184991274</v>
      </c>
      <c r="O523" s="135">
        <v>0.9</v>
      </c>
      <c r="P523" s="133">
        <v>0.97097288676236</v>
      </c>
      <c r="Q523" s="133">
        <v>0.974673588170521</v>
      </c>
      <c r="R523" s="133">
        <v>0.947368421052632</v>
      </c>
      <c r="S523" s="133">
        <v>0.927746596460484</v>
      </c>
      <c r="T523" s="135">
        <v>0.9</v>
      </c>
      <c r="U523" s="133">
        <v>0.922488038277512</v>
      </c>
      <c r="V523" s="133">
        <v>0.931256882177128</v>
      </c>
      <c r="W523" s="133">
        <v>0.940736559898406</v>
      </c>
      <c r="X523" s="133">
        <v>0.930697570612596</v>
      </c>
      <c r="Y523" s="135">
        <v>0.92</v>
      </c>
      <c r="Z523" s="135" t="s">
        <v>35</v>
      </c>
      <c r="AA523" s="135" t="s">
        <v>35</v>
      </c>
      <c r="AB523" s="135" t="s">
        <v>35</v>
      </c>
      <c r="AC523" s="135" t="s">
        <v>35</v>
      </c>
      <c r="AD523" s="135">
        <v>0.92</v>
      </c>
      <c r="AE523" s="133">
        <v>0.99792817679558</v>
      </c>
      <c r="AF523" s="133">
        <v>0.994397759103641</v>
      </c>
      <c r="AG523" s="133">
        <v>0.931818181818182</v>
      </c>
      <c r="AH523" s="133">
        <v>0.994641449960599</v>
      </c>
      <c r="AI523" s="135">
        <v>0.92</v>
      </c>
      <c r="AJ523" s="133">
        <v>0.967464114832536</v>
      </c>
      <c r="AK523" s="133">
        <v>0.978291647003303</v>
      </c>
      <c r="AL523" s="133">
        <v>0.980951037110202</v>
      </c>
      <c r="AM523" s="133">
        <v>0.98353406019326</v>
      </c>
      <c r="AN523" s="132">
        <v>0.99</v>
      </c>
      <c r="AO523" s="137">
        <v>1</v>
      </c>
      <c r="AP523" s="137">
        <v>1</v>
      </c>
      <c r="AQ523" s="137">
        <v>1</v>
      </c>
      <c r="AR523" s="137">
        <v>1</v>
      </c>
      <c r="AS523" s="158">
        <v>0.05</v>
      </c>
      <c r="AT523" s="141">
        <v>0.125</v>
      </c>
      <c r="AU523" s="141">
        <v>0.0909090909090909</v>
      </c>
      <c r="AV523" s="141">
        <v>0.0833333333333333</v>
      </c>
      <c r="AW523" s="141">
        <v>0.0714285714285714</v>
      </c>
      <c r="AX523" s="95"/>
      <c r="AY523" s="93"/>
    </row>
    <row r="524" ht="14.5" spans="1:51">
      <c r="A524" s="91"/>
      <c r="B524" s="95"/>
      <c r="C524" s="152" t="s">
        <v>375</v>
      </c>
      <c r="D524" s="153" t="s">
        <v>25</v>
      </c>
      <c r="E524" s="130" t="s">
        <v>376</v>
      </c>
      <c r="F524" s="154" t="s">
        <v>550</v>
      </c>
      <c r="G524" s="154" t="s">
        <v>550</v>
      </c>
      <c r="H524" s="154" t="s">
        <v>550</v>
      </c>
      <c r="I524" s="154" t="s">
        <v>550</v>
      </c>
      <c r="J524" s="132">
        <v>0.9</v>
      </c>
      <c r="K524" s="133">
        <v>0.928571428571429</v>
      </c>
      <c r="L524" s="133">
        <v>0.9375</v>
      </c>
      <c r="M524" s="134">
        <v>0.888888888888889</v>
      </c>
      <c r="N524" s="133">
        <v>0.966666666666667</v>
      </c>
      <c r="O524" s="135">
        <v>0.9</v>
      </c>
      <c r="P524" s="133">
        <v>0.986013986013986</v>
      </c>
      <c r="Q524" s="133">
        <v>0.948136142625608</v>
      </c>
      <c r="R524" s="133">
        <v>0.998709677419355</v>
      </c>
      <c r="S524" s="133">
        <v>0.970841121495327</v>
      </c>
      <c r="T524" s="135">
        <v>0.9</v>
      </c>
      <c r="U524" s="133">
        <v>0.870629370629371</v>
      </c>
      <c r="V524" s="133">
        <v>0.86709886547812</v>
      </c>
      <c r="W524" s="133">
        <v>0.883870967741936</v>
      </c>
      <c r="X524" s="133">
        <v>0.893831775700935</v>
      </c>
      <c r="Y524" s="135">
        <v>0.92</v>
      </c>
      <c r="Z524" s="135">
        <v>0.913907284768212</v>
      </c>
      <c r="AA524" s="135">
        <v>0.969635627530364</v>
      </c>
      <c r="AB524" s="135">
        <v>0.877572016460905</v>
      </c>
      <c r="AC524" s="135">
        <v>0.9469236678539</v>
      </c>
      <c r="AD524" s="135">
        <v>0.92</v>
      </c>
      <c r="AE524" s="133">
        <v>0.992248062015504</v>
      </c>
      <c r="AF524" s="133">
        <v>1</v>
      </c>
      <c r="AG524" s="133">
        <v>1</v>
      </c>
      <c r="AH524" s="133">
        <v>0.989441930618401</v>
      </c>
      <c r="AI524" s="135">
        <v>0.92</v>
      </c>
      <c r="AJ524" s="133">
        <v>0.931460674157303</v>
      </c>
      <c r="AK524" s="133">
        <v>0.973094170403587</v>
      </c>
      <c r="AL524" s="133">
        <v>0.919520547945205</v>
      </c>
      <c r="AM524" s="133">
        <v>0.964337227751334</v>
      </c>
      <c r="AN524" s="132">
        <v>0.99</v>
      </c>
      <c r="AO524" s="137">
        <v>1</v>
      </c>
      <c r="AP524" s="137">
        <v>1</v>
      </c>
      <c r="AQ524" s="137">
        <v>1</v>
      </c>
      <c r="AR524" s="137">
        <v>1</v>
      </c>
      <c r="AS524" s="158">
        <v>0.05</v>
      </c>
      <c r="AT524" s="141">
        <v>0</v>
      </c>
      <c r="AU524" s="141">
        <v>1</v>
      </c>
      <c r="AV524" s="141">
        <v>0</v>
      </c>
      <c r="AW524" s="141">
        <v>0.0661157024793388</v>
      </c>
      <c r="AX524" s="95"/>
      <c r="AY524" s="93"/>
    </row>
    <row r="525" ht="14.5" spans="1:51">
      <c r="A525" s="91"/>
      <c r="B525" s="95"/>
      <c r="C525" s="152" t="s">
        <v>375</v>
      </c>
      <c r="D525" s="153" t="s">
        <v>25</v>
      </c>
      <c r="E525" s="130" t="s">
        <v>376</v>
      </c>
      <c r="F525" s="154" t="s">
        <v>551</v>
      </c>
      <c r="G525" s="154" t="s">
        <v>551</v>
      </c>
      <c r="H525" s="154" t="s">
        <v>551</v>
      </c>
      <c r="I525" s="154" t="s">
        <v>551</v>
      </c>
      <c r="J525" s="132">
        <v>0.9</v>
      </c>
      <c r="K525" s="133">
        <v>1</v>
      </c>
      <c r="L525" s="133">
        <v>0.984126984126984</v>
      </c>
      <c r="M525" s="134">
        <v>0.952380952380952</v>
      </c>
      <c r="N525" s="133">
        <v>0.986520640269587</v>
      </c>
      <c r="O525" s="135">
        <v>0.9</v>
      </c>
      <c r="P525" s="133">
        <v>0.971428571428571</v>
      </c>
      <c r="Q525" s="133">
        <v>0.978171896316507</v>
      </c>
      <c r="R525" s="133">
        <v>0.985365853658537</v>
      </c>
      <c r="S525" s="133">
        <v>0.978054169459547</v>
      </c>
      <c r="T525" s="135">
        <v>0.9</v>
      </c>
      <c r="U525" s="133">
        <v>0.914285714285714</v>
      </c>
      <c r="V525" s="133">
        <v>0.886766712141883</v>
      </c>
      <c r="W525" s="133">
        <v>0.911308203991131</v>
      </c>
      <c r="X525" s="133">
        <v>0.913160050644224</v>
      </c>
      <c r="Y525" s="135">
        <v>0.92</v>
      </c>
      <c r="Z525" s="135">
        <v>0.9458432304038</v>
      </c>
      <c r="AA525" s="135">
        <v>0.904787812840044</v>
      </c>
      <c r="AB525" s="135">
        <v>0.903072625698324</v>
      </c>
      <c r="AC525" s="135">
        <v>0.934866806073279</v>
      </c>
      <c r="AD525" s="135">
        <v>0.92</v>
      </c>
      <c r="AE525" s="133">
        <v>0.996370235934664</v>
      </c>
      <c r="AF525" s="133">
        <v>0.977272727272727</v>
      </c>
      <c r="AG525" s="133">
        <v>0.955263157894737</v>
      </c>
      <c r="AH525" s="133">
        <v>0.976678694006864</v>
      </c>
      <c r="AI525" s="135">
        <v>0.92</v>
      </c>
      <c r="AJ525" s="133">
        <v>0.95222816399287</v>
      </c>
      <c r="AK525" s="133">
        <v>0.930387409200969</v>
      </c>
      <c r="AL525" s="133">
        <v>0.93410919048434</v>
      </c>
      <c r="AM525" s="133">
        <v>0.954269059800386</v>
      </c>
      <c r="AN525" s="132">
        <v>0.99</v>
      </c>
      <c r="AO525" s="137">
        <v>1</v>
      </c>
      <c r="AP525" s="137">
        <v>1</v>
      </c>
      <c r="AQ525" s="137">
        <v>1</v>
      </c>
      <c r="AR525" s="137">
        <v>1</v>
      </c>
      <c r="AS525" s="158">
        <v>0.05</v>
      </c>
      <c r="AT525" s="141">
        <v>0.142857142857143</v>
      </c>
      <c r="AU525" s="141">
        <v>0</v>
      </c>
      <c r="AV525" s="141">
        <v>0.15</v>
      </c>
      <c r="AW525" s="141">
        <v>0.0857142857142857</v>
      </c>
      <c r="AX525" s="95"/>
      <c r="AY525" s="93"/>
    </row>
    <row r="526" ht="14.5" spans="1:51">
      <c r="A526" s="91"/>
      <c r="B526" s="95"/>
      <c r="C526" s="152" t="s">
        <v>375</v>
      </c>
      <c r="D526" s="153" t="s">
        <v>25</v>
      </c>
      <c r="E526" s="130" t="s">
        <v>376</v>
      </c>
      <c r="F526" s="154" t="s">
        <v>552</v>
      </c>
      <c r="G526" s="154" t="s">
        <v>552</v>
      </c>
      <c r="H526" s="154" t="s">
        <v>552</v>
      </c>
      <c r="I526" s="154" t="s">
        <v>552</v>
      </c>
      <c r="J526" s="132">
        <v>0.9</v>
      </c>
      <c r="K526" s="133">
        <v>1</v>
      </c>
      <c r="L526" s="133">
        <v>1</v>
      </c>
      <c r="M526" s="134">
        <v>1</v>
      </c>
      <c r="N526" s="133">
        <v>0.996904024767802</v>
      </c>
      <c r="O526" s="135">
        <v>0.9</v>
      </c>
      <c r="P526" s="133">
        <v>0.98986975397974</v>
      </c>
      <c r="Q526" s="133">
        <v>0.995512820512821</v>
      </c>
      <c r="R526" s="133">
        <v>0.991437308868502</v>
      </c>
      <c r="S526" s="133">
        <v>0.990382505668105</v>
      </c>
      <c r="T526" s="135">
        <v>0.9</v>
      </c>
      <c r="U526" s="133">
        <v>0.97684515195369</v>
      </c>
      <c r="V526" s="133">
        <v>0.987179487179487</v>
      </c>
      <c r="W526" s="133">
        <v>0.985321100917431</v>
      </c>
      <c r="X526" s="133">
        <v>0.971952022233599</v>
      </c>
      <c r="Y526" s="135">
        <v>0.92</v>
      </c>
      <c r="Z526" s="135">
        <v>0</v>
      </c>
      <c r="AA526" s="135">
        <v>0</v>
      </c>
      <c r="AB526" s="135" t="s">
        <v>35</v>
      </c>
      <c r="AC526" s="135">
        <v>0.333333333333333</v>
      </c>
      <c r="AD526" s="135">
        <v>0.92</v>
      </c>
      <c r="AE526" s="133">
        <v>1</v>
      </c>
      <c r="AF526" s="133">
        <v>1</v>
      </c>
      <c r="AG526" s="133">
        <v>0.994413407821229</v>
      </c>
      <c r="AH526" s="133">
        <v>0.992834890965732</v>
      </c>
      <c r="AI526" s="135">
        <v>0.92</v>
      </c>
      <c r="AJ526" s="133">
        <v>0.988439306358382</v>
      </c>
      <c r="AK526" s="133">
        <v>0.998718770019218</v>
      </c>
      <c r="AL526" s="133">
        <v>0.998165137614679</v>
      </c>
      <c r="AM526" s="133">
        <v>0.99681889648616</v>
      </c>
      <c r="AN526" s="132">
        <v>0.99</v>
      </c>
      <c r="AO526" s="137">
        <v>1</v>
      </c>
      <c r="AP526" s="137">
        <v>1</v>
      </c>
      <c r="AQ526" s="137">
        <v>1</v>
      </c>
      <c r="AR526" s="137">
        <v>1</v>
      </c>
      <c r="AS526" s="158">
        <v>0.05</v>
      </c>
      <c r="AT526" s="141">
        <v>0</v>
      </c>
      <c r="AU526" s="141">
        <v>0</v>
      </c>
      <c r="AV526" s="141">
        <v>0</v>
      </c>
      <c r="AW526" s="141">
        <v>0.1125</v>
      </c>
      <c r="AX526" s="95"/>
      <c r="AY526" s="93"/>
    </row>
    <row r="527" ht="14.5" spans="1:51">
      <c r="A527" s="91"/>
      <c r="B527" s="95"/>
      <c r="C527" s="152" t="s">
        <v>375</v>
      </c>
      <c r="D527" s="153" t="s">
        <v>25</v>
      </c>
      <c r="E527" s="130" t="s">
        <v>376</v>
      </c>
      <c r="F527" s="154" t="s">
        <v>553</v>
      </c>
      <c r="G527" s="154" t="s">
        <v>553</v>
      </c>
      <c r="H527" s="154" t="s">
        <v>553</v>
      </c>
      <c r="I527" s="154" t="s">
        <v>553</v>
      </c>
      <c r="J527" s="132">
        <v>0.9</v>
      </c>
      <c r="K527" s="133">
        <v>0.976190476190476</v>
      </c>
      <c r="L527" s="133">
        <v>0.975609756097561</v>
      </c>
      <c r="M527" s="134">
        <v>0.977777777777778</v>
      </c>
      <c r="N527" s="133">
        <v>0.984223300970874</v>
      </c>
      <c r="O527" s="135">
        <v>0.9</v>
      </c>
      <c r="P527" s="133">
        <v>0.911392405063291</v>
      </c>
      <c r="Q527" s="133">
        <v>0.91382252559727</v>
      </c>
      <c r="R527" s="133">
        <v>0.941662615459407</v>
      </c>
      <c r="S527" s="133">
        <v>0.9466584728837</v>
      </c>
      <c r="T527" s="135">
        <v>0.9</v>
      </c>
      <c r="U527" s="133">
        <v>0.868670886075949</v>
      </c>
      <c r="V527" s="133">
        <v>0.862627986348123</v>
      </c>
      <c r="W527" s="133">
        <v>0.91249392318911</v>
      </c>
      <c r="X527" s="133">
        <v>0.911599324012905</v>
      </c>
      <c r="Y527" s="135">
        <v>0.92</v>
      </c>
      <c r="Z527" s="135">
        <v>0.949010654490107</v>
      </c>
      <c r="AA527" s="135">
        <v>0.930717863105175</v>
      </c>
      <c r="AB527" s="135">
        <v>0.957066869300912</v>
      </c>
      <c r="AC527" s="135">
        <v>0.954154181421956</v>
      </c>
      <c r="AD527" s="135">
        <v>0.92</v>
      </c>
      <c r="AE527" s="133">
        <v>1</v>
      </c>
      <c r="AF527" s="133">
        <v>1</v>
      </c>
      <c r="AG527" s="133">
        <v>0.984455958549223</v>
      </c>
      <c r="AH527" s="133">
        <v>0.990676547932106</v>
      </c>
      <c r="AI527" s="135">
        <v>0.92</v>
      </c>
      <c r="AJ527" s="133">
        <v>0.959958932238193</v>
      </c>
      <c r="AK527" s="133">
        <v>0.955274261603375</v>
      </c>
      <c r="AL527" s="133">
        <v>0.970394036208733</v>
      </c>
      <c r="AM527" s="133">
        <v>0.970157860592518</v>
      </c>
      <c r="AN527" s="132">
        <v>0.99</v>
      </c>
      <c r="AO527" s="137">
        <v>1</v>
      </c>
      <c r="AP527" s="137">
        <v>1</v>
      </c>
      <c r="AQ527" s="137">
        <v>1</v>
      </c>
      <c r="AR527" s="137">
        <v>1</v>
      </c>
      <c r="AS527" s="158">
        <v>0.05</v>
      </c>
      <c r="AT527" s="141">
        <v>0</v>
      </c>
      <c r="AU527" s="141">
        <v>0.2</v>
      </c>
      <c r="AV527" s="141">
        <v>0</v>
      </c>
      <c r="AW527" s="141">
        <v>0.0175438596491228</v>
      </c>
      <c r="AX527" s="95"/>
      <c r="AY527" s="93"/>
    </row>
    <row r="528" ht="14.5" spans="1:51">
      <c r="A528" s="91"/>
      <c r="B528" s="95"/>
      <c r="C528" s="152" t="s">
        <v>375</v>
      </c>
      <c r="D528" s="153" t="s">
        <v>25</v>
      </c>
      <c r="E528" s="130" t="s">
        <v>376</v>
      </c>
      <c r="F528" s="154" t="s">
        <v>554</v>
      </c>
      <c r="G528" s="154" t="s">
        <v>554</v>
      </c>
      <c r="H528" s="154" t="s">
        <v>554</v>
      </c>
      <c r="I528" s="154" t="s">
        <v>554</v>
      </c>
      <c r="J528" s="132">
        <v>0.9</v>
      </c>
      <c r="K528" s="133">
        <v>0.962962962962963</v>
      </c>
      <c r="L528" s="133">
        <v>0.925925925925926</v>
      </c>
      <c r="M528" s="134">
        <v>0.954545454545455</v>
      </c>
      <c r="N528" s="133">
        <v>0.932017543859649</v>
      </c>
      <c r="O528" s="135">
        <v>0.9</v>
      </c>
      <c r="P528" s="133">
        <v>0.939453125</v>
      </c>
      <c r="Q528" s="133">
        <v>0.941680960548885</v>
      </c>
      <c r="R528" s="133">
        <v>0.82277628032345</v>
      </c>
      <c r="S528" s="133">
        <v>0.90883125785445</v>
      </c>
      <c r="T528" s="135">
        <v>0.9</v>
      </c>
      <c r="U528" s="133">
        <v>0.8828125</v>
      </c>
      <c r="V528" s="133">
        <v>0.85934819897084</v>
      </c>
      <c r="W528" s="133">
        <v>0.756738544474393</v>
      </c>
      <c r="X528" s="133">
        <v>0.822994021097529</v>
      </c>
      <c r="Y528" s="135">
        <v>0.92</v>
      </c>
      <c r="Z528" s="135">
        <v>0.939745075318656</v>
      </c>
      <c r="AA528" s="135">
        <v>0.950666666666667</v>
      </c>
      <c r="AB528" s="135">
        <v>0.879882092851879</v>
      </c>
      <c r="AC528" s="135">
        <v>0.93278955954323</v>
      </c>
      <c r="AD528" s="135">
        <v>0.92</v>
      </c>
      <c r="AE528" s="133">
        <v>1</v>
      </c>
      <c r="AF528" s="133">
        <v>0.911764705882353</v>
      </c>
      <c r="AG528" s="133">
        <v>0.878787878787879</v>
      </c>
      <c r="AH528" s="133">
        <v>0.940035273368607</v>
      </c>
      <c r="AI528" s="135">
        <v>0.92</v>
      </c>
      <c r="AJ528" s="133">
        <v>0.955668604651163</v>
      </c>
      <c r="AK528" s="133">
        <v>0.967674661105318</v>
      </c>
      <c r="AL528" s="133">
        <v>0.861511423550088</v>
      </c>
      <c r="AM528" s="133">
        <v>0.945094264610492</v>
      </c>
      <c r="AN528" s="132">
        <v>0.99</v>
      </c>
      <c r="AO528" s="137">
        <v>1</v>
      </c>
      <c r="AP528" s="137">
        <v>1</v>
      </c>
      <c r="AQ528" s="137">
        <v>1</v>
      </c>
      <c r="AR528" s="137">
        <v>1</v>
      </c>
      <c r="AS528" s="158">
        <v>0.05</v>
      </c>
      <c r="AT528" s="141">
        <v>0.2</v>
      </c>
      <c r="AU528" s="141">
        <v>0.166666666666667</v>
      </c>
      <c r="AV528" s="141">
        <v>0</v>
      </c>
      <c r="AW528" s="141">
        <v>0.0846153846153846</v>
      </c>
      <c r="AX528" s="95"/>
      <c r="AY528" s="93"/>
    </row>
    <row r="529" ht="14.5" spans="1:51">
      <c r="A529" s="91"/>
      <c r="B529" s="95"/>
      <c r="C529" s="152" t="s">
        <v>375</v>
      </c>
      <c r="D529" s="153" t="s">
        <v>25</v>
      </c>
      <c r="E529" s="130" t="s">
        <v>376</v>
      </c>
      <c r="F529" s="154" t="s">
        <v>555</v>
      </c>
      <c r="G529" s="154" t="s">
        <v>555</v>
      </c>
      <c r="H529" s="154" t="s">
        <v>555</v>
      </c>
      <c r="I529" s="154" t="s">
        <v>555</v>
      </c>
      <c r="J529" s="132">
        <v>0.9</v>
      </c>
      <c r="K529" s="133">
        <v>0.978260869565217</v>
      </c>
      <c r="L529" s="133">
        <v>0.953488372093023</v>
      </c>
      <c r="M529" s="134">
        <v>1</v>
      </c>
      <c r="N529" s="133">
        <v>0.96328029375765</v>
      </c>
      <c r="O529" s="135">
        <v>0.9</v>
      </c>
      <c r="P529" s="133">
        <v>0.964451313755796</v>
      </c>
      <c r="Q529" s="133">
        <v>0.930752047654505</v>
      </c>
      <c r="R529" s="133">
        <v>0.965156794425087</v>
      </c>
      <c r="S529" s="133">
        <v>0.965315260058881</v>
      </c>
      <c r="T529" s="135">
        <v>0.9</v>
      </c>
      <c r="U529" s="133">
        <v>0.874806800618238</v>
      </c>
      <c r="V529" s="133">
        <v>0.85331347728965</v>
      </c>
      <c r="W529" s="133">
        <v>0.90534262485482</v>
      </c>
      <c r="X529" s="133">
        <v>0.874877330716389</v>
      </c>
      <c r="Y529" s="135">
        <v>0.92</v>
      </c>
      <c r="Z529" s="135">
        <v>0.945945945945946</v>
      </c>
      <c r="AA529" s="135">
        <v>0.9379760609358</v>
      </c>
      <c r="AB529" s="135">
        <v>0.953776775648253</v>
      </c>
      <c r="AC529" s="135">
        <v>0.95020318433149</v>
      </c>
      <c r="AD529" s="135">
        <v>0.92</v>
      </c>
      <c r="AE529" s="133">
        <v>0.970031545741325</v>
      </c>
      <c r="AF529" s="133">
        <v>0.983394833948339</v>
      </c>
      <c r="AG529" s="133">
        <v>0.980861244019139</v>
      </c>
      <c r="AH529" s="133">
        <v>0.979803936021228</v>
      </c>
      <c r="AI529" s="135">
        <v>0.92</v>
      </c>
      <c r="AJ529" s="133">
        <v>0.959883720930233</v>
      </c>
      <c r="AK529" s="133">
        <v>0.941773268636965</v>
      </c>
      <c r="AL529" s="133">
        <v>0.967705058588168</v>
      </c>
      <c r="AM529" s="133">
        <v>0.966506642849168</v>
      </c>
      <c r="AN529" s="132">
        <v>0.99</v>
      </c>
      <c r="AO529" s="137">
        <v>1</v>
      </c>
      <c r="AP529" s="137">
        <v>1</v>
      </c>
      <c r="AQ529" s="137">
        <v>1</v>
      </c>
      <c r="AR529" s="137">
        <v>1</v>
      </c>
      <c r="AS529" s="158">
        <v>0.05</v>
      </c>
      <c r="AT529" s="141">
        <v>0</v>
      </c>
      <c r="AU529" s="141">
        <v>0</v>
      </c>
      <c r="AV529" s="141">
        <v>0</v>
      </c>
      <c r="AW529" s="141">
        <v>0.0289017341040462</v>
      </c>
      <c r="AX529" s="95"/>
      <c r="AY529" s="93"/>
    </row>
    <row r="530" ht="14.5" spans="1:51">
      <c r="A530" s="91"/>
      <c r="B530" s="95"/>
      <c r="C530" s="152" t="s">
        <v>375</v>
      </c>
      <c r="D530" s="153" t="s">
        <v>25</v>
      </c>
      <c r="E530" s="130" t="s">
        <v>376</v>
      </c>
      <c r="F530" s="154" t="s">
        <v>556</v>
      </c>
      <c r="G530" s="154" t="s">
        <v>556</v>
      </c>
      <c r="H530" s="154" t="s">
        <v>556</v>
      </c>
      <c r="I530" s="154" t="s">
        <v>556</v>
      </c>
      <c r="J530" s="132">
        <v>0.9</v>
      </c>
      <c r="K530" s="133">
        <v>0.983050847457627</v>
      </c>
      <c r="L530" s="133">
        <v>1</v>
      </c>
      <c r="M530" s="134">
        <v>1</v>
      </c>
      <c r="N530" s="133">
        <v>0.982805429864253</v>
      </c>
      <c r="O530" s="135">
        <v>0.9</v>
      </c>
      <c r="P530" s="133">
        <v>0.903726708074534</v>
      </c>
      <c r="Q530" s="133">
        <v>0.908923643054278</v>
      </c>
      <c r="R530" s="133">
        <v>0.924460431654676</v>
      </c>
      <c r="S530" s="133">
        <v>0.937841598935119</v>
      </c>
      <c r="T530" s="135">
        <v>0.9</v>
      </c>
      <c r="U530" s="133">
        <v>0.846790890269151</v>
      </c>
      <c r="V530" s="133">
        <v>0.867065317387305</v>
      </c>
      <c r="W530" s="133">
        <v>0.884532374100719</v>
      </c>
      <c r="X530" s="133">
        <v>0.888348829235827</v>
      </c>
      <c r="Y530" s="135">
        <v>0.92</v>
      </c>
      <c r="Z530" s="135">
        <v>0.928409090909091</v>
      </c>
      <c r="AA530" s="135">
        <v>0.903054448871182</v>
      </c>
      <c r="AB530" s="135">
        <v>0.91797385620915</v>
      </c>
      <c r="AC530" s="135">
        <v>0.93988946143617</v>
      </c>
      <c r="AD530" s="135">
        <v>0.92</v>
      </c>
      <c r="AE530" s="133">
        <v>0.998684210526316</v>
      </c>
      <c r="AF530" s="133">
        <v>0.978260869565217</v>
      </c>
      <c r="AG530" s="133">
        <v>0.977035490605428</v>
      </c>
      <c r="AH530" s="133">
        <v>0.985695931477516</v>
      </c>
      <c r="AI530" s="135">
        <v>0.92</v>
      </c>
      <c r="AJ530" s="133">
        <v>0.942060872753942</v>
      </c>
      <c r="AK530" s="133">
        <v>0.937007874015748</v>
      </c>
      <c r="AL530" s="133">
        <v>0.940824354369762</v>
      </c>
      <c r="AM530" s="133">
        <v>0.958403189531793</v>
      </c>
      <c r="AN530" s="132">
        <v>0.99</v>
      </c>
      <c r="AO530" s="137">
        <v>1</v>
      </c>
      <c r="AP530" s="137">
        <v>1</v>
      </c>
      <c r="AQ530" s="137">
        <v>1</v>
      </c>
      <c r="AR530" s="137">
        <v>1</v>
      </c>
      <c r="AS530" s="158">
        <v>0.05</v>
      </c>
      <c r="AT530" s="141">
        <v>0.0769230769230769</v>
      </c>
      <c r="AU530" s="141">
        <v>0.166666666666667</v>
      </c>
      <c r="AV530" s="141">
        <v>0</v>
      </c>
      <c r="AW530" s="141">
        <v>0.0606860158311346</v>
      </c>
      <c r="AX530" s="95"/>
      <c r="AY530" s="93"/>
    </row>
    <row r="531" ht="14.5" spans="1:51">
      <c r="A531" s="91"/>
      <c r="B531" s="95"/>
      <c r="C531" s="152" t="s">
        <v>375</v>
      </c>
      <c r="D531" s="153" t="s">
        <v>25</v>
      </c>
      <c r="E531" s="130" t="s">
        <v>376</v>
      </c>
      <c r="F531" s="154" t="s">
        <v>557</v>
      </c>
      <c r="G531" s="154" t="s">
        <v>557</v>
      </c>
      <c r="H531" s="154" t="s">
        <v>557</v>
      </c>
      <c r="I531" s="154" t="s">
        <v>557</v>
      </c>
      <c r="J531" s="132">
        <v>0.9</v>
      </c>
      <c r="K531" s="133">
        <v>0.833333333333333</v>
      </c>
      <c r="L531" s="133">
        <v>0.947368421052632</v>
      </c>
      <c r="M531" s="134">
        <v>0.952380952380952</v>
      </c>
      <c r="N531" s="133">
        <v>0.945054945054945</v>
      </c>
      <c r="O531" s="135">
        <v>0.9</v>
      </c>
      <c r="P531" s="133">
        <v>0.855737704918033</v>
      </c>
      <c r="Q531" s="133">
        <v>0.877715205148833</v>
      </c>
      <c r="R531" s="133">
        <v>0.941709844559586</v>
      </c>
      <c r="S531" s="133">
        <v>0.924348297756932</v>
      </c>
      <c r="T531" s="135">
        <v>0.9</v>
      </c>
      <c r="U531" s="133">
        <v>0.770491803278688</v>
      </c>
      <c r="V531" s="133">
        <v>0.801287208366854</v>
      </c>
      <c r="W531" s="133">
        <v>0.907383419689119</v>
      </c>
      <c r="X531" s="133">
        <v>0.871031556108612</v>
      </c>
      <c r="Y531" s="135">
        <v>0.92</v>
      </c>
      <c r="Z531" s="135">
        <v>0.925510204081633</v>
      </c>
      <c r="AA531" s="135">
        <v>0.86509900990099</v>
      </c>
      <c r="AB531" s="135">
        <v>0.904632152588556</v>
      </c>
      <c r="AC531" s="135">
        <v>0.937451423072653</v>
      </c>
      <c r="AD531" s="135">
        <v>0.92</v>
      </c>
      <c r="AE531" s="133">
        <v>0.982300884955752</v>
      </c>
      <c r="AF531" s="133">
        <v>0.959459459459459</v>
      </c>
      <c r="AG531" s="133">
        <v>0.9375</v>
      </c>
      <c r="AH531" s="133">
        <v>0.975636766334441</v>
      </c>
      <c r="AI531" s="135">
        <v>0.92</v>
      </c>
      <c r="AJ531" s="133">
        <v>0.939108600125549</v>
      </c>
      <c r="AK531" s="133">
        <v>0.92363813229572</v>
      </c>
      <c r="AL531" s="133">
        <v>0.939367051168293</v>
      </c>
      <c r="AM531" s="133">
        <v>0.962357128191089</v>
      </c>
      <c r="AN531" s="132">
        <v>0.99</v>
      </c>
      <c r="AO531" s="137">
        <v>1</v>
      </c>
      <c r="AP531" s="137">
        <v>1</v>
      </c>
      <c r="AQ531" s="137">
        <v>1</v>
      </c>
      <c r="AR531" s="137">
        <v>1</v>
      </c>
      <c r="AS531" s="158">
        <v>0.05</v>
      </c>
      <c r="AT531" s="141">
        <v>0.142857142857143</v>
      </c>
      <c r="AU531" s="141">
        <v>0</v>
      </c>
      <c r="AV531" s="141">
        <v>0</v>
      </c>
      <c r="AW531" s="141">
        <v>0.0414201183431953</v>
      </c>
      <c r="AX531" s="95"/>
      <c r="AY531" s="93"/>
    </row>
    <row r="532" ht="14.5" spans="1:51">
      <c r="A532" s="91"/>
      <c r="B532" s="95"/>
      <c r="C532" s="152" t="s">
        <v>375</v>
      </c>
      <c r="D532" s="153" t="s">
        <v>25</v>
      </c>
      <c r="E532" s="130" t="s">
        <v>376</v>
      </c>
      <c r="F532" s="154" t="s">
        <v>558</v>
      </c>
      <c r="G532" s="154" t="s">
        <v>558</v>
      </c>
      <c r="H532" s="154" t="s">
        <v>558</v>
      </c>
      <c r="I532" s="154" t="s">
        <v>558</v>
      </c>
      <c r="J532" s="132">
        <v>0.9</v>
      </c>
      <c r="K532" s="133">
        <v>0.947368421052632</v>
      </c>
      <c r="L532" s="133">
        <v>0.945454545454545</v>
      </c>
      <c r="M532" s="134">
        <v>0.944444444444444</v>
      </c>
      <c r="N532" s="133">
        <v>0.954764196342637</v>
      </c>
      <c r="O532" s="135">
        <v>0.9</v>
      </c>
      <c r="P532" s="133">
        <v>0.972030386740331</v>
      </c>
      <c r="Q532" s="133">
        <v>0.988658174838597</v>
      </c>
      <c r="R532" s="133">
        <v>0.97359018176169</v>
      </c>
      <c r="S532" s="133">
        <v>0.98156731387174</v>
      </c>
      <c r="T532" s="135">
        <v>0.9</v>
      </c>
      <c r="U532" s="133">
        <v>0.94475138121547</v>
      </c>
      <c r="V532" s="133">
        <v>0.944163322282324</v>
      </c>
      <c r="W532" s="133">
        <v>0.91983843405313</v>
      </c>
      <c r="X532" s="133">
        <v>0.935470992619136</v>
      </c>
      <c r="Y532" s="135">
        <v>0.92</v>
      </c>
      <c r="Z532" s="135">
        <v>0</v>
      </c>
      <c r="AA532" s="135" t="s">
        <v>35</v>
      </c>
      <c r="AB532" s="135" t="s">
        <v>35</v>
      </c>
      <c r="AC532" s="135">
        <v>0.428571428571429</v>
      </c>
      <c r="AD532" s="135">
        <v>0.92</v>
      </c>
      <c r="AE532" s="133">
        <v>0.99746192893401</v>
      </c>
      <c r="AF532" s="133">
        <v>0.993723849372385</v>
      </c>
      <c r="AG532" s="133">
        <v>0.980874316939891</v>
      </c>
      <c r="AH532" s="133">
        <v>0.983229895682028</v>
      </c>
      <c r="AI532" s="135">
        <v>0.92</v>
      </c>
      <c r="AJ532" s="133">
        <v>0.980331262939959</v>
      </c>
      <c r="AK532" s="133">
        <v>0.986215320188449</v>
      </c>
      <c r="AL532" s="133">
        <v>0.978254116185151</v>
      </c>
      <c r="AM532" s="133">
        <v>0.983759626899822</v>
      </c>
      <c r="AN532" s="132">
        <v>0.99</v>
      </c>
      <c r="AO532" s="137">
        <v>1</v>
      </c>
      <c r="AP532" s="137">
        <v>1</v>
      </c>
      <c r="AQ532" s="137">
        <v>1</v>
      </c>
      <c r="AR532" s="137">
        <v>1</v>
      </c>
      <c r="AS532" s="158">
        <v>0.05</v>
      </c>
      <c r="AT532" s="141">
        <v>0</v>
      </c>
      <c r="AU532" s="141">
        <v>0.125</v>
      </c>
      <c r="AV532" s="141">
        <v>0</v>
      </c>
      <c r="AW532" s="141">
        <v>0.0288808664259928</v>
      </c>
      <c r="AX532" s="95"/>
      <c r="AY532" s="93"/>
    </row>
    <row r="533" ht="14.5" spans="1:51">
      <c r="A533" s="91"/>
      <c r="B533" s="95"/>
      <c r="C533" s="152" t="s">
        <v>375</v>
      </c>
      <c r="D533" s="153" t="s">
        <v>25</v>
      </c>
      <c r="E533" s="130" t="s">
        <v>376</v>
      </c>
      <c r="F533" s="154" t="s">
        <v>559</v>
      </c>
      <c r="G533" s="154" t="s">
        <v>559</v>
      </c>
      <c r="H533" s="154" t="s">
        <v>559</v>
      </c>
      <c r="I533" s="154" t="s">
        <v>559</v>
      </c>
      <c r="J533" s="132">
        <v>0.9</v>
      </c>
      <c r="K533" s="133">
        <v>0.984848484848485</v>
      </c>
      <c r="L533" s="133">
        <v>0.983870967741935</v>
      </c>
      <c r="M533" s="134">
        <v>0.971014492753623</v>
      </c>
      <c r="N533" s="133">
        <v>0.964761158966327</v>
      </c>
      <c r="O533" s="135">
        <v>0.9</v>
      </c>
      <c r="P533" s="133">
        <v>0.982634338138925</v>
      </c>
      <c r="Q533" s="133">
        <v>0.975328947368421</v>
      </c>
      <c r="R533" s="133">
        <v>0.971578487101006</v>
      </c>
      <c r="S533" s="133">
        <v>0.970698248978499</v>
      </c>
      <c r="T533" s="135">
        <v>0.9</v>
      </c>
      <c r="U533" s="133">
        <v>0.942332896461337</v>
      </c>
      <c r="V533" s="133">
        <v>0.928782894736842</v>
      </c>
      <c r="W533" s="133">
        <v>0.924500801632415</v>
      </c>
      <c r="X533" s="133">
        <v>0.918046665111739</v>
      </c>
      <c r="Y533" s="135">
        <v>0.92</v>
      </c>
      <c r="Z533" s="135">
        <v>0</v>
      </c>
      <c r="AA533" s="135">
        <v>0</v>
      </c>
      <c r="AB533" s="135" t="s">
        <v>35</v>
      </c>
      <c r="AC533" s="135">
        <v>0.4</v>
      </c>
      <c r="AD533" s="135">
        <v>0.92</v>
      </c>
      <c r="AE533" s="133">
        <v>0.994334277620397</v>
      </c>
      <c r="AF533" s="133">
        <v>0.98780487804878</v>
      </c>
      <c r="AG533" s="133">
        <v>0.984177215189873</v>
      </c>
      <c r="AH533" s="133">
        <v>0.989869077306733</v>
      </c>
      <c r="AI533" s="135">
        <v>0.92</v>
      </c>
      <c r="AJ533" s="133">
        <v>0.98165738617753</v>
      </c>
      <c r="AK533" s="133">
        <v>0.969253535021375</v>
      </c>
      <c r="AL533" s="133">
        <v>0.982218335519604</v>
      </c>
      <c r="AM533" s="133">
        <v>0.979398807981342</v>
      </c>
      <c r="AN533" s="132">
        <v>0.99</v>
      </c>
      <c r="AO533" s="137">
        <v>1</v>
      </c>
      <c r="AP533" s="137">
        <v>1</v>
      </c>
      <c r="AQ533" s="137">
        <v>1</v>
      </c>
      <c r="AR533" s="137">
        <v>1</v>
      </c>
      <c r="AS533" s="158">
        <v>0.05</v>
      </c>
      <c r="AT533" s="141">
        <v>0</v>
      </c>
      <c r="AU533" s="141">
        <v>0.0833333333333333</v>
      </c>
      <c r="AV533" s="141">
        <v>0.1</v>
      </c>
      <c r="AW533" s="141">
        <v>0.0392156862745098</v>
      </c>
      <c r="AX533" s="95"/>
      <c r="AY533" s="93"/>
    </row>
    <row r="534" ht="14.5" spans="1:51">
      <c r="A534" s="91"/>
      <c r="B534" s="95"/>
      <c r="C534" s="152" t="s">
        <v>375</v>
      </c>
      <c r="D534" s="153" t="s">
        <v>25</v>
      </c>
      <c r="E534" s="130" t="s">
        <v>376</v>
      </c>
      <c r="F534" s="154" t="s">
        <v>560</v>
      </c>
      <c r="G534" s="154" t="s">
        <v>560</v>
      </c>
      <c r="H534" s="154" t="s">
        <v>560</v>
      </c>
      <c r="I534" s="154" t="s">
        <v>560</v>
      </c>
      <c r="J534" s="132">
        <v>0.9</v>
      </c>
      <c r="K534" s="133">
        <v>0.974358974358974</v>
      </c>
      <c r="L534" s="133">
        <v>0.941176470588235</v>
      </c>
      <c r="M534" s="134">
        <v>0.972222222222222</v>
      </c>
      <c r="N534" s="133">
        <v>0.969613259668508</v>
      </c>
      <c r="O534" s="135">
        <v>0.9</v>
      </c>
      <c r="P534" s="133">
        <v>0.957912457912458</v>
      </c>
      <c r="Q534" s="133">
        <v>0.93052864655411</v>
      </c>
      <c r="R534" s="133">
        <v>0.942732290708372</v>
      </c>
      <c r="S534" s="133">
        <v>0.950978972177966</v>
      </c>
      <c r="T534" s="135">
        <v>0.9</v>
      </c>
      <c r="U534" s="133">
        <v>0.92368125701459</v>
      </c>
      <c r="V534" s="133">
        <v>0.902297259894824</v>
      </c>
      <c r="W534" s="133">
        <v>0.918353265869365</v>
      </c>
      <c r="X534" s="133">
        <v>0.927725914124324</v>
      </c>
      <c r="Y534" s="135">
        <v>0.92</v>
      </c>
      <c r="Z534" s="135">
        <v>0</v>
      </c>
      <c r="AA534" s="135">
        <v>0.333333333333333</v>
      </c>
      <c r="AB534" s="135" t="s">
        <v>35</v>
      </c>
      <c r="AC534" s="135">
        <v>0.25</v>
      </c>
      <c r="AD534" s="135">
        <v>0.92</v>
      </c>
      <c r="AE534" s="133">
        <v>1</v>
      </c>
      <c r="AF534" s="133">
        <v>0.979591836734694</v>
      </c>
      <c r="AG534" s="133">
        <v>0.996261682242991</v>
      </c>
      <c r="AH534" s="133">
        <v>0.976814516129032</v>
      </c>
      <c r="AI534" s="135">
        <v>0.92</v>
      </c>
      <c r="AJ534" s="133">
        <v>0.981491867638811</v>
      </c>
      <c r="AK534" s="133">
        <v>0.957964601769911</v>
      </c>
      <c r="AL534" s="133">
        <v>0.975160993560258</v>
      </c>
      <c r="AM534" s="133">
        <v>0.982910484115176</v>
      </c>
      <c r="AN534" s="132">
        <v>0.99</v>
      </c>
      <c r="AO534" s="137">
        <v>1</v>
      </c>
      <c r="AP534" s="137">
        <v>1</v>
      </c>
      <c r="AQ534" s="137">
        <v>1</v>
      </c>
      <c r="AR534" s="137">
        <v>1</v>
      </c>
      <c r="AS534" s="158">
        <v>0.05</v>
      </c>
      <c r="AT534" s="141">
        <v>0.166666666666667</v>
      </c>
      <c r="AU534" s="141">
        <v>0</v>
      </c>
      <c r="AV534" s="141">
        <v>0</v>
      </c>
      <c r="AW534" s="141">
        <v>0.0467836257309941</v>
      </c>
      <c r="AX534" s="95"/>
      <c r="AY534" s="93"/>
    </row>
    <row r="535" ht="14.5" spans="1:51">
      <c r="A535" s="91"/>
      <c r="B535" s="95"/>
      <c r="C535" s="152" t="s">
        <v>375</v>
      </c>
      <c r="D535" s="153" t="s">
        <v>25</v>
      </c>
      <c r="E535" s="130" t="s">
        <v>376</v>
      </c>
      <c r="F535" s="154" t="s">
        <v>561</v>
      </c>
      <c r="G535" s="154" t="s">
        <v>561</v>
      </c>
      <c r="H535" s="154" t="s">
        <v>561</v>
      </c>
      <c r="I535" s="154" t="s">
        <v>561</v>
      </c>
      <c r="J535" s="132">
        <v>0.9</v>
      </c>
      <c r="K535" s="133">
        <v>0.928571428571429</v>
      </c>
      <c r="L535" s="133">
        <v>0.885245901639344</v>
      </c>
      <c r="M535" s="134">
        <v>0.951612903225806</v>
      </c>
      <c r="N535" s="133">
        <v>0.934372436423298</v>
      </c>
      <c r="O535" s="135">
        <v>0.9</v>
      </c>
      <c r="P535" s="133">
        <v>0.5</v>
      </c>
      <c r="Q535" s="133">
        <v>0.5</v>
      </c>
      <c r="R535" s="133" t="s">
        <v>35</v>
      </c>
      <c r="S535" s="133">
        <v>0.357142857142857</v>
      </c>
      <c r="T535" s="135">
        <v>0.9</v>
      </c>
      <c r="U535" s="133">
        <v>0</v>
      </c>
      <c r="V535" s="133">
        <v>0.5</v>
      </c>
      <c r="W535" s="133" t="s">
        <v>35</v>
      </c>
      <c r="X535" s="133">
        <v>0.571428571428571</v>
      </c>
      <c r="Y535" s="135">
        <v>0.92</v>
      </c>
      <c r="Z535" s="135" t="s">
        <v>35</v>
      </c>
      <c r="AA535" s="135" t="s">
        <v>35</v>
      </c>
      <c r="AB535" s="135" t="s">
        <v>35</v>
      </c>
      <c r="AC535" s="135">
        <v>0.5</v>
      </c>
      <c r="AD535" s="135">
        <v>0.92</v>
      </c>
      <c r="AE535" s="133">
        <v>0.988997555012225</v>
      </c>
      <c r="AF535" s="133">
        <v>0.992914083259522</v>
      </c>
      <c r="AG535" s="133">
        <v>0.994368463395012</v>
      </c>
      <c r="AH535" s="133">
        <v>0.950522446619585</v>
      </c>
      <c r="AI535" s="135">
        <v>0.92</v>
      </c>
      <c r="AJ535" s="133">
        <v>0.959818308874913</v>
      </c>
      <c r="AK535" s="133">
        <v>0.945845320697241</v>
      </c>
      <c r="AL535" s="133">
        <v>0.966303270564916</v>
      </c>
      <c r="AM535" s="133">
        <v>0.976088627628307</v>
      </c>
      <c r="AN535" s="132">
        <v>0.99</v>
      </c>
      <c r="AO535" s="137">
        <v>1</v>
      </c>
      <c r="AP535" s="137">
        <v>1</v>
      </c>
      <c r="AQ535" s="137">
        <v>1</v>
      </c>
      <c r="AR535" s="137">
        <v>1</v>
      </c>
      <c r="AS535" s="158">
        <v>0.05</v>
      </c>
      <c r="AT535" s="141">
        <v>0.0714285714285714</v>
      </c>
      <c r="AU535" s="141">
        <v>0.2</v>
      </c>
      <c r="AV535" s="141">
        <v>0.117647058823529</v>
      </c>
      <c r="AW535" s="141">
        <v>0.0890804597701149</v>
      </c>
      <c r="AX535" s="95"/>
      <c r="AY535" s="93"/>
    </row>
    <row r="536" ht="14.5" spans="1:51">
      <c r="A536" s="91"/>
      <c r="B536" s="95"/>
      <c r="C536" s="152" t="s">
        <v>375</v>
      </c>
      <c r="D536" s="153" t="s">
        <v>25</v>
      </c>
      <c r="E536" s="130" t="s">
        <v>376</v>
      </c>
      <c r="F536" s="154" t="s">
        <v>562</v>
      </c>
      <c r="G536" s="154" t="s">
        <v>562</v>
      </c>
      <c r="H536" s="154" t="s">
        <v>562</v>
      </c>
      <c r="I536" s="154" t="s">
        <v>562</v>
      </c>
      <c r="J536" s="132">
        <v>0.9</v>
      </c>
      <c r="K536" s="133">
        <v>1</v>
      </c>
      <c r="L536" s="133">
        <v>1</v>
      </c>
      <c r="M536" s="134">
        <v>0.933333333333333</v>
      </c>
      <c r="N536" s="133">
        <v>0.944043321299639</v>
      </c>
      <c r="O536" s="135">
        <v>0.9</v>
      </c>
      <c r="P536" s="133">
        <v>0.971176941553243</v>
      </c>
      <c r="Q536" s="133">
        <v>0.937641723356009</v>
      </c>
      <c r="R536" s="133">
        <v>0.937007874015748</v>
      </c>
      <c r="S536" s="133">
        <v>0.95156743109615</v>
      </c>
      <c r="T536" s="135">
        <v>0.9</v>
      </c>
      <c r="U536" s="133">
        <v>0.915932746196958</v>
      </c>
      <c r="V536" s="133">
        <v>0.891534391534392</v>
      </c>
      <c r="W536" s="133">
        <v>0.938719616569668</v>
      </c>
      <c r="X536" s="133">
        <v>0.931306543235851</v>
      </c>
      <c r="Y536" s="135">
        <v>0.92</v>
      </c>
      <c r="Z536" s="135" t="s">
        <v>35</v>
      </c>
      <c r="AA536" s="135">
        <v>0</v>
      </c>
      <c r="AB536" s="135" t="s">
        <v>35</v>
      </c>
      <c r="AC536" s="135">
        <v>0</v>
      </c>
      <c r="AD536" s="135">
        <v>0.92</v>
      </c>
      <c r="AE536" s="133">
        <v>0.975</v>
      </c>
      <c r="AF536" s="133">
        <v>1</v>
      </c>
      <c r="AG536" s="133">
        <v>0.761904761904762</v>
      </c>
      <c r="AH536" s="133">
        <v>0.939144736842105</v>
      </c>
      <c r="AI536" s="135">
        <v>0.92</v>
      </c>
      <c r="AJ536" s="133">
        <v>0.952114924181963</v>
      </c>
      <c r="AK536" s="133">
        <v>0.967169811320755</v>
      </c>
      <c r="AL536" s="133">
        <v>0.976736229900787</v>
      </c>
      <c r="AM536" s="133">
        <v>0.98049835212125</v>
      </c>
      <c r="AN536" s="132">
        <v>0.99</v>
      </c>
      <c r="AO536" s="137">
        <v>1</v>
      </c>
      <c r="AP536" s="137">
        <v>1</v>
      </c>
      <c r="AQ536" s="137">
        <v>1</v>
      </c>
      <c r="AR536" s="137">
        <v>1</v>
      </c>
      <c r="AS536" s="158">
        <v>0.05</v>
      </c>
      <c r="AT536" s="141">
        <v>0</v>
      </c>
      <c r="AU536" s="141">
        <v>0.25</v>
      </c>
      <c r="AV536" s="141">
        <v>0</v>
      </c>
      <c r="AW536" s="141">
        <v>0.0824742268041237</v>
      </c>
      <c r="AX536" s="95"/>
      <c r="AY536" s="93"/>
    </row>
    <row r="537" ht="14.5" spans="1:51">
      <c r="A537" s="91"/>
      <c r="B537" s="95"/>
      <c r="C537" s="152" t="s">
        <v>375</v>
      </c>
      <c r="D537" s="153" t="s">
        <v>25</v>
      </c>
      <c r="E537" s="130" t="s">
        <v>376</v>
      </c>
      <c r="F537" s="154" t="s">
        <v>563</v>
      </c>
      <c r="G537" s="154" t="s">
        <v>563</v>
      </c>
      <c r="H537" s="154" t="s">
        <v>563</v>
      </c>
      <c r="I537" s="154" t="s">
        <v>563</v>
      </c>
      <c r="J537" s="132">
        <v>0.9</v>
      </c>
      <c r="K537" s="133">
        <v>0.821428571428571</v>
      </c>
      <c r="L537" s="133">
        <v>0.903225806451613</v>
      </c>
      <c r="M537" s="134">
        <v>0.806451612903226</v>
      </c>
      <c r="N537" s="133">
        <v>0.913996627318718</v>
      </c>
      <c r="O537" s="135">
        <v>0.9</v>
      </c>
      <c r="P537" s="133">
        <v>0.960760998810939</v>
      </c>
      <c r="Q537" s="133">
        <v>0.897000361402241</v>
      </c>
      <c r="R537" s="133">
        <v>0.887465373961219</v>
      </c>
      <c r="S537" s="133">
        <v>0.861775254034668</v>
      </c>
      <c r="T537" s="135">
        <v>0.9</v>
      </c>
      <c r="U537" s="133">
        <v>0.87217598097503</v>
      </c>
      <c r="V537" s="133">
        <v>0.75207806288399</v>
      </c>
      <c r="W537" s="133">
        <v>0.932825484764543</v>
      </c>
      <c r="X537" s="133">
        <v>0.914113867304244</v>
      </c>
      <c r="Y537" s="135">
        <v>0.92</v>
      </c>
      <c r="Z537" s="135">
        <v>1</v>
      </c>
      <c r="AA537" s="135" t="s">
        <v>35</v>
      </c>
      <c r="AB537" s="135">
        <v>0</v>
      </c>
      <c r="AC537" s="135">
        <v>0.5</v>
      </c>
      <c r="AD537" s="135">
        <v>0.92</v>
      </c>
      <c r="AE537" s="133">
        <v>0.978723404255319</v>
      </c>
      <c r="AF537" s="133">
        <v>0.673913043478261</v>
      </c>
      <c r="AG537" s="133">
        <v>0.99203187250996</v>
      </c>
      <c r="AH537" s="133">
        <v>0.897918065815984</v>
      </c>
      <c r="AI537" s="135">
        <v>0.92</v>
      </c>
      <c r="AJ537" s="133">
        <v>0.924673784104389</v>
      </c>
      <c r="AK537" s="133">
        <v>0.833333333333333</v>
      </c>
      <c r="AL537" s="133">
        <v>0.961631524369167</v>
      </c>
      <c r="AM537" s="133">
        <v>0.962355050137247</v>
      </c>
      <c r="AN537" s="132">
        <v>0.99</v>
      </c>
      <c r="AO537" s="137">
        <v>1</v>
      </c>
      <c r="AP537" s="137">
        <v>1</v>
      </c>
      <c r="AQ537" s="137">
        <v>1</v>
      </c>
      <c r="AR537" s="137">
        <v>1</v>
      </c>
      <c r="AS537" s="158">
        <v>0.05</v>
      </c>
      <c r="AT537" s="141">
        <v>0.125</v>
      </c>
      <c r="AU537" s="141">
        <v>0</v>
      </c>
      <c r="AV537" s="141">
        <v>0.125</v>
      </c>
      <c r="AW537" s="141">
        <v>0.075187969924812</v>
      </c>
      <c r="AX537" s="95"/>
      <c r="AY537" s="93"/>
    </row>
    <row r="538" ht="14.5" spans="1:51">
      <c r="A538" s="91"/>
      <c r="B538" s="95"/>
      <c r="C538" s="152" t="s">
        <v>375</v>
      </c>
      <c r="D538" s="153" t="s">
        <v>25</v>
      </c>
      <c r="E538" s="130" t="s">
        <v>376</v>
      </c>
      <c r="F538" s="154" t="s">
        <v>564</v>
      </c>
      <c r="G538" s="154" t="s">
        <v>564</v>
      </c>
      <c r="H538" s="154" t="s">
        <v>564</v>
      </c>
      <c r="I538" s="154" t="s">
        <v>564</v>
      </c>
      <c r="J538" s="132">
        <v>0.9</v>
      </c>
      <c r="K538" s="133">
        <v>0.953125</v>
      </c>
      <c r="L538" s="133">
        <v>0.964285714285714</v>
      </c>
      <c r="M538" s="134">
        <v>0.951612903225806</v>
      </c>
      <c r="N538" s="133">
        <v>0.959023539668701</v>
      </c>
      <c r="O538" s="135">
        <v>0.9</v>
      </c>
      <c r="P538" s="133">
        <v>1</v>
      </c>
      <c r="Q538" s="133">
        <v>0.333333333333333</v>
      </c>
      <c r="R538" s="133" t="s">
        <v>35</v>
      </c>
      <c r="S538" s="133">
        <v>0.526315789473684</v>
      </c>
      <c r="T538" s="135">
        <v>0.9</v>
      </c>
      <c r="U538" s="133">
        <v>0</v>
      </c>
      <c r="V538" s="133">
        <v>0</v>
      </c>
      <c r="W538" s="133" t="s">
        <v>35</v>
      </c>
      <c r="X538" s="133">
        <v>0.368421052631579</v>
      </c>
      <c r="Y538" s="135">
        <v>0.92</v>
      </c>
      <c r="Z538" s="135" t="s">
        <v>35</v>
      </c>
      <c r="AA538" s="135" t="s">
        <v>35</v>
      </c>
      <c r="AB538" s="135" t="s">
        <v>35</v>
      </c>
      <c r="AC538" s="135">
        <v>0.333333333333333</v>
      </c>
      <c r="AD538" s="135">
        <v>0.92</v>
      </c>
      <c r="AE538" s="133">
        <v>0.987295825771325</v>
      </c>
      <c r="AF538" s="133">
        <v>0.944272445820433</v>
      </c>
      <c r="AG538" s="133">
        <v>0.990639625585023</v>
      </c>
      <c r="AH538" s="133">
        <v>0.986914756826261</v>
      </c>
      <c r="AI538" s="135">
        <v>0.92</v>
      </c>
      <c r="AJ538" s="133">
        <v>0.945275446917183</v>
      </c>
      <c r="AK538" s="133">
        <v>0.871612466124661</v>
      </c>
      <c r="AL538" s="133">
        <v>0.942411014103425</v>
      </c>
      <c r="AM538" s="133">
        <v>0.95648417395182</v>
      </c>
      <c r="AN538" s="132">
        <v>0.99</v>
      </c>
      <c r="AO538" s="137">
        <v>1</v>
      </c>
      <c r="AP538" s="137">
        <v>1</v>
      </c>
      <c r="AQ538" s="137">
        <v>1</v>
      </c>
      <c r="AR538" s="137">
        <v>1</v>
      </c>
      <c r="AS538" s="158">
        <v>0.05</v>
      </c>
      <c r="AT538" s="141">
        <v>0.0588235294117647</v>
      </c>
      <c r="AU538" s="141">
        <v>0</v>
      </c>
      <c r="AV538" s="141">
        <v>0</v>
      </c>
      <c r="AW538" s="141">
        <v>0.0456026058631922</v>
      </c>
      <c r="AX538" s="95"/>
      <c r="AY538" s="93"/>
    </row>
    <row r="539" ht="14.5" spans="1:51">
      <c r="A539" s="91"/>
      <c r="B539" s="95"/>
      <c r="C539" s="152" t="s">
        <v>375</v>
      </c>
      <c r="D539" s="153" t="s">
        <v>25</v>
      </c>
      <c r="E539" s="130" t="s">
        <v>376</v>
      </c>
      <c r="F539" s="154" t="s">
        <v>565</v>
      </c>
      <c r="G539" s="154" t="s">
        <v>565</v>
      </c>
      <c r="H539" s="154" t="s">
        <v>565</v>
      </c>
      <c r="I539" s="154" t="s">
        <v>565</v>
      </c>
      <c r="J539" s="132">
        <v>0.9</v>
      </c>
      <c r="K539" s="133">
        <v>0.896551724137931</v>
      </c>
      <c r="L539" s="133">
        <v>0.967741935483871</v>
      </c>
      <c r="M539" s="134">
        <v>0.966666666666667</v>
      </c>
      <c r="N539" s="133">
        <v>0.955116696588869</v>
      </c>
      <c r="O539" s="135">
        <v>0.9</v>
      </c>
      <c r="P539" s="133" t="s">
        <v>35</v>
      </c>
      <c r="Q539" s="133">
        <v>0</v>
      </c>
      <c r="R539" s="133" t="s">
        <v>35</v>
      </c>
      <c r="S539" s="133">
        <v>0.333333333333333</v>
      </c>
      <c r="T539" s="135">
        <v>0.9</v>
      </c>
      <c r="U539" s="133" t="s">
        <v>35</v>
      </c>
      <c r="V539" s="133">
        <v>0.333333333333333</v>
      </c>
      <c r="W539" s="133" t="s">
        <v>35</v>
      </c>
      <c r="X539" s="133">
        <v>0.777777777777778</v>
      </c>
      <c r="Y539" s="135">
        <v>0.92</v>
      </c>
      <c r="Z539" s="135" t="s">
        <v>35</v>
      </c>
      <c r="AA539" s="135" t="s">
        <v>35</v>
      </c>
      <c r="AB539" s="135" t="s">
        <v>35</v>
      </c>
      <c r="AC539" s="135">
        <v>0</v>
      </c>
      <c r="AD539" s="135">
        <v>0.92</v>
      </c>
      <c r="AE539" s="133">
        <v>0.997171145685997</v>
      </c>
      <c r="AF539" s="133">
        <v>0.995515695067265</v>
      </c>
      <c r="AG539" s="133">
        <v>0.99400479616307</v>
      </c>
      <c r="AH539" s="133">
        <v>0.994789306751246</v>
      </c>
      <c r="AI539" s="135">
        <v>0.92</v>
      </c>
      <c r="AJ539" s="133">
        <v>0.962616822429907</v>
      </c>
      <c r="AK539" s="133">
        <v>0.9725935828877</v>
      </c>
      <c r="AL539" s="133">
        <v>0.9726869238648</v>
      </c>
      <c r="AM539" s="133">
        <v>0.980977705052158</v>
      </c>
      <c r="AN539" s="132">
        <v>0.99</v>
      </c>
      <c r="AO539" s="137">
        <v>1</v>
      </c>
      <c r="AP539" s="137">
        <v>1</v>
      </c>
      <c r="AQ539" s="137">
        <v>1</v>
      </c>
      <c r="AR539" s="137">
        <v>1</v>
      </c>
      <c r="AS539" s="158">
        <v>0.05</v>
      </c>
      <c r="AT539" s="141">
        <v>0</v>
      </c>
      <c r="AU539" s="141">
        <v>0.5</v>
      </c>
      <c r="AV539" s="141">
        <v>0</v>
      </c>
      <c r="AW539" s="141">
        <v>0.0303030303030303</v>
      </c>
      <c r="AX539" s="95"/>
      <c r="AY539" s="93"/>
    </row>
    <row r="540" ht="14.5" spans="1:51">
      <c r="A540" s="91"/>
      <c r="B540" s="95"/>
      <c r="C540" s="152" t="s">
        <v>375</v>
      </c>
      <c r="D540" s="153" t="s">
        <v>25</v>
      </c>
      <c r="E540" s="130" t="s">
        <v>376</v>
      </c>
      <c r="F540" s="154" t="s">
        <v>566</v>
      </c>
      <c r="G540" s="154" t="s">
        <v>566</v>
      </c>
      <c r="H540" s="154" t="s">
        <v>566</v>
      </c>
      <c r="I540" s="154" t="s">
        <v>566</v>
      </c>
      <c r="J540" s="132">
        <v>0.9</v>
      </c>
      <c r="K540" s="133">
        <v>0.982758620689655</v>
      </c>
      <c r="L540" s="133">
        <v>0.9375</v>
      </c>
      <c r="M540" s="134">
        <v>0.955223880597015</v>
      </c>
      <c r="N540" s="133">
        <v>0.924390243902439</v>
      </c>
      <c r="O540" s="135">
        <v>0.9</v>
      </c>
      <c r="P540" s="133">
        <v>0</v>
      </c>
      <c r="Q540" s="133">
        <v>0</v>
      </c>
      <c r="R540" s="133" t="s">
        <v>35</v>
      </c>
      <c r="S540" s="133">
        <v>0.428571428571429</v>
      </c>
      <c r="T540" s="135">
        <v>0.9</v>
      </c>
      <c r="U540" s="133">
        <v>0</v>
      </c>
      <c r="V540" s="133">
        <v>0.5</v>
      </c>
      <c r="W540" s="133" t="s">
        <v>35</v>
      </c>
      <c r="X540" s="133">
        <v>0.428571428571429</v>
      </c>
      <c r="Y540" s="135">
        <v>0.92</v>
      </c>
      <c r="Z540" s="135" t="s">
        <v>35</v>
      </c>
      <c r="AA540" s="135" t="s">
        <v>35</v>
      </c>
      <c r="AB540" s="135" t="s">
        <v>35</v>
      </c>
      <c r="AC540" s="135">
        <v>0.666666666666667</v>
      </c>
      <c r="AD540" s="135">
        <v>0.92</v>
      </c>
      <c r="AE540" s="133">
        <v>0.956521739130435</v>
      </c>
      <c r="AF540" s="133">
        <v>0.970873786407767</v>
      </c>
      <c r="AG540" s="133">
        <v>0.96</v>
      </c>
      <c r="AH540" s="133">
        <v>0.965743782261849</v>
      </c>
      <c r="AI540" s="135">
        <v>0.92</v>
      </c>
      <c r="AJ540" s="133">
        <v>0.954226528566656</v>
      </c>
      <c r="AK540" s="133">
        <v>0.951156368657232</v>
      </c>
      <c r="AL540" s="133">
        <v>0.977311577311577</v>
      </c>
      <c r="AM540" s="133">
        <v>0.977477477477477</v>
      </c>
      <c r="AN540" s="132">
        <v>0.99</v>
      </c>
      <c r="AO540" s="137">
        <v>1</v>
      </c>
      <c r="AP540" s="137">
        <v>1</v>
      </c>
      <c r="AQ540" s="137">
        <v>1</v>
      </c>
      <c r="AR540" s="137">
        <v>1</v>
      </c>
      <c r="AS540" s="158">
        <v>0.05</v>
      </c>
      <c r="AT540" s="141">
        <v>0</v>
      </c>
      <c r="AU540" s="141">
        <v>0</v>
      </c>
      <c r="AV540" s="141">
        <v>0.0909090909090909</v>
      </c>
      <c r="AW540" s="141">
        <v>0.0324909747292419</v>
      </c>
      <c r="AX540" s="95"/>
      <c r="AY540" s="93"/>
    </row>
    <row r="541" ht="14.5" spans="1:51">
      <c r="A541" s="91"/>
      <c r="B541" s="95"/>
      <c r="C541" s="152" t="s">
        <v>375</v>
      </c>
      <c r="D541" s="153" t="s">
        <v>25</v>
      </c>
      <c r="E541" s="130" t="s">
        <v>376</v>
      </c>
      <c r="F541" s="154" t="s">
        <v>567</v>
      </c>
      <c r="G541" s="154" t="s">
        <v>567</v>
      </c>
      <c r="H541" s="154" t="s">
        <v>567</v>
      </c>
      <c r="I541" s="154" t="s">
        <v>567</v>
      </c>
      <c r="J541" s="132">
        <v>0.9</v>
      </c>
      <c r="K541" s="133">
        <v>1</v>
      </c>
      <c r="L541" s="133">
        <v>1</v>
      </c>
      <c r="M541" s="134">
        <v>0.972222222222222</v>
      </c>
      <c r="N541" s="133">
        <v>0.983257229832572</v>
      </c>
      <c r="O541" s="135">
        <v>0.9</v>
      </c>
      <c r="P541" s="133">
        <v>1</v>
      </c>
      <c r="Q541" s="133">
        <v>0</v>
      </c>
      <c r="R541" s="133">
        <v>0</v>
      </c>
      <c r="S541" s="133">
        <v>0.266666666666667</v>
      </c>
      <c r="T541" s="135">
        <v>0.9</v>
      </c>
      <c r="U541" s="133">
        <v>1</v>
      </c>
      <c r="V541" s="133">
        <v>1</v>
      </c>
      <c r="W541" s="133">
        <v>1</v>
      </c>
      <c r="X541" s="133">
        <v>0.866666666666667</v>
      </c>
      <c r="Y541" s="135">
        <v>0.92</v>
      </c>
      <c r="Z541" s="135">
        <v>1</v>
      </c>
      <c r="AA541" s="135" t="s">
        <v>35</v>
      </c>
      <c r="AB541" s="135" t="s">
        <v>35</v>
      </c>
      <c r="AC541" s="135">
        <v>1</v>
      </c>
      <c r="AD541" s="135">
        <v>0.92</v>
      </c>
      <c r="AE541" s="133">
        <v>1</v>
      </c>
      <c r="AF541" s="133">
        <v>0.998831092928112</v>
      </c>
      <c r="AG541" s="133">
        <v>0.997258396161755</v>
      </c>
      <c r="AH541" s="133">
        <v>0.93802514566084</v>
      </c>
      <c r="AI541" s="135">
        <v>0.92</v>
      </c>
      <c r="AJ541" s="133">
        <v>0.970495919648462</v>
      </c>
      <c r="AK541" s="133">
        <v>0.967926689576174</v>
      </c>
      <c r="AL541" s="133">
        <v>0.986185725249424</v>
      </c>
      <c r="AM541" s="133">
        <v>0.98390958866503</v>
      </c>
      <c r="AN541" s="132">
        <v>0.99</v>
      </c>
      <c r="AO541" s="137">
        <v>1</v>
      </c>
      <c r="AP541" s="137">
        <v>1</v>
      </c>
      <c r="AQ541" s="137">
        <v>1</v>
      </c>
      <c r="AR541" s="137">
        <v>1</v>
      </c>
      <c r="AS541" s="158">
        <v>0.05</v>
      </c>
      <c r="AT541" s="141">
        <v>0</v>
      </c>
      <c r="AU541" s="141">
        <v>0</v>
      </c>
      <c r="AV541" s="141">
        <v>0.1</v>
      </c>
      <c r="AW541" s="141">
        <v>0.0621468926553672</v>
      </c>
      <c r="AX541" s="95"/>
      <c r="AY541" s="93"/>
    </row>
    <row r="542" ht="14.5" spans="1:51">
      <c r="A542" s="91"/>
      <c r="B542" s="95"/>
      <c r="C542" s="152" t="s">
        <v>375</v>
      </c>
      <c r="D542" s="153" t="s">
        <v>25</v>
      </c>
      <c r="E542" s="130" t="s">
        <v>376</v>
      </c>
      <c r="F542" s="154" t="s">
        <v>568</v>
      </c>
      <c r="G542" s="154" t="s">
        <v>568</v>
      </c>
      <c r="H542" s="154" t="s">
        <v>568</v>
      </c>
      <c r="I542" s="154" t="s">
        <v>568</v>
      </c>
      <c r="J542" s="132">
        <v>0.9</v>
      </c>
      <c r="K542" s="133">
        <v>1</v>
      </c>
      <c r="L542" s="133">
        <v>0.9375</v>
      </c>
      <c r="M542" s="134">
        <v>0.903225806451613</v>
      </c>
      <c r="N542" s="133">
        <v>0.94299674267101</v>
      </c>
      <c r="O542" s="135">
        <v>0.9</v>
      </c>
      <c r="P542" s="133" t="s">
        <v>35</v>
      </c>
      <c r="Q542" s="133">
        <v>0</v>
      </c>
      <c r="R542" s="133" t="s">
        <v>35</v>
      </c>
      <c r="S542" s="133">
        <v>0.666666666666667</v>
      </c>
      <c r="T542" s="135">
        <v>0.9</v>
      </c>
      <c r="U542" s="133" t="s">
        <v>35</v>
      </c>
      <c r="V542" s="133">
        <v>0</v>
      </c>
      <c r="W542" s="133" t="s">
        <v>35</v>
      </c>
      <c r="X542" s="133">
        <v>0.333333333333333</v>
      </c>
      <c r="Y542" s="135">
        <v>0.92</v>
      </c>
      <c r="Z542" s="135" t="s">
        <v>35</v>
      </c>
      <c r="AA542" s="135" t="s">
        <v>35</v>
      </c>
      <c r="AB542" s="135">
        <v>0</v>
      </c>
      <c r="AC542" s="135">
        <v>0</v>
      </c>
      <c r="AD542" s="135">
        <v>0.92</v>
      </c>
      <c r="AE542" s="133">
        <v>0.99537750385208</v>
      </c>
      <c r="AF542" s="133">
        <v>0.979865771812081</v>
      </c>
      <c r="AG542" s="133">
        <v>0.996563573883162</v>
      </c>
      <c r="AH542" s="133">
        <v>0.979555832295558</v>
      </c>
      <c r="AI542" s="135">
        <v>0.92</v>
      </c>
      <c r="AJ542" s="133">
        <v>0.948287441235729</v>
      </c>
      <c r="AK542" s="133">
        <v>0.94449527294907</v>
      </c>
      <c r="AL542" s="133">
        <v>0.955210510600179</v>
      </c>
      <c r="AM542" s="133">
        <v>0.968754222402378</v>
      </c>
      <c r="AN542" s="132">
        <v>0.99</v>
      </c>
      <c r="AO542" s="137">
        <v>1</v>
      </c>
      <c r="AP542" s="137">
        <v>1</v>
      </c>
      <c r="AQ542" s="137">
        <v>1</v>
      </c>
      <c r="AR542" s="137">
        <v>1</v>
      </c>
      <c r="AS542" s="158">
        <v>0.05</v>
      </c>
      <c r="AT542" s="141">
        <v>0.75</v>
      </c>
      <c r="AU542" s="141">
        <v>0</v>
      </c>
      <c r="AV542" s="141">
        <v>0</v>
      </c>
      <c r="AW542" s="141">
        <v>0.0714285714285714</v>
      </c>
      <c r="AX542" s="95"/>
      <c r="AY542" s="93"/>
    </row>
    <row r="543" ht="14.5" spans="1:51">
      <c r="A543" s="91"/>
      <c r="B543" s="95"/>
      <c r="C543" s="152" t="s">
        <v>375</v>
      </c>
      <c r="D543" s="153" t="s">
        <v>25</v>
      </c>
      <c r="E543" s="130" t="s">
        <v>376</v>
      </c>
      <c r="F543" s="154" t="s">
        <v>569</v>
      </c>
      <c r="G543" s="154" t="s">
        <v>569</v>
      </c>
      <c r="H543" s="154" t="s">
        <v>569</v>
      </c>
      <c r="I543" s="154" t="s">
        <v>569</v>
      </c>
      <c r="J543" s="132">
        <v>0.9</v>
      </c>
      <c r="K543" s="133">
        <v>0.955555555555556</v>
      </c>
      <c r="L543" s="133">
        <v>0.86046511627907</v>
      </c>
      <c r="M543" s="134">
        <v>0.92</v>
      </c>
      <c r="N543" s="133">
        <v>0.925925925925926</v>
      </c>
      <c r="O543" s="135">
        <v>0.9</v>
      </c>
      <c r="P543" s="133">
        <v>0.142857142857143</v>
      </c>
      <c r="Q543" s="133" t="s">
        <v>35</v>
      </c>
      <c r="R543" s="133">
        <v>1</v>
      </c>
      <c r="S543" s="133">
        <v>0.307692307692308</v>
      </c>
      <c r="T543" s="135">
        <v>0.9</v>
      </c>
      <c r="U543" s="133">
        <v>1</v>
      </c>
      <c r="V543" s="133" t="s">
        <v>35</v>
      </c>
      <c r="W543" s="133">
        <v>0</v>
      </c>
      <c r="X543" s="133">
        <v>0.769230769230769</v>
      </c>
      <c r="Y543" s="135">
        <v>0.92</v>
      </c>
      <c r="Z543" s="135" t="s">
        <v>35</v>
      </c>
      <c r="AA543" s="135" t="s">
        <v>35</v>
      </c>
      <c r="AB543" s="135" t="s">
        <v>35</v>
      </c>
      <c r="AC543" s="135" t="s">
        <v>35</v>
      </c>
      <c r="AD543" s="135">
        <v>0.92</v>
      </c>
      <c r="AE543" s="133">
        <v>0.981981981981982</v>
      </c>
      <c r="AF543" s="133">
        <v>0.970873786407767</v>
      </c>
      <c r="AG543" s="133">
        <v>1</v>
      </c>
      <c r="AH543" s="133">
        <v>0.97808764940239</v>
      </c>
      <c r="AI543" s="135">
        <v>0.92</v>
      </c>
      <c r="AJ543" s="133">
        <v>0.914202617547261</v>
      </c>
      <c r="AK543" s="133">
        <v>0.860485848005349</v>
      </c>
      <c r="AL543" s="133">
        <v>0.964212258329905</v>
      </c>
      <c r="AM543" s="133">
        <v>0.957293475564376</v>
      </c>
      <c r="AN543" s="132">
        <v>0.99</v>
      </c>
      <c r="AO543" s="137">
        <v>1</v>
      </c>
      <c r="AP543" s="137">
        <v>1</v>
      </c>
      <c r="AQ543" s="137">
        <v>1</v>
      </c>
      <c r="AR543" s="137">
        <v>1</v>
      </c>
      <c r="AS543" s="158">
        <v>0.05</v>
      </c>
      <c r="AT543" s="141">
        <v>0</v>
      </c>
      <c r="AU543" s="141">
        <v>0</v>
      </c>
      <c r="AV543" s="141">
        <v>0</v>
      </c>
      <c r="AW543" s="141">
        <v>0.046242774566474</v>
      </c>
      <c r="AX543" s="95"/>
      <c r="AY543" s="93"/>
    </row>
    <row r="544" ht="14.5" spans="1:51">
      <c r="A544" s="91"/>
      <c r="B544" s="95"/>
      <c r="C544" s="152" t="s">
        <v>375</v>
      </c>
      <c r="D544" s="153" t="s">
        <v>25</v>
      </c>
      <c r="E544" s="130" t="s">
        <v>376</v>
      </c>
      <c r="F544" s="154" t="s">
        <v>570</v>
      </c>
      <c r="G544" s="154" t="s">
        <v>570</v>
      </c>
      <c r="H544" s="154" t="s">
        <v>570</v>
      </c>
      <c r="I544" s="154" t="s">
        <v>570</v>
      </c>
      <c r="J544" s="132">
        <v>0.9</v>
      </c>
      <c r="K544" s="133">
        <v>0.896551724137931</v>
      </c>
      <c r="L544" s="133">
        <v>1</v>
      </c>
      <c r="M544" s="134">
        <v>1</v>
      </c>
      <c r="N544" s="133">
        <v>0.945525291828794</v>
      </c>
      <c r="O544" s="135">
        <v>0.9</v>
      </c>
      <c r="P544" s="133">
        <v>0</v>
      </c>
      <c r="Q544" s="133" t="s">
        <v>35</v>
      </c>
      <c r="R544" s="133" t="s">
        <v>35</v>
      </c>
      <c r="S544" s="133">
        <v>0.125</v>
      </c>
      <c r="T544" s="135">
        <v>0.9</v>
      </c>
      <c r="U544" s="133">
        <v>0</v>
      </c>
      <c r="V544" s="133" t="s">
        <v>35</v>
      </c>
      <c r="W544" s="133" t="s">
        <v>35</v>
      </c>
      <c r="X544" s="133">
        <v>0.125</v>
      </c>
      <c r="Y544" s="135">
        <v>0.92</v>
      </c>
      <c r="Z544" s="135" t="s">
        <v>35</v>
      </c>
      <c r="AA544" s="135" t="s">
        <v>35</v>
      </c>
      <c r="AB544" s="135">
        <v>0</v>
      </c>
      <c r="AC544" s="135">
        <v>0</v>
      </c>
      <c r="AD544" s="135">
        <v>0.92</v>
      </c>
      <c r="AE544" s="133">
        <v>0.96875</v>
      </c>
      <c r="AF544" s="133">
        <v>1</v>
      </c>
      <c r="AG544" s="133">
        <v>0.986425339366516</v>
      </c>
      <c r="AH544" s="133">
        <v>0.987275693311582</v>
      </c>
      <c r="AI544" s="135">
        <v>0.92</v>
      </c>
      <c r="AJ544" s="133">
        <v>0.957214765100671</v>
      </c>
      <c r="AK544" s="133">
        <v>0.964588712652158</v>
      </c>
      <c r="AL544" s="133">
        <v>0.985789080029918</v>
      </c>
      <c r="AM544" s="133">
        <v>0.98264907651715</v>
      </c>
      <c r="AN544" s="132">
        <v>0.99</v>
      </c>
      <c r="AO544" s="137">
        <v>1</v>
      </c>
      <c r="AP544" s="137">
        <v>1</v>
      </c>
      <c r="AQ544" s="137">
        <v>1</v>
      </c>
      <c r="AR544" s="137">
        <v>1</v>
      </c>
      <c r="AS544" s="158">
        <v>0.05</v>
      </c>
      <c r="AT544" s="141">
        <v>0</v>
      </c>
      <c r="AU544" s="141">
        <v>0.5</v>
      </c>
      <c r="AV544" s="141">
        <v>0.166666666666667</v>
      </c>
      <c r="AW544" s="141">
        <v>0.0384615384615385</v>
      </c>
      <c r="AX544" s="95"/>
      <c r="AY544" s="93"/>
    </row>
    <row r="545" ht="14.5" spans="1:51">
      <c r="A545" s="91"/>
      <c r="B545" s="95"/>
      <c r="C545" s="152" t="s">
        <v>375</v>
      </c>
      <c r="D545" s="153" t="s">
        <v>25</v>
      </c>
      <c r="E545" s="130" t="s">
        <v>376</v>
      </c>
      <c r="F545" s="154" t="s">
        <v>571</v>
      </c>
      <c r="G545" s="154" t="s">
        <v>571</v>
      </c>
      <c r="H545" s="154" t="s">
        <v>571</v>
      </c>
      <c r="I545" s="154" t="s">
        <v>571</v>
      </c>
      <c r="J545" s="132">
        <v>0.9</v>
      </c>
      <c r="K545" s="133">
        <v>0.951612903225806</v>
      </c>
      <c r="L545" s="133">
        <v>0.916666666666667</v>
      </c>
      <c r="M545" s="134">
        <v>0.879310344827586</v>
      </c>
      <c r="N545" s="133">
        <v>0.901408450704225</v>
      </c>
      <c r="O545" s="135">
        <v>0.9</v>
      </c>
      <c r="P545" s="133" t="s">
        <v>35</v>
      </c>
      <c r="Q545" s="133">
        <v>1</v>
      </c>
      <c r="R545" s="133">
        <v>1</v>
      </c>
      <c r="S545" s="133">
        <v>0.642857142857143</v>
      </c>
      <c r="T545" s="135">
        <v>0.9</v>
      </c>
      <c r="U545" s="133" t="s">
        <v>35</v>
      </c>
      <c r="V545" s="133">
        <v>1</v>
      </c>
      <c r="W545" s="133">
        <v>1</v>
      </c>
      <c r="X545" s="133">
        <v>0.785714285714286</v>
      </c>
      <c r="Y545" s="135">
        <v>0.92</v>
      </c>
      <c r="Z545" s="135" t="s">
        <v>35</v>
      </c>
      <c r="AA545" s="135" t="s">
        <v>35</v>
      </c>
      <c r="AB545" s="135" t="s">
        <v>35</v>
      </c>
      <c r="AC545" s="135">
        <v>0.666666666666667</v>
      </c>
      <c r="AD545" s="135">
        <v>0.92</v>
      </c>
      <c r="AE545" s="133">
        <v>0.982698961937716</v>
      </c>
      <c r="AF545" s="133">
        <v>0.987041036717063</v>
      </c>
      <c r="AG545" s="133">
        <v>0.995054401582592</v>
      </c>
      <c r="AH545" s="133">
        <v>0.977615545654624</v>
      </c>
      <c r="AI545" s="135">
        <v>0.92</v>
      </c>
      <c r="AJ545" s="133">
        <v>0.95702005730659</v>
      </c>
      <c r="AK545" s="133">
        <v>0.927286217770358</v>
      </c>
      <c r="AL545" s="133">
        <v>0.947428354526476</v>
      </c>
      <c r="AM545" s="133">
        <v>0.936630815900406</v>
      </c>
      <c r="AN545" s="132">
        <v>0.99</v>
      </c>
      <c r="AO545" s="137">
        <v>1</v>
      </c>
      <c r="AP545" s="137">
        <v>1</v>
      </c>
      <c r="AQ545" s="137">
        <v>1</v>
      </c>
      <c r="AR545" s="137">
        <v>1</v>
      </c>
      <c r="AS545" s="158">
        <v>0.05</v>
      </c>
      <c r="AT545" s="141">
        <v>0.3</v>
      </c>
      <c r="AU545" s="141">
        <v>0</v>
      </c>
      <c r="AV545" s="141">
        <v>0.0588235294117647</v>
      </c>
      <c r="AW545" s="141">
        <v>0.0691244239631336</v>
      </c>
      <c r="AX545" s="95"/>
      <c r="AY545" s="93"/>
    </row>
    <row r="546" ht="14.5" spans="1:51">
      <c r="A546" s="91"/>
      <c r="B546" s="95"/>
      <c r="C546" s="152" t="s">
        <v>375</v>
      </c>
      <c r="D546" s="153" t="s">
        <v>25</v>
      </c>
      <c r="E546" s="130" t="s">
        <v>376</v>
      </c>
      <c r="F546" s="154" t="s">
        <v>572</v>
      </c>
      <c r="G546" s="154" t="s">
        <v>572</v>
      </c>
      <c r="H546" s="154" t="s">
        <v>572</v>
      </c>
      <c r="I546" s="154" t="s">
        <v>572</v>
      </c>
      <c r="J546" s="132">
        <v>0.9</v>
      </c>
      <c r="K546" s="133">
        <v>1</v>
      </c>
      <c r="L546" s="133">
        <v>0.869565217391304</v>
      </c>
      <c r="M546" s="134">
        <v>1</v>
      </c>
      <c r="N546" s="133">
        <v>0.94392523364486</v>
      </c>
      <c r="O546" s="135">
        <v>0.9</v>
      </c>
      <c r="P546" s="133" t="s">
        <v>35</v>
      </c>
      <c r="Q546" s="133" t="s">
        <v>35</v>
      </c>
      <c r="R546" s="133" t="s">
        <v>35</v>
      </c>
      <c r="S546" s="133">
        <v>0</v>
      </c>
      <c r="T546" s="135">
        <v>0.9</v>
      </c>
      <c r="U546" s="133" t="s">
        <v>35</v>
      </c>
      <c r="V546" s="133" t="s">
        <v>35</v>
      </c>
      <c r="W546" s="133" t="s">
        <v>35</v>
      </c>
      <c r="X546" s="133">
        <v>0</v>
      </c>
      <c r="Y546" s="135">
        <v>0.92</v>
      </c>
      <c r="Z546" s="135" t="s">
        <v>35</v>
      </c>
      <c r="AA546" s="135" t="s">
        <v>35</v>
      </c>
      <c r="AB546" s="135" t="s">
        <v>35</v>
      </c>
      <c r="AC546" s="135">
        <v>0.666666666666667</v>
      </c>
      <c r="AD546" s="135">
        <v>0.92</v>
      </c>
      <c r="AE546" s="133">
        <v>1</v>
      </c>
      <c r="AF546" s="133">
        <v>0.992805755395683</v>
      </c>
      <c r="AG546" s="133">
        <v>1</v>
      </c>
      <c r="AH546" s="133">
        <v>0.896598639455782</v>
      </c>
      <c r="AI546" s="135">
        <v>0.92</v>
      </c>
      <c r="AJ546" s="133">
        <v>0.95387634936212</v>
      </c>
      <c r="AK546" s="133">
        <v>0.941127348643006</v>
      </c>
      <c r="AL546" s="133">
        <v>0.967435053055251</v>
      </c>
      <c r="AM546" s="133">
        <v>0.968755508549269</v>
      </c>
      <c r="AN546" s="132">
        <v>0.99</v>
      </c>
      <c r="AO546" s="137">
        <v>1</v>
      </c>
      <c r="AP546" s="137">
        <v>1</v>
      </c>
      <c r="AQ546" s="137">
        <v>1</v>
      </c>
      <c r="AR546" s="137">
        <v>1</v>
      </c>
      <c r="AS546" s="158">
        <v>0.05</v>
      </c>
      <c r="AT546" s="141">
        <v>0</v>
      </c>
      <c r="AU546" s="141">
        <v>0</v>
      </c>
      <c r="AV546" s="141">
        <v>0.0121951219512195</v>
      </c>
      <c r="AW546" s="141">
        <v>0.0138888888888889</v>
      </c>
      <c r="AX546" s="95"/>
      <c r="AY546" s="93"/>
    </row>
    <row r="547" ht="14.5" spans="1:51">
      <c r="A547" s="91"/>
      <c r="B547" s="95"/>
      <c r="C547" s="152" t="s">
        <v>375</v>
      </c>
      <c r="D547" s="153" t="s">
        <v>25</v>
      </c>
      <c r="E547" s="130" t="s">
        <v>376</v>
      </c>
      <c r="F547" s="154" t="s">
        <v>573</v>
      </c>
      <c r="G547" s="154" t="s">
        <v>573</v>
      </c>
      <c r="H547" s="154" t="s">
        <v>573</v>
      </c>
      <c r="I547" s="154" t="s">
        <v>573</v>
      </c>
      <c r="J547" s="132">
        <v>0.9</v>
      </c>
      <c r="K547" s="133">
        <v>0.78125</v>
      </c>
      <c r="L547" s="133">
        <v>1</v>
      </c>
      <c r="M547" s="134">
        <v>0.923076923076923</v>
      </c>
      <c r="N547" s="133">
        <v>0.907230559345157</v>
      </c>
      <c r="O547" s="135">
        <v>0.9</v>
      </c>
      <c r="P547" s="133">
        <v>0.666666666666667</v>
      </c>
      <c r="Q547" s="133">
        <v>1</v>
      </c>
      <c r="R547" s="133">
        <v>1</v>
      </c>
      <c r="S547" s="133">
        <v>0.529411764705882</v>
      </c>
      <c r="T547" s="135">
        <v>0.9</v>
      </c>
      <c r="U547" s="133">
        <v>0</v>
      </c>
      <c r="V547" s="133">
        <v>0</v>
      </c>
      <c r="W547" s="133">
        <v>0</v>
      </c>
      <c r="X547" s="133">
        <v>0.176470588235294</v>
      </c>
      <c r="Y547" s="135">
        <v>0.92</v>
      </c>
      <c r="Z547" s="135" t="s">
        <v>35</v>
      </c>
      <c r="AA547" s="135" t="s">
        <v>35</v>
      </c>
      <c r="AB547" s="135" t="s">
        <v>35</v>
      </c>
      <c r="AC547" s="135" t="s">
        <v>35</v>
      </c>
      <c r="AD547" s="135">
        <v>0.92</v>
      </c>
      <c r="AE547" s="133">
        <v>0.985507246376812</v>
      </c>
      <c r="AF547" s="133">
        <v>0.97972972972973</v>
      </c>
      <c r="AG547" s="133">
        <v>0.993939393939394</v>
      </c>
      <c r="AH547" s="133">
        <v>0.966869864829048</v>
      </c>
      <c r="AI547" s="135">
        <v>0.92</v>
      </c>
      <c r="AJ547" s="133">
        <v>0.917431192660551</v>
      </c>
      <c r="AK547" s="133">
        <v>0.923076923076923</v>
      </c>
      <c r="AL547" s="133">
        <v>0.938531877063754</v>
      </c>
      <c r="AM547" s="133">
        <v>0.962737275875674</v>
      </c>
      <c r="AN547" s="132">
        <v>0.99</v>
      </c>
      <c r="AO547" s="137">
        <v>1</v>
      </c>
      <c r="AP547" s="137">
        <v>1</v>
      </c>
      <c r="AQ547" s="137">
        <v>1</v>
      </c>
      <c r="AR547" s="137">
        <v>1</v>
      </c>
      <c r="AS547" s="158">
        <v>0.05</v>
      </c>
      <c r="AT547" s="141">
        <v>0.222222222222222</v>
      </c>
      <c r="AU547" s="141">
        <v>0</v>
      </c>
      <c r="AV547" s="141">
        <v>0</v>
      </c>
      <c r="AW547" s="141">
        <v>0.0569948186528497</v>
      </c>
      <c r="AX547" s="95"/>
      <c r="AY547" s="93"/>
    </row>
    <row r="548" ht="14.5" spans="1:51">
      <c r="A548" s="91"/>
      <c r="B548" s="95"/>
      <c r="C548" s="152" t="s">
        <v>375</v>
      </c>
      <c r="D548" s="153" t="s">
        <v>25</v>
      </c>
      <c r="E548" s="130" t="s">
        <v>376</v>
      </c>
      <c r="F548" s="154" t="s">
        <v>574</v>
      </c>
      <c r="G548" s="154" t="s">
        <v>574</v>
      </c>
      <c r="H548" s="154" t="s">
        <v>574</v>
      </c>
      <c r="I548" s="154" t="s">
        <v>574</v>
      </c>
      <c r="J548" s="132">
        <v>0.9</v>
      </c>
      <c r="K548" s="133">
        <v>0.958333333333333</v>
      </c>
      <c r="L548" s="133">
        <v>0.925</v>
      </c>
      <c r="M548" s="134">
        <v>0.980392156862745</v>
      </c>
      <c r="N548" s="133">
        <v>0.922755741127349</v>
      </c>
      <c r="O548" s="135">
        <v>0.9</v>
      </c>
      <c r="P548" s="133" t="s">
        <v>35</v>
      </c>
      <c r="Q548" s="133" t="s">
        <v>35</v>
      </c>
      <c r="R548" s="133" t="s">
        <v>35</v>
      </c>
      <c r="S548" s="133">
        <v>0.375</v>
      </c>
      <c r="T548" s="135">
        <v>0.9</v>
      </c>
      <c r="U548" s="133" t="s">
        <v>35</v>
      </c>
      <c r="V548" s="133" t="s">
        <v>35</v>
      </c>
      <c r="W548" s="133" t="s">
        <v>35</v>
      </c>
      <c r="X548" s="133">
        <v>0.5</v>
      </c>
      <c r="Y548" s="135">
        <v>0.92</v>
      </c>
      <c r="Z548" s="135" t="s">
        <v>35</v>
      </c>
      <c r="AA548" s="135">
        <v>1</v>
      </c>
      <c r="AB548" s="135">
        <v>0</v>
      </c>
      <c r="AC548" s="135">
        <v>0.333333333333333</v>
      </c>
      <c r="AD548" s="135">
        <v>0.92</v>
      </c>
      <c r="AE548" s="133">
        <v>1</v>
      </c>
      <c r="AF548" s="133">
        <v>0.990147783251232</v>
      </c>
      <c r="AG548" s="133">
        <v>0.977941176470588</v>
      </c>
      <c r="AH548" s="133">
        <v>0.98993288590604</v>
      </c>
      <c r="AI548" s="135">
        <v>0.92</v>
      </c>
      <c r="AJ548" s="133">
        <v>0.933943493832073</v>
      </c>
      <c r="AK548" s="133">
        <v>0.876864929381341</v>
      </c>
      <c r="AL548" s="133">
        <v>0.982717846097872</v>
      </c>
      <c r="AM548" s="133">
        <v>0.966496903256436</v>
      </c>
      <c r="AN548" s="132">
        <v>0.99</v>
      </c>
      <c r="AO548" s="137">
        <v>1</v>
      </c>
      <c r="AP548" s="137">
        <v>1</v>
      </c>
      <c r="AQ548" s="137">
        <v>1</v>
      </c>
      <c r="AR548" s="137">
        <v>1</v>
      </c>
      <c r="AS548" s="158">
        <v>0.05</v>
      </c>
      <c r="AT548" s="141">
        <v>0.0833333333333333</v>
      </c>
      <c r="AU548" s="141">
        <v>0</v>
      </c>
      <c r="AV548" s="141">
        <v>0.0909090909090909</v>
      </c>
      <c r="AW548" s="141">
        <v>0.042654028436019</v>
      </c>
      <c r="AX548" s="95"/>
      <c r="AY548" s="93"/>
    </row>
    <row r="549" ht="14.5" spans="1:51">
      <c r="A549" s="91"/>
      <c r="B549" s="95"/>
      <c r="C549" s="152" t="s">
        <v>375</v>
      </c>
      <c r="D549" s="153" t="s">
        <v>25</v>
      </c>
      <c r="E549" s="130" t="s">
        <v>376</v>
      </c>
      <c r="F549" s="154" t="s">
        <v>575</v>
      </c>
      <c r="G549" s="154" t="s">
        <v>575</v>
      </c>
      <c r="H549" s="154" t="s">
        <v>575</v>
      </c>
      <c r="I549" s="154" t="s">
        <v>575</v>
      </c>
      <c r="J549" s="132">
        <v>0.9</v>
      </c>
      <c r="K549" s="133">
        <v>0.963636363636364</v>
      </c>
      <c r="L549" s="133">
        <v>0.980392156862745</v>
      </c>
      <c r="M549" s="134">
        <v>0.964912280701754</v>
      </c>
      <c r="N549" s="133">
        <v>0.9658203125</v>
      </c>
      <c r="O549" s="135">
        <v>0.9</v>
      </c>
      <c r="P549" s="133">
        <v>0.994106699751861</v>
      </c>
      <c r="Q549" s="133">
        <v>0.98721355031551</v>
      </c>
      <c r="R549" s="133">
        <v>0.987996755879968</v>
      </c>
      <c r="S549" s="133">
        <v>0.98265502360205</v>
      </c>
      <c r="T549" s="135">
        <v>0.9</v>
      </c>
      <c r="U549" s="133">
        <v>0.949751861042184</v>
      </c>
      <c r="V549" s="133">
        <v>0.943706409830621</v>
      </c>
      <c r="W549" s="133">
        <v>0.95117599351176</v>
      </c>
      <c r="X549" s="133">
        <v>0.941855222356156</v>
      </c>
      <c r="Y549" s="135">
        <v>0.92</v>
      </c>
      <c r="Z549" s="135">
        <v>0</v>
      </c>
      <c r="AA549" s="135" t="s">
        <v>35</v>
      </c>
      <c r="AB549" s="135" t="s">
        <v>35</v>
      </c>
      <c r="AC549" s="135">
        <v>0.5</v>
      </c>
      <c r="AD549" s="135">
        <v>0.92</v>
      </c>
      <c r="AE549" s="133">
        <v>1</v>
      </c>
      <c r="AF549" s="133">
        <v>0.998142989786444</v>
      </c>
      <c r="AG549" s="133">
        <v>0.998438830542152</v>
      </c>
      <c r="AH549" s="133">
        <v>0.980377881477843</v>
      </c>
      <c r="AI549" s="135">
        <v>0.92</v>
      </c>
      <c r="AJ549" s="133">
        <v>0.968401486988848</v>
      </c>
      <c r="AK549" s="133">
        <v>0.971120331950207</v>
      </c>
      <c r="AL549" s="133">
        <v>0.97907881933182</v>
      </c>
      <c r="AM549" s="133">
        <v>0.979482416127134</v>
      </c>
      <c r="AN549" s="132">
        <v>0.99</v>
      </c>
      <c r="AO549" s="137">
        <v>1</v>
      </c>
      <c r="AP549" s="137">
        <v>1</v>
      </c>
      <c r="AQ549" s="137">
        <v>1</v>
      </c>
      <c r="AR549" s="137">
        <v>1</v>
      </c>
      <c r="AS549" s="158">
        <v>0.05</v>
      </c>
      <c r="AT549" s="141">
        <v>0.0869565217391304</v>
      </c>
      <c r="AU549" s="141">
        <v>0.0555555555555556</v>
      </c>
      <c r="AV549" s="141">
        <v>0</v>
      </c>
      <c r="AW549" s="141">
        <v>0.0568421052631579</v>
      </c>
      <c r="AX549" s="95"/>
      <c r="AY549" s="93"/>
    </row>
    <row r="550" ht="14.5" spans="1:51">
      <c r="A550" s="91"/>
      <c r="B550" s="95"/>
      <c r="C550" s="152" t="s">
        <v>375</v>
      </c>
      <c r="D550" s="153" t="s">
        <v>25</v>
      </c>
      <c r="E550" s="130" t="s">
        <v>376</v>
      </c>
      <c r="F550" s="154" t="s">
        <v>576</v>
      </c>
      <c r="G550" s="154" t="s">
        <v>576</v>
      </c>
      <c r="H550" s="154" t="s">
        <v>576</v>
      </c>
      <c r="I550" s="154" t="s">
        <v>576</v>
      </c>
      <c r="J550" s="132">
        <v>0.9</v>
      </c>
      <c r="K550" s="133">
        <v>0.970149253731343</v>
      </c>
      <c r="L550" s="133">
        <v>0.985915492957746</v>
      </c>
      <c r="M550" s="134">
        <v>0.985915492957746</v>
      </c>
      <c r="N550" s="133">
        <v>0.973355537052456</v>
      </c>
      <c r="O550" s="135">
        <v>0.9</v>
      </c>
      <c r="P550" s="133">
        <v>1</v>
      </c>
      <c r="Q550" s="133">
        <v>0.958333333333333</v>
      </c>
      <c r="R550" s="133">
        <v>1</v>
      </c>
      <c r="S550" s="133">
        <v>0.99009900990099</v>
      </c>
      <c r="T550" s="135">
        <v>0.9</v>
      </c>
      <c r="U550" s="133">
        <v>1</v>
      </c>
      <c r="V550" s="133">
        <v>1</v>
      </c>
      <c r="W550" s="133">
        <v>1</v>
      </c>
      <c r="X550" s="133">
        <v>0.993399339933993</v>
      </c>
      <c r="Y550" s="135">
        <v>0.92</v>
      </c>
      <c r="Z550" s="135" t="s">
        <v>35</v>
      </c>
      <c r="AA550" s="135" t="s">
        <v>35</v>
      </c>
      <c r="AB550" s="135">
        <v>0.75</v>
      </c>
      <c r="AC550" s="135">
        <v>0.842105263157895</v>
      </c>
      <c r="AD550" s="135">
        <v>0.92</v>
      </c>
      <c r="AE550" s="133">
        <v>0.956435643564356</v>
      </c>
      <c r="AF550" s="133">
        <v>0.998116760828625</v>
      </c>
      <c r="AG550" s="133">
        <v>0.994117647058824</v>
      </c>
      <c r="AH550" s="133">
        <v>0.979464778832153</v>
      </c>
      <c r="AI550" s="135">
        <v>0.92</v>
      </c>
      <c r="AJ550" s="133">
        <v>0.9561846983485</v>
      </c>
      <c r="AK550" s="133">
        <v>0.948811146448584</v>
      </c>
      <c r="AL550" s="133">
        <v>0.980281259553653</v>
      </c>
      <c r="AM550" s="133">
        <v>0.967614673497026</v>
      </c>
      <c r="AN550" s="132">
        <v>0.99</v>
      </c>
      <c r="AO550" s="137">
        <v>1</v>
      </c>
      <c r="AP550" s="137">
        <v>1</v>
      </c>
      <c r="AQ550" s="137">
        <v>1</v>
      </c>
      <c r="AR550" s="137">
        <v>1</v>
      </c>
      <c r="AS550" s="158">
        <v>0.05</v>
      </c>
      <c r="AT550" s="141">
        <v>0.178082191780822</v>
      </c>
      <c r="AU550" s="141">
        <v>0.0906040268456376</v>
      </c>
      <c r="AV550" s="141">
        <v>0.0209205020920502</v>
      </c>
      <c r="AW550" s="141">
        <v>0.143523920653442</v>
      </c>
      <c r="AX550" s="95"/>
      <c r="AY550" s="93"/>
    </row>
    <row r="551" ht="14.5" spans="1:51">
      <c r="A551" s="91"/>
      <c r="B551" s="95"/>
      <c r="C551" s="152" t="s">
        <v>375</v>
      </c>
      <c r="D551" s="153" t="s">
        <v>25</v>
      </c>
      <c r="E551" s="130" t="s">
        <v>376</v>
      </c>
      <c r="F551" s="154" t="s">
        <v>577</v>
      </c>
      <c r="G551" s="154" t="s">
        <v>577</v>
      </c>
      <c r="H551" s="154" t="s">
        <v>577</v>
      </c>
      <c r="I551" s="154" t="s">
        <v>577</v>
      </c>
      <c r="J551" s="132">
        <v>0.9</v>
      </c>
      <c r="K551" s="133">
        <v>0.972222222222222</v>
      </c>
      <c r="L551" s="133">
        <v>1</v>
      </c>
      <c r="M551" s="134">
        <v>1</v>
      </c>
      <c r="N551" s="133">
        <v>0.965566714490674</v>
      </c>
      <c r="O551" s="135">
        <v>0.9</v>
      </c>
      <c r="P551" s="133" t="s">
        <v>35</v>
      </c>
      <c r="Q551" s="133" t="s">
        <v>35</v>
      </c>
      <c r="R551" s="133" t="s">
        <v>35</v>
      </c>
      <c r="S551" s="133">
        <v>0.730769230769231</v>
      </c>
      <c r="T551" s="135">
        <v>0.9</v>
      </c>
      <c r="U551" s="133" t="s">
        <v>35</v>
      </c>
      <c r="V551" s="133" t="s">
        <v>35</v>
      </c>
      <c r="W551" s="133" t="s">
        <v>35</v>
      </c>
      <c r="X551" s="133">
        <v>0.807692307692308</v>
      </c>
      <c r="Y551" s="135">
        <v>0.92</v>
      </c>
      <c r="Z551" s="135" t="s">
        <v>35</v>
      </c>
      <c r="AA551" s="135" t="s">
        <v>35</v>
      </c>
      <c r="AB551" s="135" t="s">
        <v>35</v>
      </c>
      <c r="AC551" s="135">
        <v>1</v>
      </c>
      <c r="AD551" s="135">
        <v>0.92</v>
      </c>
      <c r="AE551" s="133">
        <v>1</v>
      </c>
      <c r="AF551" s="133">
        <v>0.99618320610687</v>
      </c>
      <c r="AG551" s="133">
        <v>0.996900826446281</v>
      </c>
      <c r="AH551" s="133">
        <v>0.994766806601875</v>
      </c>
      <c r="AI551" s="135">
        <v>0.92</v>
      </c>
      <c r="AJ551" s="133">
        <v>0.954578754578755</v>
      </c>
      <c r="AK551" s="133">
        <v>0.968805388160227</v>
      </c>
      <c r="AL551" s="133">
        <v>0.965827338129496</v>
      </c>
      <c r="AM551" s="133">
        <v>0.973863202139855</v>
      </c>
      <c r="AN551" s="132">
        <v>0.99</v>
      </c>
      <c r="AO551" s="137">
        <v>1</v>
      </c>
      <c r="AP551" s="137">
        <v>1</v>
      </c>
      <c r="AQ551" s="137">
        <v>1</v>
      </c>
      <c r="AR551" s="137">
        <v>1</v>
      </c>
      <c r="AS551" s="158">
        <v>0.05</v>
      </c>
      <c r="AT551" s="141">
        <v>0.333333333333333</v>
      </c>
      <c r="AU551" s="141">
        <v>0</v>
      </c>
      <c r="AV551" s="141">
        <v>0.1</v>
      </c>
      <c r="AW551" s="141">
        <v>0.0913705583756345</v>
      </c>
      <c r="AX551" s="95"/>
      <c r="AY551" s="93"/>
    </row>
    <row r="552" ht="14.5" spans="1:51">
      <c r="A552" s="91"/>
      <c r="B552" s="95"/>
      <c r="C552" s="152" t="s">
        <v>375</v>
      </c>
      <c r="D552" s="153" t="s">
        <v>25</v>
      </c>
      <c r="E552" s="130" t="s">
        <v>376</v>
      </c>
      <c r="F552" s="154" t="s">
        <v>578</v>
      </c>
      <c r="G552" s="154" t="s">
        <v>578</v>
      </c>
      <c r="H552" s="154" t="s">
        <v>578</v>
      </c>
      <c r="I552" s="154" t="s">
        <v>578</v>
      </c>
      <c r="J552" s="132">
        <v>0.9</v>
      </c>
      <c r="K552" s="133">
        <v>0.975609756097561</v>
      </c>
      <c r="L552" s="133">
        <v>0.933333333333333</v>
      </c>
      <c r="M552" s="134">
        <v>0.958333333333333</v>
      </c>
      <c r="N552" s="133">
        <v>0.929133858267717</v>
      </c>
      <c r="O552" s="135">
        <v>0.9</v>
      </c>
      <c r="P552" s="133">
        <v>1</v>
      </c>
      <c r="Q552" s="133">
        <v>1</v>
      </c>
      <c r="R552" s="133" t="s">
        <v>35</v>
      </c>
      <c r="S552" s="133">
        <v>1</v>
      </c>
      <c r="T552" s="135">
        <v>0.9</v>
      </c>
      <c r="U552" s="133">
        <v>0</v>
      </c>
      <c r="V552" s="133">
        <v>0</v>
      </c>
      <c r="W552" s="133" t="s">
        <v>35</v>
      </c>
      <c r="X552" s="133">
        <v>0</v>
      </c>
      <c r="Y552" s="135">
        <v>0.92</v>
      </c>
      <c r="Z552" s="135" t="s">
        <v>35</v>
      </c>
      <c r="AA552" s="135">
        <v>0</v>
      </c>
      <c r="AB552" s="135" t="s">
        <v>35</v>
      </c>
      <c r="AC552" s="135">
        <v>0</v>
      </c>
      <c r="AD552" s="135">
        <v>0.92</v>
      </c>
      <c r="AE552" s="133">
        <v>0.993377483443709</v>
      </c>
      <c r="AF552" s="133">
        <v>0.994236311239193</v>
      </c>
      <c r="AG552" s="133">
        <v>0.992331288343558</v>
      </c>
      <c r="AH552" s="133">
        <v>0.945371775417299</v>
      </c>
      <c r="AI552" s="135">
        <v>0.92</v>
      </c>
      <c r="AJ552" s="133">
        <v>0.931069958847737</v>
      </c>
      <c r="AK552" s="133">
        <v>0.913962989665946</v>
      </c>
      <c r="AL552" s="133">
        <v>0.972646995477062</v>
      </c>
      <c r="AM552" s="133">
        <v>0.966861369189959</v>
      </c>
      <c r="AN552" s="132">
        <v>0.99</v>
      </c>
      <c r="AO552" s="137">
        <v>1</v>
      </c>
      <c r="AP552" s="137">
        <v>1</v>
      </c>
      <c r="AQ552" s="137">
        <v>1</v>
      </c>
      <c r="AR552" s="137">
        <v>1</v>
      </c>
      <c r="AS552" s="158">
        <v>0.05</v>
      </c>
      <c r="AT552" s="141">
        <v>0</v>
      </c>
      <c r="AU552" s="141">
        <v>0</v>
      </c>
      <c r="AV552" s="141">
        <v>0.25</v>
      </c>
      <c r="AW552" s="141">
        <v>0.0740740740740741</v>
      </c>
      <c r="AX552" s="95"/>
      <c r="AY552" s="93"/>
    </row>
    <row r="553" ht="14.5" spans="1:51">
      <c r="A553" s="91"/>
      <c r="B553" s="95"/>
      <c r="C553" s="152" t="s">
        <v>375</v>
      </c>
      <c r="D553" s="153" t="s">
        <v>25</v>
      </c>
      <c r="E553" s="130" t="s">
        <v>376</v>
      </c>
      <c r="F553" s="154" t="s">
        <v>579</v>
      </c>
      <c r="G553" s="154" t="s">
        <v>579</v>
      </c>
      <c r="H553" s="154" t="s">
        <v>579</v>
      </c>
      <c r="I553" s="154" t="s">
        <v>579</v>
      </c>
      <c r="J553" s="132">
        <v>0.9</v>
      </c>
      <c r="K553" s="133">
        <v>0.879310344827586</v>
      </c>
      <c r="L553" s="133">
        <v>0.857142857142857</v>
      </c>
      <c r="M553" s="134">
        <v>0.873015873015873</v>
      </c>
      <c r="N553" s="133">
        <v>0.896218117854002</v>
      </c>
      <c r="O553" s="135">
        <v>0.9</v>
      </c>
      <c r="P553" s="133">
        <v>1</v>
      </c>
      <c r="Q553" s="133">
        <v>0.333333333333333</v>
      </c>
      <c r="R553" s="133">
        <v>0</v>
      </c>
      <c r="S553" s="133">
        <v>0.333333333333333</v>
      </c>
      <c r="T553" s="135">
        <v>0.9</v>
      </c>
      <c r="U553" s="133">
        <v>1</v>
      </c>
      <c r="V553" s="133">
        <v>0</v>
      </c>
      <c r="W553" s="133">
        <v>0</v>
      </c>
      <c r="X553" s="133">
        <v>0.416666666666667</v>
      </c>
      <c r="Y553" s="135">
        <v>0.92</v>
      </c>
      <c r="Z553" s="135" t="s">
        <v>35</v>
      </c>
      <c r="AA553" s="135" t="s">
        <v>35</v>
      </c>
      <c r="AB553" s="135">
        <v>0</v>
      </c>
      <c r="AC553" s="135">
        <v>0</v>
      </c>
      <c r="AD553" s="135">
        <v>0.92</v>
      </c>
      <c r="AE553" s="133">
        <v>0.990697674418605</v>
      </c>
      <c r="AF553" s="133">
        <v>0.972789115646258</v>
      </c>
      <c r="AG553" s="133">
        <v>0.993055555555556</v>
      </c>
      <c r="AH553" s="133">
        <v>0.980714058017214</v>
      </c>
      <c r="AI553" s="135">
        <v>0.92</v>
      </c>
      <c r="AJ553" s="133">
        <v>0.953880764904387</v>
      </c>
      <c r="AK553" s="133">
        <v>0.940411883862255</v>
      </c>
      <c r="AL553" s="133">
        <v>0.965877220317856</v>
      </c>
      <c r="AM553" s="133">
        <v>0.972343291120298</v>
      </c>
      <c r="AN553" s="132">
        <v>0.99</v>
      </c>
      <c r="AO553" s="137">
        <v>1</v>
      </c>
      <c r="AP553" s="137">
        <v>1</v>
      </c>
      <c r="AQ553" s="137">
        <v>1</v>
      </c>
      <c r="AR553" s="137">
        <v>1</v>
      </c>
      <c r="AS553" s="158">
        <v>0.05</v>
      </c>
      <c r="AT553" s="141">
        <v>0.2</v>
      </c>
      <c r="AU553" s="141">
        <v>0</v>
      </c>
      <c r="AV553" s="141">
        <v>0.117647058823529</v>
      </c>
      <c r="AW553" s="141">
        <v>0.0596026490066225</v>
      </c>
      <c r="AX553" s="95"/>
      <c r="AY553" s="93"/>
    </row>
    <row r="554" ht="14.5" spans="1:51">
      <c r="A554" s="91"/>
      <c r="B554" s="95"/>
      <c r="C554" s="152" t="s">
        <v>375</v>
      </c>
      <c r="D554" s="153" t="s">
        <v>25</v>
      </c>
      <c r="E554" s="130" t="s">
        <v>376</v>
      </c>
      <c r="F554" s="154" t="s">
        <v>580</v>
      </c>
      <c r="G554" s="154" t="s">
        <v>580</v>
      </c>
      <c r="H554" s="154" t="s">
        <v>580</v>
      </c>
      <c r="I554" s="154" t="s">
        <v>580</v>
      </c>
      <c r="J554" s="132">
        <v>0.9</v>
      </c>
      <c r="K554" s="133">
        <v>1</v>
      </c>
      <c r="L554" s="133">
        <v>1</v>
      </c>
      <c r="M554" s="134">
        <v>1</v>
      </c>
      <c r="N554" s="133">
        <v>0.984615384615385</v>
      </c>
      <c r="O554" s="135">
        <v>0.9</v>
      </c>
      <c r="P554" s="133">
        <v>0.969650986342944</v>
      </c>
      <c r="Q554" s="133">
        <v>0.911602209944751</v>
      </c>
      <c r="R554" s="133">
        <v>0.968389577103802</v>
      </c>
      <c r="S554" s="133">
        <v>0.96428200602222</v>
      </c>
      <c r="T554" s="135">
        <v>0.9</v>
      </c>
      <c r="U554" s="133">
        <v>0.933232169954476</v>
      </c>
      <c r="V554" s="133">
        <v>0.850828729281768</v>
      </c>
      <c r="W554" s="133">
        <v>0.941478000854336</v>
      </c>
      <c r="X554" s="133">
        <v>0.937441594849964</v>
      </c>
      <c r="Y554" s="135">
        <v>0.92</v>
      </c>
      <c r="Z554" s="135">
        <v>0.937669376693767</v>
      </c>
      <c r="AA554" s="135">
        <v>0.868601986249045</v>
      </c>
      <c r="AB554" s="135">
        <v>0.87565274151436</v>
      </c>
      <c r="AC554" s="135">
        <v>0.933604155567395</v>
      </c>
      <c r="AD554" s="135">
        <v>0.92</v>
      </c>
      <c r="AE554" s="133">
        <v>0.996655518394649</v>
      </c>
      <c r="AF554" s="133">
        <v>0.963855421686747</v>
      </c>
      <c r="AG554" s="133">
        <v>0.956521739130435</v>
      </c>
      <c r="AH554" s="133">
        <v>0.957285671008785</v>
      </c>
      <c r="AI554" s="135">
        <v>0.92</v>
      </c>
      <c r="AJ554" s="133">
        <v>0.947540983606557</v>
      </c>
      <c r="AK554" s="133">
        <v>0.90306320279178</v>
      </c>
      <c r="AL554" s="133">
        <v>0.920916481892092</v>
      </c>
      <c r="AM554" s="133">
        <v>0.956259787455321</v>
      </c>
      <c r="AN554" s="132">
        <v>0.99</v>
      </c>
      <c r="AO554" s="137">
        <v>1</v>
      </c>
      <c r="AP554" s="137">
        <v>1</v>
      </c>
      <c r="AQ554" s="137">
        <v>1</v>
      </c>
      <c r="AR554" s="137">
        <v>1</v>
      </c>
      <c r="AS554" s="158">
        <v>0.05</v>
      </c>
      <c r="AT554" s="141">
        <v>0</v>
      </c>
      <c r="AU554" s="141">
        <v>0</v>
      </c>
      <c r="AV554" s="141">
        <v>0.166666666666667</v>
      </c>
      <c r="AW554" s="141">
        <v>0.0391061452513966</v>
      </c>
      <c r="AX554" s="95"/>
      <c r="AY554" s="93"/>
    </row>
    <row r="555" ht="14.5" spans="1:51">
      <c r="A555" s="91"/>
      <c r="B555" s="95"/>
      <c r="C555" s="152" t="s">
        <v>375</v>
      </c>
      <c r="D555" s="153" t="s">
        <v>25</v>
      </c>
      <c r="E555" s="130" t="s">
        <v>376</v>
      </c>
      <c r="F555" s="154" t="s">
        <v>581</v>
      </c>
      <c r="G555" s="154" t="s">
        <v>581</v>
      </c>
      <c r="H555" s="154" t="s">
        <v>581</v>
      </c>
      <c r="I555" s="154" t="s">
        <v>581</v>
      </c>
      <c r="J555" s="132">
        <v>0.9</v>
      </c>
      <c r="K555" s="133">
        <v>1</v>
      </c>
      <c r="L555" s="133">
        <v>0.980769230769231</v>
      </c>
      <c r="M555" s="134">
        <v>0.983870967741935</v>
      </c>
      <c r="N555" s="133">
        <v>0.982788296041308</v>
      </c>
      <c r="O555" s="135">
        <v>0.9</v>
      </c>
      <c r="P555" s="133">
        <v>0.989690721649485</v>
      </c>
      <c r="Q555" s="133">
        <v>0.967725143154607</v>
      </c>
      <c r="R555" s="133">
        <v>0.938561619082038</v>
      </c>
      <c r="S555" s="133">
        <v>0.976034170769684</v>
      </c>
      <c r="T555" s="135">
        <v>0.9</v>
      </c>
      <c r="U555" s="133">
        <v>0.939081537019681</v>
      </c>
      <c r="V555" s="133">
        <v>0.92660072878709</v>
      </c>
      <c r="W555" s="133">
        <v>0.893747741235996</v>
      </c>
      <c r="X555" s="133">
        <v>0.934919833354374</v>
      </c>
      <c r="Y555" s="135">
        <v>0.92</v>
      </c>
      <c r="Z555" s="135">
        <v>0.954682779456193</v>
      </c>
      <c r="AA555" s="135">
        <v>0.948292682926829</v>
      </c>
      <c r="AB555" s="135">
        <v>0.95230631437528</v>
      </c>
      <c r="AC555" s="135">
        <v>0.965113193025293</v>
      </c>
      <c r="AD555" s="135">
        <v>0.92</v>
      </c>
      <c r="AE555" s="133">
        <v>1</v>
      </c>
      <c r="AF555" s="133">
        <v>1</v>
      </c>
      <c r="AG555" s="133">
        <v>1</v>
      </c>
      <c r="AH555" s="133">
        <v>0.999429955821576</v>
      </c>
      <c r="AI555" s="135">
        <v>0.92</v>
      </c>
      <c r="AJ555" s="133">
        <v>0.965140324963072</v>
      </c>
      <c r="AK555" s="133">
        <v>0.964258746539139</v>
      </c>
      <c r="AL555" s="133">
        <v>0.963802155291517</v>
      </c>
      <c r="AM555" s="133">
        <v>0.973122561768531</v>
      </c>
      <c r="AN555" s="132">
        <v>0.99</v>
      </c>
      <c r="AO555" s="137">
        <v>1</v>
      </c>
      <c r="AP555" s="137">
        <v>1</v>
      </c>
      <c r="AQ555" s="137">
        <v>1</v>
      </c>
      <c r="AR555" s="137">
        <v>1</v>
      </c>
      <c r="AS555" s="158">
        <v>0.05</v>
      </c>
      <c r="AT555" s="141">
        <v>0</v>
      </c>
      <c r="AU555" s="141">
        <v>0</v>
      </c>
      <c r="AV555" s="141">
        <v>0</v>
      </c>
      <c r="AW555" s="141">
        <v>0.0467032967032967</v>
      </c>
      <c r="AX555" s="95"/>
      <c r="AY555" s="93"/>
    </row>
    <row r="556" ht="14.5" spans="1:51">
      <c r="A556" s="91"/>
      <c r="B556" s="95"/>
      <c r="C556" s="152" t="s">
        <v>375</v>
      </c>
      <c r="D556" s="153" t="s">
        <v>25</v>
      </c>
      <c r="E556" s="130" t="s">
        <v>376</v>
      </c>
      <c r="F556" s="154" t="s">
        <v>582</v>
      </c>
      <c r="G556" s="154" t="s">
        <v>582</v>
      </c>
      <c r="H556" s="154" t="s">
        <v>582</v>
      </c>
      <c r="I556" s="154" t="s">
        <v>582</v>
      </c>
      <c r="J556" s="132">
        <v>0.9</v>
      </c>
      <c r="K556" s="133">
        <v>0.853658536585366</v>
      </c>
      <c r="L556" s="133">
        <v>0.810810810810811</v>
      </c>
      <c r="M556" s="134">
        <v>0.702702702702703</v>
      </c>
      <c r="N556" s="133">
        <v>0.867455621301775</v>
      </c>
      <c r="O556" s="135">
        <v>0.9</v>
      </c>
      <c r="P556" s="133">
        <v>0.944818304172275</v>
      </c>
      <c r="Q556" s="133">
        <v>0.828178694158076</v>
      </c>
      <c r="R556" s="133">
        <v>0.880962431405656</v>
      </c>
      <c r="S556" s="133">
        <v>0.934914048606995</v>
      </c>
      <c r="T556" s="135">
        <v>0.9</v>
      </c>
      <c r="U556" s="133">
        <v>0.772543741588156</v>
      </c>
      <c r="V556" s="133">
        <v>0.748453608247423</v>
      </c>
      <c r="W556" s="133">
        <v>0.76276910088645</v>
      </c>
      <c r="X556" s="133">
        <v>0.86525192649674</v>
      </c>
      <c r="Y556" s="135">
        <v>0.92</v>
      </c>
      <c r="Z556" s="135">
        <v>0.868692660550459</v>
      </c>
      <c r="AA556" s="135">
        <v>0.636488340192044</v>
      </c>
      <c r="AB556" s="135">
        <v>0.810612723541483</v>
      </c>
      <c r="AC556" s="135">
        <v>0.88009455333399</v>
      </c>
      <c r="AD556" s="135">
        <v>0.92</v>
      </c>
      <c r="AE556" s="133">
        <v>1</v>
      </c>
      <c r="AF556" s="133">
        <v>0.938775510204082</v>
      </c>
      <c r="AG556" s="133">
        <v>0.958333333333333</v>
      </c>
      <c r="AH556" s="133">
        <v>0.948604060913706</v>
      </c>
      <c r="AI556" s="135">
        <v>0.92</v>
      </c>
      <c r="AJ556" s="133">
        <v>0.891033373542421</v>
      </c>
      <c r="AK556" s="133">
        <v>0.756432246998285</v>
      </c>
      <c r="AL556" s="133">
        <v>0.84160470344112</v>
      </c>
      <c r="AM556" s="133">
        <v>0.918914272205626</v>
      </c>
      <c r="AN556" s="132">
        <v>0.99</v>
      </c>
      <c r="AO556" s="137">
        <v>1</v>
      </c>
      <c r="AP556" s="137">
        <v>1</v>
      </c>
      <c r="AQ556" s="137">
        <v>1</v>
      </c>
      <c r="AR556" s="137">
        <v>1</v>
      </c>
      <c r="AS556" s="158">
        <v>0.05</v>
      </c>
      <c r="AT556" s="141">
        <v>0.333333333333333</v>
      </c>
      <c r="AU556" s="141">
        <v>0.111111111111111</v>
      </c>
      <c r="AV556" s="141">
        <v>0</v>
      </c>
      <c r="AW556" s="141">
        <v>0.112676056338028</v>
      </c>
      <c r="AX556" s="95"/>
      <c r="AY556" s="93"/>
    </row>
    <row r="557" ht="14.5" spans="1:51">
      <c r="A557" s="91"/>
      <c r="B557" s="95"/>
      <c r="C557" s="152" t="s">
        <v>375</v>
      </c>
      <c r="D557" s="153" t="s">
        <v>25</v>
      </c>
      <c r="E557" s="130" t="s">
        <v>376</v>
      </c>
      <c r="F557" s="154" t="s">
        <v>583</v>
      </c>
      <c r="G557" s="154" t="s">
        <v>583</v>
      </c>
      <c r="H557" s="154" t="s">
        <v>583</v>
      </c>
      <c r="I557" s="154" t="s">
        <v>583</v>
      </c>
      <c r="J557" s="132">
        <v>0.9</v>
      </c>
      <c r="K557" s="133">
        <v>0.971428571428571</v>
      </c>
      <c r="L557" s="133">
        <v>0.866666666666667</v>
      </c>
      <c r="M557" s="134">
        <v>0.848484848484849</v>
      </c>
      <c r="N557" s="133">
        <v>0.917916337805841</v>
      </c>
      <c r="O557" s="135">
        <v>0.9</v>
      </c>
      <c r="P557" s="133">
        <v>0.976461038961039</v>
      </c>
      <c r="Q557" s="133">
        <v>0.955223880597015</v>
      </c>
      <c r="R557" s="133">
        <v>0.961991254624958</v>
      </c>
      <c r="S557" s="133">
        <v>0.975134396519175</v>
      </c>
      <c r="T557" s="135">
        <v>0.9</v>
      </c>
      <c r="U557" s="133">
        <v>0.904220779220779</v>
      </c>
      <c r="V557" s="133">
        <v>0.92344727973038</v>
      </c>
      <c r="W557" s="133">
        <v>0.936091490077363</v>
      </c>
      <c r="X557" s="133">
        <v>0.943454574875492</v>
      </c>
      <c r="Y557" s="135">
        <v>0.92</v>
      </c>
      <c r="Z557" s="135">
        <v>0.942722636327972</v>
      </c>
      <c r="AA557" s="135">
        <v>0.90754039497307</v>
      </c>
      <c r="AB557" s="135">
        <v>0.947450369793694</v>
      </c>
      <c r="AC557" s="135">
        <v>0.95561125218481</v>
      </c>
      <c r="AD557" s="135">
        <v>0.92</v>
      </c>
      <c r="AE557" s="133">
        <v>0.991735537190083</v>
      </c>
      <c r="AF557" s="133">
        <v>0.972972972972973</v>
      </c>
      <c r="AG557" s="133">
        <v>0.990291262135922</v>
      </c>
      <c r="AH557" s="133">
        <v>0.988649940262843</v>
      </c>
      <c r="AI557" s="135">
        <v>0.92</v>
      </c>
      <c r="AJ557" s="133">
        <v>0.951361353423209</v>
      </c>
      <c r="AK557" s="133">
        <v>0.934106728538283</v>
      </c>
      <c r="AL557" s="133">
        <v>0.959852216748769</v>
      </c>
      <c r="AM557" s="133">
        <v>0.967160172511293</v>
      </c>
      <c r="AN557" s="132">
        <v>0.99</v>
      </c>
      <c r="AO557" s="137">
        <v>1</v>
      </c>
      <c r="AP557" s="137">
        <v>1</v>
      </c>
      <c r="AQ557" s="137">
        <v>1</v>
      </c>
      <c r="AR557" s="137">
        <v>1</v>
      </c>
      <c r="AS557" s="158">
        <v>0.05</v>
      </c>
      <c r="AT557" s="141">
        <v>0.166666666666667</v>
      </c>
      <c r="AU557" s="141">
        <v>0.0714285714285714</v>
      </c>
      <c r="AV557" s="141">
        <v>0</v>
      </c>
      <c r="AW557" s="141">
        <v>0.0392491467576792</v>
      </c>
      <c r="AX557" s="95"/>
      <c r="AY557" s="93"/>
    </row>
    <row r="558" ht="14.5" spans="1:51">
      <c r="A558" s="91"/>
      <c r="B558" s="95"/>
      <c r="C558" s="152" t="s">
        <v>375</v>
      </c>
      <c r="D558" s="153" t="s">
        <v>25</v>
      </c>
      <c r="E558" s="130" t="s">
        <v>376</v>
      </c>
      <c r="F558" s="154" t="s">
        <v>584</v>
      </c>
      <c r="G558" s="154" t="s">
        <v>584</v>
      </c>
      <c r="H558" s="154" t="s">
        <v>584</v>
      </c>
      <c r="I558" s="154" t="s">
        <v>584</v>
      </c>
      <c r="J558" s="132">
        <v>0.9</v>
      </c>
      <c r="K558" s="133">
        <v>0.82258064516129</v>
      </c>
      <c r="L558" s="133">
        <v>0.769230769230769</v>
      </c>
      <c r="M558" s="134">
        <v>0.839285714285714</v>
      </c>
      <c r="N558" s="133">
        <v>0.84739336492891</v>
      </c>
      <c r="O558" s="135">
        <v>0.9</v>
      </c>
      <c r="P558" s="133">
        <v>0.851646830888458</v>
      </c>
      <c r="Q558" s="133">
        <v>0.941303676243435</v>
      </c>
      <c r="R558" s="133">
        <v>0.975353087787317</v>
      </c>
      <c r="S558" s="133">
        <v>0.944606148808441</v>
      </c>
      <c r="T558" s="135">
        <v>0.9</v>
      </c>
      <c r="U558" s="133">
        <v>0.845557708275671</v>
      </c>
      <c r="V558" s="133">
        <v>0.873802903923386</v>
      </c>
      <c r="W558" s="133">
        <v>0.910966491276655</v>
      </c>
      <c r="X558" s="133">
        <v>0.882291167082872</v>
      </c>
      <c r="Y558" s="135">
        <v>0.92</v>
      </c>
      <c r="Z558" s="135">
        <v>0</v>
      </c>
      <c r="AA558" s="135">
        <v>1</v>
      </c>
      <c r="AB558" s="135" t="s">
        <v>35</v>
      </c>
      <c r="AC558" s="135">
        <v>0.777777777777778</v>
      </c>
      <c r="AD558" s="135">
        <v>0.92</v>
      </c>
      <c r="AE558" s="133">
        <v>0.997770345596433</v>
      </c>
      <c r="AF558" s="133">
        <v>1</v>
      </c>
      <c r="AG558" s="133">
        <v>0.996613995485327</v>
      </c>
      <c r="AH558" s="133">
        <v>0.992543070197994</v>
      </c>
      <c r="AI558" s="135">
        <v>0.92</v>
      </c>
      <c r="AJ558" s="133">
        <v>0.966795794133924</v>
      </c>
      <c r="AK558" s="133">
        <v>0.96</v>
      </c>
      <c r="AL558" s="133">
        <v>0.972999169205206</v>
      </c>
      <c r="AM558" s="133">
        <v>0.973930083344358</v>
      </c>
      <c r="AN558" s="132">
        <v>0.99</v>
      </c>
      <c r="AO558" s="137">
        <v>1</v>
      </c>
      <c r="AP558" s="137">
        <v>1</v>
      </c>
      <c r="AQ558" s="137">
        <v>1</v>
      </c>
      <c r="AR558" s="137">
        <v>1</v>
      </c>
      <c r="AS558" s="158">
        <v>0.05</v>
      </c>
      <c r="AT558" s="141">
        <v>0</v>
      </c>
      <c r="AU558" s="141">
        <v>0.117647058823529</v>
      </c>
      <c r="AV558" s="141">
        <v>0.0384615384615385</v>
      </c>
      <c r="AW558" s="141">
        <v>0.0527306967984934</v>
      </c>
      <c r="AX558" s="95"/>
      <c r="AY558" s="93"/>
    </row>
    <row r="559" ht="14.5" spans="1:51">
      <c r="A559" s="91"/>
      <c r="B559" s="95"/>
      <c r="C559" s="152" t="s">
        <v>375</v>
      </c>
      <c r="D559" s="153" t="s">
        <v>25</v>
      </c>
      <c r="E559" s="130" t="s">
        <v>376</v>
      </c>
      <c r="F559" s="154" t="s">
        <v>585</v>
      </c>
      <c r="G559" s="154" t="s">
        <v>585</v>
      </c>
      <c r="H559" s="154" t="s">
        <v>585</v>
      </c>
      <c r="I559" s="154" t="s">
        <v>585</v>
      </c>
      <c r="J559" s="132">
        <v>0.9</v>
      </c>
      <c r="K559" s="133">
        <v>1</v>
      </c>
      <c r="L559" s="133">
        <v>0.947368421052632</v>
      </c>
      <c r="M559" s="134">
        <v>0.977272727272727</v>
      </c>
      <c r="N559" s="133">
        <v>0.981617647058823</v>
      </c>
      <c r="O559" s="135">
        <v>0.9</v>
      </c>
      <c r="P559" s="133">
        <v>0.917900403768506</v>
      </c>
      <c r="Q559" s="133">
        <v>0.861233480176211</v>
      </c>
      <c r="R559" s="133">
        <v>0.92680608365019</v>
      </c>
      <c r="S559" s="133">
        <v>0.935569680508498</v>
      </c>
      <c r="T559" s="135">
        <v>0.9</v>
      </c>
      <c r="U559" s="133">
        <v>0.913862718707941</v>
      </c>
      <c r="V559" s="133">
        <v>0.806167400881057</v>
      </c>
      <c r="W559" s="133">
        <v>0.918250950570342</v>
      </c>
      <c r="X559" s="133">
        <v>0.918293058550108</v>
      </c>
      <c r="Y559" s="135">
        <v>0.92</v>
      </c>
      <c r="Z559" s="135">
        <v>0.925322471147318</v>
      </c>
      <c r="AA559" s="135">
        <v>0.798270893371758</v>
      </c>
      <c r="AB559" s="135">
        <v>0.921917808219178</v>
      </c>
      <c r="AC559" s="135">
        <v>0.932828165073444</v>
      </c>
      <c r="AD559" s="135">
        <v>0.92</v>
      </c>
      <c r="AE559" s="133">
        <v>1</v>
      </c>
      <c r="AF559" s="133">
        <v>0.997630331753555</v>
      </c>
      <c r="AG559" s="133">
        <v>0.998691955526488</v>
      </c>
      <c r="AH559" s="133">
        <v>0.991000035856431</v>
      </c>
      <c r="AI559" s="135">
        <v>0.92</v>
      </c>
      <c r="AJ559" s="133">
        <v>0.939079422382672</v>
      </c>
      <c r="AK559" s="133">
        <v>0.844363636363636</v>
      </c>
      <c r="AL559" s="133">
        <v>0.939725482395067</v>
      </c>
      <c r="AM559" s="133">
        <v>0.952226020868548</v>
      </c>
      <c r="AN559" s="132">
        <v>0.99</v>
      </c>
      <c r="AO559" s="137">
        <v>1</v>
      </c>
      <c r="AP559" s="137">
        <v>1</v>
      </c>
      <c r="AQ559" s="137">
        <v>1</v>
      </c>
      <c r="AR559" s="137">
        <v>1</v>
      </c>
      <c r="AS559" s="158">
        <v>0.05</v>
      </c>
      <c r="AT559" s="141">
        <v>0</v>
      </c>
      <c r="AU559" s="141">
        <v>0</v>
      </c>
      <c r="AV559" s="141">
        <v>0</v>
      </c>
      <c r="AW559" s="141">
        <v>0.0545454545454545</v>
      </c>
      <c r="AX559" s="95"/>
      <c r="AY559" s="93"/>
    </row>
    <row r="560" ht="14.5" spans="1:51">
      <c r="A560" s="91"/>
      <c r="B560" s="95"/>
      <c r="C560" s="152" t="s">
        <v>375</v>
      </c>
      <c r="D560" s="153" t="s">
        <v>25</v>
      </c>
      <c r="E560" s="130" t="s">
        <v>376</v>
      </c>
      <c r="F560" s="154" t="s">
        <v>586</v>
      </c>
      <c r="G560" s="154" t="s">
        <v>586</v>
      </c>
      <c r="H560" s="154" t="s">
        <v>586</v>
      </c>
      <c r="I560" s="154" t="s">
        <v>586</v>
      </c>
      <c r="J560" s="132">
        <v>0.9</v>
      </c>
      <c r="K560" s="133">
        <v>0.945945945945946</v>
      </c>
      <c r="L560" s="133">
        <v>1</v>
      </c>
      <c r="M560" s="134">
        <v>0.96875</v>
      </c>
      <c r="N560" s="133">
        <v>0.959940652818991</v>
      </c>
      <c r="O560" s="135">
        <v>0.9</v>
      </c>
      <c r="P560" s="133">
        <v>0.953488372093023</v>
      </c>
      <c r="Q560" s="133">
        <v>0.955401387512388</v>
      </c>
      <c r="R560" s="133">
        <v>0.929936305732484</v>
      </c>
      <c r="S560" s="133">
        <v>0.931263367504978</v>
      </c>
      <c r="T560" s="135">
        <v>0.9</v>
      </c>
      <c r="U560" s="133">
        <v>0.89202657807309</v>
      </c>
      <c r="V560" s="133">
        <v>0.848364717542121</v>
      </c>
      <c r="W560" s="133">
        <v>0.869072894550602</v>
      </c>
      <c r="X560" s="133">
        <v>0.893391843056273</v>
      </c>
      <c r="Y560" s="135">
        <v>0.92</v>
      </c>
      <c r="Z560" s="135">
        <v>0.910969793322735</v>
      </c>
      <c r="AA560" s="135">
        <v>0.826051112943116</v>
      </c>
      <c r="AB560" s="135">
        <v>0.832404458598726</v>
      </c>
      <c r="AC560" s="135">
        <v>0.911067783002638</v>
      </c>
      <c r="AD560" s="135">
        <v>0.92</v>
      </c>
      <c r="AE560" s="133">
        <v>1</v>
      </c>
      <c r="AF560" s="133">
        <v>0.976394849785408</v>
      </c>
      <c r="AG560" s="133">
        <v>0.994444444444444</v>
      </c>
      <c r="AH560" s="133">
        <v>0.987106840765377</v>
      </c>
      <c r="AI560" s="135">
        <v>0.92</v>
      </c>
      <c r="AJ560" s="133">
        <v>0.93010752688172</v>
      </c>
      <c r="AK560" s="133">
        <v>0.882088208820882</v>
      </c>
      <c r="AL560" s="133">
        <v>0.869177907864597</v>
      </c>
      <c r="AM560" s="133">
        <v>0.933475666657241</v>
      </c>
      <c r="AN560" s="132">
        <v>0.99</v>
      </c>
      <c r="AO560" s="137">
        <v>1</v>
      </c>
      <c r="AP560" s="137">
        <v>1</v>
      </c>
      <c r="AQ560" s="137">
        <v>1</v>
      </c>
      <c r="AR560" s="137">
        <v>1</v>
      </c>
      <c r="AS560" s="158">
        <v>0.05</v>
      </c>
      <c r="AT560" s="141">
        <v>0</v>
      </c>
      <c r="AU560" s="141">
        <v>0</v>
      </c>
      <c r="AV560" s="141">
        <v>0</v>
      </c>
      <c r="AW560" s="141">
        <v>0.0195121951219512</v>
      </c>
      <c r="AX560" s="95"/>
      <c r="AY560" s="93"/>
    </row>
    <row r="561" ht="14.5" spans="1:51">
      <c r="A561" s="91"/>
      <c r="B561" s="95"/>
      <c r="C561" s="152" t="s">
        <v>375</v>
      </c>
      <c r="D561" s="153" t="s">
        <v>25</v>
      </c>
      <c r="E561" s="130" t="s">
        <v>376</v>
      </c>
      <c r="F561" s="154" t="s">
        <v>587</v>
      </c>
      <c r="G561" s="154" t="s">
        <v>587</v>
      </c>
      <c r="H561" s="154" t="s">
        <v>587</v>
      </c>
      <c r="I561" s="154" t="s">
        <v>587</v>
      </c>
      <c r="J561" s="132">
        <v>0.9</v>
      </c>
      <c r="K561" s="133">
        <v>0.914285714285714</v>
      </c>
      <c r="L561" s="133">
        <v>0.928571428571429</v>
      </c>
      <c r="M561" s="134">
        <v>0.935483870967742</v>
      </c>
      <c r="N561" s="133">
        <v>0.933227344992051</v>
      </c>
      <c r="O561" s="135">
        <v>0.9</v>
      </c>
      <c r="P561" s="133">
        <v>0.888482632541133</v>
      </c>
      <c r="Q561" s="133">
        <v>0.8351324828263</v>
      </c>
      <c r="R561" s="133">
        <v>0.908347927612376</v>
      </c>
      <c r="S561" s="133">
        <v>0.930709945160812</v>
      </c>
      <c r="T561" s="135">
        <v>0.9</v>
      </c>
      <c r="U561" s="133">
        <v>0.89945155393053</v>
      </c>
      <c r="V561" s="133">
        <v>0.749754661432777</v>
      </c>
      <c r="W561" s="133">
        <v>0.914769410391127</v>
      </c>
      <c r="X561" s="133">
        <v>0.924929598340003</v>
      </c>
      <c r="Y561" s="135">
        <v>0.92</v>
      </c>
      <c r="Z561" s="135">
        <v>0.907894736842105</v>
      </c>
      <c r="AA561" s="135">
        <v>0.576505429417572</v>
      </c>
      <c r="AB561" s="135">
        <v>0.874033651659845</v>
      </c>
      <c r="AC561" s="135">
        <v>0.905154099124007</v>
      </c>
      <c r="AD561" s="135">
        <v>0.92</v>
      </c>
      <c r="AE561" s="133">
        <v>0.98961937716263</v>
      </c>
      <c r="AF561" s="133">
        <v>0.990049751243781</v>
      </c>
      <c r="AG561" s="133">
        <v>0.945945945945946</v>
      </c>
      <c r="AH561" s="133">
        <v>0.98785151856018</v>
      </c>
      <c r="AI561" s="135">
        <v>0.92</v>
      </c>
      <c r="AJ561" s="133">
        <v>0.929098128190584</v>
      </c>
      <c r="AK561" s="133">
        <v>0.720609936055091</v>
      </c>
      <c r="AL561" s="133">
        <v>0.90723230258114</v>
      </c>
      <c r="AM561" s="133">
        <v>0.931435647597478</v>
      </c>
      <c r="AN561" s="132">
        <v>0.99</v>
      </c>
      <c r="AO561" s="137">
        <v>1</v>
      </c>
      <c r="AP561" s="137">
        <v>1</v>
      </c>
      <c r="AQ561" s="137">
        <v>1</v>
      </c>
      <c r="AR561" s="137">
        <v>1</v>
      </c>
      <c r="AS561" s="158">
        <v>0.05</v>
      </c>
      <c r="AT561" s="141">
        <v>0.125</v>
      </c>
      <c r="AU561" s="141">
        <v>0</v>
      </c>
      <c r="AV561" s="141">
        <v>0</v>
      </c>
      <c r="AW561" s="141">
        <v>0.0338983050847458</v>
      </c>
      <c r="AX561" s="95"/>
      <c r="AY561" s="93"/>
    </row>
    <row r="562" ht="14.5" spans="1:51">
      <c r="A562" s="91"/>
      <c r="B562" s="95"/>
      <c r="C562" s="152" t="s">
        <v>375</v>
      </c>
      <c r="D562" s="153" t="s">
        <v>25</v>
      </c>
      <c r="E562" s="130" t="s">
        <v>376</v>
      </c>
      <c r="F562" s="154" t="s">
        <v>588</v>
      </c>
      <c r="G562" s="154" t="s">
        <v>588</v>
      </c>
      <c r="H562" s="154" t="s">
        <v>588</v>
      </c>
      <c r="I562" s="154" t="s">
        <v>588</v>
      </c>
      <c r="J562" s="132">
        <v>0.9</v>
      </c>
      <c r="K562" s="133">
        <v>1</v>
      </c>
      <c r="L562" s="133">
        <v>1</v>
      </c>
      <c r="M562" s="134">
        <v>1</v>
      </c>
      <c r="N562" s="133">
        <v>0.986301369863014</v>
      </c>
      <c r="O562" s="135">
        <v>0.9</v>
      </c>
      <c r="P562" s="133">
        <v>0.96551724137931</v>
      </c>
      <c r="Q562" s="133">
        <v>0.852507374631268</v>
      </c>
      <c r="R562" s="133">
        <v>0.94468546637744</v>
      </c>
      <c r="S562" s="133">
        <v>0.931904007796321</v>
      </c>
      <c r="T562" s="135">
        <v>0.9</v>
      </c>
      <c r="U562" s="133">
        <v>0.943573667711599</v>
      </c>
      <c r="V562" s="133">
        <v>0.831858407079646</v>
      </c>
      <c r="W562" s="133">
        <v>0.925162689804772</v>
      </c>
      <c r="X562" s="133">
        <v>0.924473139237422</v>
      </c>
      <c r="Y562" s="135">
        <v>0.92</v>
      </c>
      <c r="Z562" s="135">
        <v>0.88</v>
      </c>
      <c r="AA562" s="135">
        <v>0.912043301759134</v>
      </c>
      <c r="AB562" s="135">
        <v>0.948116121062384</v>
      </c>
      <c r="AC562" s="135">
        <v>0.950659059610466</v>
      </c>
      <c r="AD562" s="135">
        <v>0.92</v>
      </c>
      <c r="AE562" s="133">
        <v>1</v>
      </c>
      <c r="AF562" s="133">
        <v>0.993079584775087</v>
      </c>
      <c r="AG562" s="133">
        <v>0.971014492753623</v>
      </c>
      <c r="AH562" s="133">
        <v>0.981884944920441</v>
      </c>
      <c r="AI562" s="135">
        <v>0.92</v>
      </c>
      <c r="AJ562" s="133">
        <v>0.901697944593387</v>
      </c>
      <c r="AK562" s="133">
        <v>0.924541607898449</v>
      </c>
      <c r="AL562" s="133">
        <v>0.959952885747939</v>
      </c>
      <c r="AM562" s="133">
        <v>0.962333102443452</v>
      </c>
      <c r="AN562" s="132">
        <v>0.99</v>
      </c>
      <c r="AO562" s="137">
        <v>1</v>
      </c>
      <c r="AP562" s="137">
        <v>1</v>
      </c>
      <c r="AQ562" s="137">
        <v>1</v>
      </c>
      <c r="AR562" s="137">
        <v>1</v>
      </c>
      <c r="AS562" s="158">
        <v>0.05</v>
      </c>
      <c r="AT562" s="141">
        <v>0</v>
      </c>
      <c r="AU562" s="141">
        <v>0</v>
      </c>
      <c r="AV562" s="141">
        <v>0</v>
      </c>
      <c r="AW562" s="141">
        <v>0.0454545454545455</v>
      </c>
      <c r="AX562" s="95"/>
      <c r="AY562" s="93"/>
    </row>
    <row r="563" ht="14.5" spans="1:51">
      <c r="A563" s="91"/>
      <c r="B563" s="95"/>
      <c r="C563" s="152" t="s">
        <v>375</v>
      </c>
      <c r="D563" s="153" t="s">
        <v>25</v>
      </c>
      <c r="E563" s="130" t="s">
        <v>376</v>
      </c>
      <c r="F563" s="154" t="s">
        <v>589</v>
      </c>
      <c r="G563" s="154" t="s">
        <v>589</v>
      </c>
      <c r="H563" s="154" t="s">
        <v>589</v>
      </c>
      <c r="I563" s="154" t="s">
        <v>589</v>
      </c>
      <c r="J563" s="132">
        <v>0.9</v>
      </c>
      <c r="K563" s="133">
        <v>0.917808219178082</v>
      </c>
      <c r="L563" s="133">
        <v>0.942028985507246</v>
      </c>
      <c r="M563" s="134">
        <v>0.857142857142857</v>
      </c>
      <c r="N563" s="133">
        <v>0.942019099590723</v>
      </c>
      <c r="O563" s="135">
        <v>0.9</v>
      </c>
      <c r="P563" s="133">
        <v>0.973898858075041</v>
      </c>
      <c r="Q563" s="133">
        <v>0.958881578947368</v>
      </c>
      <c r="R563" s="133">
        <v>0.975957727873184</v>
      </c>
      <c r="S563" s="133">
        <v>0.975302048298858</v>
      </c>
      <c r="T563" s="135">
        <v>0.9</v>
      </c>
      <c r="U563" s="133">
        <v>0.920065252854812</v>
      </c>
      <c r="V563" s="133">
        <v>0.930509868421053</v>
      </c>
      <c r="W563" s="133">
        <v>0.946103038309115</v>
      </c>
      <c r="X563" s="133">
        <v>0.935000072174026</v>
      </c>
      <c r="Y563" s="135">
        <v>0.92</v>
      </c>
      <c r="Z563" s="135">
        <v>0.971418489767114</v>
      </c>
      <c r="AA563" s="135">
        <v>0.952474469756481</v>
      </c>
      <c r="AB563" s="135">
        <v>0.970699262987597</v>
      </c>
      <c r="AC563" s="135">
        <v>0.970469596976457</v>
      </c>
      <c r="AD563" s="135">
        <v>0.92</v>
      </c>
      <c r="AE563" s="133">
        <v>1</v>
      </c>
      <c r="AF563" s="133">
        <v>0.983957219251337</v>
      </c>
      <c r="AG563" s="133">
        <v>0.999086757990868</v>
      </c>
      <c r="AH563" s="133">
        <v>0.998667803474369</v>
      </c>
      <c r="AI563" s="135">
        <v>0.92</v>
      </c>
      <c r="AJ563" s="133">
        <v>0.974137931034483</v>
      </c>
      <c r="AK563" s="133">
        <v>0.968875502008032</v>
      </c>
      <c r="AL563" s="133">
        <v>0.979469632164243</v>
      </c>
      <c r="AM563" s="133">
        <v>0.980025008817211</v>
      </c>
      <c r="AN563" s="132">
        <v>0.99</v>
      </c>
      <c r="AO563" s="137">
        <v>1</v>
      </c>
      <c r="AP563" s="137">
        <v>1</v>
      </c>
      <c r="AQ563" s="137">
        <v>1</v>
      </c>
      <c r="AR563" s="137">
        <v>1</v>
      </c>
      <c r="AS563" s="158">
        <v>0.05</v>
      </c>
      <c r="AT563" s="141">
        <v>0.0769230769230769</v>
      </c>
      <c r="AU563" s="141">
        <v>0.25</v>
      </c>
      <c r="AV563" s="141">
        <v>0.0526315789473684</v>
      </c>
      <c r="AW563" s="141">
        <v>0.0569306930693069</v>
      </c>
      <c r="AX563" s="95"/>
      <c r="AY563" s="93"/>
    </row>
    <row r="564" ht="14.5" spans="1:51">
      <c r="A564" s="91"/>
      <c r="B564" s="95"/>
      <c r="C564" s="152" t="s">
        <v>375</v>
      </c>
      <c r="D564" s="153" t="s">
        <v>25</v>
      </c>
      <c r="E564" s="130" t="s">
        <v>376</v>
      </c>
      <c r="F564" s="154" t="s">
        <v>590</v>
      </c>
      <c r="G564" s="154" t="s">
        <v>590</v>
      </c>
      <c r="H564" s="154" t="s">
        <v>590</v>
      </c>
      <c r="I564" s="154" t="s">
        <v>590</v>
      </c>
      <c r="J564" s="132">
        <v>0.9</v>
      </c>
      <c r="K564" s="133">
        <v>0.936507936507937</v>
      </c>
      <c r="L564" s="133">
        <v>0.944444444444444</v>
      </c>
      <c r="M564" s="134">
        <v>0.964285714285714</v>
      </c>
      <c r="N564" s="133">
        <v>0.95993031358885</v>
      </c>
      <c r="O564" s="135">
        <v>0.9</v>
      </c>
      <c r="P564" s="133">
        <v>0.955182072829132</v>
      </c>
      <c r="Q564" s="133">
        <v>0.937540663630449</v>
      </c>
      <c r="R564" s="133">
        <v>0.951632406287787</v>
      </c>
      <c r="S564" s="133">
        <v>0.960198888837014</v>
      </c>
      <c r="T564" s="135">
        <v>0.9</v>
      </c>
      <c r="U564" s="133">
        <v>0.899159663865546</v>
      </c>
      <c r="V564" s="133">
        <v>0.839947950553025</v>
      </c>
      <c r="W564" s="133">
        <v>0.961708988311165</v>
      </c>
      <c r="X564" s="133">
        <v>0.947079695597367</v>
      </c>
      <c r="Y564" s="135">
        <v>0.92</v>
      </c>
      <c r="Z564" s="135">
        <v>0.95213849287169</v>
      </c>
      <c r="AA564" s="135">
        <v>0.92195690157251</v>
      </c>
      <c r="AB564" s="135">
        <v>0.954545454545455</v>
      </c>
      <c r="AC564" s="135">
        <v>0.960560295511752</v>
      </c>
      <c r="AD564" s="135">
        <v>0.92</v>
      </c>
      <c r="AE564" s="133">
        <v>1</v>
      </c>
      <c r="AF564" s="133">
        <v>0.977653631284916</v>
      </c>
      <c r="AG564" s="133">
        <v>0.986301369863014</v>
      </c>
      <c r="AH564" s="133">
        <v>0.969137466307278</v>
      </c>
      <c r="AI564" s="135">
        <v>0.92</v>
      </c>
      <c r="AJ564" s="133">
        <v>0.958551157580284</v>
      </c>
      <c r="AK564" s="133">
        <v>0.944683466502766</v>
      </c>
      <c r="AL564" s="133">
        <v>0.968835512313773</v>
      </c>
      <c r="AM564" s="133">
        <v>0.971796202337023</v>
      </c>
      <c r="AN564" s="132">
        <v>0.99</v>
      </c>
      <c r="AO564" s="137">
        <v>1</v>
      </c>
      <c r="AP564" s="137">
        <v>1</v>
      </c>
      <c r="AQ564" s="137">
        <v>1</v>
      </c>
      <c r="AR564" s="137">
        <v>1</v>
      </c>
      <c r="AS564" s="158">
        <v>0.05</v>
      </c>
      <c r="AT564" s="141">
        <v>0.333333333333333</v>
      </c>
      <c r="AU564" s="141">
        <v>0</v>
      </c>
      <c r="AV564" s="141">
        <v>0</v>
      </c>
      <c r="AW564" s="141">
        <v>0.0523560209424084</v>
      </c>
      <c r="AX564" s="95"/>
      <c r="AY564" s="93"/>
    </row>
    <row r="565" ht="14.5" spans="1:51">
      <c r="A565" s="91"/>
      <c r="B565" s="95"/>
      <c r="C565" s="152" t="s">
        <v>375</v>
      </c>
      <c r="D565" s="153" t="s">
        <v>25</v>
      </c>
      <c r="E565" s="130" t="s">
        <v>376</v>
      </c>
      <c r="F565" s="154" t="s">
        <v>591</v>
      </c>
      <c r="G565" s="154" t="s">
        <v>591</v>
      </c>
      <c r="H565" s="154" t="s">
        <v>591</v>
      </c>
      <c r="I565" s="154" t="s">
        <v>591</v>
      </c>
      <c r="J565" s="132">
        <v>0.9</v>
      </c>
      <c r="K565" s="133">
        <v>0.8</v>
      </c>
      <c r="L565" s="133">
        <v>0.956521739130435</v>
      </c>
      <c r="M565" s="134">
        <v>1</v>
      </c>
      <c r="N565" s="133">
        <v>0.941908713692946</v>
      </c>
      <c r="O565" s="135">
        <v>0.9</v>
      </c>
      <c r="P565" s="133">
        <v>0.949596774193548</v>
      </c>
      <c r="Q565" s="133">
        <v>0.847107438016529</v>
      </c>
      <c r="R565" s="133">
        <v>0.944481605351171</v>
      </c>
      <c r="S565" s="133">
        <v>0.952388224962773</v>
      </c>
      <c r="T565" s="135">
        <v>0.9</v>
      </c>
      <c r="U565" s="133">
        <v>0.923387096774194</v>
      </c>
      <c r="V565" s="133">
        <v>0.831611570247934</v>
      </c>
      <c r="W565" s="133">
        <v>0.935785953177258</v>
      </c>
      <c r="X565" s="133">
        <v>0.931541369172617</v>
      </c>
      <c r="Y565" s="135">
        <v>0.92</v>
      </c>
      <c r="Z565" s="135">
        <v>0.872255489021956</v>
      </c>
      <c r="AA565" s="135">
        <v>0.721185510428101</v>
      </c>
      <c r="AB565" s="135">
        <v>0.845092838196286</v>
      </c>
      <c r="AC565" s="135">
        <v>0.881421427489014</v>
      </c>
      <c r="AD565" s="135">
        <v>0.92</v>
      </c>
      <c r="AE565" s="133">
        <v>0.996190476190476</v>
      </c>
      <c r="AF565" s="133">
        <v>0.974358974358974</v>
      </c>
      <c r="AG565" s="133">
        <v>0.986263736263736</v>
      </c>
      <c r="AH565" s="133">
        <v>0.990566037735849</v>
      </c>
      <c r="AI565" s="135">
        <v>0.92</v>
      </c>
      <c r="AJ565" s="133">
        <v>0.906542056074766</v>
      </c>
      <c r="AK565" s="133">
        <v>0.84140500266099</v>
      </c>
      <c r="AL565" s="133">
        <v>0.905057675244011</v>
      </c>
      <c r="AM565" s="133">
        <v>0.930555819297013</v>
      </c>
      <c r="AN565" s="132">
        <v>0.99</v>
      </c>
      <c r="AO565" s="137">
        <v>1</v>
      </c>
      <c r="AP565" s="137">
        <v>1</v>
      </c>
      <c r="AQ565" s="137">
        <v>1</v>
      </c>
      <c r="AR565" s="137">
        <v>1</v>
      </c>
      <c r="AS565" s="158">
        <v>0.05</v>
      </c>
      <c r="AT565" s="141">
        <v>0</v>
      </c>
      <c r="AU565" s="141">
        <v>0.666666666666667</v>
      </c>
      <c r="AV565" s="141">
        <v>0.2</v>
      </c>
      <c r="AW565" s="141">
        <v>0.102040816326531</v>
      </c>
      <c r="AX565" s="95"/>
      <c r="AY565" s="93"/>
    </row>
    <row r="566" ht="14.5" spans="1:51">
      <c r="A566" s="91"/>
      <c r="B566" s="95"/>
      <c r="C566" s="152" t="s">
        <v>375</v>
      </c>
      <c r="D566" s="153" t="s">
        <v>25</v>
      </c>
      <c r="E566" s="130" t="s">
        <v>376</v>
      </c>
      <c r="F566" s="154" t="s">
        <v>592</v>
      </c>
      <c r="G566" s="154" t="s">
        <v>592</v>
      </c>
      <c r="H566" s="154" t="s">
        <v>592</v>
      </c>
      <c r="I566" s="154" t="s">
        <v>592</v>
      </c>
      <c r="J566" s="132">
        <v>0.9</v>
      </c>
      <c r="K566" s="133">
        <v>0.944444444444444</v>
      </c>
      <c r="L566" s="133">
        <v>0.861111111111111</v>
      </c>
      <c r="M566" s="134">
        <v>0.833333333333333</v>
      </c>
      <c r="N566" s="133">
        <v>0.946648426812586</v>
      </c>
      <c r="O566" s="135">
        <v>0.9</v>
      </c>
      <c r="P566" s="133">
        <v>0.927960927960928</v>
      </c>
      <c r="Q566" s="133">
        <v>0.893305439330544</v>
      </c>
      <c r="R566" s="133">
        <v>0.943421052631579</v>
      </c>
      <c r="S566" s="133">
        <v>0.923413777339332</v>
      </c>
      <c r="T566" s="135">
        <v>0.9</v>
      </c>
      <c r="U566" s="133">
        <v>0.953601953601954</v>
      </c>
      <c r="V566" s="133">
        <v>0.949790794979079</v>
      </c>
      <c r="W566" s="133">
        <v>0.942982456140351</v>
      </c>
      <c r="X566" s="133">
        <v>0.956257067924256</v>
      </c>
      <c r="Y566" s="135">
        <v>0.92</v>
      </c>
      <c r="Z566" s="135">
        <v>0.956940509915014</v>
      </c>
      <c r="AA566" s="135">
        <v>0.940650925335035</v>
      </c>
      <c r="AB566" s="135">
        <v>0.945179584120983</v>
      </c>
      <c r="AC566" s="135">
        <v>0.961145829290067</v>
      </c>
      <c r="AD566" s="135">
        <v>0.92</v>
      </c>
      <c r="AE566" s="133">
        <v>0.999637418419144</v>
      </c>
      <c r="AF566" s="133">
        <v>0.999548940009021</v>
      </c>
      <c r="AG566" s="133">
        <v>0.997894736842105</v>
      </c>
      <c r="AH566" s="133">
        <v>0.997184391098505</v>
      </c>
      <c r="AI566" s="135">
        <v>0.92</v>
      </c>
      <c r="AJ566" s="133">
        <v>0.966331269349845</v>
      </c>
      <c r="AK566" s="133">
        <v>0.963727121464226</v>
      </c>
      <c r="AL566" s="133">
        <v>0.958234108811138</v>
      </c>
      <c r="AM566" s="133">
        <v>0.973567525203182</v>
      </c>
      <c r="AN566" s="132">
        <v>0.99</v>
      </c>
      <c r="AO566" s="137">
        <v>1</v>
      </c>
      <c r="AP566" s="137">
        <v>1</v>
      </c>
      <c r="AQ566" s="137">
        <v>1</v>
      </c>
      <c r="AR566" s="137">
        <v>1</v>
      </c>
      <c r="AS566" s="158">
        <v>0.05</v>
      </c>
      <c r="AT566" s="141">
        <v>0.111111111111111</v>
      </c>
      <c r="AU566" s="141">
        <v>0</v>
      </c>
      <c r="AV566" s="141">
        <v>0.0526315789473684</v>
      </c>
      <c r="AW566" s="141">
        <v>0.0419161676646707</v>
      </c>
      <c r="AX566" s="95"/>
      <c r="AY566" s="93"/>
    </row>
    <row r="567" ht="14.5" spans="1:51">
      <c r="A567" s="91"/>
      <c r="B567" s="95"/>
      <c r="C567" s="152" t="s">
        <v>375</v>
      </c>
      <c r="D567" s="153" t="s">
        <v>25</v>
      </c>
      <c r="E567" s="130" t="s">
        <v>376</v>
      </c>
      <c r="F567" s="154" t="s">
        <v>593</v>
      </c>
      <c r="G567" s="154" t="s">
        <v>593</v>
      </c>
      <c r="H567" s="154" t="s">
        <v>593</v>
      </c>
      <c r="I567" s="154" t="s">
        <v>593</v>
      </c>
      <c r="J567" s="132">
        <v>0.9</v>
      </c>
      <c r="K567" s="133">
        <v>0.979591836734694</v>
      </c>
      <c r="L567" s="133">
        <v>0.857142857142857</v>
      </c>
      <c r="M567" s="134">
        <v>0.909090909090909</v>
      </c>
      <c r="N567" s="133">
        <v>0.934545454545455</v>
      </c>
      <c r="O567" s="135">
        <v>0.9</v>
      </c>
      <c r="P567" s="133">
        <v>0.83289817232376</v>
      </c>
      <c r="Q567" s="133">
        <v>0.822535211267606</v>
      </c>
      <c r="R567" s="133">
        <v>0.869612068965517</v>
      </c>
      <c r="S567" s="133">
        <v>0.859908540759605</v>
      </c>
      <c r="T567" s="135">
        <v>0.9</v>
      </c>
      <c r="U567" s="133">
        <v>0.838120104438642</v>
      </c>
      <c r="V567" s="133">
        <v>0.838732394366197</v>
      </c>
      <c r="W567" s="133">
        <v>0.892241379310345</v>
      </c>
      <c r="X567" s="133">
        <v>0.869739039951806</v>
      </c>
      <c r="Y567" s="135">
        <v>0.92</v>
      </c>
      <c r="Z567" s="135">
        <v>0.942824471126358</v>
      </c>
      <c r="AA567" s="135">
        <v>0.789813023855577</v>
      </c>
      <c r="AB567" s="135">
        <v>0.898906296186816</v>
      </c>
      <c r="AC567" s="135">
        <v>0.906434684721969</v>
      </c>
      <c r="AD567" s="135">
        <v>0.92</v>
      </c>
      <c r="AE567" s="133">
        <v>0.999393203883495</v>
      </c>
      <c r="AF567" s="133">
        <v>0.996753246753247</v>
      </c>
      <c r="AG567" s="133">
        <v>0.990794016110472</v>
      </c>
      <c r="AH567" s="133">
        <v>0.995716347720818</v>
      </c>
      <c r="AI567" s="135">
        <v>0.92</v>
      </c>
      <c r="AJ567" s="133">
        <v>0.949523052464229</v>
      </c>
      <c r="AK567" s="133">
        <v>0.863193277310924</v>
      </c>
      <c r="AL567" s="133">
        <v>0.927345537757437</v>
      </c>
      <c r="AM567" s="133">
        <v>0.932815818230552</v>
      </c>
      <c r="AN567" s="132">
        <v>0.99</v>
      </c>
      <c r="AO567" s="137">
        <v>1</v>
      </c>
      <c r="AP567" s="137">
        <v>1</v>
      </c>
      <c r="AQ567" s="137">
        <v>1</v>
      </c>
      <c r="AR567" s="137">
        <v>1</v>
      </c>
      <c r="AS567" s="158">
        <v>0.05</v>
      </c>
      <c r="AT567" s="141">
        <v>0.214285714285714</v>
      </c>
      <c r="AU567" s="141">
        <v>0.166666666666667</v>
      </c>
      <c r="AV567" s="141">
        <v>0</v>
      </c>
      <c r="AW567" s="141">
        <v>0.0340909090909091</v>
      </c>
      <c r="AX567" s="95"/>
      <c r="AY567" s="93"/>
    </row>
    <row r="568" ht="14.5" spans="1:51">
      <c r="A568" s="91"/>
      <c r="B568" s="95"/>
      <c r="C568" s="152" t="s">
        <v>375</v>
      </c>
      <c r="D568" s="153" t="s">
        <v>25</v>
      </c>
      <c r="E568" s="130" t="s">
        <v>376</v>
      </c>
      <c r="F568" s="154" t="s">
        <v>594</v>
      </c>
      <c r="G568" s="154" t="s">
        <v>594</v>
      </c>
      <c r="H568" s="154" t="s">
        <v>594</v>
      </c>
      <c r="I568" s="154" t="s">
        <v>594</v>
      </c>
      <c r="J568" s="132">
        <v>0.9</v>
      </c>
      <c r="K568" s="133">
        <v>0.927536231884058</v>
      </c>
      <c r="L568" s="133">
        <v>0.9</v>
      </c>
      <c r="M568" s="134">
        <v>0.91044776119403</v>
      </c>
      <c r="N568" s="133">
        <v>0.915525114155251</v>
      </c>
      <c r="O568" s="135">
        <v>0.9</v>
      </c>
      <c r="P568" s="133">
        <v>0.821400472069237</v>
      </c>
      <c r="Q568" s="133">
        <v>0.855257168866636</v>
      </c>
      <c r="R568" s="133">
        <v>0.838535031847134</v>
      </c>
      <c r="S568" s="133">
        <v>0.917878074260318</v>
      </c>
      <c r="T568" s="135">
        <v>0.9</v>
      </c>
      <c r="U568" s="133">
        <v>0.848937844217152</v>
      </c>
      <c r="V568" s="133">
        <v>0.846609012289486</v>
      </c>
      <c r="W568" s="133">
        <v>0.888216560509554</v>
      </c>
      <c r="X568" s="133">
        <v>0.889848965065425</v>
      </c>
      <c r="Y568" s="135">
        <v>0.92</v>
      </c>
      <c r="Z568" s="135">
        <v>0.920471281296024</v>
      </c>
      <c r="AA568" s="135">
        <v>0.917233106757297</v>
      </c>
      <c r="AB568" s="135">
        <v>0.923000791765637</v>
      </c>
      <c r="AC568" s="135">
        <v>0.950777026262809</v>
      </c>
      <c r="AD568" s="135">
        <v>0.92</v>
      </c>
      <c r="AE568" s="133">
        <v>0.997758651604805</v>
      </c>
      <c r="AF568" s="133">
        <v>0.996270396270396</v>
      </c>
      <c r="AG568" s="133">
        <v>0.991637220259128</v>
      </c>
      <c r="AH568" s="133">
        <v>0.971345646742486</v>
      </c>
      <c r="AI568" s="135">
        <v>0.92</v>
      </c>
      <c r="AJ568" s="133">
        <v>0.93186372745491</v>
      </c>
      <c r="AK568" s="133">
        <v>0.92934666950415</v>
      </c>
      <c r="AL568" s="133">
        <v>0.939741400341547</v>
      </c>
      <c r="AM568" s="133">
        <v>0.961437214879336</v>
      </c>
      <c r="AN568" s="132">
        <v>0.99</v>
      </c>
      <c r="AO568" s="137">
        <v>1</v>
      </c>
      <c r="AP568" s="137">
        <v>1</v>
      </c>
      <c r="AQ568" s="137">
        <v>1</v>
      </c>
      <c r="AR568" s="137">
        <v>1</v>
      </c>
      <c r="AS568" s="158">
        <v>0.05</v>
      </c>
      <c r="AT568" s="141">
        <v>0</v>
      </c>
      <c r="AU568" s="141">
        <v>0.1</v>
      </c>
      <c r="AV568" s="141">
        <v>0.0909090909090909</v>
      </c>
      <c r="AW568" s="141">
        <v>0.0527306967984934</v>
      </c>
      <c r="AX568" s="95"/>
      <c r="AY568" s="93"/>
    </row>
    <row r="569" ht="14.5" spans="1:51">
      <c r="A569" s="91"/>
      <c r="B569" s="95"/>
      <c r="C569" s="152" t="s">
        <v>375</v>
      </c>
      <c r="D569" s="153" t="s">
        <v>25</v>
      </c>
      <c r="E569" s="130" t="s">
        <v>376</v>
      </c>
      <c r="F569" s="154" t="s">
        <v>595</v>
      </c>
      <c r="G569" s="154" t="s">
        <v>595</v>
      </c>
      <c r="H569" s="154" t="s">
        <v>595</v>
      </c>
      <c r="I569" s="154" t="s">
        <v>595</v>
      </c>
      <c r="J569" s="132">
        <v>0.9</v>
      </c>
      <c r="K569" s="133">
        <v>0.976190476190476</v>
      </c>
      <c r="L569" s="133">
        <v>0.911764705882353</v>
      </c>
      <c r="M569" s="134">
        <v>0.925</v>
      </c>
      <c r="N569" s="133">
        <v>0.947232947232947</v>
      </c>
      <c r="O569" s="135">
        <v>0.9</v>
      </c>
      <c r="P569" s="133">
        <v>0.939393939393939</v>
      </c>
      <c r="Q569" s="133">
        <v>0.922647527910686</v>
      </c>
      <c r="R569" s="133">
        <v>0.948504983388704</v>
      </c>
      <c r="S569" s="133">
        <v>0.954474586841285</v>
      </c>
      <c r="T569" s="135">
        <v>0.9</v>
      </c>
      <c r="U569" s="133">
        <v>0.883838383838384</v>
      </c>
      <c r="V569" s="133">
        <v>0.86762360446571</v>
      </c>
      <c r="W569" s="133">
        <v>0.919158361018826</v>
      </c>
      <c r="X569" s="133">
        <v>0.913824871729455</v>
      </c>
      <c r="Y569" s="135">
        <v>0.92</v>
      </c>
      <c r="Z569" s="135">
        <v>0.935155753337572</v>
      </c>
      <c r="AA569" s="135">
        <v>0.908149171270718</v>
      </c>
      <c r="AB569" s="135">
        <v>0.936945500633714</v>
      </c>
      <c r="AC569" s="135">
        <v>0.952822436584495</v>
      </c>
      <c r="AD569" s="135">
        <v>0.92</v>
      </c>
      <c r="AE569" s="133">
        <v>0.890804597701149</v>
      </c>
      <c r="AF569" s="133">
        <v>0.932291666666667</v>
      </c>
      <c r="AG569" s="133">
        <v>0.949591280653951</v>
      </c>
      <c r="AH569" s="133">
        <v>0.983127572016461</v>
      </c>
      <c r="AI569" s="135">
        <v>0.92</v>
      </c>
      <c r="AJ569" s="133">
        <v>0.945877378435518</v>
      </c>
      <c r="AK569" s="133">
        <v>0.927514792899408</v>
      </c>
      <c r="AL569" s="133">
        <v>0.952908029784665</v>
      </c>
      <c r="AM569" s="133">
        <v>0.964524106537106</v>
      </c>
      <c r="AN569" s="132">
        <v>0.99</v>
      </c>
      <c r="AO569" s="137">
        <v>1</v>
      </c>
      <c r="AP569" s="137">
        <v>1</v>
      </c>
      <c r="AQ569" s="137">
        <v>1</v>
      </c>
      <c r="AR569" s="137">
        <v>1</v>
      </c>
      <c r="AS569" s="158">
        <v>0.05</v>
      </c>
      <c r="AT569" s="141">
        <v>0.2</v>
      </c>
      <c r="AU569" s="141">
        <v>0</v>
      </c>
      <c r="AV569" s="141">
        <v>0.0625</v>
      </c>
      <c r="AW569" s="141">
        <v>0.0856269113149847</v>
      </c>
      <c r="AX569" s="95"/>
      <c r="AY569" s="93"/>
    </row>
    <row r="570" ht="14.5" spans="1:51">
      <c r="A570" s="91"/>
      <c r="B570" s="95"/>
      <c r="C570" s="152" t="s">
        <v>375</v>
      </c>
      <c r="D570" s="153" t="s">
        <v>25</v>
      </c>
      <c r="E570" s="130" t="s">
        <v>376</v>
      </c>
      <c r="F570" s="154" t="s">
        <v>596</v>
      </c>
      <c r="G570" s="154" t="s">
        <v>596</v>
      </c>
      <c r="H570" s="154" t="s">
        <v>596</v>
      </c>
      <c r="I570" s="154" t="s">
        <v>596</v>
      </c>
      <c r="J570" s="132">
        <v>0.9</v>
      </c>
      <c r="K570" s="133">
        <v>0.947368421052632</v>
      </c>
      <c r="L570" s="133">
        <v>0.894736842105263</v>
      </c>
      <c r="M570" s="134">
        <v>0.777777777777778</v>
      </c>
      <c r="N570" s="133">
        <v>0.935672514619883</v>
      </c>
      <c r="O570" s="135">
        <v>0.9</v>
      </c>
      <c r="P570" s="133">
        <v>0.975609756097561</v>
      </c>
      <c r="Q570" s="133">
        <v>0.962797619047619</v>
      </c>
      <c r="R570" s="133">
        <v>0.944102112676056</v>
      </c>
      <c r="S570" s="133">
        <v>0.960165298549421</v>
      </c>
      <c r="T570" s="135">
        <v>0.9</v>
      </c>
      <c r="U570" s="133">
        <v>0.927937915742794</v>
      </c>
      <c r="V570" s="133">
        <v>0.894345238095238</v>
      </c>
      <c r="W570" s="133">
        <v>0.93705985915493</v>
      </c>
      <c r="X570" s="133">
        <v>0.928820420555493</v>
      </c>
      <c r="Y570" s="135">
        <v>0.92</v>
      </c>
      <c r="Z570" s="135" t="s">
        <v>35</v>
      </c>
      <c r="AA570" s="135" t="s">
        <v>35</v>
      </c>
      <c r="AB570" s="135" t="s">
        <v>35</v>
      </c>
      <c r="AC570" s="135">
        <v>0.5</v>
      </c>
      <c r="AD570" s="135">
        <v>0.92</v>
      </c>
      <c r="AE570" s="133">
        <v>1</v>
      </c>
      <c r="AF570" s="133">
        <v>0.971428571428571</v>
      </c>
      <c r="AG570" s="133">
        <v>0.95</v>
      </c>
      <c r="AH570" s="133">
        <v>0.9375</v>
      </c>
      <c r="AI570" s="135">
        <v>0.92</v>
      </c>
      <c r="AJ570" s="133">
        <v>0.968957871396896</v>
      </c>
      <c r="AK570" s="133">
        <v>0.973710317460317</v>
      </c>
      <c r="AL570" s="133">
        <v>0.975352112676056</v>
      </c>
      <c r="AM570" s="133">
        <v>0.978440521700022</v>
      </c>
      <c r="AN570" s="132">
        <v>0.99</v>
      </c>
      <c r="AO570" s="137">
        <v>1</v>
      </c>
      <c r="AP570" s="137">
        <v>1</v>
      </c>
      <c r="AQ570" s="137">
        <v>1</v>
      </c>
      <c r="AR570" s="137">
        <v>1</v>
      </c>
      <c r="AS570" s="158">
        <v>0.05</v>
      </c>
      <c r="AT570" s="141">
        <v>0</v>
      </c>
      <c r="AU570" s="141">
        <v>0</v>
      </c>
      <c r="AV570" s="141">
        <v>1</v>
      </c>
      <c r="AW570" s="141">
        <v>0.06</v>
      </c>
      <c r="AX570" s="95"/>
      <c r="AY570" s="93"/>
    </row>
    <row r="571" ht="14.5" spans="1:51">
      <c r="A571" s="91"/>
      <c r="B571" s="95"/>
      <c r="C571" s="152" t="s">
        <v>375</v>
      </c>
      <c r="D571" s="153" t="s">
        <v>25</v>
      </c>
      <c r="E571" s="130" t="s">
        <v>376</v>
      </c>
      <c r="F571" s="154" t="s">
        <v>597</v>
      </c>
      <c r="G571" s="154" t="s">
        <v>597</v>
      </c>
      <c r="H571" s="154" t="s">
        <v>597</v>
      </c>
      <c r="I571" s="154" t="s">
        <v>597</v>
      </c>
      <c r="J571" s="132">
        <v>0.9</v>
      </c>
      <c r="K571" s="133">
        <v>0.745098039215686</v>
      </c>
      <c r="L571" s="133">
        <v>0.804878048780488</v>
      </c>
      <c r="M571" s="134">
        <v>0.659090909090909</v>
      </c>
      <c r="N571" s="133">
        <v>0.799536500579374</v>
      </c>
      <c r="O571" s="135">
        <v>0.9</v>
      </c>
      <c r="P571" s="133">
        <v>0.769060773480663</v>
      </c>
      <c r="Q571" s="133">
        <v>0.802120141342756</v>
      </c>
      <c r="R571" s="133">
        <v>0.666938110749186</v>
      </c>
      <c r="S571" s="133">
        <v>0.819403937294933</v>
      </c>
      <c r="T571" s="135">
        <v>0.9</v>
      </c>
      <c r="U571" s="133">
        <v>0.871823204419889</v>
      </c>
      <c r="V571" s="133">
        <v>0.913074204946996</v>
      </c>
      <c r="W571" s="133">
        <v>0.889657980456026</v>
      </c>
      <c r="X571" s="133">
        <v>0.910658950054685</v>
      </c>
      <c r="Y571" s="135">
        <v>0.92</v>
      </c>
      <c r="Z571" s="135">
        <v>0.927777777777778</v>
      </c>
      <c r="AA571" s="135">
        <v>0.874050632911392</v>
      </c>
      <c r="AB571" s="135">
        <v>0.909285933190316</v>
      </c>
      <c r="AC571" s="135">
        <v>0.942618855451785</v>
      </c>
      <c r="AD571" s="135">
        <v>0.92</v>
      </c>
      <c r="AE571" s="133">
        <v>0.991803278688525</v>
      </c>
      <c r="AF571" s="133">
        <v>0.971223021582734</v>
      </c>
      <c r="AG571" s="133">
        <v>0.94488188976378</v>
      </c>
      <c r="AH571" s="133">
        <v>0.956688929366525</v>
      </c>
      <c r="AI571" s="135">
        <v>0.92</v>
      </c>
      <c r="AJ571" s="133">
        <v>0.934195933456562</v>
      </c>
      <c r="AK571" s="133">
        <v>0.912637545848616</v>
      </c>
      <c r="AL571" s="133">
        <v>0.929058186265944</v>
      </c>
      <c r="AM571" s="133">
        <v>0.95894247990337</v>
      </c>
      <c r="AN571" s="132">
        <v>0.99</v>
      </c>
      <c r="AO571" s="137">
        <v>1</v>
      </c>
      <c r="AP571" s="137">
        <v>1</v>
      </c>
      <c r="AQ571" s="137">
        <v>1</v>
      </c>
      <c r="AR571" s="137">
        <v>1</v>
      </c>
      <c r="AS571" s="158">
        <v>0.05</v>
      </c>
      <c r="AT571" s="141">
        <v>0.0714285714285714</v>
      </c>
      <c r="AU571" s="141">
        <v>0.0625</v>
      </c>
      <c r="AV571" s="141">
        <v>0</v>
      </c>
      <c r="AW571" s="141">
        <v>0.0816993464052288</v>
      </c>
      <c r="AX571" s="95"/>
      <c r="AY571" s="93"/>
    </row>
    <row r="572" ht="14.5" spans="1:51">
      <c r="A572" s="91"/>
      <c r="B572" s="95"/>
      <c r="C572" s="152" t="s">
        <v>375</v>
      </c>
      <c r="D572" s="153" t="s">
        <v>25</v>
      </c>
      <c r="E572" s="130" t="s">
        <v>376</v>
      </c>
      <c r="F572" s="154" t="s">
        <v>598</v>
      </c>
      <c r="G572" s="154" t="s">
        <v>598</v>
      </c>
      <c r="H572" s="154" t="s">
        <v>598</v>
      </c>
      <c r="I572" s="154" t="s">
        <v>598</v>
      </c>
      <c r="J572" s="132">
        <v>0.9</v>
      </c>
      <c r="K572" s="133">
        <v>0.977777777777778</v>
      </c>
      <c r="L572" s="133">
        <v>0.977272727272727</v>
      </c>
      <c r="M572" s="134">
        <v>0.978723404255319</v>
      </c>
      <c r="N572" s="133">
        <v>0.97979797979798</v>
      </c>
      <c r="O572" s="135">
        <v>0.9</v>
      </c>
      <c r="P572" s="133">
        <v>0.994285714285714</v>
      </c>
      <c r="Q572" s="133">
        <v>0.958221856349043</v>
      </c>
      <c r="R572" s="133">
        <v>0.986037111886827</v>
      </c>
      <c r="S572" s="133">
        <v>0.981687446124088</v>
      </c>
      <c r="T572" s="135">
        <v>0.9</v>
      </c>
      <c r="U572" s="133">
        <v>0.92952380952381</v>
      </c>
      <c r="V572" s="133">
        <v>0.853467791726693</v>
      </c>
      <c r="W572" s="133">
        <v>0.882968950946169</v>
      </c>
      <c r="X572" s="133">
        <v>0.886466370918571</v>
      </c>
      <c r="Y572" s="135">
        <v>0.92</v>
      </c>
      <c r="Z572" s="135" t="s">
        <v>35</v>
      </c>
      <c r="AA572" s="135" t="s">
        <v>35</v>
      </c>
      <c r="AB572" s="135">
        <v>0</v>
      </c>
      <c r="AC572" s="135">
        <v>0.846153846153846</v>
      </c>
      <c r="AD572" s="135">
        <v>0.92</v>
      </c>
      <c r="AE572" s="133">
        <v>0.968996869876286</v>
      </c>
      <c r="AF572" s="133">
        <v>0.985251945923802</v>
      </c>
      <c r="AG572" s="133">
        <v>0.989604069896041</v>
      </c>
      <c r="AH572" s="133">
        <v>0.986956481144319</v>
      </c>
      <c r="AI572" s="135">
        <v>0.92</v>
      </c>
      <c r="AJ572" s="133">
        <v>0.96991622239147</v>
      </c>
      <c r="AK572" s="133">
        <v>0.934966042395555</v>
      </c>
      <c r="AL572" s="133">
        <v>0.96052148365773</v>
      </c>
      <c r="AM572" s="133">
        <v>0.971429472091459</v>
      </c>
      <c r="AN572" s="132">
        <v>0.99</v>
      </c>
      <c r="AO572" s="137">
        <v>1</v>
      </c>
      <c r="AP572" s="137">
        <v>1</v>
      </c>
      <c r="AQ572" s="137">
        <v>1</v>
      </c>
      <c r="AR572" s="137">
        <v>1</v>
      </c>
      <c r="AS572" s="158">
        <v>0.05</v>
      </c>
      <c r="AT572" s="141">
        <v>0.25</v>
      </c>
      <c r="AU572" s="141">
        <v>0.1</v>
      </c>
      <c r="AV572" s="141">
        <v>0</v>
      </c>
      <c r="AW572" s="141">
        <v>0.0366300366300366</v>
      </c>
      <c r="AX572" s="95"/>
      <c r="AY572" s="93"/>
    </row>
    <row r="573" ht="14.5" spans="1:51">
      <c r="A573" s="91"/>
      <c r="B573" s="95"/>
      <c r="C573" s="152" t="s">
        <v>375</v>
      </c>
      <c r="D573" s="153" t="s">
        <v>25</v>
      </c>
      <c r="E573" s="130" t="s">
        <v>376</v>
      </c>
      <c r="F573" s="154" t="s">
        <v>599</v>
      </c>
      <c r="G573" s="154" t="s">
        <v>599</v>
      </c>
      <c r="H573" s="154" t="s">
        <v>599</v>
      </c>
      <c r="I573" s="154" t="s">
        <v>599</v>
      </c>
      <c r="J573" s="132">
        <v>0.9</v>
      </c>
      <c r="K573" s="133">
        <v>1</v>
      </c>
      <c r="L573" s="133">
        <v>1</v>
      </c>
      <c r="M573" s="134">
        <v>1</v>
      </c>
      <c r="N573" s="133">
        <v>0.997916666666667</v>
      </c>
      <c r="O573" s="135">
        <v>0.9</v>
      </c>
      <c r="P573" s="133">
        <v>0.973111395646607</v>
      </c>
      <c r="Q573" s="133">
        <v>0.984921592279855</v>
      </c>
      <c r="R573" s="133">
        <v>0.990659340659341</v>
      </c>
      <c r="S573" s="133">
        <v>0.990083815370086</v>
      </c>
      <c r="T573" s="135">
        <v>0.9</v>
      </c>
      <c r="U573" s="133">
        <v>0.875800256081946</v>
      </c>
      <c r="V573" s="133">
        <v>0.922798552472859</v>
      </c>
      <c r="W573" s="133">
        <v>0.923626373626374</v>
      </c>
      <c r="X573" s="133">
        <v>0.904438673120057</v>
      </c>
      <c r="Y573" s="135">
        <v>0.92</v>
      </c>
      <c r="Z573" s="135">
        <v>0.72112676056338</v>
      </c>
      <c r="AA573" s="135">
        <v>0.813648293963255</v>
      </c>
      <c r="AB573" s="135">
        <v>0.869565217391304</v>
      </c>
      <c r="AC573" s="135">
        <v>0.873270131851368</v>
      </c>
      <c r="AD573" s="135">
        <v>0.92</v>
      </c>
      <c r="AE573" s="133">
        <v>0.998463114754098</v>
      </c>
      <c r="AF573" s="133">
        <v>0.995575221238938</v>
      </c>
      <c r="AG573" s="133">
        <v>0.984431137724551</v>
      </c>
      <c r="AH573" s="133">
        <v>0.992932862190813</v>
      </c>
      <c r="AI573" s="135">
        <v>0.92</v>
      </c>
      <c r="AJ573" s="133">
        <v>0.863037752414399</v>
      </c>
      <c r="AK573" s="133">
        <v>0.940166748406081</v>
      </c>
      <c r="AL573" s="133">
        <v>0.953235908141962</v>
      </c>
      <c r="AM573" s="133">
        <v>0.960733774526878</v>
      </c>
      <c r="AN573" s="132">
        <v>0.99</v>
      </c>
      <c r="AO573" s="137">
        <v>1</v>
      </c>
      <c r="AP573" s="137">
        <v>1</v>
      </c>
      <c r="AQ573" s="137">
        <v>1</v>
      </c>
      <c r="AR573" s="137">
        <v>1</v>
      </c>
      <c r="AS573" s="158">
        <v>0.05</v>
      </c>
      <c r="AT573" s="141">
        <v>0.166666666666667</v>
      </c>
      <c r="AU573" s="141">
        <v>0.333333333333333</v>
      </c>
      <c r="AV573" s="141">
        <v>0</v>
      </c>
      <c r="AW573" s="141">
        <v>0.08</v>
      </c>
      <c r="AX573" s="95"/>
      <c r="AY573" s="93"/>
    </row>
    <row r="574" ht="14.5" spans="1:51">
      <c r="A574" s="91"/>
      <c r="B574" s="95"/>
      <c r="C574" s="152" t="s">
        <v>375</v>
      </c>
      <c r="D574" s="153" t="s">
        <v>25</v>
      </c>
      <c r="E574" s="130" t="s">
        <v>376</v>
      </c>
      <c r="F574" s="154" t="s">
        <v>600</v>
      </c>
      <c r="G574" s="154" t="s">
        <v>600</v>
      </c>
      <c r="H574" s="154" t="s">
        <v>600</v>
      </c>
      <c r="I574" s="154" t="s">
        <v>600</v>
      </c>
      <c r="J574" s="132">
        <v>0.9</v>
      </c>
      <c r="K574" s="133">
        <v>1</v>
      </c>
      <c r="L574" s="133">
        <v>0.962962962962963</v>
      </c>
      <c r="M574" s="134">
        <v>1</v>
      </c>
      <c r="N574" s="133">
        <v>0.986027944111776</v>
      </c>
      <c r="O574" s="135">
        <v>0.9</v>
      </c>
      <c r="P574" s="133">
        <v>0.989785495403473</v>
      </c>
      <c r="Q574" s="133">
        <v>0.973955507325014</v>
      </c>
      <c r="R574" s="133">
        <v>0.987974987974988</v>
      </c>
      <c r="S574" s="133">
        <v>0.988070252954822</v>
      </c>
      <c r="T574" s="135">
        <v>0.9</v>
      </c>
      <c r="U574" s="133">
        <v>0.960163432073544</v>
      </c>
      <c r="V574" s="133">
        <v>0.849701573521432</v>
      </c>
      <c r="W574" s="133">
        <v>0.940836940836941</v>
      </c>
      <c r="X574" s="133">
        <v>0.918203910305976</v>
      </c>
      <c r="Y574" s="135">
        <v>0.92</v>
      </c>
      <c r="Z574" s="135">
        <v>0.940594059405941</v>
      </c>
      <c r="AA574" s="135">
        <v>0.838983050847458</v>
      </c>
      <c r="AB574" s="135">
        <v>0.872029250457038</v>
      </c>
      <c r="AC574" s="135">
        <v>0.906932252982219</v>
      </c>
      <c r="AD574" s="135">
        <v>0.92</v>
      </c>
      <c r="AE574" s="133">
        <v>0.992724219952428</v>
      </c>
      <c r="AF574" s="133">
        <v>0.973147687717553</v>
      </c>
      <c r="AG574" s="133">
        <v>0.989098459941166</v>
      </c>
      <c r="AH574" s="133">
        <v>0.996325504070932</v>
      </c>
      <c r="AI574" s="135">
        <v>0.92</v>
      </c>
      <c r="AJ574" s="133">
        <v>0.973246565437455</v>
      </c>
      <c r="AK574" s="133">
        <v>0.952662721893491</v>
      </c>
      <c r="AL574" s="133">
        <v>0.957730388423458</v>
      </c>
      <c r="AM574" s="133">
        <v>0.968562243653697</v>
      </c>
      <c r="AN574" s="132">
        <v>0.99</v>
      </c>
      <c r="AO574" s="137">
        <v>1</v>
      </c>
      <c r="AP574" s="137">
        <v>1</v>
      </c>
      <c r="AQ574" s="137">
        <v>1</v>
      </c>
      <c r="AR574" s="137">
        <v>1</v>
      </c>
      <c r="AS574" s="158">
        <v>0.05</v>
      </c>
      <c r="AT574" s="141">
        <v>0</v>
      </c>
      <c r="AU574" s="141">
        <v>0</v>
      </c>
      <c r="AV574" s="141">
        <v>0</v>
      </c>
      <c r="AW574" s="141">
        <v>0.045045045045045</v>
      </c>
      <c r="AX574" s="95"/>
      <c r="AY574" s="93"/>
    </row>
    <row r="575" ht="14.5" spans="1:51">
      <c r="A575" s="91"/>
      <c r="B575" s="95"/>
      <c r="C575" s="152" t="s">
        <v>375</v>
      </c>
      <c r="D575" s="153" t="s">
        <v>25</v>
      </c>
      <c r="E575" s="130" t="s">
        <v>376</v>
      </c>
      <c r="F575" s="154" t="s">
        <v>601</v>
      </c>
      <c r="G575" s="154" t="s">
        <v>601</v>
      </c>
      <c r="H575" s="154" t="s">
        <v>601</v>
      </c>
      <c r="I575" s="154" t="s">
        <v>601</v>
      </c>
      <c r="J575" s="132">
        <v>0.9</v>
      </c>
      <c r="K575" s="133">
        <v>1</v>
      </c>
      <c r="L575" s="133">
        <v>0.977777777777778</v>
      </c>
      <c r="M575" s="134">
        <v>1</v>
      </c>
      <c r="N575" s="133">
        <v>0.991879350348028</v>
      </c>
      <c r="O575" s="135">
        <v>0.9</v>
      </c>
      <c r="P575" s="133">
        <v>0</v>
      </c>
      <c r="Q575" s="133">
        <v>0</v>
      </c>
      <c r="R575" s="133">
        <v>1</v>
      </c>
      <c r="S575" s="133">
        <v>0.4</v>
      </c>
      <c r="T575" s="135">
        <v>0.9</v>
      </c>
      <c r="U575" s="133">
        <v>0</v>
      </c>
      <c r="V575" s="133">
        <v>0</v>
      </c>
      <c r="W575" s="133">
        <v>1</v>
      </c>
      <c r="X575" s="133">
        <v>0.2</v>
      </c>
      <c r="Y575" s="135">
        <v>0.92</v>
      </c>
      <c r="Z575" s="135">
        <v>0</v>
      </c>
      <c r="AA575" s="135" t="s">
        <v>35</v>
      </c>
      <c r="AB575" s="135" t="s">
        <v>35</v>
      </c>
      <c r="AC575" s="135">
        <v>0</v>
      </c>
      <c r="AD575" s="135">
        <v>0.92</v>
      </c>
      <c r="AE575" s="133">
        <v>0.997991967871486</v>
      </c>
      <c r="AF575" s="133">
        <v>0.980769230769231</v>
      </c>
      <c r="AG575" s="133">
        <v>0.997782705099778</v>
      </c>
      <c r="AH575" s="133">
        <v>0.992223755173711</v>
      </c>
      <c r="AI575" s="135">
        <v>0.92</v>
      </c>
      <c r="AJ575" s="133">
        <v>0.977134146341463</v>
      </c>
      <c r="AK575" s="133">
        <v>0.905105724600309</v>
      </c>
      <c r="AL575" s="133">
        <v>0.967601246105919</v>
      </c>
      <c r="AM575" s="133">
        <v>0.969088623507228</v>
      </c>
      <c r="AN575" s="132">
        <v>0.99</v>
      </c>
      <c r="AO575" s="137">
        <v>1</v>
      </c>
      <c r="AP575" s="137">
        <v>1</v>
      </c>
      <c r="AQ575" s="137">
        <v>1</v>
      </c>
      <c r="AR575" s="137">
        <v>1</v>
      </c>
      <c r="AS575" s="158">
        <v>0.05</v>
      </c>
      <c r="AT575" s="141">
        <v>0.166666666666667</v>
      </c>
      <c r="AU575" s="141">
        <v>0.181818181818182</v>
      </c>
      <c r="AV575" s="141">
        <v>0</v>
      </c>
      <c r="AW575" s="141">
        <v>0.0547945205479452</v>
      </c>
      <c r="AX575" s="95"/>
      <c r="AY575" s="93"/>
    </row>
    <row r="576" ht="14.5" spans="1:51">
      <c r="A576" s="91"/>
      <c r="B576" s="95"/>
      <c r="C576" s="152" t="s">
        <v>375</v>
      </c>
      <c r="D576" s="153" t="s">
        <v>25</v>
      </c>
      <c r="E576" s="130" t="s">
        <v>376</v>
      </c>
      <c r="F576" s="154" t="s">
        <v>602</v>
      </c>
      <c r="G576" s="154" t="s">
        <v>602</v>
      </c>
      <c r="H576" s="154" t="s">
        <v>602</v>
      </c>
      <c r="I576" s="154" t="s">
        <v>602</v>
      </c>
      <c r="J576" s="132">
        <v>0.9</v>
      </c>
      <c r="K576" s="133">
        <v>0.928571428571429</v>
      </c>
      <c r="L576" s="133">
        <v>1</v>
      </c>
      <c r="M576" s="134">
        <v>1</v>
      </c>
      <c r="N576" s="133">
        <v>0.985815602836879</v>
      </c>
      <c r="O576" s="135">
        <v>0.9</v>
      </c>
      <c r="P576" s="133">
        <v>0.982692307692308</v>
      </c>
      <c r="Q576" s="133">
        <v>0.995069033530572</v>
      </c>
      <c r="R576" s="133">
        <v>0.974858069748581</v>
      </c>
      <c r="S576" s="133">
        <v>0.98643361617804</v>
      </c>
      <c r="T576" s="135">
        <v>0.9</v>
      </c>
      <c r="U576" s="133">
        <v>0.940384615384615</v>
      </c>
      <c r="V576" s="133">
        <v>0.822485207100592</v>
      </c>
      <c r="W576" s="133">
        <v>0.895377128953771</v>
      </c>
      <c r="X576" s="133">
        <v>0.932472943447996</v>
      </c>
      <c r="Y576" s="135">
        <v>0.92</v>
      </c>
      <c r="Z576" s="135">
        <v>0.9375</v>
      </c>
      <c r="AA576" s="135">
        <v>0.86404833836858</v>
      </c>
      <c r="AB576" s="135">
        <v>0.877094972067039</v>
      </c>
      <c r="AC576" s="135">
        <v>0.931917762049208</v>
      </c>
      <c r="AD576" s="135">
        <v>0.92</v>
      </c>
      <c r="AE576" s="133">
        <v>0.983222920072271</v>
      </c>
      <c r="AF576" s="133">
        <v>0.99971558589306</v>
      </c>
      <c r="AG576" s="133">
        <v>0.997209538305429</v>
      </c>
      <c r="AH576" s="133">
        <v>0.948966024120536</v>
      </c>
      <c r="AI576" s="135">
        <v>0.92</v>
      </c>
      <c r="AJ576" s="133">
        <v>0.961212121212121</v>
      </c>
      <c r="AK576" s="133">
        <v>0.948698884758364</v>
      </c>
      <c r="AL576" s="133">
        <v>0.94535175879397</v>
      </c>
      <c r="AM576" s="133">
        <v>0.97069039534793</v>
      </c>
      <c r="AN576" s="132">
        <v>0.99</v>
      </c>
      <c r="AO576" s="137">
        <v>1</v>
      </c>
      <c r="AP576" s="137">
        <v>1</v>
      </c>
      <c r="AQ576" s="137">
        <v>1</v>
      </c>
      <c r="AR576" s="137">
        <v>1</v>
      </c>
      <c r="AS576" s="158">
        <v>0.05</v>
      </c>
      <c r="AT576" s="141">
        <v>0.5</v>
      </c>
      <c r="AU576" s="141">
        <v>0</v>
      </c>
      <c r="AV576" s="141">
        <v>0.2</v>
      </c>
      <c r="AW576" s="141">
        <v>0.0459770114942529</v>
      </c>
      <c r="AX576" s="95"/>
      <c r="AY576" s="93"/>
    </row>
    <row r="577" ht="14.5" spans="1:51">
      <c r="A577" s="91"/>
      <c r="B577" s="95"/>
      <c r="C577" s="152" t="s">
        <v>375</v>
      </c>
      <c r="D577" s="153" t="s">
        <v>25</v>
      </c>
      <c r="E577" s="130" t="s">
        <v>376</v>
      </c>
      <c r="F577" s="154" t="s">
        <v>603</v>
      </c>
      <c r="G577" s="154" t="s">
        <v>603</v>
      </c>
      <c r="H577" s="154" t="s">
        <v>603</v>
      </c>
      <c r="I577" s="154" t="s">
        <v>603</v>
      </c>
      <c r="J577" s="132">
        <v>0.9</v>
      </c>
      <c r="K577" s="133">
        <v>0.88</v>
      </c>
      <c r="L577" s="133">
        <v>0.961538461538462</v>
      </c>
      <c r="M577" s="134">
        <v>1</v>
      </c>
      <c r="N577" s="133">
        <v>0.979638009049774</v>
      </c>
      <c r="O577" s="135">
        <v>0.9</v>
      </c>
      <c r="P577" s="133">
        <v>0.973997833152763</v>
      </c>
      <c r="Q577" s="133">
        <v>0.994646044021416</v>
      </c>
      <c r="R577" s="133">
        <v>0.991085474567383</v>
      </c>
      <c r="S577" s="133">
        <v>0.988478676002546</v>
      </c>
      <c r="T577" s="135">
        <v>0.9</v>
      </c>
      <c r="U577" s="133">
        <v>0.95557963163597</v>
      </c>
      <c r="V577" s="133">
        <v>0.934562760261749</v>
      </c>
      <c r="W577" s="133">
        <v>0.925013109596224</v>
      </c>
      <c r="X577" s="133">
        <v>0.946308084022915</v>
      </c>
      <c r="Y577" s="135">
        <v>0.92</v>
      </c>
      <c r="Z577" s="135">
        <v>0.960950764006791</v>
      </c>
      <c r="AA577" s="135">
        <v>0.909604519774011</v>
      </c>
      <c r="AB577" s="135">
        <v>0.925981873111782</v>
      </c>
      <c r="AC577" s="135">
        <v>0.957448870795774</v>
      </c>
      <c r="AD577" s="135">
        <v>0.92</v>
      </c>
      <c r="AE577" s="133">
        <v>0.215845724907063</v>
      </c>
      <c r="AF577" s="133">
        <v>0.994632889652211</v>
      </c>
      <c r="AG577" s="133">
        <v>0.99912510936133</v>
      </c>
      <c r="AH577" s="133">
        <v>0.916065596400794</v>
      </c>
      <c r="AI577" s="135">
        <v>0.92</v>
      </c>
      <c r="AJ577" s="133">
        <v>0.97225891677675</v>
      </c>
      <c r="AK577" s="133">
        <v>0.965189873417722</v>
      </c>
      <c r="AL577" s="133">
        <v>0.972362787076684</v>
      </c>
      <c r="AM577" s="133">
        <v>0.980715329516326</v>
      </c>
      <c r="AN577" s="132">
        <v>0.99</v>
      </c>
      <c r="AO577" s="137">
        <v>0.988636363636364</v>
      </c>
      <c r="AP577" s="137">
        <v>1</v>
      </c>
      <c r="AQ577" s="137">
        <v>1</v>
      </c>
      <c r="AR577" s="137">
        <v>0.998886414253898</v>
      </c>
      <c r="AS577" s="158">
        <v>0.05</v>
      </c>
      <c r="AT577" s="141">
        <v>0.6</v>
      </c>
      <c r="AU577" s="141">
        <v>0</v>
      </c>
      <c r="AV577" s="141">
        <v>0</v>
      </c>
      <c r="AW577" s="141">
        <v>0.0823529411764706</v>
      </c>
      <c r="AX577" s="95"/>
      <c r="AY577" s="93"/>
    </row>
    <row r="578" ht="14.5" spans="1:51">
      <c r="A578" s="91"/>
      <c r="B578" s="95"/>
      <c r="C578" s="152" t="s">
        <v>375</v>
      </c>
      <c r="D578" s="153" t="s">
        <v>25</v>
      </c>
      <c r="E578" s="130" t="s">
        <v>376</v>
      </c>
      <c r="F578" s="154" t="s">
        <v>604</v>
      </c>
      <c r="G578" s="154" t="s">
        <v>604</v>
      </c>
      <c r="H578" s="154" t="s">
        <v>604</v>
      </c>
      <c r="I578" s="154" t="s">
        <v>604</v>
      </c>
      <c r="J578" s="132">
        <v>0.9</v>
      </c>
      <c r="K578" s="133">
        <v>1</v>
      </c>
      <c r="L578" s="133">
        <v>1</v>
      </c>
      <c r="M578" s="134">
        <v>1</v>
      </c>
      <c r="N578" s="133">
        <v>0.987434554973822</v>
      </c>
      <c r="O578" s="135">
        <v>0.9</v>
      </c>
      <c r="P578" s="133">
        <v>0.98027989821883</v>
      </c>
      <c r="Q578" s="133">
        <v>0.962488277586746</v>
      </c>
      <c r="R578" s="133">
        <v>0.980355220667384</v>
      </c>
      <c r="S578" s="133">
        <v>0.973035244451712</v>
      </c>
      <c r="T578" s="135">
        <v>0.9</v>
      </c>
      <c r="U578" s="133">
        <v>0.947837150127226</v>
      </c>
      <c r="V578" s="133">
        <v>0.820256330103157</v>
      </c>
      <c r="W578" s="133">
        <v>0.890742734122713</v>
      </c>
      <c r="X578" s="133">
        <v>0.902709853878971</v>
      </c>
      <c r="Y578" s="135">
        <v>0.92</v>
      </c>
      <c r="Z578" s="135">
        <v>0.799507995079951</v>
      </c>
      <c r="AA578" s="135">
        <v>0.805210918114144</v>
      </c>
      <c r="AB578" s="135">
        <v>0.771328056288478</v>
      </c>
      <c r="AC578" s="135">
        <v>0.820162300528294</v>
      </c>
      <c r="AD578" s="135">
        <v>0.92</v>
      </c>
      <c r="AE578" s="133">
        <v>0.975485816394907</v>
      </c>
      <c r="AF578" s="133">
        <v>0.988291900561347</v>
      </c>
      <c r="AG578" s="133">
        <v>0.993093313739897</v>
      </c>
      <c r="AH578" s="133">
        <v>0.982732288817568</v>
      </c>
      <c r="AI578" s="135">
        <v>0.92</v>
      </c>
      <c r="AJ578" s="133">
        <v>0.913207547169811</v>
      </c>
      <c r="AK578" s="133">
        <v>0.932884231536926</v>
      </c>
      <c r="AL578" s="133">
        <v>0.928703894498249</v>
      </c>
      <c r="AM578" s="133">
        <v>0.94711342011558</v>
      </c>
      <c r="AN578" s="132">
        <v>0.99</v>
      </c>
      <c r="AO578" s="137">
        <v>1</v>
      </c>
      <c r="AP578" s="137">
        <v>1</v>
      </c>
      <c r="AQ578" s="137">
        <v>1</v>
      </c>
      <c r="AR578" s="137">
        <v>1</v>
      </c>
      <c r="AS578" s="158">
        <v>0.05</v>
      </c>
      <c r="AT578" s="141">
        <v>0.111111111111111</v>
      </c>
      <c r="AU578" s="141">
        <v>0</v>
      </c>
      <c r="AV578" s="141">
        <v>0</v>
      </c>
      <c r="AW578" s="141">
        <v>0.0213523131672598</v>
      </c>
      <c r="AX578" s="95"/>
      <c r="AY578" s="93"/>
    </row>
    <row r="579" ht="14.5" spans="1:51">
      <c r="A579" s="91"/>
      <c r="B579" s="95"/>
      <c r="C579" s="152" t="s">
        <v>375</v>
      </c>
      <c r="D579" s="153" t="s">
        <v>25</v>
      </c>
      <c r="E579" s="130" t="s">
        <v>376</v>
      </c>
      <c r="F579" s="154" t="s">
        <v>605</v>
      </c>
      <c r="G579" s="154" t="s">
        <v>605</v>
      </c>
      <c r="H579" s="154" t="s">
        <v>605</v>
      </c>
      <c r="I579" s="154" t="s">
        <v>605</v>
      </c>
      <c r="J579" s="132">
        <v>0.9</v>
      </c>
      <c r="K579" s="133">
        <v>0.888888888888889</v>
      </c>
      <c r="L579" s="133">
        <v>0.892857142857143</v>
      </c>
      <c r="M579" s="134">
        <v>0.857142857142857</v>
      </c>
      <c r="N579" s="133">
        <v>0.898608349900596</v>
      </c>
      <c r="O579" s="135">
        <v>0.9</v>
      </c>
      <c r="P579" s="133">
        <v>0.987414187643021</v>
      </c>
      <c r="Q579" s="133">
        <v>0.982921083627797</v>
      </c>
      <c r="R579" s="133">
        <v>0.986053719008264</v>
      </c>
      <c r="S579" s="133">
        <v>0.981740514280928</v>
      </c>
      <c r="T579" s="135">
        <v>0.9</v>
      </c>
      <c r="U579" s="133">
        <v>0.911899313501144</v>
      </c>
      <c r="V579" s="133">
        <v>0.780918727915194</v>
      </c>
      <c r="W579" s="133">
        <v>0.922520661157025</v>
      </c>
      <c r="X579" s="133">
        <v>0.894156406175838</v>
      </c>
      <c r="Y579" s="135">
        <v>0.92</v>
      </c>
      <c r="Z579" s="135">
        <v>0.900862068965517</v>
      </c>
      <c r="AA579" s="135">
        <v>0.887290167865707</v>
      </c>
      <c r="AB579" s="135">
        <v>0.902356902356902</v>
      </c>
      <c r="AC579" s="135">
        <v>0.919889784671905</v>
      </c>
      <c r="AD579" s="135">
        <v>0.92</v>
      </c>
      <c r="AE579" s="133">
        <v>0.998153618906942</v>
      </c>
      <c r="AF579" s="133">
        <v>0.99476713762428</v>
      </c>
      <c r="AG579" s="133">
        <v>0.989778534923339</v>
      </c>
      <c r="AH579" s="133">
        <v>0.985596681475412</v>
      </c>
      <c r="AI579" s="135">
        <v>0.92</v>
      </c>
      <c r="AJ579" s="133">
        <v>0.94170403587444</v>
      </c>
      <c r="AK579" s="133">
        <v>0.931914893617021</v>
      </c>
      <c r="AL579" s="133">
        <v>0.957707509881423</v>
      </c>
      <c r="AM579" s="133">
        <v>0.965366067514248</v>
      </c>
      <c r="AN579" s="132">
        <v>0.99</v>
      </c>
      <c r="AO579" s="137">
        <v>1</v>
      </c>
      <c r="AP579" s="137">
        <v>1</v>
      </c>
      <c r="AQ579" s="137">
        <v>1</v>
      </c>
      <c r="AR579" s="137">
        <v>1</v>
      </c>
      <c r="AS579" s="158">
        <v>0.05</v>
      </c>
      <c r="AT579" s="141">
        <v>0.2</v>
      </c>
      <c r="AU579" s="141">
        <v>0</v>
      </c>
      <c r="AV579" s="141">
        <v>0</v>
      </c>
      <c r="AW579" s="141">
        <v>0.0812182741116751</v>
      </c>
      <c r="AX579" s="95"/>
      <c r="AY579" s="93"/>
    </row>
    <row r="580" ht="14.5" spans="1:51">
      <c r="A580" s="91"/>
      <c r="B580" s="95"/>
      <c r="C580" s="152" t="s">
        <v>375</v>
      </c>
      <c r="D580" s="153" t="s">
        <v>25</v>
      </c>
      <c r="E580" s="130" t="s">
        <v>376</v>
      </c>
      <c r="F580" s="154" t="s">
        <v>606</v>
      </c>
      <c r="G580" s="154" t="s">
        <v>606</v>
      </c>
      <c r="H580" s="154" t="s">
        <v>606</v>
      </c>
      <c r="I580" s="154" t="s">
        <v>606</v>
      </c>
      <c r="J580" s="132">
        <v>0.9</v>
      </c>
      <c r="K580" s="133">
        <v>1</v>
      </c>
      <c r="L580" s="133">
        <v>0.939393939393939</v>
      </c>
      <c r="M580" s="134">
        <v>1</v>
      </c>
      <c r="N580" s="133">
        <v>0.985313751668892</v>
      </c>
      <c r="O580" s="135">
        <v>0.9</v>
      </c>
      <c r="P580" s="133">
        <v>0</v>
      </c>
      <c r="Q580" s="133">
        <v>1</v>
      </c>
      <c r="R580" s="133">
        <v>0</v>
      </c>
      <c r="S580" s="133">
        <v>0.2</v>
      </c>
      <c r="T580" s="135">
        <v>0.9</v>
      </c>
      <c r="U580" s="133">
        <v>0</v>
      </c>
      <c r="V580" s="133">
        <v>0</v>
      </c>
      <c r="W580" s="133">
        <v>0</v>
      </c>
      <c r="X580" s="133">
        <v>0.2</v>
      </c>
      <c r="Y580" s="135">
        <v>0.92</v>
      </c>
      <c r="Z580" s="135" t="s">
        <v>35</v>
      </c>
      <c r="AA580" s="135" t="s">
        <v>35</v>
      </c>
      <c r="AB580" s="135" t="s">
        <v>35</v>
      </c>
      <c r="AC580" s="135">
        <v>0.6</v>
      </c>
      <c r="AD580" s="135">
        <v>0.92</v>
      </c>
      <c r="AE580" s="133">
        <v>1</v>
      </c>
      <c r="AF580" s="133">
        <v>0.982078853046595</v>
      </c>
      <c r="AG580" s="133">
        <v>0.99468085106383</v>
      </c>
      <c r="AH580" s="133">
        <v>0.987387784325604</v>
      </c>
      <c r="AI580" s="135">
        <v>0.92</v>
      </c>
      <c r="AJ580" s="133">
        <v>0.866131191432396</v>
      </c>
      <c r="AK580" s="133">
        <v>0.808700501952036</v>
      </c>
      <c r="AL580" s="133">
        <v>0.94177545691906</v>
      </c>
      <c r="AM580" s="133">
        <v>0.9329386843098</v>
      </c>
      <c r="AN580" s="132">
        <v>0.99</v>
      </c>
      <c r="AO580" s="137">
        <v>1</v>
      </c>
      <c r="AP580" s="137">
        <v>1</v>
      </c>
      <c r="AQ580" s="137">
        <v>1</v>
      </c>
      <c r="AR580" s="137">
        <v>1</v>
      </c>
      <c r="AS580" s="158">
        <v>0.05</v>
      </c>
      <c r="AT580" s="141">
        <v>0.285714285714286</v>
      </c>
      <c r="AU580" s="141">
        <v>0.1</v>
      </c>
      <c r="AV580" s="141">
        <v>0.0833333333333333</v>
      </c>
      <c r="AW580" s="141">
        <v>0.0677083333333333</v>
      </c>
      <c r="AX580" s="95"/>
      <c r="AY580" s="93"/>
    </row>
    <row r="581" ht="14.5" spans="1:51">
      <c r="A581" s="91"/>
      <c r="B581" s="95"/>
      <c r="C581" s="152" t="s">
        <v>375</v>
      </c>
      <c r="D581" s="153" t="s">
        <v>25</v>
      </c>
      <c r="E581" s="130" t="s">
        <v>376</v>
      </c>
      <c r="F581" s="154" t="s">
        <v>607</v>
      </c>
      <c r="G581" s="154" t="s">
        <v>607</v>
      </c>
      <c r="H581" s="154" t="s">
        <v>607</v>
      </c>
      <c r="I581" s="154" t="s">
        <v>607</v>
      </c>
      <c r="J581" s="132">
        <v>0.9</v>
      </c>
      <c r="K581" s="133">
        <v>1</v>
      </c>
      <c r="L581" s="133">
        <v>0.983606557377049</v>
      </c>
      <c r="M581" s="134">
        <v>0.966666666666667</v>
      </c>
      <c r="N581" s="133">
        <v>0.97770154373928</v>
      </c>
      <c r="O581" s="135">
        <v>0.9</v>
      </c>
      <c r="P581" s="133">
        <v>0.980927611616818</v>
      </c>
      <c r="Q581" s="133">
        <v>0.972978910369069</v>
      </c>
      <c r="R581" s="133">
        <v>0.981737686773658</v>
      </c>
      <c r="S581" s="133">
        <v>0.989725810202313</v>
      </c>
      <c r="T581" s="135">
        <v>0.9</v>
      </c>
      <c r="U581" s="133">
        <v>0.893368010403121</v>
      </c>
      <c r="V581" s="133">
        <v>0.73506151142355</v>
      </c>
      <c r="W581" s="133">
        <v>0.868658919018631</v>
      </c>
      <c r="X581" s="133">
        <v>0.880197873284993</v>
      </c>
      <c r="Y581" s="135">
        <v>0.92</v>
      </c>
      <c r="Z581" s="135">
        <v>0.765686274509804</v>
      </c>
      <c r="AA581" s="135">
        <v>0.751357220412595</v>
      </c>
      <c r="AB581" s="135">
        <v>0.875496688741722</v>
      </c>
      <c r="AC581" s="135">
        <v>0.879823420440661</v>
      </c>
      <c r="AD581" s="135">
        <v>0.92</v>
      </c>
      <c r="AE581" s="133">
        <v>0.992401423877327</v>
      </c>
      <c r="AF581" s="133">
        <v>0.962093421374419</v>
      </c>
      <c r="AG581" s="133">
        <v>0.976294913672422</v>
      </c>
      <c r="AH581" s="133">
        <v>0.985755391803765</v>
      </c>
      <c r="AI581" s="135">
        <v>0.92</v>
      </c>
      <c r="AJ581" s="133">
        <v>0.898737980769231</v>
      </c>
      <c r="AK581" s="133">
        <v>0.873972602739726</v>
      </c>
      <c r="AL581" s="133">
        <v>0.945750973885442</v>
      </c>
      <c r="AM581" s="133">
        <v>0.955847056470431</v>
      </c>
      <c r="AN581" s="132">
        <v>0.99</v>
      </c>
      <c r="AO581" s="137">
        <v>1</v>
      </c>
      <c r="AP581" s="137">
        <v>1</v>
      </c>
      <c r="AQ581" s="137">
        <v>1</v>
      </c>
      <c r="AR581" s="137">
        <v>1</v>
      </c>
      <c r="AS581" s="158">
        <v>0.05</v>
      </c>
      <c r="AT581" s="141">
        <v>0</v>
      </c>
      <c r="AU581" s="141">
        <v>0.0625</v>
      </c>
      <c r="AV581" s="141">
        <v>0.16</v>
      </c>
      <c r="AW581" s="141">
        <v>0.047008547008547</v>
      </c>
      <c r="AX581" s="95"/>
      <c r="AY581" s="93"/>
    </row>
    <row r="582" ht="14.5" spans="1:51">
      <c r="A582" s="91"/>
      <c r="B582" s="95"/>
      <c r="C582" s="152" t="s">
        <v>375</v>
      </c>
      <c r="D582" s="153" t="s">
        <v>25</v>
      </c>
      <c r="E582" s="130" t="s">
        <v>376</v>
      </c>
      <c r="F582" s="154" t="s">
        <v>608</v>
      </c>
      <c r="G582" s="154" t="s">
        <v>608</v>
      </c>
      <c r="H582" s="154" t="s">
        <v>608</v>
      </c>
      <c r="I582" s="154" t="s">
        <v>608</v>
      </c>
      <c r="J582" s="132">
        <v>0.9</v>
      </c>
      <c r="K582" s="133">
        <v>1</v>
      </c>
      <c r="L582" s="133">
        <v>1</v>
      </c>
      <c r="M582" s="134">
        <v>1</v>
      </c>
      <c r="N582" s="133">
        <v>0.996240601503759</v>
      </c>
      <c r="O582" s="135">
        <v>0.9</v>
      </c>
      <c r="P582" s="133">
        <v>1</v>
      </c>
      <c r="Q582" s="133">
        <v>0</v>
      </c>
      <c r="R582" s="133" t="s">
        <v>35</v>
      </c>
      <c r="S582" s="133">
        <v>0.6</v>
      </c>
      <c r="T582" s="135">
        <v>0.9</v>
      </c>
      <c r="U582" s="133">
        <v>0</v>
      </c>
      <c r="V582" s="133">
        <v>0</v>
      </c>
      <c r="W582" s="133" t="s">
        <v>35</v>
      </c>
      <c r="X582" s="133">
        <v>0.4</v>
      </c>
      <c r="Y582" s="135">
        <v>0.92</v>
      </c>
      <c r="Z582" s="135" t="s">
        <v>35</v>
      </c>
      <c r="AA582" s="135">
        <v>0</v>
      </c>
      <c r="AB582" s="135" t="s">
        <v>35</v>
      </c>
      <c r="AC582" s="135">
        <v>0</v>
      </c>
      <c r="AD582" s="135">
        <v>0.92</v>
      </c>
      <c r="AE582" s="133">
        <v>1</v>
      </c>
      <c r="AF582" s="133">
        <v>0.997955010224949</v>
      </c>
      <c r="AG582" s="133">
        <v>0.991279069767442</v>
      </c>
      <c r="AH582" s="133">
        <v>0.996002842423166</v>
      </c>
      <c r="AI582" s="135">
        <v>0.92</v>
      </c>
      <c r="AJ582" s="133">
        <v>0.956043956043956</v>
      </c>
      <c r="AK582" s="133">
        <v>0.937157317587516</v>
      </c>
      <c r="AL582" s="133">
        <v>0.972826086956522</v>
      </c>
      <c r="AM582" s="133">
        <v>0.97098896434635</v>
      </c>
      <c r="AN582" s="132">
        <v>0.99</v>
      </c>
      <c r="AO582" s="137">
        <v>1</v>
      </c>
      <c r="AP582" s="137">
        <v>1</v>
      </c>
      <c r="AQ582" s="137">
        <v>1</v>
      </c>
      <c r="AR582" s="137">
        <v>1</v>
      </c>
      <c r="AS582" s="158">
        <v>0.05</v>
      </c>
      <c r="AT582" s="141">
        <v>0</v>
      </c>
      <c r="AU582" s="141">
        <v>0</v>
      </c>
      <c r="AV582" s="141">
        <v>0</v>
      </c>
      <c r="AW582" s="141">
        <v>0.0583333333333333</v>
      </c>
      <c r="AX582" s="95"/>
      <c r="AY582" s="93"/>
    </row>
    <row r="583" ht="14.5" spans="1:51">
      <c r="A583" s="91"/>
      <c r="B583" s="95"/>
      <c r="C583" s="152" t="s">
        <v>375</v>
      </c>
      <c r="D583" s="153" t="s">
        <v>25</v>
      </c>
      <c r="E583" s="130" t="s">
        <v>376</v>
      </c>
      <c r="F583" s="154" t="s">
        <v>609</v>
      </c>
      <c r="G583" s="154" t="s">
        <v>609</v>
      </c>
      <c r="H583" s="154" t="s">
        <v>609</v>
      </c>
      <c r="I583" s="154" t="s">
        <v>609</v>
      </c>
      <c r="J583" s="132">
        <v>0.9</v>
      </c>
      <c r="K583" s="133">
        <v>0.971428571428571</v>
      </c>
      <c r="L583" s="133">
        <v>0.974358974358974</v>
      </c>
      <c r="M583" s="134">
        <v>0.972972972972973</v>
      </c>
      <c r="N583" s="133">
        <v>0.967032967032967</v>
      </c>
      <c r="O583" s="135">
        <v>0.9</v>
      </c>
      <c r="P583" s="133">
        <v>0.960419091967404</v>
      </c>
      <c r="Q583" s="133">
        <v>0.979395604395604</v>
      </c>
      <c r="R583" s="133">
        <v>0.973832887303003</v>
      </c>
      <c r="S583" s="133">
        <v>0.971807657136942</v>
      </c>
      <c r="T583" s="135">
        <v>0.9</v>
      </c>
      <c r="U583" s="133">
        <v>0.919091967403958</v>
      </c>
      <c r="V583" s="133">
        <v>0.895604395604396</v>
      </c>
      <c r="W583" s="133">
        <v>0.906928337793637</v>
      </c>
      <c r="X583" s="133">
        <v>0.931399782604945</v>
      </c>
      <c r="Y583" s="135">
        <v>0.92</v>
      </c>
      <c r="Z583" s="135">
        <v>0.968017057569296</v>
      </c>
      <c r="AA583" s="135">
        <v>0.906040268456376</v>
      </c>
      <c r="AB583" s="135">
        <v>0.90205680705191</v>
      </c>
      <c r="AC583" s="135">
        <v>0.943106457242583</v>
      </c>
      <c r="AD583" s="135">
        <v>0.92</v>
      </c>
      <c r="AE583" s="133">
        <v>0.997153620761825</v>
      </c>
      <c r="AF583" s="133">
        <v>0.998234349919743</v>
      </c>
      <c r="AG583" s="133">
        <v>0.992098430974151</v>
      </c>
      <c r="AH583" s="133">
        <v>0.990349701386305</v>
      </c>
      <c r="AI583" s="135">
        <v>0.92</v>
      </c>
      <c r="AJ583" s="133">
        <v>0.966139954853273</v>
      </c>
      <c r="AK583" s="133">
        <v>0.93956795187312</v>
      </c>
      <c r="AL583" s="133">
        <v>0.940720474236206</v>
      </c>
      <c r="AM583" s="133">
        <v>0.968109733383003</v>
      </c>
      <c r="AN583" s="132">
        <v>0.99</v>
      </c>
      <c r="AO583" s="137">
        <v>1</v>
      </c>
      <c r="AP583" s="137">
        <v>1</v>
      </c>
      <c r="AQ583" s="137">
        <v>1</v>
      </c>
      <c r="AR583" s="137">
        <v>1</v>
      </c>
      <c r="AS583" s="158">
        <v>0.05</v>
      </c>
      <c r="AT583" s="141">
        <v>0.0416666666666667</v>
      </c>
      <c r="AU583" s="141">
        <v>0.125</v>
      </c>
      <c r="AV583" s="141">
        <v>0.05</v>
      </c>
      <c r="AW583" s="141">
        <v>0.0522193211488251</v>
      </c>
      <c r="AX583" s="95"/>
      <c r="AY583" s="93"/>
    </row>
    <row r="584" ht="14.5" spans="1:51">
      <c r="A584" s="91"/>
      <c r="B584" s="95"/>
      <c r="C584" s="152" t="s">
        <v>375</v>
      </c>
      <c r="D584" s="153" t="s">
        <v>25</v>
      </c>
      <c r="E584" s="130" t="s">
        <v>376</v>
      </c>
      <c r="F584" s="154" t="s">
        <v>610</v>
      </c>
      <c r="G584" s="154" t="s">
        <v>610</v>
      </c>
      <c r="H584" s="154" t="s">
        <v>610</v>
      </c>
      <c r="I584" s="154" t="s">
        <v>610</v>
      </c>
      <c r="J584" s="132">
        <v>0.9</v>
      </c>
      <c r="K584" s="133">
        <v>1</v>
      </c>
      <c r="L584" s="133">
        <v>1</v>
      </c>
      <c r="M584" s="134">
        <v>1</v>
      </c>
      <c r="N584" s="133">
        <v>0.991071428571429</v>
      </c>
      <c r="O584" s="135">
        <v>0.9</v>
      </c>
      <c r="P584" s="133">
        <v>0.992063492063492</v>
      </c>
      <c r="Q584" s="133">
        <v>0.994157740993184</v>
      </c>
      <c r="R584" s="133">
        <v>0.996429634037489</v>
      </c>
      <c r="S584" s="133">
        <v>0.993248080177014</v>
      </c>
      <c r="T584" s="135">
        <v>0.9</v>
      </c>
      <c r="U584" s="133">
        <v>0.961640211640212</v>
      </c>
      <c r="V584" s="133">
        <v>0.962999026290166</v>
      </c>
      <c r="W584" s="133">
        <v>0.969056828324903</v>
      </c>
      <c r="X584" s="133">
        <v>0.960822595340362</v>
      </c>
      <c r="Y584" s="135">
        <v>0.92</v>
      </c>
      <c r="Z584" s="135">
        <v>0.968188105117566</v>
      </c>
      <c r="AA584" s="135">
        <v>0.973134328358209</v>
      </c>
      <c r="AB584" s="135">
        <v>0.977801268498943</v>
      </c>
      <c r="AC584" s="135">
        <v>0.979677983477055</v>
      </c>
      <c r="AD584" s="135">
        <v>0.92</v>
      </c>
      <c r="AE584" s="133">
        <v>0.999618429838787</v>
      </c>
      <c r="AF584" s="133">
        <v>0.99975068561456</v>
      </c>
      <c r="AG584" s="133">
        <v>0.999602543720191</v>
      </c>
      <c r="AH584" s="133">
        <v>0.992611565363018</v>
      </c>
      <c r="AI584" s="135">
        <v>0.92</v>
      </c>
      <c r="AJ584" s="133">
        <v>0.972719141323792</v>
      </c>
      <c r="AK584" s="133">
        <v>0.982414068745004</v>
      </c>
      <c r="AL584" s="133">
        <v>0.988164307263866</v>
      </c>
      <c r="AM584" s="133">
        <v>0.988628068692612</v>
      </c>
      <c r="AN584" s="132">
        <v>0.99</v>
      </c>
      <c r="AO584" s="137">
        <v>1</v>
      </c>
      <c r="AP584" s="137">
        <v>1</v>
      </c>
      <c r="AQ584" s="137">
        <v>1</v>
      </c>
      <c r="AR584" s="137">
        <v>1</v>
      </c>
      <c r="AS584" s="158">
        <v>0.05</v>
      </c>
      <c r="AT584" s="141">
        <v>0</v>
      </c>
      <c r="AU584" s="141">
        <v>0.266666666666667</v>
      </c>
      <c r="AV584" s="141">
        <v>0</v>
      </c>
      <c r="AW584" s="141">
        <v>0.0448430493273543</v>
      </c>
      <c r="AX584" s="95"/>
      <c r="AY584" s="93"/>
    </row>
    <row r="585" ht="14.5" spans="1:51">
      <c r="A585" s="91"/>
      <c r="B585" s="95"/>
      <c r="C585" s="152" t="s">
        <v>375</v>
      </c>
      <c r="D585" s="153" t="s">
        <v>25</v>
      </c>
      <c r="E585" s="130" t="s">
        <v>376</v>
      </c>
      <c r="F585" s="154" t="s">
        <v>611</v>
      </c>
      <c r="G585" s="154" t="s">
        <v>611</v>
      </c>
      <c r="H585" s="154" t="s">
        <v>611</v>
      </c>
      <c r="I585" s="154" t="s">
        <v>611</v>
      </c>
      <c r="J585" s="132">
        <v>0.9</v>
      </c>
      <c r="K585" s="133">
        <v>0.869565217391304</v>
      </c>
      <c r="L585" s="133">
        <v>0.866666666666667</v>
      </c>
      <c r="M585" s="134">
        <v>0.945205479452055</v>
      </c>
      <c r="N585" s="133">
        <v>0.946708463949843</v>
      </c>
      <c r="O585" s="135">
        <v>0.9</v>
      </c>
      <c r="P585" s="133" t="s">
        <v>35</v>
      </c>
      <c r="Q585" s="133">
        <v>1</v>
      </c>
      <c r="R585" s="133">
        <v>0</v>
      </c>
      <c r="S585" s="133">
        <v>0.363636363636364</v>
      </c>
      <c r="T585" s="135">
        <v>0.9</v>
      </c>
      <c r="U585" s="133" t="s">
        <v>35</v>
      </c>
      <c r="V585" s="133">
        <v>0</v>
      </c>
      <c r="W585" s="133">
        <v>0</v>
      </c>
      <c r="X585" s="133">
        <v>0.0909090909090909</v>
      </c>
      <c r="Y585" s="135">
        <v>0.92</v>
      </c>
      <c r="Z585" s="135">
        <v>0</v>
      </c>
      <c r="AA585" s="135" t="s">
        <v>35</v>
      </c>
      <c r="AB585" s="135">
        <v>0</v>
      </c>
      <c r="AC585" s="135">
        <v>0.2</v>
      </c>
      <c r="AD585" s="135">
        <v>0.92</v>
      </c>
      <c r="AE585" s="133">
        <v>0.999164578111946</v>
      </c>
      <c r="AF585" s="133">
        <v>1</v>
      </c>
      <c r="AG585" s="133">
        <v>0.990147783251232</v>
      </c>
      <c r="AH585" s="133">
        <v>0.987980769230769</v>
      </c>
      <c r="AI585" s="135">
        <v>0.92</v>
      </c>
      <c r="AJ585" s="133">
        <v>0.921677802524128</v>
      </c>
      <c r="AK585" s="133">
        <v>0.781185324553151</v>
      </c>
      <c r="AL585" s="133">
        <v>0.95216</v>
      </c>
      <c r="AM585" s="133">
        <v>0.932987557590973</v>
      </c>
      <c r="AN585" s="132">
        <v>0.99</v>
      </c>
      <c r="AO585" s="137">
        <v>1</v>
      </c>
      <c r="AP585" s="137">
        <v>1</v>
      </c>
      <c r="AQ585" s="137">
        <v>1</v>
      </c>
      <c r="AR585" s="137">
        <v>1</v>
      </c>
      <c r="AS585" s="158">
        <v>0.05</v>
      </c>
      <c r="AT585" s="141">
        <v>0</v>
      </c>
      <c r="AU585" s="141">
        <v>0</v>
      </c>
      <c r="AV585" s="141">
        <v>0</v>
      </c>
      <c r="AW585" s="141">
        <v>0.0231023102310231</v>
      </c>
      <c r="AX585" s="95"/>
      <c r="AY585" s="93"/>
    </row>
    <row r="586" ht="14.5" spans="1:51">
      <c r="A586" s="91"/>
      <c r="B586" s="95"/>
      <c r="C586" s="152" t="s">
        <v>375</v>
      </c>
      <c r="D586" s="153" t="s">
        <v>25</v>
      </c>
      <c r="E586" s="130" t="s">
        <v>376</v>
      </c>
      <c r="F586" s="154" t="s">
        <v>612</v>
      </c>
      <c r="G586" s="154" t="s">
        <v>612</v>
      </c>
      <c r="H586" s="154" t="s">
        <v>612</v>
      </c>
      <c r="I586" s="154" t="s">
        <v>612</v>
      </c>
      <c r="J586" s="132">
        <v>0.9</v>
      </c>
      <c r="K586" s="133">
        <v>1</v>
      </c>
      <c r="L586" s="133">
        <v>0.96</v>
      </c>
      <c r="M586" s="134">
        <v>0.92</v>
      </c>
      <c r="N586" s="133">
        <v>0.985232067510548</v>
      </c>
      <c r="O586" s="135">
        <v>0.9</v>
      </c>
      <c r="P586" s="133">
        <v>0.997153700189753</v>
      </c>
      <c r="Q586" s="133">
        <v>0.997300215982721</v>
      </c>
      <c r="R586" s="133">
        <v>0.997689463955638</v>
      </c>
      <c r="S586" s="133">
        <v>0.997118956759079</v>
      </c>
      <c r="T586" s="135">
        <v>0.9</v>
      </c>
      <c r="U586" s="133">
        <v>0.964895635673624</v>
      </c>
      <c r="V586" s="133">
        <v>0.947624190064795</v>
      </c>
      <c r="W586" s="133">
        <v>0.959796672828096</v>
      </c>
      <c r="X586" s="133">
        <v>0.971770830700801</v>
      </c>
      <c r="Y586" s="135">
        <v>0.92</v>
      </c>
      <c r="Z586" s="135">
        <v>0.977596741344195</v>
      </c>
      <c r="AA586" s="135">
        <v>0.955645161290323</v>
      </c>
      <c r="AB586" s="135">
        <v>0.976923076923077</v>
      </c>
      <c r="AC586" s="135">
        <v>0.982510185829276</v>
      </c>
      <c r="AD586" s="135">
        <v>0.92</v>
      </c>
      <c r="AE586" s="133">
        <v>0.997235235388987</v>
      </c>
      <c r="AF586" s="133">
        <v>0.997197640117994</v>
      </c>
      <c r="AG586" s="133">
        <v>0.998937752283833</v>
      </c>
      <c r="AH586" s="133">
        <v>0.994462409908482</v>
      </c>
      <c r="AI586" s="135">
        <v>0.92</v>
      </c>
      <c r="AJ586" s="133">
        <v>0.983818770226537</v>
      </c>
      <c r="AK586" s="133">
        <v>0.968483816013629</v>
      </c>
      <c r="AL586" s="133">
        <v>0.982587064676617</v>
      </c>
      <c r="AM586" s="133">
        <v>0.98891866298632</v>
      </c>
      <c r="AN586" s="132">
        <v>0.99</v>
      </c>
      <c r="AO586" s="137">
        <v>1</v>
      </c>
      <c r="AP586" s="137">
        <v>1</v>
      </c>
      <c r="AQ586" s="137">
        <v>1</v>
      </c>
      <c r="AR586" s="137">
        <v>1</v>
      </c>
      <c r="AS586" s="158">
        <v>0.05</v>
      </c>
      <c r="AT586" s="141">
        <v>0.0833333333333333</v>
      </c>
      <c r="AU586" s="141">
        <v>0.272727272727273</v>
      </c>
      <c r="AV586" s="141">
        <v>0.1</v>
      </c>
      <c r="AW586" s="141">
        <v>0.109243697478992</v>
      </c>
      <c r="AX586" s="95"/>
      <c r="AY586" s="93"/>
    </row>
    <row r="587" ht="14.5" spans="1:51">
      <c r="A587" s="91"/>
      <c r="B587" s="95"/>
      <c r="C587" s="152" t="s">
        <v>375</v>
      </c>
      <c r="D587" s="153" t="s">
        <v>25</v>
      </c>
      <c r="E587" s="130" t="s">
        <v>376</v>
      </c>
      <c r="F587" s="154" t="s">
        <v>613</v>
      </c>
      <c r="G587" s="154" t="s">
        <v>613</v>
      </c>
      <c r="H587" s="154" t="s">
        <v>613</v>
      </c>
      <c r="I587" s="154" t="s">
        <v>613</v>
      </c>
      <c r="J587" s="132">
        <v>0.9</v>
      </c>
      <c r="K587" s="133">
        <v>0.935483870967742</v>
      </c>
      <c r="L587" s="133">
        <v>0.892857142857143</v>
      </c>
      <c r="M587" s="134">
        <v>0.941176470588235</v>
      </c>
      <c r="N587" s="133">
        <v>0.946459412780656</v>
      </c>
      <c r="O587" s="135">
        <v>0.9</v>
      </c>
      <c r="P587" s="133">
        <v>1</v>
      </c>
      <c r="Q587" s="133">
        <v>0</v>
      </c>
      <c r="R587" s="133" t="s">
        <v>35</v>
      </c>
      <c r="S587" s="133">
        <v>0.4</v>
      </c>
      <c r="T587" s="135">
        <v>0.9</v>
      </c>
      <c r="U587" s="133">
        <v>0</v>
      </c>
      <c r="V587" s="133">
        <v>0.8</v>
      </c>
      <c r="W587" s="133" t="s">
        <v>35</v>
      </c>
      <c r="X587" s="133">
        <v>0.6</v>
      </c>
      <c r="Y587" s="135">
        <v>0.92</v>
      </c>
      <c r="Z587" s="135" t="s">
        <v>35</v>
      </c>
      <c r="AA587" s="135" t="s">
        <v>35</v>
      </c>
      <c r="AB587" s="135" t="s">
        <v>35</v>
      </c>
      <c r="AC587" s="135">
        <v>0.5</v>
      </c>
      <c r="AD587" s="135">
        <v>0.92</v>
      </c>
      <c r="AE587" s="133">
        <v>1</v>
      </c>
      <c r="AF587" s="133">
        <v>0.95</v>
      </c>
      <c r="AG587" s="133">
        <v>0.95</v>
      </c>
      <c r="AH587" s="133">
        <v>0.958034800409417</v>
      </c>
      <c r="AI587" s="135">
        <v>0.92</v>
      </c>
      <c r="AJ587" s="133">
        <v>0.897058823529412</v>
      </c>
      <c r="AK587" s="133">
        <v>0.75856105153926</v>
      </c>
      <c r="AL587" s="133">
        <v>0.945717732207479</v>
      </c>
      <c r="AM587" s="133">
        <v>0.926522780145698</v>
      </c>
      <c r="AN587" s="132">
        <v>0.99</v>
      </c>
      <c r="AO587" s="137">
        <v>1</v>
      </c>
      <c r="AP587" s="137">
        <v>1</v>
      </c>
      <c r="AQ587" s="137">
        <v>1</v>
      </c>
      <c r="AR587" s="137">
        <v>1</v>
      </c>
      <c r="AS587" s="158">
        <v>0.05</v>
      </c>
      <c r="AT587" s="141">
        <v>0.142857142857143</v>
      </c>
      <c r="AU587" s="141">
        <v>0</v>
      </c>
      <c r="AV587" s="141">
        <v>0.2</v>
      </c>
      <c r="AW587" s="141">
        <v>0.112903225806452</v>
      </c>
      <c r="AX587" s="95"/>
      <c r="AY587" s="93"/>
    </row>
    <row r="588" ht="14.5" spans="1:51">
      <c r="A588" s="91"/>
      <c r="B588" s="95"/>
      <c r="C588" s="152" t="s">
        <v>375</v>
      </c>
      <c r="D588" s="153" t="s">
        <v>25</v>
      </c>
      <c r="E588" s="130" t="s">
        <v>376</v>
      </c>
      <c r="F588" s="154" t="s">
        <v>614</v>
      </c>
      <c r="G588" s="154" t="s">
        <v>614</v>
      </c>
      <c r="H588" s="154" t="s">
        <v>614</v>
      </c>
      <c r="I588" s="154" t="s">
        <v>614</v>
      </c>
      <c r="J588" s="132">
        <v>0.9</v>
      </c>
      <c r="K588" s="133">
        <v>0.952380952380952</v>
      </c>
      <c r="L588" s="133">
        <v>1</v>
      </c>
      <c r="M588" s="134">
        <v>0.954545454545455</v>
      </c>
      <c r="N588" s="133">
        <v>0.964114832535885</v>
      </c>
      <c r="O588" s="135">
        <v>0.9</v>
      </c>
      <c r="P588" s="133">
        <v>0.978211009174312</v>
      </c>
      <c r="Q588" s="133">
        <v>0.955993051534453</v>
      </c>
      <c r="R588" s="133">
        <v>0.98309065288868</v>
      </c>
      <c r="S588" s="133">
        <v>0.979382283432483</v>
      </c>
      <c r="T588" s="135">
        <v>0.9</v>
      </c>
      <c r="U588" s="133">
        <v>0.907110091743119</v>
      </c>
      <c r="V588" s="133">
        <v>0.640995946728431</v>
      </c>
      <c r="W588" s="133">
        <v>0.843588539220291</v>
      </c>
      <c r="X588" s="133">
        <v>0.870860837204248</v>
      </c>
      <c r="Y588" s="135">
        <v>0.92</v>
      </c>
      <c r="Z588" s="135">
        <v>0.790909090909091</v>
      </c>
      <c r="AA588" s="135">
        <v>0.519108280254777</v>
      </c>
      <c r="AB588" s="135">
        <v>0.713318284424379</v>
      </c>
      <c r="AC588" s="135">
        <v>0.700527526038144</v>
      </c>
      <c r="AD588" s="135">
        <v>0.92</v>
      </c>
      <c r="AE588" s="133">
        <v>1</v>
      </c>
      <c r="AF588" s="133">
        <v>0.997071742313324</v>
      </c>
      <c r="AG588" s="133">
        <v>1</v>
      </c>
      <c r="AH588" s="133">
        <v>0.99775397373877</v>
      </c>
      <c r="AI588" s="135">
        <v>0.92</v>
      </c>
      <c r="AJ588" s="133">
        <v>0.917218543046358</v>
      </c>
      <c r="AK588" s="133">
        <v>0.870288790993637</v>
      </c>
      <c r="AL588" s="133">
        <v>0.928488146132919</v>
      </c>
      <c r="AM588" s="133">
        <v>0.927177329986204</v>
      </c>
      <c r="AN588" s="132">
        <v>0.99</v>
      </c>
      <c r="AO588" s="137">
        <v>1</v>
      </c>
      <c r="AP588" s="137">
        <v>1</v>
      </c>
      <c r="AQ588" s="137">
        <v>1</v>
      </c>
      <c r="AR588" s="137">
        <v>1</v>
      </c>
      <c r="AS588" s="158">
        <v>0.05</v>
      </c>
      <c r="AT588" s="141">
        <v>0.111111111111111</v>
      </c>
      <c r="AU588" s="141">
        <v>0</v>
      </c>
      <c r="AV588" s="141">
        <v>0</v>
      </c>
      <c r="AW588" s="141">
        <v>0.0537634408602151</v>
      </c>
      <c r="AX588" s="95"/>
      <c r="AY588" s="93"/>
    </row>
    <row r="589" ht="14.5" spans="1:51">
      <c r="A589" s="91"/>
      <c r="B589" s="95"/>
      <c r="C589" s="152" t="s">
        <v>375</v>
      </c>
      <c r="D589" s="153" t="s">
        <v>25</v>
      </c>
      <c r="E589" s="130" t="s">
        <v>376</v>
      </c>
      <c r="F589" s="154" t="s">
        <v>615</v>
      </c>
      <c r="G589" s="154" t="s">
        <v>615</v>
      </c>
      <c r="H589" s="154" t="s">
        <v>615</v>
      </c>
      <c r="I589" s="154" t="s">
        <v>615</v>
      </c>
      <c r="J589" s="132">
        <v>0.9</v>
      </c>
      <c r="K589" s="133">
        <v>0.964285714285714</v>
      </c>
      <c r="L589" s="133">
        <v>1</v>
      </c>
      <c r="M589" s="134">
        <v>1</v>
      </c>
      <c r="N589" s="133">
        <v>0.975694444444444</v>
      </c>
      <c r="O589" s="135">
        <v>0.9</v>
      </c>
      <c r="P589" s="133">
        <v>0</v>
      </c>
      <c r="Q589" s="133">
        <v>0</v>
      </c>
      <c r="R589" s="133">
        <v>1</v>
      </c>
      <c r="S589" s="133">
        <v>0.466666666666667</v>
      </c>
      <c r="T589" s="135">
        <v>0.9</v>
      </c>
      <c r="U589" s="133">
        <v>0</v>
      </c>
      <c r="V589" s="133">
        <v>0</v>
      </c>
      <c r="W589" s="133">
        <v>1</v>
      </c>
      <c r="X589" s="133">
        <v>0.8</v>
      </c>
      <c r="Y589" s="135">
        <v>0.92</v>
      </c>
      <c r="Z589" s="135">
        <v>0</v>
      </c>
      <c r="AA589" s="135" t="s">
        <v>35</v>
      </c>
      <c r="AB589" s="135" t="s">
        <v>35</v>
      </c>
      <c r="AC589" s="135">
        <v>0</v>
      </c>
      <c r="AD589" s="135">
        <v>0.92</v>
      </c>
      <c r="AE589" s="133">
        <v>0.986842105263158</v>
      </c>
      <c r="AF589" s="133">
        <v>0.96551724137931</v>
      </c>
      <c r="AG589" s="133">
        <v>0.982456140350877</v>
      </c>
      <c r="AH589" s="133">
        <v>0.974677716390424</v>
      </c>
      <c r="AI589" s="135">
        <v>0.92</v>
      </c>
      <c r="AJ589" s="133">
        <v>0.917462099943852</v>
      </c>
      <c r="AK589" s="133">
        <v>0.824163027656477</v>
      </c>
      <c r="AL589" s="133">
        <v>0.931061192873741</v>
      </c>
      <c r="AM589" s="133">
        <v>0.944933454325469</v>
      </c>
      <c r="AN589" s="132">
        <v>0.99</v>
      </c>
      <c r="AO589" s="137">
        <v>1</v>
      </c>
      <c r="AP589" s="137">
        <v>1</v>
      </c>
      <c r="AQ589" s="137">
        <v>1</v>
      </c>
      <c r="AR589" s="137">
        <v>1</v>
      </c>
      <c r="AS589" s="158">
        <v>0.05</v>
      </c>
      <c r="AT589" s="141">
        <v>0</v>
      </c>
      <c r="AU589" s="141">
        <v>0.166666666666667</v>
      </c>
      <c r="AV589" s="141">
        <v>0.2</v>
      </c>
      <c r="AW589" s="141">
        <v>0.0476190476190476</v>
      </c>
      <c r="AX589" s="95"/>
      <c r="AY589" s="93"/>
    </row>
    <row r="590" ht="14.5" spans="1:51">
      <c r="A590" s="91"/>
      <c r="B590" s="95"/>
      <c r="C590" s="152" t="s">
        <v>375</v>
      </c>
      <c r="D590" s="153" t="s">
        <v>25</v>
      </c>
      <c r="E590" s="130" t="s">
        <v>376</v>
      </c>
      <c r="F590" s="154" t="s">
        <v>616</v>
      </c>
      <c r="G590" s="154" t="s">
        <v>616</v>
      </c>
      <c r="H590" s="154" t="s">
        <v>616</v>
      </c>
      <c r="I590" s="154" t="s">
        <v>616</v>
      </c>
      <c r="J590" s="132">
        <v>0.9</v>
      </c>
      <c r="K590" s="133">
        <v>0.931034482758621</v>
      </c>
      <c r="L590" s="133">
        <v>0.892857142857143</v>
      </c>
      <c r="M590" s="134">
        <v>0.933333333333333</v>
      </c>
      <c r="N590" s="133">
        <v>0.941818181818182</v>
      </c>
      <c r="O590" s="135">
        <v>0.9</v>
      </c>
      <c r="P590" s="133">
        <v>0.945499587118084</v>
      </c>
      <c r="Q590" s="133">
        <v>0.916879143294238</v>
      </c>
      <c r="R590" s="133">
        <v>0.977272727272727</v>
      </c>
      <c r="S590" s="133">
        <v>0.970753626235022</v>
      </c>
      <c r="T590" s="135">
        <v>0.9</v>
      </c>
      <c r="U590" s="133">
        <v>0.909991742361685</v>
      </c>
      <c r="V590" s="133">
        <v>0.82559918408975</v>
      </c>
      <c r="W590" s="133">
        <v>0.915329768270945</v>
      </c>
      <c r="X590" s="133">
        <v>0.919119192768552</v>
      </c>
      <c r="Y590" s="135">
        <v>0.92</v>
      </c>
      <c r="Z590" s="135">
        <v>0.904132231404959</v>
      </c>
      <c r="AA590" s="135">
        <v>0.827067669172932</v>
      </c>
      <c r="AB590" s="135">
        <v>0.875576036866359</v>
      </c>
      <c r="AC590" s="135">
        <v>0.901387684301821</v>
      </c>
      <c r="AD590" s="135">
        <v>0.92</v>
      </c>
      <c r="AE590" s="133">
        <v>0.981953951462352</v>
      </c>
      <c r="AF590" s="133">
        <v>0.991008127269583</v>
      </c>
      <c r="AG590" s="133">
        <v>0.991148531951641</v>
      </c>
      <c r="AH590" s="133">
        <v>0.981414960323564</v>
      </c>
      <c r="AI590" s="135">
        <v>0.92</v>
      </c>
      <c r="AJ590" s="133">
        <v>0.952747252747253</v>
      </c>
      <c r="AK590" s="133">
        <v>0.901323706377858</v>
      </c>
      <c r="AL590" s="133">
        <v>0.951674145667932</v>
      </c>
      <c r="AM590" s="133">
        <v>0.954517962985364</v>
      </c>
      <c r="AN590" s="132">
        <v>0.99</v>
      </c>
      <c r="AO590" s="137">
        <v>1</v>
      </c>
      <c r="AP590" s="137">
        <v>1</v>
      </c>
      <c r="AQ590" s="137">
        <v>1</v>
      </c>
      <c r="AR590" s="137">
        <v>1</v>
      </c>
      <c r="AS590" s="158">
        <v>0.05</v>
      </c>
      <c r="AT590" s="141">
        <v>0.0476190476190476</v>
      </c>
      <c r="AU590" s="141">
        <v>0.0666666666666667</v>
      </c>
      <c r="AV590" s="141">
        <v>0</v>
      </c>
      <c r="AW590" s="141">
        <v>0.0302114803625378</v>
      </c>
      <c r="AX590" s="95"/>
      <c r="AY590" s="93"/>
    </row>
    <row r="591" ht="14.5" spans="1:51">
      <c r="A591" s="91"/>
      <c r="B591" s="95"/>
      <c r="C591" s="152" t="s">
        <v>375</v>
      </c>
      <c r="D591" s="153" t="s">
        <v>25</v>
      </c>
      <c r="E591" s="130" t="s">
        <v>376</v>
      </c>
      <c r="F591" s="154" t="s">
        <v>617</v>
      </c>
      <c r="G591" s="154" t="s">
        <v>617</v>
      </c>
      <c r="H591" s="154" t="s">
        <v>617</v>
      </c>
      <c r="I591" s="154" t="s">
        <v>617</v>
      </c>
      <c r="J591" s="132">
        <v>0.9</v>
      </c>
      <c r="K591" s="133">
        <v>1</v>
      </c>
      <c r="L591" s="133">
        <v>1</v>
      </c>
      <c r="M591" s="134">
        <v>1</v>
      </c>
      <c r="N591" s="133">
        <v>0.998904709748083</v>
      </c>
      <c r="O591" s="135">
        <v>0.9</v>
      </c>
      <c r="P591" s="133">
        <v>0.971393791844188</v>
      </c>
      <c r="Q591" s="133">
        <v>0.981915209012748</v>
      </c>
      <c r="R591" s="133">
        <v>0.975289169295478</v>
      </c>
      <c r="S591" s="133">
        <v>0.975565716282727</v>
      </c>
      <c r="T591" s="135">
        <v>0.9</v>
      </c>
      <c r="U591" s="133">
        <v>0.920876445526476</v>
      </c>
      <c r="V591" s="133">
        <v>0.912837236881115</v>
      </c>
      <c r="W591" s="133">
        <v>0.92087276550999</v>
      </c>
      <c r="X591" s="133">
        <v>0.906675015289629</v>
      </c>
      <c r="Y591" s="135">
        <v>0.92</v>
      </c>
      <c r="Z591" s="135">
        <v>0.822558459422283</v>
      </c>
      <c r="AA591" s="135">
        <v>0.771186440677966</v>
      </c>
      <c r="AB591" s="135">
        <v>0.862367661212704</v>
      </c>
      <c r="AC591" s="135">
        <v>0.842102047051635</v>
      </c>
      <c r="AD591" s="135">
        <v>0.92</v>
      </c>
      <c r="AE591" s="133">
        <v>0.998208286674132</v>
      </c>
      <c r="AF591" s="133">
        <v>0.995905368516834</v>
      </c>
      <c r="AG591" s="133">
        <v>0.997171145685997</v>
      </c>
      <c r="AH591" s="133">
        <v>0.996118264444925</v>
      </c>
      <c r="AI591" s="135">
        <v>0.92</v>
      </c>
      <c r="AJ591" s="133">
        <v>0.919443272880641</v>
      </c>
      <c r="AK591" s="133">
        <v>0.938265556099951</v>
      </c>
      <c r="AL591" s="133">
        <v>0.954573611397894</v>
      </c>
      <c r="AM591" s="133">
        <v>0.953142453994944</v>
      </c>
      <c r="AN591" s="132">
        <v>0.99</v>
      </c>
      <c r="AO591" s="137">
        <v>1</v>
      </c>
      <c r="AP591" s="137">
        <v>1</v>
      </c>
      <c r="AQ591" s="137">
        <v>1</v>
      </c>
      <c r="AR591" s="137">
        <v>1</v>
      </c>
      <c r="AS591" s="158">
        <v>0.05</v>
      </c>
      <c r="AT591" s="141">
        <v>0</v>
      </c>
      <c r="AU591" s="141">
        <v>0.166666666666667</v>
      </c>
      <c r="AV591" s="141">
        <v>0.0769230769230769</v>
      </c>
      <c r="AW591" s="141">
        <v>0.0403225806451613</v>
      </c>
      <c r="AX591" s="95"/>
      <c r="AY591" s="93"/>
    </row>
    <row r="592" ht="14.5" spans="1:51">
      <c r="A592" s="91"/>
      <c r="B592" s="95"/>
      <c r="C592" s="152" t="s">
        <v>375</v>
      </c>
      <c r="D592" s="153" t="s">
        <v>25</v>
      </c>
      <c r="E592" s="130" t="s">
        <v>376</v>
      </c>
      <c r="F592" s="154" t="s">
        <v>618</v>
      </c>
      <c r="G592" s="154" t="s">
        <v>618</v>
      </c>
      <c r="H592" s="154" t="s">
        <v>618</v>
      </c>
      <c r="I592" s="154" t="s">
        <v>618</v>
      </c>
      <c r="J592" s="132">
        <v>0.9</v>
      </c>
      <c r="K592" s="133">
        <v>0.981481481481482</v>
      </c>
      <c r="L592" s="133">
        <v>0.963636363636364</v>
      </c>
      <c r="M592" s="134">
        <v>1</v>
      </c>
      <c r="N592" s="133">
        <v>0.992087042532146</v>
      </c>
      <c r="O592" s="135">
        <v>0.9</v>
      </c>
      <c r="P592" s="133">
        <v>0.988926336061627</v>
      </c>
      <c r="Q592" s="133">
        <v>0.970734126984127</v>
      </c>
      <c r="R592" s="133">
        <v>0.98659169550173</v>
      </c>
      <c r="S592" s="133">
        <v>0.985187736823975</v>
      </c>
      <c r="T592" s="135">
        <v>0.9</v>
      </c>
      <c r="U592" s="133">
        <v>0.950890707751565</v>
      </c>
      <c r="V592" s="133">
        <v>0.893849206349206</v>
      </c>
      <c r="W592" s="133">
        <v>0.918036332179931</v>
      </c>
      <c r="X592" s="133">
        <v>0.940442111014765</v>
      </c>
      <c r="Y592" s="135">
        <v>0.92</v>
      </c>
      <c r="Z592" s="135">
        <v>0.937931034482759</v>
      </c>
      <c r="AA592" s="135">
        <v>0.860341151385927</v>
      </c>
      <c r="AB592" s="135">
        <v>0.906888720666162</v>
      </c>
      <c r="AC592" s="135">
        <v>0.939349871685201</v>
      </c>
      <c r="AD592" s="135">
        <v>0.92</v>
      </c>
      <c r="AE592" s="133">
        <v>0.992154163799036</v>
      </c>
      <c r="AF592" s="133">
        <v>0.97792537605001</v>
      </c>
      <c r="AG592" s="133">
        <v>0.977521613832853</v>
      </c>
      <c r="AH592" s="133">
        <v>0.986913282047897</v>
      </c>
      <c r="AI592" s="135">
        <v>0.92</v>
      </c>
      <c r="AJ592" s="133">
        <v>0.959573091849935</v>
      </c>
      <c r="AK592" s="133">
        <v>0.91872862603098</v>
      </c>
      <c r="AL592" s="133">
        <v>0.953582240161453</v>
      </c>
      <c r="AM592" s="133">
        <v>0.970765669879809</v>
      </c>
      <c r="AN592" s="132">
        <v>0.99</v>
      </c>
      <c r="AO592" s="137">
        <v>1</v>
      </c>
      <c r="AP592" s="137">
        <v>1</v>
      </c>
      <c r="AQ592" s="137">
        <v>1</v>
      </c>
      <c r="AR592" s="137">
        <v>1</v>
      </c>
      <c r="AS592" s="158">
        <v>0.05</v>
      </c>
      <c r="AT592" s="141">
        <v>0.0869565217391304</v>
      </c>
      <c r="AU592" s="141">
        <v>0.0714285714285714</v>
      </c>
      <c r="AV592" s="141">
        <v>0.0882352941176471</v>
      </c>
      <c r="AW592" s="141">
        <v>0.065180102915952</v>
      </c>
      <c r="AX592" s="95"/>
      <c r="AY592" s="93"/>
    </row>
    <row r="593" ht="14.5" spans="1:51">
      <c r="A593" s="91"/>
      <c r="B593" s="95"/>
      <c r="C593" s="152" t="s">
        <v>375</v>
      </c>
      <c r="D593" s="153" t="s">
        <v>25</v>
      </c>
      <c r="E593" s="130" t="s">
        <v>376</v>
      </c>
      <c r="F593" s="154" t="s">
        <v>619</v>
      </c>
      <c r="G593" s="154" t="s">
        <v>619</v>
      </c>
      <c r="H593" s="154" t="s">
        <v>619</v>
      </c>
      <c r="I593" s="154" t="s">
        <v>619</v>
      </c>
      <c r="J593" s="132">
        <v>0.9</v>
      </c>
      <c r="K593" s="133">
        <v>0.96969696969697</v>
      </c>
      <c r="L593" s="133">
        <v>0.916666666666667</v>
      </c>
      <c r="M593" s="134">
        <v>0.972222222222222</v>
      </c>
      <c r="N593" s="133">
        <v>0.973799126637555</v>
      </c>
      <c r="O593" s="135">
        <v>0.9</v>
      </c>
      <c r="P593" s="133">
        <v>0</v>
      </c>
      <c r="Q593" s="133">
        <v>1</v>
      </c>
      <c r="R593" s="133">
        <v>1</v>
      </c>
      <c r="S593" s="133">
        <v>0.8</v>
      </c>
      <c r="T593" s="135">
        <v>0.9</v>
      </c>
      <c r="U593" s="133">
        <v>0</v>
      </c>
      <c r="V593" s="133">
        <v>0</v>
      </c>
      <c r="W593" s="133">
        <v>1</v>
      </c>
      <c r="X593" s="133">
        <v>0.2</v>
      </c>
      <c r="Y593" s="135">
        <v>0.92</v>
      </c>
      <c r="Z593" s="135" t="s">
        <v>35</v>
      </c>
      <c r="AA593" s="135" t="s">
        <v>35</v>
      </c>
      <c r="AB593" s="135" t="s">
        <v>35</v>
      </c>
      <c r="AC593" s="135" t="s">
        <v>35</v>
      </c>
      <c r="AD593" s="135">
        <v>0.92</v>
      </c>
      <c r="AE593" s="133">
        <v>0.998878295008413</v>
      </c>
      <c r="AF593" s="133">
        <v>1</v>
      </c>
      <c r="AG593" s="133">
        <v>0.998482549317147</v>
      </c>
      <c r="AH593" s="133">
        <v>0.99704734788569</v>
      </c>
      <c r="AI593" s="135">
        <v>0.92</v>
      </c>
      <c r="AJ593" s="133">
        <v>0.918287937743191</v>
      </c>
      <c r="AK593" s="133">
        <v>0.674614305750351</v>
      </c>
      <c r="AL593" s="133">
        <v>0.952904681331077</v>
      </c>
      <c r="AM593" s="133">
        <v>0.941684522828416</v>
      </c>
      <c r="AN593" s="132">
        <v>0.99</v>
      </c>
      <c r="AO593" s="137">
        <v>1</v>
      </c>
      <c r="AP593" s="137">
        <v>1</v>
      </c>
      <c r="AQ593" s="137">
        <v>1</v>
      </c>
      <c r="AR593" s="137">
        <v>1</v>
      </c>
      <c r="AS593" s="158">
        <v>0.05</v>
      </c>
      <c r="AT593" s="141">
        <v>0</v>
      </c>
      <c r="AU593" s="141">
        <v>0</v>
      </c>
      <c r="AV593" s="141">
        <v>0</v>
      </c>
      <c r="AW593" s="141">
        <v>0.105263157894737</v>
      </c>
      <c r="AX593" s="95"/>
      <c r="AY593" s="93"/>
    </row>
    <row r="594" ht="14.5" spans="1:51">
      <c r="A594" s="91"/>
      <c r="B594" s="95"/>
      <c r="C594" s="152" t="s">
        <v>375</v>
      </c>
      <c r="D594" s="153" t="s">
        <v>25</v>
      </c>
      <c r="E594" s="130" t="s">
        <v>376</v>
      </c>
      <c r="F594" s="154" t="s">
        <v>620</v>
      </c>
      <c r="G594" s="154" t="s">
        <v>620</v>
      </c>
      <c r="H594" s="154" t="s">
        <v>620</v>
      </c>
      <c r="I594" s="154" t="s">
        <v>620</v>
      </c>
      <c r="J594" s="132">
        <v>0.9</v>
      </c>
      <c r="K594" s="133">
        <v>0.947368421052632</v>
      </c>
      <c r="L594" s="133">
        <v>0.96969696969697</v>
      </c>
      <c r="M594" s="134">
        <v>0.756756756756757</v>
      </c>
      <c r="N594" s="133">
        <v>0.831550802139037</v>
      </c>
      <c r="O594" s="135">
        <v>0.9</v>
      </c>
      <c r="P594" s="133">
        <v>0.987893462469734</v>
      </c>
      <c r="Q594" s="133">
        <v>0.985802469135802</v>
      </c>
      <c r="R594" s="133">
        <v>0.984683595324466</v>
      </c>
      <c r="S594" s="133">
        <v>0.988854520821084</v>
      </c>
      <c r="T594" s="135">
        <v>0.9</v>
      </c>
      <c r="U594" s="133">
        <v>0.902340597255851</v>
      </c>
      <c r="V594" s="133">
        <v>0.853086419753086</v>
      </c>
      <c r="W594" s="133">
        <v>0.849657396211205</v>
      </c>
      <c r="X594" s="133">
        <v>0.88527314092896</v>
      </c>
      <c r="Y594" s="135">
        <v>0.92</v>
      </c>
      <c r="Z594" s="135">
        <v>0.923652694610778</v>
      </c>
      <c r="AA594" s="135">
        <v>0.864864864864865</v>
      </c>
      <c r="AB594" s="135">
        <v>0.879692011549567</v>
      </c>
      <c r="AC594" s="135">
        <v>0.920937080956012</v>
      </c>
      <c r="AD594" s="135">
        <v>0.92</v>
      </c>
      <c r="AE594" s="133">
        <v>0.995787404338974</v>
      </c>
      <c r="AF594" s="133">
        <v>0.996358855062203</v>
      </c>
      <c r="AG594" s="133">
        <v>0.996584973885094</v>
      </c>
      <c r="AH594" s="133">
        <v>0.98062400449733</v>
      </c>
      <c r="AI594" s="135">
        <v>0.92</v>
      </c>
      <c r="AJ594" s="133">
        <v>0.940651667959659</v>
      </c>
      <c r="AK594" s="133">
        <v>0.900570206699929</v>
      </c>
      <c r="AL594" s="133">
        <v>0.911861433896075</v>
      </c>
      <c r="AM594" s="133">
        <v>0.943317530633921</v>
      </c>
      <c r="AN594" s="132">
        <v>0.99</v>
      </c>
      <c r="AO594" s="137">
        <v>1</v>
      </c>
      <c r="AP594" s="137">
        <v>1</v>
      </c>
      <c r="AQ594" s="137">
        <v>1</v>
      </c>
      <c r="AR594" s="137">
        <v>1</v>
      </c>
      <c r="AS594" s="158">
        <v>0.05</v>
      </c>
      <c r="AT594" s="141">
        <v>0.105263157894737</v>
      </c>
      <c r="AU594" s="141">
        <v>0.142857142857143</v>
      </c>
      <c r="AV594" s="141">
        <v>0</v>
      </c>
      <c r="AW594" s="141">
        <v>0.053864168618267</v>
      </c>
      <c r="AX594" s="95"/>
      <c r="AY594" s="93"/>
    </row>
    <row r="595" ht="14.5" spans="1:51">
      <c r="A595" s="91"/>
      <c r="B595" s="95"/>
      <c r="C595" s="152" t="s">
        <v>375</v>
      </c>
      <c r="D595" s="153" t="s">
        <v>25</v>
      </c>
      <c r="E595" s="130" t="s">
        <v>376</v>
      </c>
      <c r="F595" s="154" t="s">
        <v>621</v>
      </c>
      <c r="G595" s="154" t="s">
        <v>621</v>
      </c>
      <c r="H595" s="154" t="s">
        <v>621</v>
      </c>
      <c r="I595" s="154" t="s">
        <v>621</v>
      </c>
      <c r="J595" s="132">
        <v>0.9</v>
      </c>
      <c r="K595" s="133">
        <v>0.897959183673469</v>
      </c>
      <c r="L595" s="133">
        <v>0.909090909090909</v>
      </c>
      <c r="M595" s="134">
        <v>0.938775510204082</v>
      </c>
      <c r="N595" s="133">
        <v>0.952121871599565</v>
      </c>
      <c r="O595" s="135">
        <v>0.9</v>
      </c>
      <c r="P595" s="133">
        <v>0.978680879413724</v>
      </c>
      <c r="Q595" s="133">
        <v>0.979128014842301</v>
      </c>
      <c r="R595" s="133">
        <v>0.987204450625869</v>
      </c>
      <c r="S595" s="133">
        <v>0.987225307454042</v>
      </c>
      <c r="T595" s="135">
        <v>0.9</v>
      </c>
      <c r="U595" s="133">
        <v>0.919387075283145</v>
      </c>
      <c r="V595" s="133">
        <v>0.910482374768089</v>
      </c>
      <c r="W595" s="133">
        <v>0.914047287899861</v>
      </c>
      <c r="X595" s="133">
        <v>0.907479701618372</v>
      </c>
      <c r="Y595" s="135">
        <v>0.92</v>
      </c>
      <c r="Z595" s="135">
        <v>0.966343937298294</v>
      </c>
      <c r="AA595" s="135">
        <v>0.954273271638541</v>
      </c>
      <c r="AB595" s="135">
        <v>0.948590814196242</v>
      </c>
      <c r="AC595" s="135">
        <v>0.966344546511073</v>
      </c>
      <c r="AD595" s="135">
        <v>0.92</v>
      </c>
      <c r="AE595" s="133">
        <v>0.998461956030037</v>
      </c>
      <c r="AF595" s="133">
        <v>0.993860845839018</v>
      </c>
      <c r="AG595" s="133">
        <v>0.998442808607022</v>
      </c>
      <c r="AH595" s="133">
        <v>0.969956871016795</v>
      </c>
      <c r="AI595" s="135">
        <v>0.92</v>
      </c>
      <c r="AJ595" s="133">
        <v>0.974128540305011</v>
      </c>
      <c r="AK595" s="133">
        <v>0.970463078848561</v>
      </c>
      <c r="AL595" s="133">
        <v>0.966348095302194</v>
      </c>
      <c r="AM595" s="133">
        <v>0.97642590084911</v>
      </c>
      <c r="AN595" s="132">
        <v>0.99</v>
      </c>
      <c r="AO595" s="137">
        <v>1</v>
      </c>
      <c r="AP595" s="137">
        <v>1</v>
      </c>
      <c r="AQ595" s="137">
        <v>1</v>
      </c>
      <c r="AR595" s="137">
        <v>1</v>
      </c>
      <c r="AS595" s="158">
        <v>0.05</v>
      </c>
      <c r="AT595" s="141">
        <v>0.0833333333333333</v>
      </c>
      <c r="AU595" s="141">
        <v>0.0555555555555556</v>
      </c>
      <c r="AV595" s="141">
        <v>0.0476190476190476</v>
      </c>
      <c r="AW595" s="141">
        <v>0.0495049504950495</v>
      </c>
      <c r="AX595" s="95"/>
      <c r="AY595" s="93"/>
    </row>
    <row r="596" ht="14.5" spans="1:51">
      <c r="A596" s="91"/>
      <c r="B596" s="95"/>
      <c r="C596" s="152" t="s">
        <v>375</v>
      </c>
      <c r="D596" s="153" t="s">
        <v>25</v>
      </c>
      <c r="E596" s="130" t="s">
        <v>376</v>
      </c>
      <c r="F596" s="154" t="s">
        <v>622</v>
      </c>
      <c r="G596" s="154" t="s">
        <v>622</v>
      </c>
      <c r="H596" s="154" t="s">
        <v>622</v>
      </c>
      <c r="I596" s="154" t="s">
        <v>622</v>
      </c>
      <c r="J596" s="132">
        <v>0.9</v>
      </c>
      <c r="K596" s="133">
        <v>0.897727272727273</v>
      </c>
      <c r="L596" s="133">
        <v>0.897058823529412</v>
      </c>
      <c r="M596" s="134">
        <v>0.80952380952381</v>
      </c>
      <c r="N596" s="133">
        <v>0.839443742098609</v>
      </c>
      <c r="O596" s="135">
        <v>0.9</v>
      </c>
      <c r="P596" s="133">
        <v>0.948214285714286</v>
      </c>
      <c r="Q596" s="133">
        <v>0.922304085733423</v>
      </c>
      <c r="R596" s="133">
        <v>0.885100730573389</v>
      </c>
      <c r="S596" s="133">
        <v>0.916509791457839</v>
      </c>
      <c r="T596" s="135">
        <v>0.9</v>
      </c>
      <c r="U596" s="133">
        <v>0.863839285714286</v>
      </c>
      <c r="V596" s="133">
        <v>0.801406563965171</v>
      </c>
      <c r="W596" s="133">
        <v>0.845251272968785</v>
      </c>
      <c r="X596" s="133">
        <v>0.863286311517493</v>
      </c>
      <c r="Y596" s="135">
        <v>0.92</v>
      </c>
      <c r="Z596" s="135">
        <v>0.865727002967359</v>
      </c>
      <c r="AA596" s="135">
        <v>0.657311000452694</v>
      </c>
      <c r="AB596" s="135">
        <v>0.80642970341861</v>
      </c>
      <c r="AC596" s="135">
        <v>0.851938437560881</v>
      </c>
      <c r="AD596" s="135">
        <v>0.92</v>
      </c>
      <c r="AE596" s="133">
        <v>0.997799174690509</v>
      </c>
      <c r="AF596" s="133">
        <v>0.766967438211063</v>
      </c>
      <c r="AG596" s="133">
        <v>0.997071742313324</v>
      </c>
      <c r="AH596" s="133">
        <v>0.870817480354159</v>
      </c>
      <c r="AI596" s="135">
        <v>0.92</v>
      </c>
      <c r="AJ596" s="133">
        <v>0.898887765419616</v>
      </c>
      <c r="AK596" s="133">
        <v>0.782759284202424</v>
      </c>
      <c r="AL596" s="133">
        <v>0.864414364022821</v>
      </c>
      <c r="AM596" s="133">
        <v>0.899635198335038</v>
      </c>
      <c r="AN596" s="132">
        <v>0.99</v>
      </c>
      <c r="AO596" s="137">
        <v>1</v>
      </c>
      <c r="AP596" s="137">
        <v>1</v>
      </c>
      <c r="AQ596" s="137">
        <v>1</v>
      </c>
      <c r="AR596" s="137">
        <v>1</v>
      </c>
      <c r="AS596" s="158">
        <v>0.05</v>
      </c>
      <c r="AT596" s="141">
        <v>0.00526315789473684</v>
      </c>
      <c r="AU596" s="141">
        <v>0.0316455696202532</v>
      </c>
      <c r="AV596" s="141">
        <v>0.0145631067961165</v>
      </c>
      <c r="AW596" s="141">
        <v>0.0272148233931673</v>
      </c>
      <c r="AX596" s="95"/>
      <c r="AY596" s="93"/>
    </row>
    <row r="597" ht="14.5" spans="1:51">
      <c r="A597" s="91"/>
      <c r="B597" s="95"/>
      <c r="C597" s="152" t="s">
        <v>375</v>
      </c>
      <c r="D597" s="153" t="s">
        <v>125</v>
      </c>
      <c r="E597" s="130" t="s">
        <v>376</v>
      </c>
      <c r="F597" s="154" t="s">
        <v>623</v>
      </c>
      <c r="G597" s="154" t="s">
        <v>623</v>
      </c>
      <c r="H597" s="154" t="s">
        <v>623</v>
      </c>
      <c r="I597" s="154" t="s">
        <v>623</v>
      </c>
      <c r="J597" s="132">
        <v>0.9</v>
      </c>
      <c r="K597" s="133" t="s">
        <v>35</v>
      </c>
      <c r="L597" s="133" t="s">
        <v>35</v>
      </c>
      <c r="M597" s="134" t="s">
        <v>35</v>
      </c>
      <c r="N597" s="133" t="s">
        <v>35</v>
      </c>
      <c r="O597" s="135">
        <v>0.9</v>
      </c>
      <c r="P597" s="133" t="s">
        <v>35</v>
      </c>
      <c r="Q597" s="133" t="s">
        <v>35</v>
      </c>
      <c r="R597" s="133" t="s">
        <v>35</v>
      </c>
      <c r="S597" s="133" t="s">
        <v>35</v>
      </c>
      <c r="T597" s="135">
        <v>0.9</v>
      </c>
      <c r="U597" s="133" t="s">
        <v>35</v>
      </c>
      <c r="V597" s="133" t="s">
        <v>35</v>
      </c>
      <c r="W597" s="133" t="s">
        <v>35</v>
      </c>
      <c r="X597" s="133" t="s">
        <v>35</v>
      </c>
      <c r="Y597" s="135">
        <v>0.92</v>
      </c>
      <c r="Z597" s="135" t="s">
        <v>35</v>
      </c>
      <c r="AA597" s="135" t="s">
        <v>35</v>
      </c>
      <c r="AB597" s="135" t="s">
        <v>35</v>
      </c>
      <c r="AC597" s="135" t="s">
        <v>35</v>
      </c>
      <c r="AD597" s="135">
        <v>0.92</v>
      </c>
      <c r="AE597" s="133">
        <v>0.964285714285714</v>
      </c>
      <c r="AF597" s="133">
        <v>1</v>
      </c>
      <c r="AG597" s="133">
        <v>1</v>
      </c>
      <c r="AH597" s="133">
        <v>0.799215261804898</v>
      </c>
      <c r="AI597" s="135">
        <v>0.92</v>
      </c>
      <c r="AJ597" s="133" t="s">
        <v>35</v>
      </c>
      <c r="AK597" s="133" t="s">
        <v>35</v>
      </c>
      <c r="AL597" s="133" t="s">
        <v>35</v>
      </c>
      <c r="AM597" s="133" t="s">
        <v>35</v>
      </c>
      <c r="AN597" s="132">
        <v>0.99</v>
      </c>
      <c r="AO597" s="137">
        <v>1</v>
      </c>
      <c r="AP597" s="137" t="s">
        <v>35</v>
      </c>
      <c r="AQ597" s="137" t="s">
        <v>35</v>
      </c>
      <c r="AR597" s="137">
        <v>1</v>
      </c>
      <c r="AS597" s="158">
        <v>0.05</v>
      </c>
      <c r="AT597" s="141" t="s">
        <v>35</v>
      </c>
      <c r="AU597" s="141" t="s">
        <v>35</v>
      </c>
      <c r="AV597" s="141" t="s">
        <v>35</v>
      </c>
      <c r="AW597" s="141" t="s">
        <v>35</v>
      </c>
      <c r="AX597" s="95"/>
      <c r="AY597" s="93"/>
    </row>
    <row r="598" ht="14.5" spans="1:51">
      <c r="A598" s="91"/>
      <c r="B598" s="95"/>
      <c r="C598" s="152" t="s">
        <v>375</v>
      </c>
      <c r="D598" s="153" t="s">
        <v>25</v>
      </c>
      <c r="E598" s="130" t="s">
        <v>376</v>
      </c>
      <c r="F598" s="154" t="s">
        <v>624</v>
      </c>
      <c r="G598" s="154" t="s">
        <v>624</v>
      </c>
      <c r="H598" s="154" t="s">
        <v>624</v>
      </c>
      <c r="I598" s="154" t="s">
        <v>624</v>
      </c>
      <c r="J598" s="132">
        <v>0.9</v>
      </c>
      <c r="K598" s="133">
        <v>0.662650602409639</v>
      </c>
      <c r="L598" s="133">
        <v>0.758064516129032</v>
      </c>
      <c r="M598" s="134">
        <v>0.657142857142857</v>
      </c>
      <c r="N598" s="133">
        <v>0.688391038696538</v>
      </c>
      <c r="O598" s="135">
        <v>0.9</v>
      </c>
      <c r="P598" s="133">
        <v>0.920242537313433</v>
      </c>
      <c r="Q598" s="133">
        <v>0.918546365914787</v>
      </c>
      <c r="R598" s="133">
        <v>0.912470495672699</v>
      </c>
      <c r="S598" s="133">
        <v>0.911929136716765</v>
      </c>
      <c r="T598" s="135">
        <v>0.9</v>
      </c>
      <c r="U598" s="133">
        <v>0.757929104477612</v>
      </c>
      <c r="V598" s="133">
        <v>0.638784461152882</v>
      </c>
      <c r="W598" s="133">
        <v>0.737608182533438</v>
      </c>
      <c r="X598" s="133">
        <v>0.748650741789492</v>
      </c>
      <c r="Y598" s="135">
        <v>0.92</v>
      </c>
      <c r="Z598" s="135">
        <v>0.87948633519921</v>
      </c>
      <c r="AA598" s="135">
        <v>0.511904761904762</v>
      </c>
      <c r="AB598" s="135">
        <v>0.797321113852661</v>
      </c>
      <c r="AC598" s="135">
        <v>0.822521618361161</v>
      </c>
      <c r="AD598" s="135">
        <v>0.92</v>
      </c>
      <c r="AE598" s="133">
        <v>0.996143508238869</v>
      </c>
      <c r="AF598" s="133">
        <v>0.926738101171194</v>
      </c>
      <c r="AG598" s="133">
        <v>0.995840698762608</v>
      </c>
      <c r="AH598" s="133">
        <v>0.983574733019153</v>
      </c>
      <c r="AI598" s="135">
        <v>0.92</v>
      </c>
      <c r="AJ598" s="133">
        <v>0.901775376302586</v>
      </c>
      <c r="AK598" s="133">
        <v>0.69035878251998</v>
      </c>
      <c r="AL598" s="133">
        <v>0.840921761754321</v>
      </c>
      <c r="AM598" s="133">
        <v>0.879321469340936</v>
      </c>
      <c r="AN598" s="132">
        <v>0.99</v>
      </c>
      <c r="AO598" s="137">
        <v>1</v>
      </c>
      <c r="AP598" s="137">
        <v>1</v>
      </c>
      <c r="AQ598" s="137">
        <v>1</v>
      </c>
      <c r="AR598" s="137">
        <v>1</v>
      </c>
      <c r="AS598" s="158">
        <v>0.05</v>
      </c>
      <c r="AT598" s="141">
        <v>0.0689655172413793</v>
      </c>
      <c r="AU598" s="141">
        <v>0.103448275862069</v>
      </c>
      <c r="AV598" s="141">
        <v>0</v>
      </c>
      <c r="AW598" s="141">
        <v>0.0375302663438257</v>
      </c>
      <c r="AX598" s="95"/>
      <c r="AY598" s="93"/>
    </row>
    <row r="599" ht="14.5" spans="1:51">
      <c r="A599" s="91"/>
      <c r="B599" s="95"/>
      <c r="C599" s="152" t="s">
        <v>375</v>
      </c>
      <c r="D599" s="153" t="s">
        <v>25</v>
      </c>
      <c r="E599" s="130" t="s">
        <v>376</v>
      </c>
      <c r="F599" s="154" t="s">
        <v>625</v>
      </c>
      <c r="G599" s="154" t="s">
        <v>625</v>
      </c>
      <c r="H599" s="154" t="s">
        <v>625</v>
      </c>
      <c r="I599" s="154" t="s">
        <v>625</v>
      </c>
      <c r="J599" s="132">
        <v>0.9</v>
      </c>
      <c r="K599" s="133">
        <v>0.789473684210526</v>
      </c>
      <c r="L599" s="133">
        <v>0.666666666666667</v>
      </c>
      <c r="M599" s="134">
        <v>0.716981132075472</v>
      </c>
      <c r="N599" s="133">
        <v>0.832450331125828</v>
      </c>
      <c r="O599" s="135">
        <v>0.9</v>
      </c>
      <c r="P599" s="133">
        <v>0.969111969111969</v>
      </c>
      <c r="Q599" s="133">
        <v>0.96862210095498</v>
      </c>
      <c r="R599" s="133">
        <v>0.921404682274248</v>
      </c>
      <c r="S599" s="133">
        <v>0.958475736826436</v>
      </c>
      <c r="T599" s="135">
        <v>0.9</v>
      </c>
      <c r="U599" s="133">
        <v>0.947232947232947</v>
      </c>
      <c r="V599" s="133">
        <v>0.7462482946794</v>
      </c>
      <c r="W599" s="133">
        <v>0.903487816531295</v>
      </c>
      <c r="X599" s="133">
        <v>0.889086037511164</v>
      </c>
      <c r="Y599" s="135">
        <v>0.92</v>
      </c>
      <c r="Z599" s="135">
        <v>0.900592795257638</v>
      </c>
      <c r="AA599" s="135">
        <v>0.70964247020585</v>
      </c>
      <c r="AB599" s="135">
        <v>0.904973821989529</v>
      </c>
      <c r="AC599" s="135">
        <v>0.890535864032031</v>
      </c>
      <c r="AD599" s="135">
        <v>0.92</v>
      </c>
      <c r="AE599" s="133">
        <v>0.99768593699253</v>
      </c>
      <c r="AF599" s="133">
        <v>0.984874873957283</v>
      </c>
      <c r="AG599" s="133">
        <v>0.996133141254075</v>
      </c>
      <c r="AH599" s="133">
        <v>0.983094166339386</v>
      </c>
      <c r="AI599" s="135">
        <v>0.92</v>
      </c>
      <c r="AJ599" s="133">
        <v>0.9306851506265</v>
      </c>
      <c r="AK599" s="133">
        <v>0.837931034482759</v>
      </c>
      <c r="AL599" s="133">
        <v>0.937164942027179</v>
      </c>
      <c r="AM599" s="133">
        <v>0.93308962068516</v>
      </c>
      <c r="AN599" s="132">
        <v>0.99</v>
      </c>
      <c r="AO599" s="137">
        <v>1</v>
      </c>
      <c r="AP599" s="137">
        <v>1</v>
      </c>
      <c r="AQ599" s="137">
        <v>1</v>
      </c>
      <c r="AR599" s="137">
        <v>1</v>
      </c>
      <c r="AS599" s="158">
        <v>0.05</v>
      </c>
      <c r="AT599" s="141">
        <v>0.0833333333333333</v>
      </c>
      <c r="AU599" s="141">
        <v>0.0714285714285714</v>
      </c>
      <c r="AV599" s="141">
        <v>0.105263157894737</v>
      </c>
      <c r="AW599" s="141">
        <v>0.0592105263157895</v>
      </c>
      <c r="AX599" s="95"/>
      <c r="AY599" s="93"/>
    </row>
    <row r="600" ht="14.5" spans="1:51">
      <c r="A600" s="91"/>
      <c r="B600" s="95"/>
      <c r="C600" s="152" t="s">
        <v>375</v>
      </c>
      <c r="D600" s="153" t="s">
        <v>25</v>
      </c>
      <c r="E600" s="130" t="s">
        <v>376</v>
      </c>
      <c r="F600" s="154" t="s">
        <v>626</v>
      </c>
      <c r="G600" s="154" t="s">
        <v>626</v>
      </c>
      <c r="H600" s="154" t="s">
        <v>626</v>
      </c>
      <c r="I600" s="154" t="s">
        <v>626</v>
      </c>
      <c r="J600" s="132">
        <v>0.9</v>
      </c>
      <c r="K600" s="133">
        <v>0.944444444444444</v>
      </c>
      <c r="L600" s="133">
        <v>0.75</v>
      </c>
      <c r="M600" s="134">
        <v>0.757142857142857</v>
      </c>
      <c r="N600" s="133">
        <v>0.898892988929889</v>
      </c>
      <c r="O600" s="135">
        <v>0.9</v>
      </c>
      <c r="P600" s="133">
        <v>0.987700534759358</v>
      </c>
      <c r="Q600" s="133">
        <v>0.986856127886323</v>
      </c>
      <c r="R600" s="133">
        <v>0.975663275483742</v>
      </c>
      <c r="S600" s="133">
        <v>0.984207527921674</v>
      </c>
      <c r="T600" s="135">
        <v>0.9</v>
      </c>
      <c r="U600" s="133">
        <v>0.878609625668449</v>
      </c>
      <c r="V600" s="133">
        <v>0.846891651865009</v>
      </c>
      <c r="W600" s="133">
        <v>0.86195890684221</v>
      </c>
      <c r="X600" s="133">
        <v>0.893705533989587</v>
      </c>
      <c r="Y600" s="135">
        <v>0.92</v>
      </c>
      <c r="Z600" s="135">
        <v>0.958174904942966</v>
      </c>
      <c r="AA600" s="135">
        <v>0.93600648035642</v>
      </c>
      <c r="AB600" s="135">
        <v>0.961618062088429</v>
      </c>
      <c r="AC600" s="135">
        <v>0.966259141405683</v>
      </c>
      <c r="AD600" s="135">
        <v>0.92</v>
      </c>
      <c r="AE600" s="133">
        <v>0.997337896938581</v>
      </c>
      <c r="AF600" s="133">
        <v>0.996125396266291</v>
      </c>
      <c r="AG600" s="133">
        <v>0.991102637432475</v>
      </c>
      <c r="AH600" s="133">
        <v>0.99338281087814</v>
      </c>
      <c r="AI600" s="135">
        <v>0.92</v>
      </c>
      <c r="AJ600" s="133">
        <v>0.966428871170793</v>
      </c>
      <c r="AK600" s="133">
        <v>0.956718956718957</v>
      </c>
      <c r="AL600" s="133">
        <v>0.970468628969791</v>
      </c>
      <c r="AM600" s="133">
        <v>0.976005329457364</v>
      </c>
      <c r="AN600" s="132">
        <v>0.99</v>
      </c>
      <c r="AO600" s="137">
        <v>1</v>
      </c>
      <c r="AP600" s="137">
        <v>1</v>
      </c>
      <c r="AQ600" s="137">
        <v>1</v>
      </c>
      <c r="AR600" s="137">
        <v>1</v>
      </c>
      <c r="AS600" s="158">
        <v>0.05</v>
      </c>
      <c r="AT600" s="141">
        <v>0</v>
      </c>
      <c r="AU600" s="141">
        <v>0.0714285714285714</v>
      </c>
      <c r="AV600" s="141">
        <v>0.148148148148148</v>
      </c>
      <c r="AW600" s="141">
        <v>0.0454545454545455</v>
      </c>
      <c r="AX600" s="95"/>
      <c r="AY600" s="93"/>
    </row>
    <row r="601" ht="14.5" spans="1:51">
      <c r="A601" s="91"/>
      <c r="B601" s="95"/>
      <c r="C601" s="152" t="s">
        <v>375</v>
      </c>
      <c r="D601" s="153" t="s">
        <v>25</v>
      </c>
      <c r="E601" s="130" t="s">
        <v>376</v>
      </c>
      <c r="F601" s="154" t="s">
        <v>627</v>
      </c>
      <c r="G601" s="154" t="s">
        <v>627</v>
      </c>
      <c r="H601" s="154" t="s">
        <v>627</v>
      </c>
      <c r="I601" s="154" t="s">
        <v>627</v>
      </c>
      <c r="J601" s="132">
        <v>0.9</v>
      </c>
      <c r="K601" s="133">
        <v>0.915966386554622</v>
      </c>
      <c r="L601" s="133">
        <v>0.888888888888889</v>
      </c>
      <c r="M601" s="134">
        <v>0.818181818181818</v>
      </c>
      <c r="N601" s="133">
        <v>0.873575129533679</v>
      </c>
      <c r="O601" s="135">
        <v>0.9</v>
      </c>
      <c r="P601" s="133">
        <v>0.916391639163916</v>
      </c>
      <c r="Q601" s="133">
        <v>0.91961246399581</v>
      </c>
      <c r="R601" s="133">
        <v>0.976176206173209</v>
      </c>
      <c r="S601" s="133">
        <v>0.977854810349159</v>
      </c>
      <c r="T601" s="135">
        <v>0.9</v>
      </c>
      <c r="U601" s="133">
        <v>0.917858452511918</v>
      </c>
      <c r="V601" s="133">
        <v>0.859125425504059</v>
      </c>
      <c r="W601" s="133">
        <v>0.91309559484567</v>
      </c>
      <c r="X601" s="133">
        <v>0.929947249434815</v>
      </c>
      <c r="Y601" s="135">
        <v>0.92</v>
      </c>
      <c r="Z601" s="135">
        <v>0.930366492146597</v>
      </c>
      <c r="AA601" s="135">
        <v>0.879600570613409</v>
      </c>
      <c r="AB601" s="135">
        <v>0.908973252804142</v>
      </c>
      <c r="AC601" s="135">
        <v>0.934536478141028</v>
      </c>
      <c r="AD601" s="135">
        <v>0.92</v>
      </c>
      <c r="AE601" s="133">
        <v>0.999569495694957</v>
      </c>
      <c r="AF601" s="133">
        <v>0.995813838955922</v>
      </c>
      <c r="AG601" s="133">
        <v>0.999138559406269</v>
      </c>
      <c r="AH601" s="133">
        <v>0.999164920919451</v>
      </c>
      <c r="AI601" s="135">
        <v>0.92</v>
      </c>
      <c r="AJ601" s="133">
        <v>0.940745265729994</v>
      </c>
      <c r="AK601" s="133">
        <v>0.914644123261522</v>
      </c>
      <c r="AL601" s="133">
        <v>0.939618488628026</v>
      </c>
      <c r="AM601" s="133">
        <v>0.955823330657656</v>
      </c>
      <c r="AN601" s="132">
        <v>0.99</v>
      </c>
      <c r="AO601" s="137">
        <v>1</v>
      </c>
      <c r="AP601" s="137">
        <v>1</v>
      </c>
      <c r="AQ601" s="137">
        <v>1</v>
      </c>
      <c r="AR601" s="137">
        <v>1</v>
      </c>
      <c r="AS601" s="158">
        <v>0.05</v>
      </c>
      <c r="AT601" s="141">
        <v>0.235294117647059</v>
      </c>
      <c r="AU601" s="141">
        <v>0</v>
      </c>
      <c r="AV601" s="141">
        <v>0</v>
      </c>
      <c r="AW601" s="141">
        <v>0.0506329113924051</v>
      </c>
      <c r="AX601" s="95"/>
      <c r="AY601" s="93"/>
    </row>
    <row r="602" ht="14.5" spans="1:51">
      <c r="A602" s="91"/>
      <c r="B602" s="95"/>
      <c r="C602" s="152" t="s">
        <v>375</v>
      </c>
      <c r="D602" s="153" t="s">
        <v>25</v>
      </c>
      <c r="E602" s="130" t="s">
        <v>376</v>
      </c>
      <c r="F602" s="154" t="s">
        <v>628</v>
      </c>
      <c r="G602" s="154" t="s">
        <v>628</v>
      </c>
      <c r="H602" s="154" t="s">
        <v>628</v>
      </c>
      <c r="I602" s="154" t="s">
        <v>628</v>
      </c>
      <c r="J602" s="132">
        <v>0.9</v>
      </c>
      <c r="K602" s="133">
        <v>0.942857142857143</v>
      </c>
      <c r="L602" s="133">
        <v>0.962962962962963</v>
      </c>
      <c r="M602" s="134">
        <v>1</v>
      </c>
      <c r="N602" s="133">
        <v>0.948364888123924</v>
      </c>
      <c r="O602" s="135">
        <v>0.9</v>
      </c>
      <c r="P602" s="133">
        <v>0.982758620689655</v>
      </c>
      <c r="Q602" s="133">
        <v>0.971181556195965</v>
      </c>
      <c r="R602" s="133">
        <v>0.950026028110359</v>
      </c>
      <c r="S602" s="133">
        <v>0.940903334740397</v>
      </c>
      <c r="T602" s="135">
        <v>0.9</v>
      </c>
      <c r="U602" s="133">
        <v>0.956896551724138</v>
      </c>
      <c r="V602" s="133">
        <v>0.826128722382325</v>
      </c>
      <c r="W602" s="133">
        <v>0.919312857886517</v>
      </c>
      <c r="X602" s="133">
        <v>0.901147396293027</v>
      </c>
      <c r="Y602" s="135">
        <v>0.92</v>
      </c>
      <c r="Z602" s="135">
        <v>0.847045191193511</v>
      </c>
      <c r="AA602" s="135">
        <v>0.659144893111639</v>
      </c>
      <c r="AB602" s="135">
        <v>0.882772680937819</v>
      </c>
      <c r="AC602" s="135">
        <v>0.887240899436021</v>
      </c>
      <c r="AD602" s="135">
        <v>0.92</v>
      </c>
      <c r="AE602" s="133">
        <v>1</v>
      </c>
      <c r="AF602" s="133">
        <v>0.948717948717949</v>
      </c>
      <c r="AG602" s="133">
        <v>0.991304347826087</v>
      </c>
      <c r="AH602" s="133">
        <v>0.98981324278438</v>
      </c>
      <c r="AI602" s="135">
        <v>0.92</v>
      </c>
      <c r="AJ602" s="133">
        <v>0.905128205128205</v>
      </c>
      <c r="AK602" s="133">
        <v>0.820499203398832</v>
      </c>
      <c r="AL602" s="133">
        <v>0.930208601596704</v>
      </c>
      <c r="AM602" s="133">
        <v>0.929943227595511</v>
      </c>
      <c r="AN602" s="132">
        <v>0.99</v>
      </c>
      <c r="AO602" s="137">
        <v>1</v>
      </c>
      <c r="AP602" s="137">
        <v>1</v>
      </c>
      <c r="AQ602" s="137">
        <v>1</v>
      </c>
      <c r="AR602" s="137">
        <v>1</v>
      </c>
      <c r="AS602" s="158">
        <v>0.05</v>
      </c>
      <c r="AT602" s="141">
        <v>0</v>
      </c>
      <c r="AU602" s="141">
        <v>0</v>
      </c>
      <c r="AV602" s="141">
        <v>0.166666666666667</v>
      </c>
      <c r="AW602" s="141">
        <v>0.0919540229885057</v>
      </c>
      <c r="AX602" s="95"/>
      <c r="AY602" s="93"/>
    </row>
    <row r="603" ht="14.5" spans="1:51">
      <c r="A603" s="91"/>
      <c r="B603" s="95"/>
      <c r="C603" s="152" t="s">
        <v>375</v>
      </c>
      <c r="D603" s="153" t="s">
        <v>25</v>
      </c>
      <c r="E603" s="130" t="s">
        <v>376</v>
      </c>
      <c r="F603" s="154" t="s">
        <v>629</v>
      </c>
      <c r="G603" s="154" t="s">
        <v>629</v>
      </c>
      <c r="H603" s="154" t="s">
        <v>629</v>
      </c>
      <c r="I603" s="154" t="s">
        <v>629</v>
      </c>
      <c r="J603" s="132">
        <v>0.9</v>
      </c>
      <c r="K603" s="133">
        <v>0.924528301886792</v>
      </c>
      <c r="L603" s="133">
        <v>0.951219512195122</v>
      </c>
      <c r="M603" s="134">
        <v>0.854166666666667</v>
      </c>
      <c r="N603" s="133">
        <v>0.93984962406015</v>
      </c>
      <c r="O603" s="135">
        <v>0.9</v>
      </c>
      <c r="P603" s="133">
        <v>0.962107208872458</v>
      </c>
      <c r="Q603" s="133">
        <v>0.89225393127548</v>
      </c>
      <c r="R603" s="133">
        <v>0.932284980744544</v>
      </c>
      <c r="S603" s="133">
        <v>0.952672795369425</v>
      </c>
      <c r="T603" s="135">
        <v>0.9</v>
      </c>
      <c r="U603" s="133">
        <v>0.921441774491682</v>
      </c>
      <c r="V603" s="133">
        <v>0.851485148514851</v>
      </c>
      <c r="W603" s="133">
        <v>0.881899871630295</v>
      </c>
      <c r="X603" s="133">
        <v>0.90605087796099</v>
      </c>
      <c r="Y603" s="135">
        <v>0.92</v>
      </c>
      <c r="Z603" s="135">
        <v>0.896471949103528</v>
      </c>
      <c r="AA603" s="135">
        <v>0.761707988980716</v>
      </c>
      <c r="AB603" s="135">
        <v>0.889201547660922</v>
      </c>
      <c r="AC603" s="135">
        <v>0.899955327228054</v>
      </c>
      <c r="AD603" s="135">
        <v>0.92</v>
      </c>
      <c r="AE603" s="133">
        <v>0.998511271799234</v>
      </c>
      <c r="AF603" s="133">
        <v>0.994283899650683</v>
      </c>
      <c r="AG603" s="133">
        <v>0.997661502484654</v>
      </c>
      <c r="AH603" s="133">
        <v>0.993757585006577</v>
      </c>
      <c r="AI603" s="135">
        <v>0.92</v>
      </c>
      <c r="AJ603" s="133">
        <v>0.923240938166311</v>
      </c>
      <c r="AK603" s="133">
        <v>0.850882723833543</v>
      </c>
      <c r="AL603" s="133">
        <v>0.931231130493123</v>
      </c>
      <c r="AM603" s="133">
        <v>0.934120658560707</v>
      </c>
      <c r="AN603" s="132">
        <v>0.99</v>
      </c>
      <c r="AO603" s="137">
        <v>1</v>
      </c>
      <c r="AP603" s="137">
        <v>1</v>
      </c>
      <c r="AQ603" s="137">
        <v>1</v>
      </c>
      <c r="AR603" s="137">
        <v>1</v>
      </c>
      <c r="AS603" s="158">
        <v>0.05</v>
      </c>
      <c r="AT603" s="141">
        <v>0.111111111111111</v>
      </c>
      <c r="AU603" s="141">
        <v>0</v>
      </c>
      <c r="AV603" s="141">
        <v>0</v>
      </c>
      <c r="AW603" s="141">
        <v>0.0707070707070707</v>
      </c>
      <c r="AX603" s="95"/>
      <c r="AY603" s="93"/>
    </row>
    <row r="604" ht="14.5" spans="1:51">
      <c r="A604" s="91"/>
      <c r="B604" s="95"/>
      <c r="C604" s="152" t="s">
        <v>375</v>
      </c>
      <c r="D604" s="153" t="s">
        <v>25</v>
      </c>
      <c r="E604" s="130" t="s">
        <v>376</v>
      </c>
      <c r="F604" s="154" t="s">
        <v>630</v>
      </c>
      <c r="G604" s="154" t="s">
        <v>630</v>
      </c>
      <c r="H604" s="154" t="s">
        <v>630</v>
      </c>
      <c r="I604" s="154" t="s">
        <v>630</v>
      </c>
      <c r="J604" s="132">
        <v>0.9</v>
      </c>
      <c r="K604" s="133">
        <v>0.925925925925926</v>
      </c>
      <c r="L604" s="133">
        <v>0.833333333333333</v>
      </c>
      <c r="M604" s="134">
        <v>0.869565217391304</v>
      </c>
      <c r="N604" s="133">
        <v>0.861375661375661</v>
      </c>
      <c r="O604" s="135">
        <v>0.9</v>
      </c>
      <c r="P604" s="133">
        <v>0.955966815571155</v>
      </c>
      <c r="Q604" s="133">
        <v>0.966729147141518</v>
      </c>
      <c r="R604" s="133">
        <v>0.958908406524467</v>
      </c>
      <c r="S604" s="133">
        <v>0.965886083887266</v>
      </c>
      <c r="T604" s="135">
        <v>0.9</v>
      </c>
      <c r="U604" s="133">
        <v>0.871729419272495</v>
      </c>
      <c r="V604" s="133">
        <v>0.849109653233365</v>
      </c>
      <c r="W604" s="133">
        <v>0.852572145545797</v>
      </c>
      <c r="X604" s="133">
        <v>0.88887893501514</v>
      </c>
      <c r="Y604" s="135">
        <v>0.92</v>
      </c>
      <c r="Z604" s="135">
        <v>0.928823826350328</v>
      </c>
      <c r="AA604" s="135">
        <v>0.807878369039392</v>
      </c>
      <c r="AB604" s="135">
        <v>0.898078801693259</v>
      </c>
      <c r="AC604" s="135">
        <v>0.918041288854686</v>
      </c>
      <c r="AD604" s="135">
        <v>0.92</v>
      </c>
      <c r="AE604" s="133">
        <v>0.999171041724233</v>
      </c>
      <c r="AF604" s="133">
        <v>0.919708944925354</v>
      </c>
      <c r="AG604" s="133">
        <v>0.990722127725375</v>
      </c>
      <c r="AH604" s="133">
        <v>0.977282388859546</v>
      </c>
      <c r="AI604" s="135">
        <v>0.92</v>
      </c>
      <c r="AJ604" s="133">
        <v>0.934684684684685</v>
      </c>
      <c r="AK604" s="133">
        <v>0.881351200446678</v>
      </c>
      <c r="AL604" s="133">
        <v>0.922438557293329</v>
      </c>
      <c r="AM604" s="133">
        <v>0.943493106279984</v>
      </c>
      <c r="AN604" s="132">
        <v>0.99</v>
      </c>
      <c r="AO604" s="137">
        <v>1</v>
      </c>
      <c r="AP604" s="137">
        <v>1</v>
      </c>
      <c r="AQ604" s="137">
        <v>1</v>
      </c>
      <c r="AR604" s="137">
        <v>1</v>
      </c>
      <c r="AS604" s="158">
        <v>0.05</v>
      </c>
      <c r="AT604" s="141">
        <v>0.0689655172413793</v>
      </c>
      <c r="AU604" s="141">
        <v>0.0714285714285714</v>
      </c>
      <c r="AV604" s="141">
        <v>0.162790697674419</v>
      </c>
      <c r="AW604" s="141">
        <v>0.0744125326370757</v>
      </c>
      <c r="AX604" s="95"/>
      <c r="AY604" s="93"/>
    </row>
    <row r="605" ht="14.5" spans="1:51">
      <c r="A605" s="91"/>
      <c r="B605" s="95"/>
      <c r="C605" s="152" t="s">
        <v>375</v>
      </c>
      <c r="D605" s="153" t="s">
        <v>25</v>
      </c>
      <c r="E605" s="130" t="s">
        <v>376</v>
      </c>
      <c r="F605" s="154" t="s">
        <v>631</v>
      </c>
      <c r="G605" s="154" t="s">
        <v>631</v>
      </c>
      <c r="H605" s="154" t="s">
        <v>631</v>
      </c>
      <c r="I605" s="154" t="s">
        <v>631</v>
      </c>
      <c r="J605" s="132">
        <v>0.9</v>
      </c>
      <c r="K605" s="133">
        <v>0.867924528301887</v>
      </c>
      <c r="L605" s="133">
        <v>0.888888888888889</v>
      </c>
      <c r="M605" s="134">
        <v>0.844444444444444</v>
      </c>
      <c r="N605" s="133">
        <v>0.853813559322034</v>
      </c>
      <c r="O605" s="135">
        <v>0.9</v>
      </c>
      <c r="P605" s="133">
        <v>0.986550632911392</v>
      </c>
      <c r="Q605" s="133">
        <v>0.977124183006536</v>
      </c>
      <c r="R605" s="133">
        <v>0.987021630615641</v>
      </c>
      <c r="S605" s="133">
        <v>0.984035485383774</v>
      </c>
      <c r="T605" s="135">
        <v>0.9</v>
      </c>
      <c r="U605" s="133">
        <v>0.859177215189873</v>
      </c>
      <c r="V605" s="133">
        <v>0.837690631808279</v>
      </c>
      <c r="W605" s="133">
        <v>0.874209650582363</v>
      </c>
      <c r="X605" s="133">
        <v>0.885649523214007</v>
      </c>
      <c r="Y605" s="135">
        <v>0.92</v>
      </c>
      <c r="Z605" s="135">
        <v>0.906536346976176</v>
      </c>
      <c r="AA605" s="135">
        <v>0.901985906470211</v>
      </c>
      <c r="AB605" s="135">
        <v>0.925841968911917</v>
      </c>
      <c r="AC605" s="135">
        <v>0.934119451976595</v>
      </c>
      <c r="AD605" s="135">
        <v>0.92</v>
      </c>
      <c r="AE605" s="133">
        <v>0.994825749505402</v>
      </c>
      <c r="AF605" s="133">
        <v>0.894360603653693</v>
      </c>
      <c r="AG605" s="133">
        <v>0.977768184761494</v>
      </c>
      <c r="AH605" s="133">
        <v>0.981016501297817</v>
      </c>
      <c r="AI605" s="135">
        <v>0.92</v>
      </c>
      <c r="AJ605" s="133">
        <v>0.928030303030303</v>
      </c>
      <c r="AK605" s="133">
        <v>0.927877539005004</v>
      </c>
      <c r="AL605" s="133">
        <v>0.942093175853018</v>
      </c>
      <c r="AM605" s="133">
        <v>0.952648602294865</v>
      </c>
      <c r="AN605" s="132">
        <v>0.99</v>
      </c>
      <c r="AO605" s="137">
        <v>1</v>
      </c>
      <c r="AP605" s="137">
        <v>1</v>
      </c>
      <c r="AQ605" s="137">
        <v>1</v>
      </c>
      <c r="AR605" s="137">
        <v>1</v>
      </c>
      <c r="AS605" s="158">
        <v>0.05</v>
      </c>
      <c r="AT605" s="141">
        <v>0.05</v>
      </c>
      <c r="AU605" s="141">
        <v>0.0666666666666667</v>
      </c>
      <c r="AV605" s="141">
        <v>0</v>
      </c>
      <c r="AW605" s="141">
        <v>0.0376068376068376</v>
      </c>
      <c r="AX605" s="95"/>
      <c r="AY605" s="93"/>
    </row>
    <row r="606" ht="14.5" spans="1:51">
      <c r="A606" s="91"/>
      <c r="B606" s="95"/>
      <c r="C606" s="152" t="s">
        <v>375</v>
      </c>
      <c r="D606" s="153" t="s">
        <v>25</v>
      </c>
      <c r="E606" s="130" t="s">
        <v>376</v>
      </c>
      <c r="F606" s="154" t="s">
        <v>632</v>
      </c>
      <c r="G606" s="154" t="s">
        <v>632</v>
      </c>
      <c r="H606" s="154" t="s">
        <v>632</v>
      </c>
      <c r="I606" s="154" t="s">
        <v>632</v>
      </c>
      <c r="J606" s="132">
        <v>0.9</v>
      </c>
      <c r="K606" s="133">
        <v>0.771428571428571</v>
      </c>
      <c r="L606" s="133">
        <v>0.636363636363636</v>
      </c>
      <c r="M606" s="134">
        <v>0.764705882352941</v>
      </c>
      <c r="N606" s="133">
        <v>0.731746031746032</v>
      </c>
      <c r="O606" s="135">
        <v>0.9</v>
      </c>
      <c r="P606" s="133">
        <v>0.913179916317992</v>
      </c>
      <c r="Q606" s="133">
        <v>0.850078492935636</v>
      </c>
      <c r="R606" s="133">
        <v>0.933986591026302</v>
      </c>
      <c r="S606" s="133">
        <v>0.840007291729963</v>
      </c>
      <c r="T606" s="135">
        <v>0.9</v>
      </c>
      <c r="U606" s="133">
        <v>0.870292887029289</v>
      </c>
      <c r="V606" s="133">
        <v>0.799843014128728</v>
      </c>
      <c r="W606" s="133">
        <v>0.889633831872099</v>
      </c>
      <c r="X606" s="133">
        <v>0.820714589536368</v>
      </c>
      <c r="Y606" s="135">
        <v>0.92</v>
      </c>
      <c r="Z606" s="135">
        <v>0.864147909967846</v>
      </c>
      <c r="AA606" s="135">
        <v>0.621621621621622</v>
      </c>
      <c r="AB606" s="135">
        <v>0.720046756282876</v>
      </c>
      <c r="AC606" s="135">
        <v>0.758565713082453</v>
      </c>
      <c r="AD606" s="135">
        <v>0.92</v>
      </c>
      <c r="AE606" s="133">
        <v>0.983496503496504</v>
      </c>
      <c r="AF606" s="133">
        <v>0.988996182348978</v>
      </c>
      <c r="AG606" s="133">
        <v>0.988616679039842</v>
      </c>
      <c r="AH606" s="133">
        <v>0.814297710096907</v>
      </c>
      <c r="AI606" s="135">
        <v>0.92</v>
      </c>
      <c r="AJ606" s="133">
        <v>0.895</v>
      </c>
      <c r="AK606" s="133">
        <v>0.757711220384443</v>
      </c>
      <c r="AL606" s="133">
        <v>0.831645223104298</v>
      </c>
      <c r="AM606" s="133">
        <v>0.841970086115727</v>
      </c>
      <c r="AN606" s="132">
        <v>0.99</v>
      </c>
      <c r="AO606" s="137">
        <v>1</v>
      </c>
      <c r="AP606" s="137">
        <v>1</v>
      </c>
      <c r="AQ606" s="137">
        <v>1</v>
      </c>
      <c r="AR606" s="137">
        <v>1</v>
      </c>
      <c r="AS606" s="158">
        <v>0.05</v>
      </c>
      <c r="AT606" s="141">
        <v>0</v>
      </c>
      <c r="AU606" s="141">
        <v>0</v>
      </c>
      <c r="AV606" s="141">
        <v>0.0526315789473684</v>
      </c>
      <c r="AW606" s="141">
        <v>0.0309446254071661</v>
      </c>
      <c r="AX606" s="95"/>
      <c r="AY606" s="93"/>
    </row>
    <row r="607" ht="14.5" spans="1:51">
      <c r="A607" s="91"/>
      <c r="B607" s="95"/>
      <c r="C607" s="152" t="s">
        <v>375</v>
      </c>
      <c r="D607" s="153" t="s">
        <v>25</v>
      </c>
      <c r="E607" s="130" t="s">
        <v>376</v>
      </c>
      <c r="F607" s="154" t="s">
        <v>633</v>
      </c>
      <c r="G607" s="154" t="s">
        <v>633</v>
      </c>
      <c r="H607" s="154" t="s">
        <v>633</v>
      </c>
      <c r="I607" s="154" t="s">
        <v>633</v>
      </c>
      <c r="J607" s="132">
        <v>0.9</v>
      </c>
      <c r="K607" s="133">
        <v>0.956521739130435</v>
      </c>
      <c r="L607" s="133">
        <v>0.92</v>
      </c>
      <c r="M607" s="134">
        <v>0.909090909090909</v>
      </c>
      <c r="N607" s="133">
        <v>0.908376963350785</v>
      </c>
      <c r="O607" s="135">
        <v>0.9</v>
      </c>
      <c r="P607" s="133">
        <v>0.97037037037037</v>
      </c>
      <c r="Q607" s="133">
        <v>0.9625</v>
      </c>
      <c r="R607" s="133">
        <v>0.969909729187563</v>
      </c>
      <c r="S607" s="133">
        <v>0.968330373555161</v>
      </c>
      <c r="T607" s="135">
        <v>0.9</v>
      </c>
      <c r="U607" s="133">
        <v>0.918518518518519</v>
      </c>
      <c r="V607" s="133">
        <v>0.879166666666667</v>
      </c>
      <c r="W607" s="133">
        <v>0.907472417251755</v>
      </c>
      <c r="X607" s="133">
        <v>0.903807209396517</v>
      </c>
      <c r="Y607" s="135">
        <v>0.92</v>
      </c>
      <c r="Z607" s="135">
        <v>0.94984040127679</v>
      </c>
      <c r="AA607" s="135">
        <v>0.812534664448142</v>
      </c>
      <c r="AB607" s="135">
        <v>0.881905875475007</v>
      </c>
      <c r="AC607" s="135">
        <v>0.902329299642611</v>
      </c>
      <c r="AD607" s="135">
        <v>0.92</v>
      </c>
      <c r="AE607" s="133">
        <v>0.963402524942078</v>
      </c>
      <c r="AF607" s="133">
        <v>0.980812641083521</v>
      </c>
      <c r="AG607" s="133">
        <v>0.988968609865471</v>
      </c>
      <c r="AH607" s="133">
        <v>0.990078574706539</v>
      </c>
      <c r="AI607" s="135">
        <v>0.92</v>
      </c>
      <c r="AJ607" s="133">
        <v>0.958384332925337</v>
      </c>
      <c r="AK607" s="133">
        <v>0.886614173228346</v>
      </c>
      <c r="AL607" s="133">
        <v>0.920296695886716</v>
      </c>
      <c r="AM607" s="133">
        <v>0.936116880885821</v>
      </c>
      <c r="AN607" s="132">
        <v>0.99</v>
      </c>
      <c r="AO607" s="137">
        <v>1</v>
      </c>
      <c r="AP607" s="137">
        <v>1</v>
      </c>
      <c r="AQ607" s="137">
        <v>1</v>
      </c>
      <c r="AR607" s="137">
        <v>1</v>
      </c>
      <c r="AS607" s="158">
        <v>0.05</v>
      </c>
      <c r="AT607" s="141">
        <v>0.0645161290322581</v>
      </c>
      <c r="AU607" s="141">
        <v>0.0769230769230769</v>
      </c>
      <c r="AV607" s="141">
        <v>0.0363636363636364</v>
      </c>
      <c r="AW607" s="141">
        <v>0.0626185958254269</v>
      </c>
      <c r="AX607" s="95"/>
      <c r="AY607" s="93"/>
    </row>
    <row r="608" ht="14.5" spans="1:51">
      <c r="A608" s="91"/>
      <c r="B608" s="95"/>
      <c r="C608" s="152" t="s">
        <v>375</v>
      </c>
      <c r="D608" s="153" t="s">
        <v>25</v>
      </c>
      <c r="E608" s="130" t="s">
        <v>376</v>
      </c>
      <c r="F608" s="154" t="s">
        <v>634</v>
      </c>
      <c r="G608" s="154" t="s">
        <v>634</v>
      </c>
      <c r="H608" s="154" t="s">
        <v>634</v>
      </c>
      <c r="I608" s="154" t="s">
        <v>634</v>
      </c>
      <c r="J608" s="132">
        <v>0.9</v>
      </c>
      <c r="K608" s="133">
        <v>0.91358024691358</v>
      </c>
      <c r="L608" s="133">
        <v>0.939393939393939</v>
      </c>
      <c r="M608" s="134">
        <v>0.837837837837838</v>
      </c>
      <c r="N608" s="133">
        <v>0.918539325842697</v>
      </c>
      <c r="O608" s="135">
        <v>0.9</v>
      </c>
      <c r="P608" s="133">
        <v>0.911873840445269</v>
      </c>
      <c r="Q608" s="133">
        <v>0.937521937521938</v>
      </c>
      <c r="R608" s="133">
        <v>0.929605792437651</v>
      </c>
      <c r="S608" s="133">
        <v>0.94118548656783</v>
      </c>
      <c r="T608" s="135">
        <v>0.9</v>
      </c>
      <c r="U608" s="133">
        <v>0.88265306122449</v>
      </c>
      <c r="V608" s="133">
        <v>0.831519831519832</v>
      </c>
      <c r="W608" s="133">
        <v>0.882944489139179</v>
      </c>
      <c r="X608" s="133">
        <v>0.889630475978152</v>
      </c>
      <c r="Y608" s="135">
        <v>0.92</v>
      </c>
      <c r="Z608" s="135">
        <v>0.916386939273726</v>
      </c>
      <c r="AA608" s="135">
        <v>0.850513347022587</v>
      </c>
      <c r="AB608" s="135">
        <v>0.906528497409326</v>
      </c>
      <c r="AC608" s="135">
        <v>0.939562300119145</v>
      </c>
      <c r="AD608" s="135">
        <v>0.92</v>
      </c>
      <c r="AE608" s="133">
        <v>0.999684964952351</v>
      </c>
      <c r="AF608" s="133">
        <v>0.999507571094423</v>
      </c>
      <c r="AG608" s="133">
        <v>0.999247554552295</v>
      </c>
      <c r="AH608" s="133">
        <v>0.999673112733274</v>
      </c>
      <c r="AI608" s="135">
        <v>0.92</v>
      </c>
      <c r="AJ608" s="133">
        <v>0.930318073175216</v>
      </c>
      <c r="AK608" s="133">
        <v>0.898506898506898</v>
      </c>
      <c r="AL608" s="133">
        <v>0.936760505915953</v>
      </c>
      <c r="AM608" s="133">
        <v>0.955131755954736</v>
      </c>
      <c r="AN608" s="132">
        <v>0.99</v>
      </c>
      <c r="AO608" s="137">
        <v>1</v>
      </c>
      <c r="AP608" s="137">
        <v>1</v>
      </c>
      <c r="AQ608" s="137">
        <v>1</v>
      </c>
      <c r="AR608" s="137">
        <v>1</v>
      </c>
      <c r="AS608" s="158">
        <v>0.05</v>
      </c>
      <c r="AT608" s="141">
        <v>0.0588235294117647</v>
      </c>
      <c r="AU608" s="141">
        <v>0.0434782608695652</v>
      </c>
      <c r="AV608" s="141">
        <v>0.0810810810810811</v>
      </c>
      <c r="AW608" s="141">
        <v>0.0337243401759531</v>
      </c>
      <c r="AX608" s="95"/>
      <c r="AY608" s="93"/>
    </row>
    <row r="609" ht="14.5" spans="1:51">
      <c r="A609" s="91"/>
      <c r="B609" s="95"/>
      <c r="C609" s="152" t="s">
        <v>375</v>
      </c>
      <c r="D609" s="153" t="s">
        <v>25</v>
      </c>
      <c r="E609" s="130" t="s">
        <v>376</v>
      </c>
      <c r="F609" s="154" t="s">
        <v>635</v>
      </c>
      <c r="G609" s="154" t="s">
        <v>635</v>
      </c>
      <c r="H609" s="154" t="s">
        <v>635</v>
      </c>
      <c r="I609" s="154" t="s">
        <v>635</v>
      </c>
      <c r="J609" s="132">
        <v>0.9</v>
      </c>
      <c r="K609" s="133">
        <v>0.920634920634921</v>
      </c>
      <c r="L609" s="133">
        <v>0.957746478873239</v>
      </c>
      <c r="M609" s="134">
        <v>0.91304347826087</v>
      </c>
      <c r="N609" s="133">
        <v>0.936390532544379</v>
      </c>
      <c r="O609" s="135">
        <v>0.9</v>
      </c>
      <c r="P609" s="133">
        <v>0.968684759916493</v>
      </c>
      <c r="Q609" s="133">
        <v>0.962980885555287</v>
      </c>
      <c r="R609" s="133">
        <v>0.956802658297951</v>
      </c>
      <c r="S609" s="133">
        <v>0.96521157384178</v>
      </c>
      <c r="T609" s="135">
        <v>0.9</v>
      </c>
      <c r="U609" s="133">
        <v>0.926931106471816</v>
      </c>
      <c r="V609" s="133">
        <v>0.918219211226712</v>
      </c>
      <c r="W609" s="133">
        <v>0.891637437696142</v>
      </c>
      <c r="X609" s="133">
        <v>0.908055973685678</v>
      </c>
      <c r="Y609" s="135">
        <v>0.92</v>
      </c>
      <c r="Z609" s="135">
        <v>0.939528962444303</v>
      </c>
      <c r="AA609" s="135">
        <v>0.919249592169657</v>
      </c>
      <c r="AB609" s="135">
        <v>0.906361122086132</v>
      </c>
      <c r="AC609" s="135">
        <v>0.937221761110692</v>
      </c>
      <c r="AD609" s="135">
        <v>0.92</v>
      </c>
      <c r="AE609" s="133">
        <v>0.997970573313039</v>
      </c>
      <c r="AF609" s="133">
        <v>0.999168744804655</v>
      </c>
      <c r="AG609" s="133">
        <v>0.977254264825345</v>
      </c>
      <c r="AH609" s="133">
        <v>0.983967436451238</v>
      </c>
      <c r="AI609" s="135">
        <v>0.92</v>
      </c>
      <c r="AJ609" s="133">
        <v>0.958690176322418</v>
      </c>
      <c r="AK609" s="133">
        <v>0.961574333146801</v>
      </c>
      <c r="AL609" s="133">
        <v>0.945296780684105</v>
      </c>
      <c r="AM609" s="133">
        <v>0.96629881613394</v>
      </c>
      <c r="AN609" s="132">
        <v>0.99</v>
      </c>
      <c r="AO609" s="137">
        <v>1</v>
      </c>
      <c r="AP609" s="137">
        <v>1</v>
      </c>
      <c r="AQ609" s="137">
        <v>1</v>
      </c>
      <c r="AR609" s="137">
        <v>1</v>
      </c>
      <c r="AS609" s="158">
        <v>0.05</v>
      </c>
      <c r="AT609" s="141">
        <v>0.00451467268623025</v>
      </c>
      <c r="AU609" s="141">
        <v>0.00674157303370787</v>
      </c>
      <c r="AV609" s="141">
        <v>0.00387596899224806</v>
      </c>
      <c r="AW609" s="141">
        <v>0.0111842105263158</v>
      </c>
      <c r="AX609" s="95"/>
      <c r="AY609" s="93"/>
    </row>
    <row r="610" ht="14.5" spans="1:51">
      <c r="A610" s="91"/>
      <c r="B610" s="95"/>
      <c r="C610" s="152" t="s">
        <v>375</v>
      </c>
      <c r="D610" s="153" t="s">
        <v>25</v>
      </c>
      <c r="E610" s="130" t="s">
        <v>376</v>
      </c>
      <c r="F610" s="154" t="s">
        <v>636</v>
      </c>
      <c r="G610" s="154" t="s">
        <v>636</v>
      </c>
      <c r="H610" s="154" t="s">
        <v>636</v>
      </c>
      <c r="I610" s="154" t="s">
        <v>636</v>
      </c>
      <c r="J610" s="132">
        <v>0.9</v>
      </c>
      <c r="K610" s="133">
        <v>0.979591836734694</v>
      </c>
      <c r="L610" s="133">
        <v>1</v>
      </c>
      <c r="M610" s="134">
        <v>1</v>
      </c>
      <c r="N610" s="133">
        <v>0.994428969359331</v>
      </c>
      <c r="O610" s="135">
        <v>0.9</v>
      </c>
      <c r="P610" s="133">
        <v>0.975240020212228</v>
      </c>
      <c r="Q610" s="133">
        <v>0.984728804634018</v>
      </c>
      <c r="R610" s="133">
        <v>0.985121999603253</v>
      </c>
      <c r="S610" s="133">
        <v>0.98627508461477</v>
      </c>
      <c r="T610" s="135">
        <v>0.9</v>
      </c>
      <c r="U610" s="133">
        <v>0.943405760485094</v>
      </c>
      <c r="V610" s="133">
        <v>0.96129541864139</v>
      </c>
      <c r="W610" s="133">
        <v>0.943066851815116</v>
      </c>
      <c r="X610" s="133">
        <v>0.951563041334648</v>
      </c>
      <c r="Y610" s="135">
        <v>0.92</v>
      </c>
      <c r="Z610" s="135">
        <v>0.934782608695652</v>
      </c>
      <c r="AA610" s="135">
        <v>0.911675126903553</v>
      </c>
      <c r="AB610" s="135">
        <v>0.940857297883885</v>
      </c>
      <c r="AC610" s="135">
        <v>0.946436711745935</v>
      </c>
      <c r="AD610" s="135">
        <v>0.92</v>
      </c>
      <c r="AE610" s="133">
        <v>0.998632946001367</v>
      </c>
      <c r="AF610" s="133">
        <v>0.995157384987893</v>
      </c>
      <c r="AG610" s="133">
        <v>0.977653631284916</v>
      </c>
      <c r="AH610" s="133">
        <v>0.995789051533988</v>
      </c>
      <c r="AI610" s="135">
        <v>0.92</v>
      </c>
      <c r="AJ610" s="133">
        <v>0.9625042999656</v>
      </c>
      <c r="AK610" s="133">
        <v>0.970735785953177</v>
      </c>
      <c r="AL610" s="133">
        <v>0.978065078442766</v>
      </c>
      <c r="AM610" s="133">
        <v>0.979174472952452</v>
      </c>
      <c r="AN610" s="132">
        <v>0.99</v>
      </c>
      <c r="AO610" s="137">
        <v>1</v>
      </c>
      <c r="AP610" s="137">
        <v>1</v>
      </c>
      <c r="AQ610" s="137">
        <v>1</v>
      </c>
      <c r="AR610" s="137">
        <v>1</v>
      </c>
      <c r="AS610" s="158">
        <v>0.05</v>
      </c>
      <c r="AT610" s="141">
        <v>0.012987012987013</v>
      </c>
      <c r="AU610" s="141">
        <v>0</v>
      </c>
      <c r="AV610" s="141">
        <v>0</v>
      </c>
      <c r="AW610" s="141">
        <v>0.011611030478955</v>
      </c>
      <c r="AX610" s="95"/>
      <c r="AY610" s="93"/>
    </row>
    <row r="611" ht="14.5" spans="1:51">
      <c r="A611" s="91"/>
      <c r="B611" s="95"/>
      <c r="C611" s="152" t="s">
        <v>375</v>
      </c>
      <c r="D611" s="153" t="s">
        <v>25</v>
      </c>
      <c r="E611" s="130" t="s">
        <v>376</v>
      </c>
      <c r="F611" s="154" t="s">
        <v>637</v>
      </c>
      <c r="G611" s="154" t="s">
        <v>637</v>
      </c>
      <c r="H611" s="154" t="s">
        <v>637</v>
      </c>
      <c r="I611" s="154" t="s">
        <v>637</v>
      </c>
      <c r="J611" s="132">
        <v>0.9</v>
      </c>
      <c r="K611" s="133">
        <v>0.928571428571429</v>
      </c>
      <c r="L611" s="133">
        <v>0.956521739130435</v>
      </c>
      <c r="M611" s="134">
        <v>0.872340425531915</v>
      </c>
      <c r="N611" s="133">
        <v>0.926636568848758</v>
      </c>
      <c r="O611" s="135">
        <v>0.9</v>
      </c>
      <c r="P611" s="133">
        <v>0.861205145565335</v>
      </c>
      <c r="Q611" s="133">
        <v>0.873313343328336</v>
      </c>
      <c r="R611" s="133">
        <v>0.926234384295062</v>
      </c>
      <c r="S611" s="133">
        <v>0.930004990731499</v>
      </c>
      <c r="T611" s="135">
        <v>0.9</v>
      </c>
      <c r="U611" s="133">
        <v>0.83750846310088</v>
      </c>
      <c r="V611" s="133">
        <v>0.828710644677661</v>
      </c>
      <c r="W611" s="133">
        <v>0.846817370612731</v>
      </c>
      <c r="X611" s="133">
        <v>0.86015257379153</v>
      </c>
      <c r="Y611" s="135">
        <v>0.92</v>
      </c>
      <c r="Z611" s="135">
        <v>0.889603429796356</v>
      </c>
      <c r="AA611" s="135">
        <v>0.896508728179551</v>
      </c>
      <c r="AB611" s="135">
        <v>0.900709219858156</v>
      </c>
      <c r="AC611" s="135">
        <v>0.929636378696264</v>
      </c>
      <c r="AD611" s="135">
        <v>0.92</v>
      </c>
      <c r="AE611" s="133">
        <v>0.996644295302013</v>
      </c>
      <c r="AF611" s="133">
        <v>0.967741935483871</v>
      </c>
      <c r="AG611" s="133">
        <v>0.990783410138249</v>
      </c>
      <c r="AH611" s="133">
        <v>0.969150450878026</v>
      </c>
      <c r="AI611" s="135">
        <v>0.92</v>
      </c>
      <c r="AJ611" s="133">
        <v>0.916976456009913</v>
      </c>
      <c r="AK611" s="133">
        <v>0.954506190613303</v>
      </c>
      <c r="AL611" s="133">
        <v>0.951760635049868</v>
      </c>
      <c r="AM611" s="133">
        <v>0.965164649031037</v>
      </c>
      <c r="AN611" s="132">
        <v>0.99</v>
      </c>
      <c r="AO611" s="137">
        <v>1</v>
      </c>
      <c r="AP611" s="137">
        <v>1</v>
      </c>
      <c r="AQ611" s="137">
        <v>1</v>
      </c>
      <c r="AR611" s="137">
        <v>1</v>
      </c>
      <c r="AS611" s="158">
        <v>0.05</v>
      </c>
      <c r="AT611" s="141">
        <v>0</v>
      </c>
      <c r="AU611" s="141">
        <v>0.1</v>
      </c>
      <c r="AV611" s="141">
        <v>0</v>
      </c>
      <c r="AW611" s="141">
        <v>0.108695652173913</v>
      </c>
      <c r="AX611" s="95"/>
      <c r="AY611" s="93"/>
    </row>
    <row r="612" ht="14.5" spans="1:51">
      <c r="A612" s="91"/>
      <c r="B612" s="95"/>
      <c r="C612" s="152" t="s">
        <v>375</v>
      </c>
      <c r="D612" s="153" t="s">
        <v>25</v>
      </c>
      <c r="E612" s="130" t="s">
        <v>376</v>
      </c>
      <c r="F612" s="154" t="s">
        <v>638</v>
      </c>
      <c r="G612" s="154" t="s">
        <v>638</v>
      </c>
      <c r="H612" s="154" t="s">
        <v>638</v>
      </c>
      <c r="I612" s="154" t="s">
        <v>638</v>
      </c>
      <c r="J612" s="132">
        <v>0.9</v>
      </c>
      <c r="K612" s="133">
        <v>0.945945945945946</v>
      </c>
      <c r="L612" s="133">
        <v>0.976744186046512</v>
      </c>
      <c r="M612" s="134">
        <v>0.975</v>
      </c>
      <c r="N612" s="133">
        <v>0.973082099596231</v>
      </c>
      <c r="O612" s="135">
        <v>0.9</v>
      </c>
      <c r="P612" s="133">
        <v>0.982158786797502</v>
      </c>
      <c r="Q612" s="133">
        <v>0.983311374615722</v>
      </c>
      <c r="R612" s="133">
        <v>0.988212180746562</v>
      </c>
      <c r="S612" s="133">
        <v>0.986328918936266</v>
      </c>
      <c r="T612" s="135">
        <v>0.9</v>
      </c>
      <c r="U612" s="133">
        <v>0.913470115967886</v>
      </c>
      <c r="V612" s="133">
        <v>0.94949494949495</v>
      </c>
      <c r="W612" s="133">
        <v>0.89456450556647</v>
      </c>
      <c r="X612" s="133">
        <v>0.910956119894739</v>
      </c>
      <c r="Y612" s="135">
        <v>0.92</v>
      </c>
      <c r="Z612" s="135">
        <v>0.958445040214477</v>
      </c>
      <c r="AA612" s="135">
        <v>0.944805194805195</v>
      </c>
      <c r="AB612" s="135">
        <v>0.916999201915403</v>
      </c>
      <c r="AC612" s="135">
        <v>0.928996206295499</v>
      </c>
      <c r="AD612" s="135">
        <v>0.92</v>
      </c>
      <c r="AE612" s="133">
        <v>1</v>
      </c>
      <c r="AF612" s="133">
        <v>0.995934959349594</v>
      </c>
      <c r="AG612" s="133">
        <v>1</v>
      </c>
      <c r="AH612" s="133">
        <v>0.99207619047619</v>
      </c>
      <c r="AI612" s="135">
        <v>0.92</v>
      </c>
      <c r="AJ612" s="133">
        <v>0.970053475935829</v>
      </c>
      <c r="AK612" s="133">
        <v>0.978230822391154</v>
      </c>
      <c r="AL612" s="133">
        <v>0.966357308584687</v>
      </c>
      <c r="AM612" s="133">
        <v>0.96832893247831</v>
      </c>
      <c r="AN612" s="132">
        <v>0.99</v>
      </c>
      <c r="AO612" s="137">
        <v>1</v>
      </c>
      <c r="AP612" s="137">
        <v>1</v>
      </c>
      <c r="AQ612" s="137">
        <v>1</v>
      </c>
      <c r="AR612" s="137">
        <v>1</v>
      </c>
      <c r="AS612" s="158">
        <v>0.05</v>
      </c>
      <c r="AT612" s="141">
        <v>0</v>
      </c>
      <c r="AU612" s="141">
        <v>0.0769230769230769</v>
      </c>
      <c r="AV612" s="141">
        <v>0</v>
      </c>
      <c r="AW612" s="141">
        <v>0.0460251046025105</v>
      </c>
      <c r="AX612" s="95"/>
      <c r="AY612" s="93"/>
    </row>
    <row r="613" ht="14.5" spans="1:51">
      <c r="A613" s="91"/>
      <c r="B613" s="95"/>
      <c r="C613" s="152" t="s">
        <v>375</v>
      </c>
      <c r="D613" s="153" t="s">
        <v>25</v>
      </c>
      <c r="E613" s="130" t="s">
        <v>376</v>
      </c>
      <c r="F613" s="154" t="s">
        <v>639</v>
      </c>
      <c r="G613" s="154" t="s">
        <v>639</v>
      </c>
      <c r="H613" s="154" t="s">
        <v>639</v>
      </c>
      <c r="I613" s="154" t="s">
        <v>639</v>
      </c>
      <c r="J613" s="132">
        <v>0.9</v>
      </c>
      <c r="K613" s="133">
        <v>0.88</v>
      </c>
      <c r="L613" s="133">
        <v>0.863636363636364</v>
      </c>
      <c r="M613" s="134">
        <v>0.777777777777778</v>
      </c>
      <c r="N613" s="133">
        <v>0.798301486199575</v>
      </c>
      <c r="O613" s="135">
        <v>0.9</v>
      </c>
      <c r="P613" s="133">
        <v>0</v>
      </c>
      <c r="Q613" s="133" t="s">
        <v>35</v>
      </c>
      <c r="R613" s="133" t="s">
        <v>35</v>
      </c>
      <c r="S613" s="133">
        <v>0.333333333333333</v>
      </c>
      <c r="T613" s="135">
        <v>0.9</v>
      </c>
      <c r="U613" s="133">
        <v>0</v>
      </c>
      <c r="V613" s="133" t="s">
        <v>35</v>
      </c>
      <c r="W613" s="133" t="s">
        <v>35</v>
      </c>
      <c r="X613" s="133">
        <v>0.666666666666667</v>
      </c>
      <c r="Y613" s="135">
        <v>0.92</v>
      </c>
      <c r="Z613" s="135">
        <v>0.5</v>
      </c>
      <c r="AA613" s="135" t="s">
        <v>35</v>
      </c>
      <c r="AB613" s="135" t="s">
        <v>35</v>
      </c>
      <c r="AC613" s="135">
        <v>0.6</v>
      </c>
      <c r="AD613" s="135">
        <v>0.92</v>
      </c>
      <c r="AE613" s="133">
        <v>1</v>
      </c>
      <c r="AF613" s="133">
        <v>0.977272727272727</v>
      </c>
      <c r="AG613" s="133">
        <v>1</v>
      </c>
      <c r="AH613" s="133">
        <v>0.956896551724138</v>
      </c>
      <c r="AI613" s="135">
        <v>0.92</v>
      </c>
      <c r="AJ613" s="133">
        <v>0.942982456140351</v>
      </c>
      <c r="AK613" s="133">
        <v>0.835915772745332</v>
      </c>
      <c r="AL613" s="133">
        <v>0.939289410141428</v>
      </c>
      <c r="AM613" s="133">
        <v>0.910155261159396</v>
      </c>
      <c r="AN613" s="132">
        <v>0.99</v>
      </c>
      <c r="AO613" s="137">
        <v>1</v>
      </c>
      <c r="AP613" s="137">
        <v>1</v>
      </c>
      <c r="AQ613" s="137">
        <v>1</v>
      </c>
      <c r="AR613" s="137">
        <v>1</v>
      </c>
      <c r="AS613" s="158">
        <v>0.05</v>
      </c>
      <c r="AT613" s="141">
        <v>0</v>
      </c>
      <c r="AU613" s="141">
        <v>0.2</v>
      </c>
      <c r="AV613" s="141">
        <v>0</v>
      </c>
      <c r="AW613" s="141">
        <v>0.0656934306569343</v>
      </c>
      <c r="AX613" s="95"/>
      <c r="AY613" s="93"/>
    </row>
    <row r="614" ht="14.5" spans="1:51">
      <c r="A614" s="91"/>
      <c r="B614" s="95"/>
      <c r="C614" s="152" t="s">
        <v>375</v>
      </c>
      <c r="D614" s="153" t="s">
        <v>25</v>
      </c>
      <c r="E614" s="130" t="s">
        <v>376</v>
      </c>
      <c r="F614" s="154" t="s">
        <v>640</v>
      </c>
      <c r="G614" s="154" t="s">
        <v>640</v>
      </c>
      <c r="H614" s="154" t="s">
        <v>640</v>
      </c>
      <c r="I614" s="154" t="s">
        <v>640</v>
      </c>
      <c r="J614" s="132">
        <v>0.9</v>
      </c>
      <c r="K614" s="133">
        <v>0.932432432432432</v>
      </c>
      <c r="L614" s="133">
        <v>0.9875</v>
      </c>
      <c r="M614" s="134">
        <v>0.891566265060241</v>
      </c>
      <c r="N614" s="133">
        <v>0.940721649484536</v>
      </c>
      <c r="O614" s="135">
        <v>0.9</v>
      </c>
      <c r="P614" s="133">
        <v>0.714285714285714</v>
      </c>
      <c r="Q614" s="133">
        <v>0.9</v>
      </c>
      <c r="R614" s="133">
        <v>1</v>
      </c>
      <c r="S614" s="133">
        <v>0.958490566037736</v>
      </c>
      <c r="T614" s="135">
        <v>0.9</v>
      </c>
      <c r="U614" s="133">
        <v>0.666666666666667</v>
      </c>
      <c r="V614" s="133">
        <v>1</v>
      </c>
      <c r="W614" s="133">
        <v>1</v>
      </c>
      <c r="X614" s="133">
        <v>0.962264150943396</v>
      </c>
      <c r="Y614" s="135">
        <v>0.92</v>
      </c>
      <c r="Z614" s="135">
        <v>0.75</v>
      </c>
      <c r="AA614" s="135">
        <v>1</v>
      </c>
      <c r="AB614" s="135" t="s">
        <v>35</v>
      </c>
      <c r="AC614" s="135">
        <v>0.625</v>
      </c>
      <c r="AD614" s="135">
        <v>0.92</v>
      </c>
      <c r="AE614" s="133">
        <v>0.995400788436268</v>
      </c>
      <c r="AF614" s="133">
        <v>0.998883928571429</v>
      </c>
      <c r="AG614" s="133">
        <v>0.965919701213819</v>
      </c>
      <c r="AH614" s="133">
        <v>0.988008574873833</v>
      </c>
      <c r="AI614" s="135">
        <v>0.92</v>
      </c>
      <c r="AJ614" s="133">
        <v>0.929385964912281</v>
      </c>
      <c r="AK614" s="133">
        <v>0.929517620594851</v>
      </c>
      <c r="AL614" s="133">
        <v>0.945308002302821</v>
      </c>
      <c r="AM614" s="133">
        <v>0.956106645620011</v>
      </c>
      <c r="AN614" s="132">
        <v>0.99</v>
      </c>
      <c r="AO614" s="137">
        <v>1</v>
      </c>
      <c r="AP614" s="137">
        <v>1</v>
      </c>
      <c r="AQ614" s="137">
        <v>1</v>
      </c>
      <c r="AR614" s="137">
        <v>1</v>
      </c>
      <c r="AS614" s="158">
        <v>0.05</v>
      </c>
      <c r="AT614" s="141">
        <v>0.0406203840472674</v>
      </c>
      <c r="AU614" s="141">
        <v>0.00289017341040462</v>
      </c>
      <c r="AV614" s="141">
        <v>0.00199468085106383</v>
      </c>
      <c r="AW614" s="141">
        <v>0.0218238503507405</v>
      </c>
      <c r="AX614" s="95"/>
      <c r="AY614" s="93"/>
    </row>
    <row r="615" ht="14.5" spans="1:51">
      <c r="A615" s="91"/>
      <c r="B615" s="95"/>
      <c r="C615" s="152" t="s">
        <v>375</v>
      </c>
      <c r="D615" s="153" t="s">
        <v>25</v>
      </c>
      <c r="E615" s="130" t="s">
        <v>376</v>
      </c>
      <c r="F615" s="154" t="s">
        <v>641</v>
      </c>
      <c r="G615" s="154" t="s">
        <v>641</v>
      </c>
      <c r="H615" s="154" t="s">
        <v>641</v>
      </c>
      <c r="I615" s="154" t="s">
        <v>641</v>
      </c>
      <c r="J615" s="132">
        <v>0.9</v>
      </c>
      <c r="K615" s="133">
        <v>0.941176470588235</v>
      </c>
      <c r="L615" s="133">
        <v>1</v>
      </c>
      <c r="M615" s="134">
        <v>0.941176470588235</v>
      </c>
      <c r="N615" s="133">
        <v>0.964809384164223</v>
      </c>
      <c r="O615" s="135">
        <v>0.9</v>
      </c>
      <c r="P615" s="133">
        <v>0.950581395348837</v>
      </c>
      <c r="Q615" s="133">
        <v>0.960722702278083</v>
      </c>
      <c r="R615" s="133">
        <v>0.967859308671922</v>
      </c>
      <c r="S615" s="133">
        <v>0.963410589925937</v>
      </c>
      <c r="T615" s="135">
        <v>0.9</v>
      </c>
      <c r="U615" s="133">
        <v>0.930232558139535</v>
      </c>
      <c r="V615" s="133">
        <v>0.909662215239592</v>
      </c>
      <c r="W615" s="133">
        <v>0.883565797453002</v>
      </c>
      <c r="X615" s="133">
        <v>0.917609344485795</v>
      </c>
      <c r="Y615" s="135">
        <v>0.92</v>
      </c>
      <c r="Z615" s="135">
        <v>0.945054945054945</v>
      </c>
      <c r="AA615" s="135">
        <v>0.928125</v>
      </c>
      <c r="AB615" s="135">
        <v>0.941780821917808</v>
      </c>
      <c r="AC615" s="135">
        <v>0.955052457205964</v>
      </c>
      <c r="AD615" s="135">
        <v>0.92</v>
      </c>
      <c r="AE615" s="133">
        <v>0.991935483870968</v>
      </c>
      <c r="AF615" s="133">
        <v>0.954545454545455</v>
      </c>
      <c r="AG615" s="133">
        <v>0.967391304347826</v>
      </c>
      <c r="AH615" s="133">
        <v>0.971056439942113</v>
      </c>
      <c r="AI615" s="135">
        <v>0.92</v>
      </c>
      <c r="AJ615" s="133">
        <v>0.960151802656547</v>
      </c>
      <c r="AK615" s="133">
        <v>0.952410770194114</v>
      </c>
      <c r="AL615" s="133">
        <v>0.971837282074206</v>
      </c>
      <c r="AM615" s="133">
        <v>0.975562612177275</v>
      </c>
      <c r="AN615" s="132">
        <v>0.99</v>
      </c>
      <c r="AO615" s="137">
        <v>1</v>
      </c>
      <c r="AP615" s="137">
        <v>1</v>
      </c>
      <c r="AQ615" s="137">
        <v>1</v>
      </c>
      <c r="AR615" s="137">
        <v>1</v>
      </c>
      <c r="AS615" s="158">
        <v>0.05</v>
      </c>
      <c r="AT615" s="141">
        <v>0.333333333333333</v>
      </c>
      <c r="AU615" s="141">
        <v>0</v>
      </c>
      <c r="AV615" s="141">
        <v>0</v>
      </c>
      <c r="AW615" s="141">
        <v>0.152542372881356</v>
      </c>
      <c r="AX615" s="95"/>
      <c r="AY615" s="93"/>
    </row>
    <row r="616" ht="14.5" spans="1:51">
      <c r="A616" s="91"/>
      <c r="B616" s="95"/>
      <c r="C616" s="152" t="s">
        <v>375</v>
      </c>
      <c r="D616" s="153" t="s">
        <v>25</v>
      </c>
      <c r="E616" s="130" t="s">
        <v>376</v>
      </c>
      <c r="F616" s="154" t="s">
        <v>642</v>
      </c>
      <c r="G616" s="154" t="s">
        <v>642</v>
      </c>
      <c r="H616" s="154" t="s">
        <v>642</v>
      </c>
      <c r="I616" s="154" t="s">
        <v>642</v>
      </c>
      <c r="J616" s="132">
        <v>0.9</v>
      </c>
      <c r="K616" s="133">
        <v>0.843373493975904</v>
      </c>
      <c r="L616" s="133">
        <v>0.9</v>
      </c>
      <c r="M616" s="134">
        <v>0.886363636363636</v>
      </c>
      <c r="N616" s="133">
        <v>0.888493475682088</v>
      </c>
      <c r="O616" s="135">
        <v>0.9</v>
      </c>
      <c r="P616" s="133">
        <v>0</v>
      </c>
      <c r="Q616" s="133">
        <v>0.6</v>
      </c>
      <c r="R616" s="133">
        <v>1</v>
      </c>
      <c r="S616" s="133">
        <v>0.55952380952381</v>
      </c>
      <c r="T616" s="135">
        <v>0.9</v>
      </c>
      <c r="U616" s="133">
        <v>0</v>
      </c>
      <c r="V616" s="133">
        <v>0.4</v>
      </c>
      <c r="W616" s="133">
        <v>1</v>
      </c>
      <c r="X616" s="133">
        <v>0.702380952380952</v>
      </c>
      <c r="Y616" s="135">
        <v>0.92</v>
      </c>
      <c r="Z616" s="135">
        <v>0</v>
      </c>
      <c r="AA616" s="135">
        <v>1</v>
      </c>
      <c r="AB616" s="135" t="s">
        <v>35</v>
      </c>
      <c r="AC616" s="135">
        <v>0.845070422535211</v>
      </c>
      <c r="AD616" s="135">
        <v>0.92</v>
      </c>
      <c r="AE616" s="133">
        <v>0.999557522123894</v>
      </c>
      <c r="AF616" s="133">
        <v>0.995918367346939</v>
      </c>
      <c r="AG616" s="133">
        <v>0.992111650485437</v>
      </c>
      <c r="AH616" s="133">
        <v>0.996515311510032</v>
      </c>
      <c r="AI616" s="135">
        <v>0.92</v>
      </c>
      <c r="AJ616" s="133">
        <v>0.926251833228577</v>
      </c>
      <c r="AK616" s="133">
        <v>0.949994356022124</v>
      </c>
      <c r="AL616" s="133">
        <v>0.958052822371828</v>
      </c>
      <c r="AM616" s="133">
        <v>0.975207692033421</v>
      </c>
      <c r="AN616" s="132">
        <v>0.99</v>
      </c>
      <c r="AO616" s="137">
        <v>1</v>
      </c>
      <c r="AP616" s="137">
        <v>1</v>
      </c>
      <c r="AQ616" s="137">
        <v>1</v>
      </c>
      <c r="AR616" s="137">
        <v>1</v>
      </c>
      <c r="AS616" s="158">
        <v>0.05</v>
      </c>
      <c r="AT616" s="141">
        <v>0.0076530612244898</v>
      </c>
      <c r="AU616" s="141">
        <v>0.00647249190938511</v>
      </c>
      <c r="AV616" s="141">
        <v>0.002710027100271</v>
      </c>
      <c r="AW616" s="141">
        <v>0.00796228391828182</v>
      </c>
      <c r="AX616" s="95"/>
      <c r="AY616" s="93"/>
    </row>
    <row r="617" ht="14.5" spans="1:51">
      <c r="A617" s="91"/>
      <c r="B617" s="95"/>
      <c r="C617" s="152" t="s">
        <v>375</v>
      </c>
      <c r="D617" s="153" t="s">
        <v>25</v>
      </c>
      <c r="E617" s="130" t="s">
        <v>376</v>
      </c>
      <c r="F617" s="154" t="s">
        <v>643</v>
      </c>
      <c r="G617" s="154" t="s">
        <v>643</v>
      </c>
      <c r="H617" s="154" t="s">
        <v>643</v>
      </c>
      <c r="I617" s="154" t="s">
        <v>643</v>
      </c>
      <c r="J617" s="132">
        <v>0.9</v>
      </c>
      <c r="K617" s="133">
        <v>1</v>
      </c>
      <c r="L617" s="133">
        <v>1</v>
      </c>
      <c r="M617" s="134">
        <v>0.987654320987654</v>
      </c>
      <c r="N617" s="133">
        <v>0.998137802607076</v>
      </c>
      <c r="O617" s="135">
        <v>0.9</v>
      </c>
      <c r="P617" s="133">
        <v>0.916383082158483</v>
      </c>
      <c r="Q617" s="133">
        <v>0.995035460992908</v>
      </c>
      <c r="R617" s="133">
        <v>0.994322482967449</v>
      </c>
      <c r="S617" s="133">
        <v>0.990077003425073</v>
      </c>
      <c r="T617" s="135">
        <v>0.9</v>
      </c>
      <c r="U617" s="133">
        <v>0.935828877005348</v>
      </c>
      <c r="V617" s="133">
        <v>0.913475177304965</v>
      </c>
      <c r="W617" s="133">
        <v>0.946442089326268</v>
      </c>
      <c r="X617" s="133">
        <v>0.950737240994</v>
      </c>
      <c r="Y617" s="135">
        <v>0.92</v>
      </c>
      <c r="Z617" s="135">
        <v>0.956780457250235</v>
      </c>
      <c r="AA617" s="135">
        <v>0.94668400520156</v>
      </c>
      <c r="AB617" s="135">
        <v>0.968218898708362</v>
      </c>
      <c r="AC617" s="135">
        <v>0.969410883576089</v>
      </c>
      <c r="AD617" s="135">
        <v>0.92</v>
      </c>
      <c r="AE617" s="133">
        <v>0.998541565386485</v>
      </c>
      <c r="AF617" s="133">
        <v>0.997693638285604</v>
      </c>
      <c r="AG617" s="133">
        <v>0.998786747550163</v>
      </c>
      <c r="AH617" s="133">
        <v>0.997141884715849</v>
      </c>
      <c r="AI617" s="135">
        <v>0.92</v>
      </c>
      <c r="AJ617" s="133">
        <v>0.964034253092293</v>
      </c>
      <c r="AK617" s="133">
        <v>0.960162739447364</v>
      </c>
      <c r="AL617" s="133">
        <v>0.977079416241382</v>
      </c>
      <c r="AM617" s="133">
        <v>0.978218424873961</v>
      </c>
      <c r="AN617" s="132">
        <v>0.99</v>
      </c>
      <c r="AO617" s="137">
        <v>1</v>
      </c>
      <c r="AP617" s="137">
        <v>1</v>
      </c>
      <c r="AQ617" s="137">
        <v>1</v>
      </c>
      <c r="AR617" s="137">
        <v>1</v>
      </c>
      <c r="AS617" s="158">
        <v>0.05</v>
      </c>
      <c r="AT617" s="141">
        <v>0.0769230769230769</v>
      </c>
      <c r="AU617" s="141">
        <v>0</v>
      </c>
      <c r="AV617" s="141">
        <v>0.15</v>
      </c>
      <c r="AW617" s="141">
        <v>0.0530451866404715</v>
      </c>
      <c r="AX617" s="95"/>
      <c r="AY617" s="93"/>
    </row>
    <row r="618" ht="14.5" spans="1:51">
      <c r="A618" s="91"/>
      <c r="B618" s="95"/>
      <c r="C618" s="152" t="s">
        <v>375</v>
      </c>
      <c r="D618" s="153" t="s">
        <v>25</v>
      </c>
      <c r="E618" s="130" t="s">
        <v>376</v>
      </c>
      <c r="F618" s="154" t="s">
        <v>644</v>
      </c>
      <c r="G618" s="154" t="s">
        <v>644</v>
      </c>
      <c r="H618" s="154" t="s">
        <v>644</v>
      </c>
      <c r="I618" s="154" t="s">
        <v>644</v>
      </c>
      <c r="J618" s="132">
        <v>0.9</v>
      </c>
      <c r="K618" s="133">
        <v>1</v>
      </c>
      <c r="L618" s="133">
        <v>1</v>
      </c>
      <c r="M618" s="134">
        <v>0.971428571428571</v>
      </c>
      <c r="N618" s="133">
        <v>0.980337078651685</v>
      </c>
      <c r="O618" s="135">
        <v>0.9</v>
      </c>
      <c r="P618" s="133">
        <v>0.990779547359598</v>
      </c>
      <c r="Q618" s="133">
        <v>0.993827160493827</v>
      </c>
      <c r="R618" s="133">
        <v>0.991017964071856</v>
      </c>
      <c r="S618" s="133">
        <v>0.985244510668239</v>
      </c>
      <c r="T618" s="135">
        <v>0.9</v>
      </c>
      <c r="U618" s="133">
        <v>0.908633696563286</v>
      </c>
      <c r="V618" s="133">
        <v>0.861952861952862</v>
      </c>
      <c r="W618" s="133">
        <v>0.879116766467066</v>
      </c>
      <c r="X618" s="133">
        <v>0.90012623910929</v>
      </c>
      <c r="Y618" s="135">
        <v>0.92</v>
      </c>
      <c r="Z618" s="135">
        <v>0.932604735883424</v>
      </c>
      <c r="AA618" s="135">
        <v>0.87597503900156</v>
      </c>
      <c r="AB618" s="135">
        <v>0.899156441717791</v>
      </c>
      <c r="AC618" s="135">
        <v>0.934202046241843</v>
      </c>
      <c r="AD618" s="135">
        <v>0.92</v>
      </c>
      <c r="AE618" s="133">
        <v>0.996787603930461</v>
      </c>
      <c r="AF618" s="133">
        <v>0.998815676141258</v>
      </c>
      <c r="AG618" s="133">
        <v>0.997905539847104</v>
      </c>
      <c r="AH618" s="133">
        <v>0.975900746908077</v>
      </c>
      <c r="AI618" s="135">
        <v>0.92</v>
      </c>
      <c r="AJ618" s="133">
        <v>0.947923997185081</v>
      </c>
      <c r="AK618" s="133">
        <v>0.9161227154047</v>
      </c>
      <c r="AL618" s="133">
        <v>0.929180079530392</v>
      </c>
      <c r="AM618" s="133">
        <v>0.95500494731366</v>
      </c>
      <c r="AN618" s="132">
        <v>0.99</v>
      </c>
      <c r="AO618" s="137">
        <v>1</v>
      </c>
      <c r="AP618" s="137">
        <v>1</v>
      </c>
      <c r="AQ618" s="137">
        <v>1</v>
      </c>
      <c r="AR618" s="137">
        <v>1</v>
      </c>
      <c r="AS618" s="158">
        <v>0.05</v>
      </c>
      <c r="AT618" s="141">
        <v>0.0833333333333333</v>
      </c>
      <c r="AU618" s="141">
        <v>0.291666666666667</v>
      </c>
      <c r="AV618" s="141">
        <v>0</v>
      </c>
      <c r="AW618" s="141">
        <v>0.0601415094339623</v>
      </c>
      <c r="AX618" s="95"/>
      <c r="AY618" s="93"/>
    </row>
    <row r="619" ht="14.5" spans="1:51">
      <c r="A619" s="91"/>
      <c r="B619" s="95"/>
      <c r="C619" s="152" t="s">
        <v>375</v>
      </c>
      <c r="D619" s="153" t="s">
        <v>25</v>
      </c>
      <c r="E619" s="130" t="s">
        <v>376</v>
      </c>
      <c r="F619" s="154" t="s">
        <v>645</v>
      </c>
      <c r="G619" s="154" t="s">
        <v>645</v>
      </c>
      <c r="H619" s="154" t="s">
        <v>645</v>
      </c>
      <c r="I619" s="154" t="s">
        <v>645</v>
      </c>
      <c r="J619" s="132">
        <v>0.9</v>
      </c>
      <c r="K619" s="133">
        <v>0.882352941176471</v>
      </c>
      <c r="L619" s="133">
        <v>0.82089552238806</v>
      </c>
      <c r="M619" s="134">
        <v>0.756756756756757</v>
      </c>
      <c r="N619" s="133">
        <v>0.863909272848566</v>
      </c>
      <c r="O619" s="135">
        <v>0.9</v>
      </c>
      <c r="P619" s="133">
        <v>0.989931107578166</v>
      </c>
      <c r="Q619" s="133">
        <v>0.976037195994278</v>
      </c>
      <c r="R619" s="133">
        <v>0.968824940047962</v>
      </c>
      <c r="S619" s="133">
        <v>0.978429749859847</v>
      </c>
      <c r="T619" s="135">
        <v>0.9</v>
      </c>
      <c r="U619" s="133">
        <v>0.882882882882883</v>
      </c>
      <c r="V619" s="133">
        <v>0.832260371959943</v>
      </c>
      <c r="W619" s="133">
        <v>0.888380204926968</v>
      </c>
      <c r="X619" s="133">
        <v>0.898796016978563</v>
      </c>
      <c r="Y619" s="135">
        <v>0.92</v>
      </c>
      <c r="Z619" s="135">
        <v>0.926256077795786</v>
      </c>
      <c r="AA619" s="135">
        <v>0.871328671328671</v>
      </c>
      <c r="AB619" s="135">
        <v>0.912144702842377</v>
      </c>
      <c r="AC619" s="135">
        <v>0.936187242299297</v>
      </c>
      <c r="AD619" s="135">
        <v>0.92</v>
      </c>
      <c r="AE619" s="133">
        <v>0.999263122095001</v>
      </c>
      <c r="AF619" s="133">
        <v>0.993590884813958</v>
      </c>
      <c r="AG619" s="133">
        <v>0.99503939305515</v>
      </c>
      <c r="AH619" s="133">
        <v>0.964705359062368</v>
      </c>
      <c r="AI619" s="135">
        <v>0.92</v>
      </c>
      <c r="AJ619" s="133">
        <v>0.946039035591274</v>
      </c>
      <c r="AK619" s="133">
        <v>0.908318154219794</v>
      </c>
      <c r="AL619" s="133">
        <v>0.939768172462355</v>
      </c>
      <c r="AM619" s="133">
        <v>0.956356012959787</v>
      </c>
      <c r="AN619" s="132">
        <v>0.99</v>
      </c>
      <c r="AO619" s="137">
        <v>1</v>
      </c>
      <c r="AP619" s="137">
        <v>1</v>
      </c>
      <c r="AQ619" s="137">
        <v>1</v>
      </c>
      <c r="AR619" s="137">
        <v>0.999526963103122</v>
      </c>
      <c r="AS619" s="158">
        <v>0.05</v>
      </c>
      <c r="AT619" s="141">
        <v>0.133333333333333</v>
      </c>
      <c r="AU619" s="141">
        <v>0.0588235294117647</v>
      </c>
      <c r="AV619" s="141">
        <v>0</v>
      </c>
      <c r="AW619" s="141">
        <v>0.062992125984252</v>
      </c>
      <c r="AX619" s="95"/>
      <c r="AY619" s="93"/>
    </row>
    <row r="620" ht="14.5" spans="1:51">
      <c r="A620" s="91"/>
      <c r="B620" s="95"/>
      <c r="C620" s="152" t="s">
        <v>375</v>
      </c>
      <c r="D620" s="153" t="s">
        <v>25</v>
      </c>
      <c r="E620" s="130" t="s">
        <v>376</v>
      </c>
      <c r="F620" s="154" t="s">
        <v>646</v>
      </c>
      <c r="G620" s="154" t="s">
        <v>646</v>
      </c>
      <c r="H620" s="154" t="s">
        <v>646</v>
      </c>
      <c r="I620" s="154" t="s">
        <v>646</v>
      </c>
      <c r="J620" s="132">
        <v>0.9</v>
      </c>
      <c r="K620" s="133">
        <v>0.861111111111111</v>
      </c>
      <c r="L620" s="133">
        <v>0.9</v>
      </c>
      <c r="M620" s="134">
        <v>0.805555555555556</v>
      </c>
      <c r="N620" s="133">
        <v>0.934947049924357</v>
      </c>
      <c r="O620" s="135">
        <v>0.9</v>
      </c>
      <c r="P620" s="133">
        <v>0.987488829311886</v>
      </c>
      <c r="Q620" s="133">
        <v>0.971481711097334</v>
      </c>
      <c r="R620" s="133">
        <v>0.993118435349511</v>
      </c>
      <c r="S620" s="133">
        <v>0.990606916969452</v>
      </c>
      <c r="T620" s="135">
        <v>0.9</v>
      </c>
      <c r="U620" s="133">
        <v>0.945487042001787</v>
      </c>
      <c r="V620" s="133">
        <v>0.838189708617483</v>
      </c>
      <c r="W620" s="133">
        <v>0.931546541108294</v>
      </c>
      <c r="X620" s="133">
        <v>0.952684699232943</v>
      </c>
      <c r="Y620" s="135">
        <v>0.92</v>
      </c>
      <c r="Z620" s="135">
        <v>0.933416303671437</v>
      </c>
      <c r="AA620" s="135">
        <v>0.724563953488372</v>
      </c>
      <c r="AB620" s="135">
        <v>0.90088021431305</v>
      </c>
      <c r="AC620" s="135">
        <v>0.929492076792272</v>
      </c>
      <c r="AD620" s="135">
        <v>0.92</v>
      </c>
      <c r="AE620" s="133">
        <v>0.993722334004024</v>
      </c>
      <c r="AF620" s="133">
        <v>0.993391706591773</v>
      </c>
      <c r="AG620" s="133">
        <v>0.996235884567127</v>
      </c>
      <c r="AH620" s="133">
        <v>0.977691188120636</v>
      </c>
      <c r="AI620" s="135">
        <v>0.92</v>
      </c>
      <c r="AJ620" s="133">
        <v>0.950861752841951</v>
      </c>
      <c r="AK620" s="133">
        <v>0.842756774841084</v>
      </c>
      <c r="AL620" s="133">
        <v>0.941581395348837</v>
      </c>
      <c r="AM620" s="133">
        <v>0.95580614882154</v>
      </c>
      <c r="AN620" s="132">
        <v>0.99</v>
      </c>
      <c r="AO620" s="137">
        <v>1</v>
      </c>
      <c r="AP620" s="137">
        <v>1</v>
      </c>
      <c r="AQ620" s="137">
        <v>1</v>
      </c>
      <c r="AR620" s="137">
        <v>1</v>
      </c>
      <c r="AS620" s="158">
        <v>0.05</v>
      </c>
      <c r="AT620" s="141">
        <v>0.125</v>
      </c>
      <c r="AU620" s="141">
        <v>0.4</v>
      </c>
      <c r="AV620" s="141">
        <v>0.0909090909090909</v>
      </c>
      <c r="AW620" s="141">
        <v>0.0806451612903226</v>
      </c>
      <c r="AX620" s="95"/>
      <c r="AY620" s="93"/>
    </row>
    <row r="621" ht="14.5" spans="1:51">
      <c r="A621" s="91"/>
      <c r="B621" s="95"/>
      <c r="C621" s="152" t="s">
        <v>375</v>
      </c>
      <c r="D621" s="153" t="s">
        <v>25</v>
      </c>
      <c r="E621" s="130" t="s">
        <v>376</v>
      </c>
      <c r="F621" s="154" t="s">
        <v>647</v>
      </c>
      <c r="G621" s="154" t="s">
        <v>647</v>
      </c>
      <c r="H621" s="154" t="s">
        <v>647</v>
      </c>
      <c r="I621" s="154" t="s">
        <v>647</v>
      </c>
      <c r="J621" s="132">
        <v>0.9</v>
      </c>
      <c r="K621" s="133">
        <v>0.933333333333333</v>
      </c>
      <c r="L621" s="133">
        <v>1</v>
      </c>
      <c r="M621" s="134">
        <v>0.95</v>
      </c>
      <c r="N621" s="133">
        <v>0.963383838383838</v>
      </c>
      <c r="O621" s="135">
        <v>0.9</v>
      </c>
      <c r="P621" s="133">
        <v>0.937386569872958</v>
      </c>
      <c r="Q621" s="133">
        <v>0.94468085106383</v>
      </c>
      <c r="R621" s="133">
        <v>0.958256599140577</v>
      </c>
      <c r="S621" s="133">
        <v>0.964893569746256</v>
      </c>
      <c r="T621" s="135">
        <v>0.9</v>
      </c>
      <c r="U621" s="133">
        <v>0.802177858439201</v>
      </c>
      <c r="V621" s="133">
        <v>0.89483282674772</v>
      </c>
      <c r="W621" s="133">
        <v>0.917740945365255</v>
      </c>
      <c r="X621" s="133">
        <v>0.924632271252722</v>
      </c>
      <c r="Y621" s="135">
        <v>0.92</v>
      </c>
      <c r="Z621" s="135">
        <v>0.889289392378991</v>
      </c>
      <c r="AA621" s="135">
        <v>0.846450192625206</v>
      </c>
      <c r="AB621" s="135">
        <v>0.890971571383943</v>
      </c>
      <c r="AC621" s="135">
        <v>0.930597302504817</v>
      </c>
      <c r="AD621" s="135">
        <v>0.92</v>
      </c>
      <c r="AE621" s="133">
        <v>0.996935648621042</v>
      </c>
      <c r="AF621" s="133">
        <v>0.996918335901387</v>
      </c>
      <c r="AG621" s="133">
        <v>0.989498450591071</v>
      </c>
      <c r="AH621" s="133">
        <v>0.989428550306794</v>
      </c>
      <c r="AI621" s="135">
        <v>0.92</v>
      </c>
      <c r="AJ621" s="133">
        <v>0.914614121510673</v>
      </c>
      <c r="AK621" s="133">
        <v>0.891969959560947</v>
      </c>
      <c r="AL621" s="133">
        <v>0.926648096564531</v>
      </c>
      <c r="AM621" s="133">
        <v>0.953068256850446</v>
      </c>
      <c r="AN621" s="132">
        <v>0.99</v>
      </c>
      <c r="AO621" s="137">
        <v>1</v>
      </c>
      <c r="AP621" s="137">
        <v>1</v>
      </c>
      <c r="AQ621" s="137">
        <v>1</v>
      </c>
      <c r="AR621" s="137">
        <v>1</v>
      </c>
      <c r="AS621" s="158">
        <v>0.05</v>
      </c>
      <c r="AT621" s="141">
        <v>0</v>
      </c>
      <c r="AU621" s="141">
        <v>0.166666666666667</v>
      </c>
      <c r="AV621" s="141">
        <v>0.1</v>
      </c>
      <c r="AW621" s="141">
        <v>0.0646766169154229</v>
      </c>
      <c r="AX621" s="95"/>
      <c r="AY621" s="93"/>
    </row>
    <row r="622" ht="14.5" spans="1:51">
      <c r="A622" s="91"/>
      <c r="B622" s="95"/>
      <c r="C622" s="152" t="s">
        <v>375</v>
      </c>
      <c r="D622" s="153" t="s">
        <v>25</v>
      </c>
      <c r="E622" s="130" t="s">
        <v>376</v>
      </c>
      <c r="F622" s="154" t="s">
        <v>648</v>
      </c>
      <c r="G622" s="154" t="s">
        <v>648</v>
      </c>
      <c r="H622" s="154" t="s">
        <v>648</v>
      </c>
      <c r="I622" s="154" t="s">
        <v>648</v>
      </c>
      <c r="J622" s="132">
        <v>0.9</v>
      </c>
      <c r="K622" s="133">
        <v>1</v>
      </c>
      <c r="L622" s="133">
        <v>0.930232558139535</v>
      </c>
      <c r="M622" s="134">
        <v>0.977272727272727</v>
      </c>
      <c r="N622" s="133">
        <v>0.968432919954904</v>
      </c>
      <c r="O622" s="135">
        <v>0.9</v>
      </c>
      <c r="P622" s="133">
        <v>0.96832884097035</v>
      </c>
      <c r="Q622" s="133">
        <v>0.979581419091373</v>
      </c>
      <c r="R622" s="133">
        <v>0.980793450881612</v>
      </c>
      <c r="S622" s="133">
        <v>0.982540659340659</v>
      </c>
      <c r="T622" s="135">
        <v>0.9</v>
      </c>
      <c r="U622" s="133">
        <v>0.896900269541779</v>
      </c>
      <c r="V622" s="133">
        <v>0.884124553343543</v>
      </c>
      <c r="W622" s="133">
        <v>0.874685138539043</v>
      </c>
      <c r="X622" s="133">
        <v>0.909503296703297</v>
      </c>
      <c r="Y622" s="135">
        <v>0.92</v>
      </c>
      <c r="Z622" s="135">
        <v>0.943243243243243</v>
      </c>
      <c r="AA622" s="135">
        <v>0.88695652173913</v>
      </c>
      <c r="AB622" s="135">
        <v>0.904010519395135</v>
      </c>
      <c r="AC622" s="135">
        <v>0.939318300642572</v>
      </c>
      <c r="AD622" s="135">
        <v>0.92</v>
      </c>
      <c r="AE622" s="133">
        <v>0.998754448398577</v>
      </c>
      <c r="AF622" s="133">
        <v>0.993574119211168</v>
      </c>
      <c r="AG622" s="133">
        <v>0.994285714285714</v>
      </c>
      <c r="AH622" s="133">
        <v>0.976796134480884</v>
      </c>
      <c r="AI622" s="135">
        <v>0.92</v>
      </c>
      <c r="AJ622" s="133">
        <v>0.949625187406297</v>
      </c>
      <c r="AK622" s="133">
        <v>0.920145699075371</v>
      </c>
      <c r="AL622" s="133">
        <v>0.919453376205788</v>
      </c>
      <c r="AM622" s="133">
        <v>0.956711819480542</v>
      </c>
      <c r="AN622" s="132">
        <v>0.99</v>
      </c>
      <c r="AO622" s="137">
        <v>1</v>
      </c>
      <c r="AP622" s="137">
        <v>1</v>
      </c>
      <c r="AQ622" s="137">
        <v>1</v>
      </c>
      <c r="AR622" s="137">
        <v>1</v>
      </c>
      <c r="AS622" s="158">
        <v>0.05</v>
      </c>
      <c r="AT622" s="141">
        <v>0.0625</v>
      </c>
      <c r="AU622" s="141">
        <v>0.0645161290322581</v>
      </c>
      <c r="AV622" s="141">
        <v>0</v>
      </c>
      <c r="AW622" s="141">
        <v>0.0717821782178218</v>
      </c>
      <c r="AX622" s="95"/>
      <c r="AY622" s="93"/>
    </row>
    <row r="623" ht="14.5" spans="1:51">
      <c r="A623" s="91"/>
      <c r="B623" s="95"/>
      <c r="C623" s="152" t="s">
        <v>375</v>
      </c>
      <c r="D623" s="153" t="s">
        <v>25</v>
      </c>
      <c r="E623" s="130" t="s">
        <v>376</v>
      </c>
      <c r="F623" s="154" t="s">
        <v>649</v>
      </c>
      <c r="G623" s="154" t="s">
        <v>649</v>
      </c>
      <c r="H623" s="154" t="s">
        <v>649</v>
      </c>
      <c r="I623" s="154" t="s">
        <v>649</v>
      </c>
      <c r="J623" s="132">
        <v>0.9</v>
      </c>
      <c r="K623" s="133">
        <v>1</v>
      </c>
      <c r="L623" s="133">
        <v>1</v>
      </c>
      <c r="M623" s="134">
        <v>1</v>
      </c>
      <c r="N623" s="133">
        <v>0.998800959232614</v>
      </c>
      <c r="O623" s="135">
        <v>0.9</v>
      </c>
      <c r="P623" s="133">
        <v>0.988579586009993</v>
      </c>
      <c r="Q623" s="133">
        <v>0.989136057941024</v>
      </c>
      <c r="R623" s="133">
        <v>0.98112</v>
      </c>
      <c r="S623" s="133">
        <v>0.982337183994643</v>
      </c>
      <c r="T623" s="135">
        <v>0.9</v>
      </c>
      <c r="U623" s="133">
        <v>0.965024982155603</v>
      </c>
      <c r="V623" s="133">
        <v>0.946197620279358</v>
      </c>
      <c r="W623" s="133">
        <v>0.9472</v>
      </c>
      <c r="X623" s="133">
        <v>0.96586723589486</v>
      </c>
      <c r="Y623" s="135">
        <v>0.92</v>
      </c>
      <c r="Z623" s="135">
        <v>0.977765425236242</v>
      </c>
      <c r="AA623" s="135">
        <v>0.956262425447316</v>
      </c>
      <c r="AB623" s="135">
        <v>0.974550898203593</v>
      </c>
      <c r="AC623" s="135">
        <v>0.981435911569581</v>
      </c>
      <c r="AD623" s="135">
        <v>0.92</v>
      </c>
      <c r="AE623" s="133">
        <v>0.996061491551264</v>
      </c>
      <c r="AF623" s="133">
        <v>0.98838334946757</v>
      </c>
      <c r="AG623" s="133">
        <v>0.995004078303426</v>
      </c>
      <c r="AH623" s="133">
        <v>0.990491551949919</v>
      </c>
      <c r="AI623" s="135">
        <v>0.92</v>
      </c>
      <c r="AJ623" s="133">
        <v>0.981255857544517</v>
      </c>
      <c r="AK623" s="133">
        <v>0.973867595818815</v>
      </c>
      <c r="AL623" s="133">
        <v>0.984496124031008</v>
      </c>
      <c r="AM623" s="133">
        <v>0.98802055356799</v>
      </c>
      <c r="AN623" s="132">
        <v>0.99</v>
      </c>
      <c r="AO623" s="137">
        <v>1</v>
      </c>
      <c r="AP623" s="137">
        <v>1</v>
      </c>
      <c r="AQ623" s="137">
        <v>1</v>
      </c>
      <c r="AR623" s="137">
        <v>1</v>
      </c>
      <c r="AS623" s="158">
        <v>0.05</v>
      </c>
      <c r="AT623" s="141">
        <v>0</v>
      </c>
      <c r="AU623" s="141">
        <v>0</v>
      </c>
      <c r="AV623" s="141">
        <v>0</v>
      </c>
      <c r="AW623" s="141">
        <v>0.0026715645349808</v>
      </c>
      <c r="AX623" s="95"/>
      <c r="AY623" s="93"/>
    </row>
    <row r="624" ht="14.5" spans="1:51">
      <c r="A624" s="91"/>
      <c r="B624" s="95"/>
      <c r="C624" s="152" t="s">
        <v>375</v>
      </c>
      <c r="D624" s="153" t="s">
        <v>25</v>
      </c>
      <c r="E624" s="130" t="s">
        <v>376</v>
      </c>
      <c r="F624" s="154" t="s">
        <v>650</v>
      </c>
      <c r="G624" s="154" t="s">
        <v>650</v>
      </c>
      <c r="H624" s="154" t="s">
        <v>650</v>
      </c>
      <c r="I624" s="154" t="s">
        <v>650</v>
      </c>
      <c r="J624" s="132">
        <v>0.9</v>
      </c>
      <c r="K624" s="133">
        <v>1</v>
      </c>
      <c r="L624" s="133">
        <v>1</v>
      </c>
      <c r="M624" s="134">
        <v>1</v>
      </c>
      <c r="N624" s="133">
        <v>1</v>
      </c>
      <c r="O624" s="135">
        <v>0.9</v>
      </c>
      <c r="P624" s="133">
        <v>0.993197278911565</v>
      </c>
      <c r="Q624" s="133">
        <v>0.994047619047619</v>
      </c>
      <c r="R624" s="133">
        <v>0.994326972666323</v>
      </c>
      <c r="S624" s="133">
        <v>0.988052461372619</v>
      </c>
      <c r="T624" s="135">
        <v>0.9</v>
      </c>
      <c r="U624" s="133">
        <v>0.923809523809524</v>
      </c>
      <c r="V624" s="133">
        <v>0.9375</v>
      </c>
      <c r="W624" s="133">
        <v>0.9706034038164</v>
      </c>
      <c r="X624" s="133">
        <v>0.963438735177866</v>
      </c>
      <c r="Y624" s="135">
        <v>0.92</v>
      </c>
      <c r="Z624" s="135">
        <v>0.96221198156682</v>
      </c>
      <c r="AA624" s="135">
        <v>0.971717171717172</v>
      </c>
      <c r="AB624" s="135">
        <v>0.977908025247971</v>
      </c>
      <c r="AC624" s="135">
        <v>0.982878248252209</v>
      </c>
      <c r="AD624" s="135">
        <v>0.92</v>
      </c>
      <c r="AE624" s="133">
        <v>0.995169082125604</v>
      </c>
      <c r="AF624" s="133">
        <v>0.997995991983968</v>
      </c>
      <c r="AG624" s="133">
        <v>0.977198697068404</v>
      </c>
      <c r="AH624" s="133">
        <v>0.99030616366427</v>
      </c>
      <c r="AI624" s="135">
        <v>0.92</v>
      </c>
      <c r="AJ624" s="133">
        <v>0.964285714285714</v>
      </c>
      <c r="AK624" s="133">
        <v>0.976976976976977</v>
      </c>
      <c r="AL624" s="133">
        <v>0.985085398123647</v>
      </c>
      <c r="AM624" s="133">
        <v>0.987857373210505</v>
      </c>
      <c r="AN624" s="132">
        <v>0.99</v>
      </c>
      <c r="AO624" s="137">
        <v>1</v>
      </c>
      <c r="AP624" s="137">
        <v>1</v>
      </c>
      <c r="AQ624" s="137">
        <v>1</v>
      </c>
      <c r="AR624" s="137">
        <v>1</v>
      </c>
      <c r="AS624" s="158">
        <v>0.05</v>
      </c>
      <c r="AT624" s="141">
        <v>0</v>
      </c>
      <c r="AU624" s="141">
        <v>0</v>
      </c>
      <c r="AV624" s="141">
        <v>0.1</v>
      </c>
      <c r="AW624" s="141">
        <v>0.0592592592592593</v>
      </c>
      <c r="AX624" s="95"/>
      <c r="AY624" s="93"/>
    </row>
    <row r="625" ht="14.5" spans="1:51">
      <c r="A625" s="91"/>
      <c r="B625" s="95"/>
      <c r="C625" s="152" t="s">
        <v>375</v>
      </c>
      <c r="D625" s="153" t="s">
        <v>25</v>
      </c>
      <c r="E625" s="130" t="s">
        <v>376</v>
      </c>
      <c r="F625" s="154" t="s">
        <v>651</v>
      </c>
      <c r="G625" s="154" t="s">
        <v>651</v>
      </c>
      <c r="H625" s="154" t="s">
        <v>651</v>
      </c>
      <c r="I625" s="154" t="s">
        <v>651</v>
      </c>
      <c r="J625" s="132">
        <v>0.9</v>
      </c>
      <c r="K625" s="133">
        <v>0.903225806451613</v>
      </c>
      <c r="L625" s="133">
        <v>0.727272727272727</v>
      </c>
      <c r="M625" s="134">
        <v>0.728813559322034</v>
      </c>
      <c r="N625" s="133">
        <v>0.834132310642378</v>
      </c>
      <c r="O625" s="135">
        <v>0.9</v>
      </c>
      <c r="P625" s="133">
        <v>0.968201233981965</v>
      </c>
      <c r="Q625" s="133">
        <v>0.712376933895921</v>
      </c>
      <c r="R625" s="133">
        <v>0.959858844287605</v>
      </c>
      <c r="S625" s="133">
        <v>0.96403288245909</v>
      </c>
      <c r="T625" s="135">
        <v>0.9</v>
      </c>
      <c r="U625" s="133">
        <v>0.91124822021832</v>
      </c>
      <c r="V625" s="133">
        <v>0.472222222222222</v>
      </c>
      <c r="W625" s="133">
        <v>0.925893250992501</v>
      </c>
      <c r="X625" s="133">
        <v>0.91888890602588</v>
      </c>
      <c r="Y625" s="135">
        <v>0.92</v>
      </c>
      <c r="Z625" s="135">
        <v>0.89909217877095</v>
      </c>
      <c r="AA625" s="135">
        <v>0.21864406779661</v>
      </c>
      <c r="AB625" s="135">
        <v>0.885600187925769</v>
      </c>
      <c r="AC625" s="135">
        <v>0.861257285124201</v>
      </c>
      <c r="AD625" s="135">
        <v>0.92</v>
      </c>
      <c r="AE625" s="133">
        <v>0.997852112676056</v>
      </c>
      <c r="AF625" s="133">
        <v>0.995300656897423</v>
      </c>
      <c r="AG625" s="133">
        <v>0.98505036759842</v>
      </c>
      <c r="AH625" s="133">
        <v>0.977042719763051</v>
      </c>
      <c r="AI625" s="135">
        <v>0.92</v>
      </c>
      <c r="AJ625" s="133">
        <v>0.929605792437651</v>
      </c>
      <c r="AK625" s="133">
        <v>0.361505954667691</v>
      </c>
      <c r="AL625" s="133">
        <v>0.926402002047549</v>
      </c>
      <c r="AM625" s="133">
        <v>0.907764483720107</v>
      </c>
      <c r="AN625" s="132">
        <v>0.99</v>
      </c>
      <c r="AO625" s="137">
        <v>1</v>
      </c>
      <c r="AP625" s="137">
        <v>1</v>
      </c>
      <c r="AQ625" s="137">
        <v>1</v>
      </c>
      <c r="AR625" s="137">
        <v>1</v>
      </c>
      <c r="AS625" s="158">
        <v>0.05</v>
      </c>
      <c r="AT625" s="141">
        <v>0.130434782608696</v>
      </c>
      <c r="AU625" s="141">
        <v>0</v>
      </c>
      <c r="AV625" s="141">
        <v>0.0952380952380952</v>
      </c>
      <c r="AW625" s="141">
        <v>0.0575</v>
      </c>
      <c r="AX625" s="95"/>
      <c r="AY625" s="93"/>
    </row>
    <row r="626" ht="14.5" spans="1:51">
      <c r="A626" s="91"/>
      <c r="B626" s="95"/>
      <c r="C626" s="152" t="s">
        <v>375</v>
      </c>
      <c r="D626" s="153" t="s">
        <v>25</v>
      </c>
      <c r="E626" s="130" t="s">
        <v>376</v>
      </c>
      <c r="F626" s="154" t="s">
        <v>652</v>
      </c>
      <c r="G626" s="154" t="s">
        <v>652</v>
      </c>
      <c r="H626" s="154" t="s">
        <v>652</v>
      </c>
      <c r="I626" s="154" t="s">
        <v>652</v>
      </c>
      <c r="J626" s="132">
        <v>0.9</v>
      </c>
      <c r="K626" s="133">
        <v>0.910714285714286</v>
      </c>
      <c r="L626" s="133">
        <v>0.844444444444444</v>
      </c>
      <c r="M626" s="134">
        <v>0.866666666666667</v>
      </c>
      <c r="N626" s="133">
        <v>0.907312049433574</v>
      </c>
      <c r="O626" s="135">
        <v>0.9</v>
      </c>
      <c r="P626" s="133">
        <v>0.970218120805369</v>
      </c>
      <c r="Q626" s="133">
        <v>0.984879032258065</v>
      </c>
      <c r="R626" s="133">
        <v>0.98812804748781</v>
      </c>
      <c r="S626" s="133">
        <v>0.966731814485641</v>
      </c>
      <c r="T626" s="135">
        <v>0.9</v>
      </c>
      <c r="U626" s="133">
        <v>0.914429530201342</v>
      </c>
      <c r="V626" s="133">
        <v>0.861895161290323</v>
      </c>
      <c r="W626" s="133">
        <v>0.883400466398134</v>
      </c>
      <c r="X626" s="133">
        <v>0.899453614277358</v>
      </c>
      <c r="Y626" s="135">
        <v>0.92</v>
      </c>
      <c r="Z626" s="135">
        <v>0.949008498583569</v>
      </c>
      <c r="AA626" s="135">
        <v>0.780266666666667</v>
      </c>
      <c r="AB626" s="135">
        <v>0.829031362753261</v>
      </c>
      <c r="AC626" s="135">
        <v>0.930681891490872</v>
      </c>
      <c r="AD626" s="135">
        <v>0.92</v>
      </c>
      <c r="AE626" s="133">
        <v>0.82565944418276</v>
      </c>
      <c r="AF626" s="133">
        <v>0.997341603898981</v>
      </c>
      <c r="AG626" s="133">
        <v>0.997835609379026</v>
      </c>
      <c r="AH626" s="133">
        <v>0.966323683573905</v>
      </c>
      <c r="AI626" s="135">
        <v>0.92</v>
      </c>
      <c r="AJ626" s="133">
        <v>0.958419102511322</v>
      </c>
      <c r="AK626" s="133">
        <v>0.869771275499691</v>
      </c>
      <c r="AL626" s="133">
        <v>0.896419130016823</v>
      </c>
      <c r="AM626" s="133">
        <v>0.951154925741263</v>
      </c>
      <c r="AN626" s="132">
        <v>0.99</v>
      </c>
      <c r="AO626" s="137">
        <v>1</v>
      </c>
      <c r="AP626" s="137">
        <v>1</v>
      </c>
      <c r="AQ626" s="137">
        <v>1</v>
      </c>
      <c r="AR626" s="137">
        <v>1</v>
      </c>
      <c r="AS626" s="158">
        <v>0.05</v>
      </c>
      <c r="AT626" s="141">
        <v>0.024390243902439</v>
      </c>
      <c r="AU626" s="141">
        <v>0.027027027027027</v>
      </c>
      <c r="AV626" s="141">
        <v>0.0196078431372549</v>
      </c>
      <c r="AW626" s="141">
        <v>0.0425531914893617</v>
      </c>
      <c r="AX626" s="95"/>
      <c r="AY626" s="93"/>
    </row>
    <row r="627" ht="14.5" spans="1:51">
      <c r="A627" s="91"/>
      <c r="B627" s="95"/>
      <c r="C627" s="152" t="s">
        <v>375</v>
      </c>
      <c r="D627" s="153" t="s">
        <v>25</v>
      </c>
      <c r="E627" s="130" t="s">
        <v>376</v>
      </c>
      <c r="F627" s="154" t="s">
        <v>653</v>
      </c>
      <c r="G627" s="154" t="s">
        <v>653</v>
      </c>
      <c r="H627" s="154" t="s">
        <v>653</v>
      </c>
      <c r="I627" s="154" t="s">
        <v>653</v>
      </c>
      <c r="J627" s="132">
        <v>0.9</v>
      </c>
      <c r="K627" s="133">
        <v>1</v>
      </c>
      <c r="L627" s="133">
        <v>0.973684210526316</v>
      </c>
      <c r="M627" s="134">
        <v>1</v>
      </c>
      <c r="N627" s="133">
        <v>0.978465679676985</v>
      </c>
      <c r="O627" s="135">
        <v>0.9</v>
      </c>
      <c r="P627" s="133">
        <v>0.97949080622348</v>
      </c>
      <c r="Q627" s="133">
        <v>0.97331740342493</v>
      </c>
      <c r="R627" s="133">
        <v>0.973517905507072</v>
      </c>
      <c r="S627" s="133">
        <v>0.972878906027121</v>
      </c>
      <c r="T627" s="135">
        <v>0.9</v>
      </c>
      <c r="U627" s="133">
        <v>0.940594059405941</v>
      </c>
      <c r="V627" s="133">
        <v>0.941457586618877</v>
      </c>
      <c r="W627" s="133">
        <v>0.970207643695456</v>
      </c>
      <c r="X627" s="133">
        <v>0.948743795051256</v>
      </c>
      <c r="Y627" s="135">
        <v>0.92</v>
      </c>
      <c r="Z627" s="135">
        <v>0.94662638469285</v>
      </c>
      <c r="AA627" s="135">
        <v>0.95738203957382</v>
      </c>
      <c r="AB627" s="135">
        <v>0.975773889636608</v>
      </c>
      <c r="AC627" s="135">
        <v>0.972452146921883</v>
      </c>
      <c r="AD627" s="135">
        <v>0.92</v>
      </c>
      <c r="AE627" s="133">
        <v>0.998449612403101</v>
      </c>
      <c r="AF627" s="133">
        <v>0.988</v>
      </c>
      <c r="AG627" s="133">
        <v>0.983333333333333</v>
      </c>
      <c r="AH627" s="133">
        <v>0.991183085919928</v>
      </c>
      <c r="AI627" s="135">
        <v>0.92</v>
      </c>
      <c r="AJ627" s="133">
        <v>0.966763606148733</v>
      </c>
      <c r="AK627" s="133">
        <v>0.977917981072555</v>
      </c>
      <c r="AL627" s="133">
        <v>0.987941787941788</v>
      </c>
      <c r="AM627" s="133">
        <v>0.985828517140369</v>
      </c>
      <c r="AN627" s="132">
        <v>0.99</v>
      </c>
      <c r="AO627" s="137">
        <v>1</v>
      </c>
      <c r="AP627" s="137">
        <v>1</v>
      </c>
      <c r="AQ627" s="137">
        <v>1</v>
      </c>
      <c r="AR627" s="137">
        <v>1</v>
      </c>
      <c r="AS627" s="158">
        <v>0.05</v>
      </c>
      <c r="AT627" s="141">
        <v>0.0769230769230769</v>
      </c>
      <c r="AU627" s="141">
        <v>0.0526315789473684</v>
      </c>
      <c r="AV627" s="141">
        <v>0.166666666666667</v>
      </c>
      <c r="AW627" s="141">
        <v>0.0629370629370629</v>
      </c>
      <c r="AX627" s="95"/>
      <c r="AY627" s="93"/>
    </row>
    <row r="628" ht="14.5" spans="1:51">
      <c r="A628" s="91"/>
      <c r="B628" s="95"/>
      <c r="C628" s="152" t="s">
        <v>375</v>
      </c>
      <c r="D628" s="153" t="s">
        <v>25</v>
      </c>
      <c r="E628" s="130" t="s">
        <v>376</v>
      </c>
      <c r="F628" s="154" t="s">
        <v>654</v>
      </c>
      <c r="G628" s="154" t="s">
        <v>654</v>
      </c>
      <c r="H628" s="154" t="s">
        <v>654</v>
      </c>
      <c r="I628" s="154" t="s">
        <v>654</v>
      </c>
      <c r="J628" s="132">
        <v>0.9</v>
      </c>
      <c r="K628" s="133">
        <v>0.94047619047619</v>
      </c>
      <c r="L628" s="133">
        <v>0.941860465116279</v>
      </c>
      <c r="M628" s="134">
        <v>0.918604651162791</v>
      </c>
      <c r="N628" s="133">
        <v>0.923556058890147</v>
      </c>
      <c r="O628" s="135">
        <v>0.9</v>
      </c>
      <c r="P628" s="133">
        <v>0.953772189349112</v>
      </c>
      <c r="Q628" s="133">
        <v>0.948971020579588</v>
      </c>
      <c r="R628" s="133">
        <v>0.969018404907975</v>
      </c>
      <c r="S628" s="133">
        <v>0.952169814950179</v>
      </c>
      <c r="T628" s="135">
        <v>0.9</v>
      </c>
      <c r="U628" s="133">
        <v>0.84060650887574</v>
      </c>
      <c r="V628" s="133">
        <v>0.767744645107098</v>
      </c>
      <c r="W628" s="133">
        <v>0.749233128834356</v>
      </c>
      <c r="X628" s="133">
        <v>0.758107952140961</v>
      </c>
      <c r="Y628" s="135">
        <v>0.92</v>
      </c>
      <c r="Z628" s="135">
        <v>0.936086529006883</v>
      </c>
      <c r="AA628" s="135">
        <v>0.90065264684554</v>
      </c>
      <c r="AB628" s="135">
        <v>0.917977904251758</v>
      </c>
      <c r="AC628" s="135">
        <v>0.941099874126481</v>
      </c>
      <c r="AD628" s="135">
        <v>0.92</v>
      </c>
      <c r="AE628" s="133">
        <v>0.99849454271735</v>
      </c>
      <c r="AF628" s="133">
        <v>0.998552821997106</v>
      </c>
      <c r="AG628" s="133">
        <v>0.994902293967715</v>
      </c>
      <c r="AH628" s="133">
        <v>0.998051805509823</v>
      </c>
      <c r="AI628" s="135">
        <v>0.92</v>
      </c>
      <c r="AJ628" s="133">
        <v>0.953998733910108</v>
      </c>
      <c r="AK628" s="133">
        <v>0.941866145578896</v>
      </c>
      <c r="AL628" s="133">
        <v>0.954038704249053</v>
      </c>
      <c r="AM628" s="133">
        <v>0.967473010795682</v>
      </c>
      <c r="AN628" s="132">
        <v>0.99</v>
      </c>
      <c r="AO628" s="137">
        <v>1</v>
      </c>
      <c r="AP628" s="137">
        <v>1</v>
      </c>
      <c r="AQ628" s="137">
        <v>1</v>
      </c>
      <c r="AR628" s="137">
        <v>1</v>
      </c>
      <c r="AS628" s="158">
        <v>0.05</v>
      </c>
      <c r="AT628" s="141">
        <v>0.125</v>
      </c>
      <c r="AU628" s="141">
        <v>0.142857142857143</v>
      </c>
      <c r="AV628" s="141">
        <v>0.0606060606060606</v>
      </c>
      <c r="AW628" s="141">
        <v>0.110609480812641</v>
      </c>
      <c r="AX628" s="95"/>
      <c r="AY628" s="93"/>
    </row>
    <row r="629" ht="14.5" spans="1:51">
      <c r="A629" s="91"/>
      <c r="B629" s="95"/>
      <c r="C629" s="152" t="s">
        <v>375</v>
      </c>
      <c r="D629" s="153" t="s">
        <v>25</v>
      </c>
      <c r="E629" s="130" t="s">
        <v>376</v>
      </c>
      <c r="F629" s="154" t="s">
        <v>655</v>
      </c>
      <c r="G629" s="154" t="s">
        <v>655</v>
      </c>
      <c r="H629" s="154" t="s">
        <v>655</v>
      </c>
      <c r="I629" s="154" t="s">
        <v>655</v>
      </c>
      <c r="J629" s="132">
        <v>0.9</v>
      </c>
      <c r="K629" s="133">
        <v>0.904109589041096</v>
      </c>
      <c r="L629" s="133">
        <v>0.802816901408451</v>
      </c>
      <c r="M629" s="134">
        <v>0.875</v>
      </c>
      <c r="N629" s="133">
        <v>0.802603036876356</v>
      </c>
      <c r="O629" s="135">
        <v>0.9</v>
      </c>
      <c r="P629" s="133">
        <v>0.876350540216086</v>
      </c>
      <c r="Q629" s="133">
        <v>0.916414904330312</v>
      </c>
      <c r="R629" s="133">
        <v>0.910815568159593</v>
      </c>
      <c r="S629" s="133">
        <v>0.924202038302162</v>
      </c>
      <c r="T629" s="135">
        <v>0.9</v>
      </c>
      <c r="U629" s="133">
        <v>0.753101240496199</v>
      </c>
      <c r="V629" s="133">
        <v>0.636706948640483</v>
      </c>
      <c r="W629" s="133">
        <v>0.617836886368081</v>
      </c>
      <c r="X629" s="133">
        <v>0.61198342479561</v>
      </c>
      <c r="Y629" s="135">
        <v>0.92</v>
      </c>
      <c r="Z629" s="135">
        <v>0.849381387842926</v>
      </c>
      <c r="AA629" s="135">
        <v>0.795903438185808</v>
      </c>
      <c r="AB629" s="135">
        <v>0.850108616944243</v>
      </c>
      <c r="AC629" s="135">
        <v>0.860179866816174</v>
      </c>
      <c r="AD629" s="135">
        <v>0.92</v>
      </c>
      <c r="AE629" s="133">
        <v>0.999508164469801</v>
      </c>
      <c r="AF629" s="133">
        <v>0.999177406087195</v>
      </c>
      <c r="AG629" s="133">
        <v>0.998116760828625</v>
      </c>
      <c r="AH629" s="133">
        <v>0.981790845305713</v>
      </c>
      <c r="AI629" s="135">
        <v>0.92</v>
      </c>
      <c r="AJ629" s="133">
        <v>0.893299678751721</v>
      </c>
      <c r="AK629" s="133">
        <v>0.874719101123596</v>
      </c>
      <c r="AL629" s="133">
        <v>0.884078212290503</v>
      </c>
      <c r="AM629" s="133">
        <v>0.909812708175126</v>
      </c>
      <c r="AN629" s="132">
        <v>0.99</v>
      </c>
      <c r="AO629" s="137">
        <v>1</v>
      </c>
      <c r="AP629" s="137">
        <v>1</v>
      </c>
      <c r="AQ629" s="137">
        <v>1</v>
      </c>
      <c r="AR629" s="137">
        <v>1</v>
      </c>
      <c r="AS629" s="158">
        <v>0.05</v>
      </c>
      <c r="AT629" s="141">
        <v>0.0377358490566038</v>
      </c>
      <c r="AU629" s="141">
        <v>0.075</v>
      </c>
      <c r="AV629" s="141">
        <v>0.111111111111111</v>
      </c>
      <c r="AW629" s="141">
        <v>0.0494722955145119</v>
      </c>
      <c r="AX629" s="95"/>
      <c r="AY629" s="93"/>
    </row>
    <row r="630" ht="14.5" spans="1:51">
      <c r="A630" s="91"/>
      <c r="B630" s="95"/>
      <c r="C630" s="152" t="s">
        <v>375</v>
      </c>
      <c r="D630" s="153" t="s">
        <v>25</v>
      </c>
      <c r="E630" s="130" t="s">
        <v>376</v>
      </c>
      <c r="F630" s="154" t="s">
        <v>656</v>
      </c>
      <c r="G630" s="154" t="s">
        <v>656</v>
      </c>
      <c r="H630" s="154" t="s">
        <v>656</v>
      </c>
      <c r="I630" s="154" t="s">
        <v>656</v>
      </c>
      <c r="J630" s="132">
        <v>0.9</v>
      </c>
      <c r="K630" s="133">
        <v>0.932203389830508</v>
      </c>
      <c r="L630" s="133">
        <v>0.887096774193548</v>
      </c>
      <c r="M630" s="134">
        <v>0.892307692307692</v>
      </c>
      <c r="N630" s="133">
        <v>0.85498742665549</v>
      </c>
      <c r="O630" s="135">
        <v>0.9</v>
      </c>
      <c r="P630" s="133">
        <v>0.960039467192896</v>
      </c>
      <c r="Q630" s="133">
        <v>0.971483498878565</v>
      </c>
      <c r="R630" s="133">
        <v>0.961113898645258</v>
      </c>
      <c r="S630" s="133">
        <v>0.94401989155171</v>
      </c>
      <c r="T630" s="135">
        <v>0.9</v>
      </c>
      <c r="U630" s="133">
        <v>0.744449925999013</v>
      </c>
      <c r="V630" s="133">
        <v>0.745273950656841</v>
      </c>
      <c r="W630" s="133">
        <v>0.748369292523833</v>
      </c>
      <c r="X630" s="133">
        <v>0.754867530132329</v>
      </c>
      <c r="Y630" s="135">
        <v>0.92</v>
      </c>
      <c r="Z630" s="135">
        <v>0.895890410958904</v>
      </c>
      <c r="AA630" s="135">
        <v>0.866666666666667</v>
      </c>
      <c r="AB630" s="135">
        <v>0.888595332452664</v>
      </c>
      <c r="AC630" s="135">
        <v>0.920656353656031</v>
      </c>
      <c r="AD630" s="135">
        <v>0.92</v>
      </c>
      <c r="AE630" s="133">
        <v>0.992844364937388</v>
      </c>
      <c r="AF630" s="133">
        <v>0.99108138238573</v>
      </c>
      <c r="AG630" s="133">
        <v>0.997834757834758</v>
      </c>
      <c r="AH630" s="133">
        <v>0.983288866167143</v>
      </c>
      <c r="AI630" s="135">
        <v>0.92</v>
      </c>
      <c r="AJ630" s="133">
        <v>0.922922636103152</v>
      </c>
      <c r="AK630" s="133">
        <v>0.914815718818648</v>
      </c>
      <c r="AL630" s="133">
        <v>0.923961661341853</v>
      </c>
      <c r="AM630" s="133">
        <v>0.951343907303638</v>
      </c>
      <c r="AN630" s="132">
        <v>0.99</v>
      </c>
      <c r="AO630" s="137">
        <v>1</v>
      </c>
      <c r="AP630" s="137">
        <v>1</v>
      </c>
      <c r="AQ630" s="137">
        <v>1</v>
      </c>
      <c r="AR630" s="137">
        <v>1</v>
      </c>
      <c r="AS630" s="158">
        <v>0.05</v>
      </c>
      <c r="AT630" s="141">
        <v>0.444444444444444</v>
      </c>
      <c r="AU630" s="141">
        <v>0.121951219512195</v>
      </c>
      <c r="AV630" s="141">
        <v>0.294117647058824</v>
      </c>
      <c r="AW630" s="141">
        <v>0.164259927797834</v>
      </c>
      <c r="AX630" s="95"/>
      <c r="AY630" s="93"/>
    </row>
    <row r="631" ht="14.5" spans="1:51">
      <c r="A631" s="91"/>
      <c r="B631" s="95"/>
      <c r="C631" s="152" t="s">
        <v>375</v>
      </c>
      <c r="D631" s="153" t="s">
        <v>25</v>
      </c>
      <c r="E631" s="130" t="s">
        <v>376</v>
      </c>
      <c r="F631" s="154" t="s">
        <v>657</v>
      </c>
      <c r="G631" s="154" t="s">
        <v>657</v>
      </c>
      <c r="H631" s="154" t="s">
        <v>657</v>
      </c>
      <c r="I631" s="154" t="s">
        <v>657</v>
      </c>
      <c r="J631" s="132">
        <v>0.9</v>
      </c>
      <c r="K631" s="133">
        <v>0.924242424242424</v>
      </c>
      <c r="L631" s="133">
        <v>0.824324324324324</v>
      </c>
      <c r="M631" s="134">
        <v>0.917808219178082</v>
      </c>
      <c r="N631" s="133">
        <v>0.923809523809524</v>
      </c>
      <c r="O631" s="135">
        <v>0.9</v>
      </c>
      <c r="P631" s="133">
        <v>0.970880943604865</v>
      </c>
      <c r="Q631" s="133">
        <v>0.977539457709429</v>
      </c>
      <c r="R631" s="133">
        <v>0.947159258168973</v>
      </c>
      <c r="S631" s="133">
        <v>0.897908323900657</v>
      </c>
      <c r="T631" s="135">
        <v>0.9</v>
      </c>
      <c r="U631" s="133">
        <v>0.923332104681165</v>
      </c>
      <c r="V631" s="133">
        <v>0.888709024686362</v>
      </c>
      <c r="W631" s="133">
        <v>0.82455107447748</v>
      </c>
      <c r="X631" s="133">
        <v>0.850253493260789</v>
      </c>
      <c r="Y631" s="135">
        <v>0.92</v>
      </c>
      <c r="Z631" s="135">
        <v>0.911660777385159</v>
      </c>
      <c r="AA631" s="135">
        <v>0.92798353909465</v>
      </c>
      <c r="AB631" s="135">
        <v>0.93130737575182</v>
      </c>
      <c r="AC631" s="135">
        <v>0.941414097772785</v>
      </c>
      <c r="AD631" s="135">
        <v>0.92</v>
      </c>
      <c r="AE631" s="133">
        <v>0.999519230769231</v>
      </c>
      <c r="AF631" s="133">
        <v>0.995203836930456</v>
      </c>
      <c r="AG631" s="133">
        <v>0.98109640831758</v>
      </c>
      <c r="AH631" s="133">
        <v>0.993636836929485</v>
      </c>
      <c r="AI631" s="135">
        <v>0.92</v>
      </c>
      <c r="AJ631" s="133">
        <v>0.947177848775293</v>
      </c>
      <c r="AK631" s="133">
        <v>0.964536791126386</v>
      </c>
      <c r="AL631" s="133">
        <v>0.962832747363134</v>
      </c>
      <c r="AM631" s="133">
        <v>0.970438893620955</v>
      </c>
      <c r="AN631" s="132">
        <v>0.99</v>
      </c>
      <c r="AO631" s="137">
        <v>1</v>
      </c>
      <c r="AP631" s="137">
        <v>1</v>
      </c>
      <c r="AQ631" s="137">
        <v>1</v>
      </c>
      <c r="AR631" s="137">
        <v>1</v>
      </c>
      <c r="AS631" s="158">
        <v>0.05</v>
      </c>
      <c r="AT631" s="141">
        <v>0.277777777777778</v>
      </c>
      <c r="AU631" s="141">
        <v>0.108108108108108</v>
      </c>
      <c r="AV631" s="141">
        <v>0.0645161290322581</v>
      </c>
      <c r="AW631" s="141">
        <v>0.0744274809160305</v>
      </c>
      <c r="AX631" s="95"/>
      <c r="AY631" s="93"/>
    </row>
    <row r="632" ht="14.5" spans="1:51">
      <c r="A632" s="91"/>
      <c r="B632" s="95"/>
      <c r="C632" s="152" t="s">
        <v>375</v>
      </c>
      <c r="D632" s="153" t="s">
        <v>25</v>
      </c>
      <c r="E632" s="130" t="s">
        <v>376</v>
      </c>
      <c r="F632" s="154" t="s">
        <v>658</v>
      </c>
      <c r="G632" s="154" t="s">
        <v>658</v>
      </c>
      <c r="H632" s="154" t="s">
        <v>658</v>
      </c>
      <c r="I632" s="154" t="s">
        <v>658</v>
      </c>
      <c r="J632" s="132">
        <v>0.9</v>
      </c>
      <c r="K632" s="133">
        <v>0.941176470588235</v>
      </c>
      <c r="L632" s="133">
        <v>0.972222222222222</v>
      </c>
      <c r="M632" s="134">
        <v>0.944444444444444</v>
      </c>
      <c r="N632" s="133">
        <v>0.981186685962373</v>
      </c>
      <c r="O632" s="135">
        <v>0.9</v>
      </c>
      <c r="P632" s="133">
        <v>0.981421647819063</v>
      </c>
      <c r="Q632" s="133">
        <v>0.987335834896811</v>
      </c>
      <c r="R632" s="133">
        <v>0.994784876140808</v>
      </c>
      <c r="S632" s="133">
        <v>0.99025378959398</v>
      </c>
      <c r="T632" s="135">
        <v>0.9</v>
      </c>
      <c r="U632" s="133">
        <v>0.933764135702746</v>
      </c>
      <c r="V632" s="133">
        <v>0.937617260787992</v>
      </c>
      <c r="W632" s="133">
        <v>0.932855280312907</v>
      </c>
      <c r="X632" s="133">
        <v>0.95599111628609</v>
      </c>
      <c r="Y632" s="135">
        <v>0.92</v>
      </c>
      <c r="Z632" s="135">
        <v>0.969483568075117</v>
      </c>
      <c r="AA632" s="135">
        <v>0.95578231292517</v>
      </c>
      <c r="AB632" s="135">
        <v>0.967391304347826</v>
      </c>
      <c r="AC632" s="135">
        <v>0.971796063846273</v>
      </c>
      <c r="AD632" s="135">
        <v>0.92</v>
      </c>
      <c r="AE632" s="133">
        <v>1</v>
      </c>
      <c r="AF632" s="133">
        <v>0.993103448275862</v>
      </c>
      <c r="AG632" s="133">
        <v>0.975903614457831</v>
      </c>
      <c r="AH632" s="133">
        <v>0.985687382297552</v>
      </c>
      <c r="AI632" s="135">
        <v>0.92</v>
      </c>
      <c r="AJ632" s="133">
        <v>0.975598086124402</v>
      </c>
      <c r="AK632" s="133">
        <v>0.978308823529412</v>
      </c>
      <c r="AL632" s="133">
        <v>0.982921348314607</v>
      </c>
      <c r="AM632" s="133">
        <v>0.985443095737884</v>
      </c>
      <c r="AN632" s="132">
        <v>0.99</v>
      </c>
      <c r="AO632" s="137">
        <v>1</v>
      </c>
      <c r="AP632" s="137">
        <v>1</v>
      </c>
      <c r="AQ632" s="137">
        <v>1</v>
      </c>
      <c r="AR632" s="137">
        <v>1</v>
      </c>
      <c r="AS632" s="158">
        <v>0.05</v>
      </c>
      <c r="AT632" s="141">
        <v>0</v>
      </c>
      <c r="AU632" s="141">
        <v>0.142857142857143</v>
      </c>
      <c r="AV632" s="141">
        <v>0.0909090909090909</v>
      </c>
      <c r="AW632" s="141">
        <v>0.0818713450292398</v>
      </c>
      <c r="AX632" s="95"/>
      <c r="AY632" s="93"/>
    </row>
    <row r="633" ht="14.5" spans="1:51">
      <c r="A633" s="91"/>
      <c r="B633" s="95"/>
      <c r="C633" s="152" t="s">
        <v>375</v>
      </c>
      <c r="D633" s="153" t="s">
        <v>25</v>
      </c>
      <c r="E633" s="130" t="s">
        <v>376</v>
      </c>
      <c r="F633" s="154" t="s">
        <v>659</v>
      </c>
      <c r="G633" s="154" t="s">
        <v>659</v>
      </c>
      <c r="H633" s="154" t="s">
        <v>659</v>
      </c>
      <c r="I633" s="154" t="s">
        <v>659</v>
      </c>
      <c r="J633" s="132">
        <v>0.9</v>
      </c>
      <c r="K633" s="133">
        <v>0.738095238095238</v>
      </c>
      <c r="L633" s="133">
        <v>0.666666666666667</v>
      </c>
      <c r="M633" s="134">
        <v>0.744186046511628</v>
      </c>
      <c r="N633" s="133">
        <v>0.756348246674728</v>
      </c>
      <c r="O633" s="135">
        <v>0.9</v>
      </c>
      <c r="P633" s="133">
        <v>0.963630511747667</v>
      </c>
      <c r="Q633" s="133">
        <v>0.980431237543033</v>
      </c>
      <c r="R633" s="133">
        <v>0.989859906604403</v>
      </c>
      <c r="S633" s="133">
        <v>0.968766988312041</v>
      </c>
      <c r="T633" s="135">
        <v>0.9</v>
      </c>
      <c r="U633" s="133">
        <v>0.772127454135822</v>
      </c>
      <c r="V633" s="133">
        <v>0.713716252944374</v>
      </c>
      <c r="W633" s="133">
        <v>0.691127418278853</v>
      </c>
      <c r="X633" s="133">
        <v>0.699357841804838</v>
      </c>
      <c r="Y633" s="135">
        <v>0.92</v>
      </c>
      <c r="Z633" s="135">
        <v>0.907504363001745</v>
      </c>
      <c r="AA633" s="135">
        <v>0.828589108910891</v>
      </c>
      <c r="AB633" s="135">
        <v>0.873002034292357</v>
      </c>
      <c r="AC633" s="135">
        <v>0.895046277431748</v>
      </c>
      <c r="AD633" s="135">
        <v>0.92</v>
      </c>
      <c r="AE633" s="133">
        <v>0.986642920747996</v>
      </c>
      <c r="AF633" s="133">
        <v>0.996823379923761</v>
      </c>
      <c r="AG633" s="133">
        <v>0.929889298892989</v>
      </c>
      <c r="AH633" s="133">
        <v>0.992440671664911</v>
      </c>
      <c r="AI633" s="135">
        <v>0.92</v>
      </c>
      <c r="AJ633" s="133">
        <v>0.936666666666667</v>
      </c>
      <c r="AK633" s="133">
        <v>0.934417040358744</v>
      </c>
      <c r="AL633" s="133">
        <v>0.943220261497668</v>
      </c>
      <c r="AM633" s="133">
        <v>0.953674932952115</v>
      </c>
      <c r="AN633" s="132">
        <v>0.99</v>
      </c>
      <c r="AO633" s="137">
        <v>1</v>
      </c>
      <c r="AP633" s="137">
        <v>1</v>
      </c>
      <c r="AQ633" s="137">
        <v>1</v>
      </c>
      <c r="AR633" s="137">
        <v>1</v>
      </c>
      <c r="AS633" s="158">
        <v>0.05</v>
      </c>
      <c r="AT633" s="141">
        <v>0.117647058823529</v>
      </c>
      <c r="AU633" s="141">
        <v>0.12</v>
      </c>
      <c r="AV633" s="141">
        <v>0.19047619047619</v>
      </c>
      <c r="AW633" s="141">
        <v>0.102611940298507</v>
      </c>
      <c r="AX633" s="95"/>
      <c r="AY633" s="93"/>
    </row>
    <row r="634" ht="14.5" spans="1:51">
      <c r="A634" s="91"/>
      <c r="B634" s="95"/>
      <c r="C634" s="152" t="s">
        <v>375</v>
      </c>
      <c r="D634" s="153" t="s">
        <v>25</v>
      </c>
      <c r="E634" s="130" t="s">
        <v>376</v>
      </c>
      <c r="F634" s="154" t="s">
        <v>660</v>
      </c>
      <c r="G634" s="154" t="s">
        <v>660</v>
      </c>
      <c r="H634" s="154" t="s">
        <v>660</v>
      </c>
      <c r="I634" s="154" t="s">
        <v>660</v>
      </c>
      <c r="J634" s="132">
        <v>0.9</v>
      </c>
      <c r="K634" s="133">
        <v>0.85</v>
      </c>
      <c r="L634" s="133">
        <v>0.833333333333333</v>
      </c>
      <c r="M634" s="134">
        <v>0.75</v>
      </c>
      <c r="N634" s="133">
        <v>0.754119138149556</v>
      </c>
      <c r="O634" s="135">
        <v>0.9</v>
      </c>
      <c r="P634" s="133">
        <v>0.974093264248705</v>
      </c>
      <c r="Q634" s="133">
        <v>0.947480482611781</v>
      </c>
      <c r="R634" s="133">
        <v>0.992920898738073</v>
      </c>
      <c r="S634" s="133">
        <v>0.932767685970807</v>
      </c>
      <c r="T634" s="135">
        <v>0.9</v>
      </c>
      <c r="U634" s="133">
        <v>0.563471502590674</v>
      </c>
      <c r="V634" s="133">
        <v>0.405961674946771</v>
      </c>
      <c r="W634" s="133">
        <v>0.39766081871345</v>
      </c>
      <c r="X634" s="133">
        <v>0.528842321052332</v>
      </c>
      <c r="Y634" s="135">
        <v>0.92</v>
      </c>
      <c r="Z634" s="135">
        <v>0.705385427666315</v>
      </c>
      <c r="AA634" s="135">
        <v>0.833333333333333</v>
      </c>
      <c r="AB634" s="135">
        <v>0.810837438423645</v>
      </c>
      <c r="AC634" s="135">
        <v>0.877790527853119</v>
      </c>
      <c r="AD634" s="135">
        <v>0.92</v>
      </c>
      <c r="AE634" s="133">
        <v>1</v>
      </c>
      <c r="AF634" s="133">
        <v>0.998452012383901</v>
      </c>
      <c r="AG634" s="133">
        <v>1</v>
      </c>
      <c r="AH634" s="133">
        <v>0.994825164485843</v>
      </c>
      <c r="AI634" s="135">
        <v>0.92</v>
      </c>
      <c r="AJ634" s="133">
        <v>0.798154093097913</v>
      </c>
      <c r="AK634" s="133">
        <v>0.745799626633479</v>
      </c>
      <c r="AL634" s="133">
        <v>0.789732770745429</v>
      </c>
      <c r="AM634" s="133">
        <v>0.903408932795325</v>
      </c>
      <c r="AN634" s="132">
        <v>0.99</v>
      </c>
      <c r="AO634" s="137">
        <v>1</v>
      </c>
      <c r="AP634" s="137">
        <v>1</v>
      </c>
      <c r="AQ634" s="137">
        <v>1</v>
      </c>
      <c r="AR634" s="137">
        <v>1</v>
      </c>
      <c r="AS634" s="158">
        <v>0.05</v>
      </c>
      <c r="AT634" s="141">
        <v>0</v>
      </c>
      <c r="AU634" s="141">
        <v>0</v>
      </c>
      <c r="AV634" s="141">
        <v>0</v>
      </c>
      <c r="AW634" s="141">
        <v>0.101398601398601</v>
      </c>
      <c r="AX634" s="95"/>
      <c r="AY634" s="93"/>
    </row>
    <row r="635" ht="14.5" spans="1:51">
      <c r="A635" s="91"/>
      <c r="B635" s="95"/>
      <c r="C635" s="152" t="s">
        <v>375</v>
      </c>
      <c r="D635" s="153" t="s">
        <v>25</v>
      </c>
      <c r="E635" s="130" t="s">
        <v>376</v>
      </c>
      <c r="F635" s="154" t="s">
        <v>661</v>
      </c>
      <c r="G635" s="154" t="s">
        <v>661</v>
      </c>
      <c r="H635" s="154" t="s">
        <v>661</v>
      </c>
      <c r="I635" s="154" t="s">
        <v>661</v>
      </c>
      <c r="J635" s="132">
        <v>0.9</v>
      </c>
      <c r="K635" s="133">
        <v>0.96969696969697</v>
      </c>
      <c r="L635" s="133">
        <v>0.867647058823529</v>
      </c>
      <c r="M635" s="134">
        <v>0.928571428571429</v>
      </c>
      <c r="N635" s="133">
        <v>0.915605095541401</v>
      </c>
      <c r="O635" s="135">
        <v>0.9</v>
      </c>
      <c r="P635" s="133">
        <v>0.988027536665669</v>
      </c>
      <c r="Q635" s="133">
        <v>0.972268441486412</v>
      </c>
      <c r="R635" s="133">
        <v>0.98630729316806</v>
      </c>
      <c r="S635" s="133">
        <v>0.954251956449303</v>
      </c>
      <c r="T635" s="135">
        <v>0.9</v>
      </c>
      <c r="U635" s="133">
        <v>0.894642322657887</v>
      </c>
      <c r="V635" s="133">
        <v>0.881678683675356</v>
      </c>
      <c r="W635" s="133">
        <v>0.907610262323436</v>
      </c>
      <c r="X635" s="133">
        <v>0.892483092135479</v>
      </c>
      <c r="Y635" s="135">
        <v>0.92</v>
      </c>
      <c r="Z635" s="135">
        <v>0.885476086002633</v>
      </c>
      <c r="AA635" s="135">
        <v>0.865287870318614</v>
      </c>
      <c r="AB635" s="135">
        <v>0.767116045466561</v>
      </c>
      <c r="AC635" s="135">
        <v>0.79421215787086</v>
      </c>
      <c r="AD635" s="135">
        <v>0.92</v>
      </c>
      <c r="AE635" s="133">
        <v>0.988263551503903</v>
      </c>
      <c r="AF635" s="133">
        <v>0.996819743035237</v>
      </c>
      <c r="AG635" s="133">
        <v>0.993119910137602</v>
      </c>
      <c r="AH635" s="133">
        <v>0.986939944810735</v>
      </c>
      <c r="AI635" s="135">
        <v>0.92</v>
      </c>
      <c r="AJ635" s="133">
        <v>0.921052631578947</v>
      </c>
      <c r="AK635" s="133">
        <v>0.915590726086353</v>
      </c>
      <c r="AL635" s="133">
        <v>0.891188811188811</v>
      </c>
      <c r="AM635" s="133">
        <v>0.893554228989201</v>
      </c>
      <c r="AN635" s="132">
        <v>0.99</v>
      </c>
      <c r="AO635" s="137">
        <v>1</v>
      </c>
      <c r="AP635" s="137">
        <v>1</v>
      </c>
      <c r="AQ635" s="137">
        <v>1</v>
      </c>
      <c r="AR635" s="137">
        <v>1</v>
      </c>
      <c r="AS635" s="158">
        <v>0.05</v>
      </c>
      <c r="AT635" s="141">
        <v>0.00202839756592292</v>
      </c>
      <c r="AU635" s="141">
        <v>0.00269541778975741</v>
      </c>
      <c r="AV635" s="141">
        <v>0.0043859649122807</v>
      </c>
      <c r="AW635" s="141">
        <v>0.00702202361953399</v>
      </c>
      <c r="AX635" s="95"/>
      <c r="AY635" s="93"/>
    </row>
    <row r="636" ht="14.5" spans="1:51">
      <c r="A636" s="91"/>
      <c r="B636" s="95"/>
      <c r="C636" s="152" t="s">
        <v>375</v>
      </c>
      <c r="D636" s="153" t="s">
        <v>25</v>
      </c>
      <c r="E636" s="130" t="s">
        <v>376</v>
      </c>
      <c r="F636" s="154" t="s">
        <v>662</v>
      </c>
      <c r="G636" s="154" t="s">
        <v>662</v>
      </c>
      <c r="H636" s="154" t="s">
        <v>662</v>
      </c>
      <c r="I636" s="154" t="s">
        <v>662</v>
      </c>
      <c r="J636" s="132">
        <v>0.9</v>
      </c>
      <c r="K636" s="133">
        <v>0.9625</v>
      </c>
      <c r="L636" s="133">
        <v>0.879518072289157</v>
      </c>
      <c r="M636" s="134">
        <v>0.931818181818182</v>
      </c>
      <c r="N636" s="133">
        <v>0.927688504326329</v>
      </c>
      <c r="O636" s="135">
        <v>0.9</v>
      </c>
      <c r="P636" s="133">
        <v>0.980976537729867</v>
      </c>
      <c r="Q636" s="133">
        <v>0.989912447658926</v>
      </c>
      <c r="R636" s="133">
        <v>0.992250328995467</v>
      </c>
      <c r="S636" s="133">
        <v>0.975535644721465</v>
      </c>
      <c r="T636" s="135">
        <v>0.9</v>
      </c>
      <c r="U636" s="133">
        <v>0.881103360811668</v>
      </c>
      <c r="V636" s="133">
        <v>0.845831747240198</v>
      </c>
      <c r="W636" s="133">
        <v>0.848662085100161</v>
      </c>
      <c r="X636" s="133">
        <v>0.893953166255465</v>
      </c>
      <c r="Y636" s="135">
        <v>0.92</v>
      </c>
      <c r="Z636" s="135">
        <v>0.85254937988057</v>
      </c>
      <c r="AA636" s="135">
        <v>0.747252747252747</v>
      </c>
      <c r="AB636" s="135">
        <v>0.759369907658881</v>
      </c>
      <c r="AC636" s="135">
        <v>0.838808601281745</v>
      </c>
      <c r="AD636" s="135">
        <v>0.92</v>
      </c>
      <c r="AE636" s="133">
        <v>0.999687108886108</v>
      </c>
      <c r="AF636" s="133">
        <v>0.995847750865052</v>
      </c>
      <c r="AG636" s="133">
        <v>0.996879875195008</v>
      </c>
      <c r="AH636" s="133">
        <v>0.998784298252162</v>
      </c>
      <c r="AI636" s="135">
        <v>0.92</v>
      </c>
      <c r="AJ636" s="133">
        <v>0.901762279715036</v>
      </c>
      <c r="AK636" s="133">
        <v>0.883828861493836</v>
      </c>
      <c r="AL636" s="133">
        <v>0.874513156644818</v>
      </c>
      <c r="AM636" s="133">
        <v>0.919413466967815</v>
      </c>
      <c r="AN636" s="132">
        <v>0.99</v>
      </c>
      <c r="AO636" s="137">
        <v>1</v>
      </c>
      <c r="AP636" s="137">
        <v>1</v>
      </c>
      <c r="AQ636" s="137">
        <v>1</v>
      </c>
      <c r="AR636" s="137">
        <v>1</v>
      </c>
      <c r="AS636" s="158">
        <v>0.05</v>
      </c>
      <c r="AT636" s="141">
        <v>0.212121212121212</v>
      </c>
      <c r="AU636" s="141">
        <v>0.120689655172414</v>
      </c>
      <c r="AV636" s="141">
        <v>0.101449275362319</v>
      </c>
      <c r="AW636" s="141">
        <v>0.0607394366197183</v>
      </c>
      <c r="AX636" s="95"/>
      <c r="AY636" s="93"/>
    </row>
    <row r="637" ht="14.5" spans="1:51">
      <c r="A637" s="91"/>
      <c r="B637" s="95"/>
      <c r="C637" s="152" t="s">
        <v>375</v>
      </c>
      <c r="D637" s="153" t="s">
        <v>25</v>
      </c>
      <c r="E637" s="130" t="s">
        <v>376</v>
      </c>
      <c r="F637" s="154" t="s">
        <v>663</v>
      </c>
      <c r="G637" s="154" t="s">
        <v>663</v>
      </c>
      <c r="H637" s="154" t="s">
        <v>663</v>
      </c>
      <c r="I637" s="154" t="s">
        <v>663</v>
      </c>
      <c r="J637" s="132">
        <v>0.9</v>
      </c>
      <c r="K637" s="133">
        <v>0.8125</v>
      </c>
      <c r="L637" s="133">
        <v>0.780821917808219</v>
      </c>
      <c r="M637" s="134">
        <v>0.802816901408451</v>
      </c>
      <c r="N637" s="133">
        <v>0.81111903064861</v>
      </c>
      <c r="O637" s="135">
        <v>0.9</v>
      </c>
      <c r="P637" s="133">
        <v>0.974409448818898</v>
      </c>
      <c r="Q637" s="133">
        <v>0.97643264698586</v>
      </c>
      <c r="R637" s="133">
        <v>0.816195121951219</v>
      </c>
      <c r="S637" s="133">
        <v>0.89620798589018</v>
      </c>
      <c r="T637" s="135">
        <v>0.9</v>
      </c>
      <c r="U637" s="133">
        <v>0.635433070866142</v>
      </c>
      <c r="V637" s="133">
        <v>0.571570329942942</v>
      </c>
      <c r="W637" s="133">
        <v>0.551024390243902</v>
      </c>
      <c r="X637" s="133">
        <v>0.59548128551176</v>
      </c>
      <c r="Y637" s="135">
        <v>0.92</v>
      </c>
      <c r="Z637" s="135">
        <v>0.866133866133866</v>
      </c>
      <c r="AA637" s="135">
        <v>0.794649881982691</v>
      </c>
      <c r="AB637" s="135">
        <v>0.780817051509769</v>
      </c>
      <c r="AC637" s="135">
        <v>0.862154986954731</v>
      </c>
      <c r="AD637" s="135">
        <v>0.92</v>
      </c>
      <c r="AE637" s="133">
        <v>0.995532390171258</v>
      </c>
      <c r="AF637" s="133">
        <v>0.992914979757085</v>
      </c>
      <c r="AG637" s="133">
        <v>0.989456609894566</v>
      </c>
      <c r="AH637" s="133">
        <v>0.973211754700935</v>
      </c>
      <c r="AI637" s="135">
        <v>0.92</v>
      </c>
      <c r="AJ637" s="133">
        <v>0.892849284928493</v>
      </c>
      <c r="AK637" s="133">
        <v>0.868564963228361</v>
      </c>
      <c r="AL637" s="133">
        <v>0.865055387713998</v>
      </c>
      <c r="AM637" s="133">
        <v>0.920239416759173</v>
      </c>
      <c r="AN637" s="132">
        <v>0.99</v>
      </c>
      <c r="AO637" s="137">
        <v>1</v>
      </c>
      <c r="AP637" s="137">
        <v>1</v>
      </c>
      <c r="AQ637" s="137">
        <v>1</v>
      </c>
      <c r="AR637" s="137">
        <v>1</v>
      </c>
      <c r="AS637" s="158">
        <v>0.05</v>
      </c>
      <c r="AT637" s="141">
        <v>0.00543478260869565</v>
      </c>
      <c r="AU637" s="141">
        <v>0.13768115942029</v>
      </c>
      <c r="AV637" s="141">
        <v>0.00892857142857143</v>
      </c>
      <c r="AW637" s="141">
        <v>0.0287305775432425</v>
      </c>
      <c r="AX637" s="95"/>
      <c r="AY637" s="93"/>
    </row>
    <row r="638" ht="14.5" spans="1:51">
      <c r="A638" s="91"/>
      <c r="B638" s="95"/>
      <c r="C638" s="152" t="s">
        <v>375</v>
      </c>
      <c r="D638" s="153" t="s">
        <v>25</v>
      </c>
      <c r="E638" s="130" t="s">
        <v>376</v>
      </c>
      <c r="F638" s="154" t="s">
        <v>664</v>
      </c>
      <c r="G638" s="154" t="s">
        <v>664</v>
      </c>
      <c r="H638" s="154" t="s">
        <v>664</v>
      </c>
      <c r="I638" s="154" t="s">
        <v>664</v>
      </c>
      <c r="J638" s="132">
        <v>0.9</v>
      </c>
      <c r="K638" s="133">
        <v>0.4</v>
      </c>
      <c r="L638" s="133">
        <v>0.435483870967742</v>
      </c>
      <c r="M638" s="134">
        <v>0.43859649122807</v>
      </c>
      <c r="N638" s="133">
        <v>0.396351575456053</v>
      </c>
      <c r="O638" s="135">
        <v>0.9</v>
      </c>
      <c r="P638" s="133">
        <v>0.424259362772499</v>
      </c>
      <c r="Q638" s="133">
        <v>0.387929762431754</v>
      </c>
      <c r="R638" s="133">
        <v>0.443844492440605</v>
      </c>
      <c r="S638" s="133">
        <v>0.450503905775691</v>
      </c>
      <c r="T638" s="135">
        <v>0.9</v>
      </c>
      <c r="U638" s="133">
        <v>0.477361654555618</v>
      </c>
      <c r="V638" s="133">
        <v>0.394127194924008</v>
      </c>
      <c r="W638" s="133">
        <v>0.411177105831533</v>
      </c>
      <c r="X638" s="133">
        <v>0.447120249322054</v>
      </c>
      <c r="Y638" s="135">
        <v>0.92</v>
      </c>
      <c r="Z638" s="135">
        <v>0</v>
      </c>
      <c r="AA638" s="135">
        <v>1</v>
      </c>
      <c r="AB638" s="135" t="s">
        <v>35</v>
      </c>
      <c r="AC638" s="135">
        <v>0.0909090909090909</v>
      </c>
      <c r="AD638" s="135">
        <v>0.92</v>
      </c>
      <c r="AE638" s="133">
        <v>1</v>
      </c>
      <c r="AF638" s="133">
        <v>0.991902834008097</v>
      </c>
      <c r="AG638" s="133">
        <v>0.978260869565217</v>
      </c>
      <c r="AH638" s="133">
        <v>0.994671681554615</v>
      </c>
      <c r="AI638" s="135">
        <v>0.92</v>
      </c>
      <c r="AJ638" s="133">
        <v>0.879955332216639</v>
      </c>
      <c r="AK638" s="133">
        <v>0.821507596990707</v>
      </c>
      <c r="AL638" s="133">
        <v>0.793331533477322</v>
      </c>
      <c r="AM638" s="133">
        <v>0.886512998154683</v>
      </c>
      <c r="AN638" s="132">
        <v>0.99</v>
      </c>
      <c r="AO638" s="137">
        <v>1</v>
      </c>
      <c r="AP638" s="137">
        <v>1</v>
      </c>
      <c r="AQ638" s="137">
        <v>1</v>
      </c>
      <c r="AR638" s="137">
        <v>1</v>
      </c>
      <c r="AS638" s="158">
        <v>0.05</v>
      </c>
      <c r="AT638" s="141">
        <v>0.217391304347826</v>
      </c>
      <c r="AU638" s="141">
        <v>0.0833333333333333</v>
      </c>
      <c r="AV638" s="141">
        <v>0.259259259259259</v>
      </c>
      <c r="AW638" s="141">
        <v>0.121412803532009</v>
      </c>
      <c r="AX638" s="95"/>
      <c r="AY638" s="93"/>
    </row>
    <row r="639" ht="14.5" spans="1:51">
      <c r="A639" s="91"/>
      <c r="B639" s="95"/>
      <c r="C639" s="152" t="s">
        <v>375</v>
      </c>
      <c r="D639" s="153" t="s">
        <v>25</v>
      </c>
      <c r="E639" s="130" t="s">
        <v>376</v>
      </c>
      <c r="F639" s="154" t="s">
        <v>665</v>
      </c>
      <c r="G639" s="154" t="s">
        <v>665</v>
      </c>
      <c r="H639" s="154" t="s">
        <v>665</v>
      </c>
      <c r="I639" s="154" t="s">
        <v>665</v>
      </c>
      <c r="J639" s="132">
        <v>0.9</v>
      </c>
      <c r="K639" s="133">
        <v>0.367647058823529</v>
      </c>
      <c r="L639" s="133">
        <v>0.296875</v>
      </c>
      <c r="M639" s="134">
        <v>0.375</v>
      </c>
      <c r="N639" s="133">
        <v>0.272861356932153</v>
      </c>
      <c r="O639" s="135">
        <v>0.9</v>
      </c>
      <c r="P639" s="133">
        <v>0.663033605812897</v>
      </c>
      <c r="Q639" s="133">
        <v>0.628836729429972</v>
      </c>
      <c r="R639" s="133">
        <v>0.561017574044488</v>
      </c>
      <c r="S639" s="133">
        <v>0.616394790359569</v>
      </c>
      <c r="T639" s="135">
        <v>0.9</v>
      </c>
      <c r="U639" s="133">
        <v>0.665758401453224</v>
      </c>
      <c r="V639" s="133">
        <v>0.59337116327057</v>
      </c>
      <c r="W639" s="133">
        <v>0.64495514317316</v>
      </c>
      <c r="X639" s="133">
        <v>0.656476713830355</v>
      </c>
      <c r="Y639" s="135">
        <v>0.92</v>
      </c>
      <c r="Z639" s="135">
        <v>0.142857142857143</v>
      </c>
      <c r="AA639" s="135">
        <v>0</v>
      </c>
      <c r="AB639" s="135">
        <v>1</v>
      </c>
      <c r="AC639" s="135">
        <v>0.794871794871795</v>
      </c>
      <c r="AD639" s="135">
        <v>0.92</v>
      </c>
      <c r="AE639" s="133">
        <v>0.862954831203438</v>
      </c>
      <c r="AF639" s="133">
        <v>0.977415171817592</v>
      </c>
      <c r="AG639" s="133">
        <v>0.897572495606327</v>
      </c>
      <c r="AH639" s="133">
        <v>0.899920991628031</v>
      </c>
      <c r="AI639" s="135">
        <v>0.92</v>
      </c>
      <c r="AJ639" s="133">
        <v>0.918894426823743</v>
      </c>
      <c r="AK639" s="133">
        <v>0.886955400876515</v>
      </c>
      <c r="AL639" s="133">
        <v>0.893217006635537</v>
      </c>
      <c r="AM639" s="133">
        <v>0.940335880499072</v>
      </c>
      <c r="AN639" s="132">
        <v>0.99</v>
      </c>
      <c r="AO639" s="137">
        <v>1</v>
      </c>
      <c r="AP639" s="137">
        <v>1</v>
      </c>
      <c r="AQ639" s="137">
        <v>1</v>
      </c>
      <c r="AR639" s="137">
        <v>0.987522281639929</v>
      </c>
      <c r="AS639" s="158">
        <v>0.05</v>
      </c>
      <c r="AT639" s="141">
        <v>0.0454545454545455</v>
      </c>
      <c r="AU639" s="141">
        <v>0.133333333333333</v>
      </c>
      <c r="AV639" s="141">
        <v>0.1</v>
      </c>
      <c r="AW639" s="141">
        <v>0.101045296167247</v>
      </c>
      <c r="AX639" s="95"/>
      <c r="AY639" s="93"/>
    </row>
    <row r="640" ht="14.5" spans="1:51">
      <c r="A640" s="91"/>
      <c r="B640" s="95"/>
      <c r="C640" s="152" t="s">
        <v>375</v>
      </c>
      <c r="D640" s="153" t="s">
        <v>25</v>
      </c>
      <c r="E640" s="130" t="s">
        <v>376</v>
      </c>
      <c r="F640" s="154" t="s">
        <v>666</v>
      </c>
      <c r="G640" s="154" t="s">
        <v>666</v>
      </c>
      <c r="H640" s="154" t="s">
        <v>666</v>
      </c>
      <c r="I640" s="154" t="s">
        <v>666</v>
      </c>
      <c r="J640" s="132">
        <v>0.9</v>
      </c>
      <c r="K640" s="133">
        <v>0.902439024390244</v>
      </c>
      <c r="L640" s="133">
        <v>0.975</v>
      </c>
      <c r="M640" s="134">
        <v>0.977272727272727</v>
      </c>
      <c r="N640" s="133">
        <v>0.970443349753695</v>
      </c>
      <c r="O640" s="135">
        <v>0.9</v>
      </c>
      <c r="P640" s="133">
        <v>0.976594499707431</v>
      </c>
      <c r="Q640" s="133">
        <v>0.981736733287388</v>
      </c>
      <c r="R640" s="133">
        <v>0.967187086530828</v>
      </c>
      <c r="S640" s="133">
        <v>0.968784201760647</v>
      </c>
      <c r="T640" s="135">
        <v>0.9</v>
      </c>
      <c r="U640" s="133">
        <v>0.88355763604447</v>
      </c>
      <c r="V640" s="133">
        <v>0.768090971743625</v>
      </c>
      <c r="W640" s="133">
        <v>0.793331569198201</v>
      </c>
      <c r="X640" s="133">
        <v>0.797366960107859</v>
      </c>
      <c r="Y640" s="135">
        <v>0.92</v>
      </c>
      <c r="Z640" s="135">
        <v>0.932348367029549</v>
      </c>
      <c r="AA640" s="135">
        <v>0.885744234800839</v>
      </c>
      <c r="AB640" s="135">
        <v>0.888282025819265</v>
      </c>
      <c r="AC640" s="135">
        <v>0.928718636527201</v>
      </c>
      <c r="AD640" s="135">
        <v>0.92</v>
      </c>
      <c r="AE640" s="133">
        <v>1</v>
      </c>
      <c r="AF640" s="133">
        <v>0.9975</v>
      </c>
      <c r="AG640" s="133">
        <v>0.996039603960396</v>
      </c>
      <c r="AH640" s="133">
        <v>0.998853062107769</v>
      </c>
      <c r="AI640" s="135">
        <v>0.92</v>
      </c>
      <c r="AJ640" s="133">
        <v>0.945909849749583</v>
      </c>
      <c r="AK640" s="133">
        <v>0.926664939103395</v>
      </c>
      <c r="AL640" s="133">
        <v>0.936140835346911</v>
      </c>
      <c r="AM640" s="133">
        <v>0.957111429120656</v>
      </c>
      <c r="AN640" s="132">
        <v>0.99</v>
      </c>
      <c r="AO640" s="137">
        <v>1</v>
      </c>
      <c r="AP640" s="137">
        <v>1</v>
      </c>
      <c r="AQ640" s="137">
        <v>1</v>
      </c>
      <c r="AR640" s="137">
        <v>1</v>
      </c>
      <c r="AS640" s="158">
        <v>0.05</v>
      </c>
      <c r="AT640" s="141">
        <v>0.181818181818182</v>
      </c>
      <c r="AU640" s="141">
        <v>0.227272727272727</v>
      </c>
      <c r="AV640" s="141">
        <v>0</v>
      </c>
      <c r="AW640" s="141">
        <v>0.105527638190955</v>
      </c>
      <c r="AX640" s="95"/>
      <c r="AY640" s="93"/>
    </row>
    <row r="641" ht="14.5" spans="1:51">
      <c r="A641" s="91"/>
      <c r="B641" s="95"/>
      <c r="C641" s="152" t="s">
        <v>375</v>
      </c>
      <c r="D641" s="153" t="s">
        <v>25</v>
      </c>
      <c r="E641" s="130" t="s">
        <v>376</v>
      </c>
      <c r="F641" s="154" t="s">
        <v>667</v>
      </c>
      <c r="G641" s="154" t="s">
        <v>667</v>
      </c>
      <c r="H641" s="154" t="s">
        <v>667</v>
      </c>
      <c r="I641" s="154" t="s">
        <v>667</v>
      </c>
      <c r="J641" s="132">
        <v>0.9</v>
      </c>
      <c r="K641" s="133">
        <v>0.8</v>
      </c>
      <c r="L641" s="133">
        <v>0.836734693877551</v>
      </c>
      <c r="M641" s="134">
        <v>0.826086956521739</v>
      </c>
      <c r="N641" s="133">
        <v>0.8</v>
      </c>
      <c r="O641" s="135">
        <v>0.9</v>
      </c>
      <c r="P641" s="133">
        <v>0.990428441203282</v>
      </c>
      <c r="Q641" s="133">
        <v>0.953855140186916</v>
      </c>
      <c r="R641" s="133">
        <v>0.957860615883306</v>
      </c>
      <c r="S641" s="133">
        <v>0.973790560471976</v>
      </c>
      <c r="T641" s="135">
        <v>0.9</v>
      </c>
      <c r="U641" s="133">
        <v>0.681403828623519</v>
      </c>
      <c r="V641" s="133">
        <v>0.638142523364486</v>
      </c>
      <c r="W641" s="133">
        <v>0.59203519333179</v>
      </c>
      <c r="X641" s="133">
        <v>0.651150442477876</v>
      </c>
      <c r="Y641" s="135">
        <v>0.92</v>
      </c>
      <c r="Z641" s="135">
        <v>0.829375</v>
      </c>
      <c r="AA641" s="135">
        <v>0.732664233576642</v>
      </c>
      <c r="AB641" s="135">
        <v>0.790920995198603</v>
      </c>
      <c r="AC641" s="135">
        <v>0.843129381968681</v>
      </c>
      <c r="AD641" s="135">
        <v>0.92</v>
      </c>
      <c r="AE641" s="133">
        <v>0.994696835778681</v>
      </c>
      <c r="AF641" s="133">
        <v>0.982713462545835</v>
      </c>
      <c r="AG641" s="133">
        <v>0.995021903624054</v>
      </c>
      <c r="AH641" s="133">
        <v>0.984400101931152</v>
      </c>
      <c r="AI641" s="135">
        <v>0.92</v>
      </c>
      <c r="AJ641" s="133">
        <v>0.89061676331049</v>
      </c>
      <c r="AK641" s="133">
        <v>0.872345132743363</v>
      </c>
      <c r="AL641" s="133">
        <v>0.895540438397581</v>
      </c>
      <c r="AM641" s="133">
        <v>0.920583597788556</v>
      </c>
      <c r="AN641" s="132">
        <v>0.99</v>
      </c>
      <c r="AO641" s="137">
        <v>1</v>
      </c>
      <c r="AP641" s="137">
        <v>1</v>
      </c>
      <c r="AQ641" s="137">
        <v>1</v>
      </c>
      <c r="AR641" s="137">
        <v>1</v>
      </c>
      <c r="AS641" s="158">
        <v>0.05</v>
      </c>
      <c r="AT641" s="141">
        <v>0.176470588235294</v>
      </c>
      <c r="AU641" s="141">
        <v>0.0666666666666667</v>
      </c>
      <c r="AV641" s="141">
        <v>0.0434782608695652</v>
      </c>
      <c r="AW641" s="141">
        <v>0.0921409214092141</v>
      </c>
      <c r="AX641" s="95"/>
      <c r="AY641" s="93"/>
    </row>
    <row r="642" ht="14.5" spans="1:51">
      <c r="A642" s="91"/>
      <c r="B642" s="95"/>
      <c r="C642" s="174"/>
      <c r="D642" s="175"/>
      <c r="E642" s="176"/>
      <c r="F642" s="176"/>
      <c r="G642" s="145"/>
      <c r="H642" s="145"/>
      <c r="I642" s="176"/>
      <c r="J642" s="177"/>
      <c r="K642" s="178"/>
      <c r="L642" s="178"/>
      <c r="M642" s="134"/>
      <c r="N642" s="178"/>
      <c r="O642" s="150"/>
      <c r="P642" s="178"/>
      <c r="Q642" s="178"/>
      <c r="R642" s="133"/>
      <c r="S642" s="178"/>
      <c r="T642" s="150"/>
      <c r="U642" s="178"/>
      <c r="V642" s="178"/>
      <c r="W642" s="133"/>
      <c r="X642" s="178"/>
      <c r="Y642" s="150"/>
      <c r="Z642" s="150"/>
      <c r="AA642" s="150"/>
      <c r="AB642" s="135"/>
      <c r="AC642" s="150"/>
      <c r="AD642" s="178"/>
      <c r="AE642" s="178"/>
      <c r="AF642" s="178"/>
      <c r="AG642" s="133"/>
      <c r="AH642" s="178"/>
      <c r="AI642" s="178"/>
      <c r="AJ642" s="178"/>
      <c r="AK642" s="178"/>
      <c r="AL642" s="133"/>
      <c r="AM642" s="178"/>
      <c r="AN642" s="177"/>
      <c r="AO642" s="177"/>
      <c r="AP642" s="177"/>
      <c r="AQ642" s="137"/>
      <c r="AR642" s="177"/>
      <c r="AS642" s="178"/>
      <c r="AT642" s="177"/>
      <c r="AU642" s="177"/>
      <c r="AV642" s="141"/>
      <c r="AW642" s="177"/>
      <c r="AX642" s="95"/>
      <c r="AY642" s="93"/>
    </row>
    <row r="643" ht="14.5" spans="1:51">
      <c r="A643" s="91"/>
      <c r="B643" s="95"/>
      <c r="C643" s="152" t="s">
        <v>668</v>
      </c>
      <c r="D643" s="153" t="s">
        <v>25</v>
      </c>
      <c r="E643" s="130" t="s">
        <v>669</v>
      </c>
      <c r="F643" s="179" t="s">
        <v>670</v>
      </c>
      <c r="G643" s="179" t="s">
        <v>670</v>
      </c>
      <c r="H643" s="179" t="s">
        <v>670</v>
      </c>
      <c r="I643" s="179" t="s">
        <v>670</v>
      </c>
      <c r="J643" s="132">
        <v>0.9</v>
      </c>
      <c r="K643" s="133">
        <v>1</v>
      </c>
      <c r="L643" s="133">
        <v>1</v>
      </c>
      <c r="M643" s="134">
        <v>1</v>
      </c>
      <c r="N643" s="133">
        <v>0.987012987012987</v>
      </c>
      <c r="O643" s="135">
        <v>0.9</v>
      </c>
      <c r="P643" s="133">
        <v>0.97979797979798</v>
      </c>
      <c r="Q643" s="133">
        <v>0.96370582617001</v>
      </c>
      <c r="R643" s="133">
        <v>0.972674040338321</v>
      </c>
      <c r="S643" s="133">
        <v>0.977177456916628</v>
      </c>
      <c r="T643" s="135">
        <v>0.9</v>
      </c>
      <c r="U643" s="133">
        <v>0.954545454545455</v>
      </c>
      <c r="V643" s="133">
        <v>0.947468958930277</v>
      </c>
      <c r="W643" s="133">
        <v>0.940793754066363</v>
      </c>
      <c r="X643" s="133">
        <v>0.955176854160388</v>
      </c>
      <c r="Y643" s="135">
        <v>0.92</v>
      </c>
      <c r="Z643" s="135">
        <v>0.904017857142857</v>
      </c>
      <c r="AA643" s="135">
        <v>0.93944099378882</v>
      </c>
      <c r="AB643" s="135">
        <v>0.929588014981273</v>
      </c>
      <c r="AC643" s="135">
        <v>0.92638987537935</v>
      </c>
      <c r="AD643" s="135">
        <v>0.92</v>
      </c>
      <c r="AE643" s="133">
        <v>1</v>
      </c>
      <c r="AF643" s="133">
        <v>0.995614035087719</v>
      </c>
      <c r="AG643" s="133">
        <v>0.98936170212766</v>
      </c>
      <c r="AH643" s="133">
        <v>0.992482548773939</v>
      </c>
      <c r="AI643" s="135">
        <v>0.92</v>
      </c>
      <c r="AJ643" s="133">
        <v>0.951321279554937</v>
      </c>
      <c r="AK643" s="133">
        <v>0.96604600219058</v>
      </c>
      <c r="AL643" s="133">
        <v>0.950591510090466</v>
      </c>
      <c r="AM643" s="133">
        <v>0.964533687227127</v>
      </c>
      <c r="AN643" s="132">
        <v>0.99</v>
      </c>
      <c r="AO643" s="137">
        <v>1</v>
      </c>
      <c r="AP643" s="137">
        <v>1</v>
      </c>
      <c r="AQ643" s="137">
        <v>1</v>
      </c>
      <c r="AR643" s="137">
        <v>1</v>
      </c>
      <c r="AS643" s="158">
        <v>0.0810595228934205</v>
      </c>
      <c r="AT643" s="141">
        <v>0</v>
      </c>
      <c r="AU643" s="141">
        <v>0.04</v>
      </c>
      <c r="AV643" s="141">
        <v>0</v>
      </c>
      <c r="AW643" s="141">
        <v>0.0319148936170213</v>
      </c>
      <c r="AX643" s="95"/>
      <c r="AY643" s="93"/>
    </row>
    <row r="644" ht="14.5" spans="1:51">
      <c r="A644" s="91"/>
      <c r="B644" s="95"/>
      <c r="C644" s="152" t="s">
        <v>668</v>
      </c>
      <c r="D644" s="153" t="s">
        <v>25</v>
      </c>
      <c r="E644" s="130" t="s">
        <v>669</v>
      </c>
      <c r="F644" s="179" t="s">
        <v>671</v>
      </c>
      <c r="G644" s="179" t="s">
        <v>671</v>
      </c>
      <c r="H644" s="179" t="s">
        <v>671</v>
      </c>
      <c r="I644" s="179" t="s">
        <v>671</v>
      </c>
      <c r="J644" s="132">
        <v>0.9</v>
      </c>
      <c r="K644" s="133">
        <v>1</v>
      </c>
      <c r="L644" s="133">
        <v>0.961538461538462</v>
      </c>
      <c r="M644" s="134">
        <v>1</v>
      </c>
      <c r="N644" s="133">
        <v>0.995604395604396</v>
      </c>
      <c r="O644" s="135">
        <v>0.9</v>
      </c>
      <c r="P644" s="133">
        <v>0.981154299175501</v>
      </c>
      <c r="Q644" s="133">
        <v>0.974025974025974</v>
      </c>
      <c r="R644" s="133">
        <v>0.980769230769231</v>
      </c>
      <c r="S644" s="133">
        <v>0.980497925311203</v>
      </c>
      <c r="T644" s="135">
        <v>0.9</v>
      </c>
      <c r="U644" s="133">
        <v>0.956419316843345</v>
      </c>
      <c r="V644" s="133">
        <v>0.952004517221908</v>
      </c>
      <c r="W644" s="133">
        <v>0.961538461538462</v>
      </c>
      <c r="X644" s="133">
        <v>0.958314714331312</v>
      </c>
      <c r="Y644" s="135">
        <v>0.92</v>
      </c>
      <c r="Z644" s="135">
        <v>0.948509485094851</v>
      </c>
      <c r="AA644" s="135">
        <v>0.961013645224172</v>
      </c>
      <c r="AB644" s="135">
        <v>0.967600700525394</v>
      </c>
      <c r="AC644" s="135">
        <v>0.967857962807071</v>
      </c>
      <c r="AD644" s="135">
        <v>0.92</v>
      </c>
      <c r="AE644" s="133">
        <v>0.999663865546218</v>
      </c>
      <c r="AF644" s="133">
        <v>0.995391705069124</v>
      </c>
      <c r="AG644" s="133">
        <v>0.991960183767228</v>
      </c>
      <c r="AH644" s="133">
        <v>0.991837014679654</v>
      </c>
      <c r="AI644" s="135">
        <v>0.92</v>
      </c>
      <c r="AJ644" s="133">
        <v>0.971311475409836</v>
      </c>
      <c r="AK644" s="133">
        <v>0.981611208406305</v>
      </c>
      <c r="AL644" s="133">
        <v>0.978013349038084</v>
      </c>
      <c r="AM644" s="133">
        <v>0.982731836909291</v>
      </c>
      <c r="AN644" s="132">
        <v>0.99</v>
      </c>
      <c r="AO644" s="137">
        <v>1</v>
      </c>
      <c r="AP644" s="137">
        <v>1</v>
      </c>
      <c r="AQ644" s="137">
        <v>1</v>
      </c>
      <c r="AR644" s="137">
        <v>1</v>
      </c>
      <c r="AS644" s="158">
        <v>0.0810595228934205</v>
      </c>
      <c r="AT644" s="141">
        <v>0</v>
      </c>
      <c r="AU644" s="141">
        <v>0</v>
      </c>
      <c r="AV644" s="141">
        <v>0</v>
      </c>
      <c r="AW644" s="141">
        <v>0.0521739130434783</v>
      </c>
      <c r="AX644" s="95"/>
      <c r="AY644" s="93"/>
    </row>
    <row r="645" ht="14.5" spans="1:51">
      <c r="A645" s="91"/>
      <c r="B645" s="95"/>
      <c r="C645" s="152" t="s">
        <v>668</v>
      </c>
      <c r="D645" s="153" t="s">
        <v>25</v>
      </c>
      <c r="E645" s="130" t="s">
        <v>669</v>
      </c>
      <c r="F645" s="179" t="s">
        <v>672</v>
      </c>
      <c r="G645" s="179" t="s">
        <v>672</v>
      </c>
      <c r="H645" s="179" t="s">
        <v>672</v>
      </c>
      <c r="I645" s="179" t="s">
        <v>672</v>
      </c>
      <c r="J645" s="132">
        <v>0.9</v>
      </c>
      <c r="K645" s="133">
        <v>0.947368421052632</v>
      </c>
      <c r="L645" s="133">
        <v>0.928571428571429</v>
      </c>
      <c r="M645" s="134">
        <v>1</v>
      </c>
      <c r="N645" s="133">
        <v>0.980417754569191</v>
      </c>
      <c r="O645" s="135">
        <v>0.9</v>
      </c>
      <c r="P645" s="133">
        <v>0.83843797856049</v>
      </c>
      <c r="Q645" s="133">
        <v>0.935108777194299</v>
      </c>
      <c r="R645" s="133">
        <v>0.980304386750224</v>
      </c>
      <c r="S645" s="133">
        <v>0.963827183539709</v>
      </c>
      <c r="T645" s="135">
        <v>0.9</v>
      </c>
      <c r="U645" s="133">
        <v>0.800153139356815</v>
      </c>
      <c r="V645" s="133">
        <v>0.917104276069017</v>
      </c>
      <c r="W645" s="133">
        <v>0.939122649955237</v>
      </c>
      <c r="X645" s="133">
        <v>0.926555078505797</v>
      </c>
      <c r="Y645" s="135">
        <v>0.92</v>
      </c>
      <c r="Z645" s="135">
        <v>0.659498207885305</v>
      </c>
      <c r="AA645" s="135">
        <v>0.614754098360656</v>
      </c>
      <c r="AB645" s="135">
        <v>0.801139601139601</v>
      </c>
      <c r="AC645" s="135">
        <v>0.754837422700977</v>
      </c>
      <c r="AD645" s="135">
        <v>0.92</v>
      </c>
      <c r="AE645" s="133">
        <v>0.98</v>
      </c>
      <c r="AF645" s="133">
        <v>1</v>
      </c>
      <c r="AG645" s="133">
        <v>0.956043956043956</v>
      </c>
      <c r="AH645" s="133">
        <v>0.982373678025852</v>
      </c>
      <c r="AI645" s="135">
        <v>0.92</v>
      </c>
      <c r="AJ645" s="133">
        <v>0.824570815450644</v>
      </c>
      <c r="AK645" s="133">
        <v>0.87304742970747</v>
      </c>
      <c r="AL645" s="133">
        <v>0.898470794685385</v>
      </c>
      <c r="AM645" s="133">
        <v>0.904326683657029</v>
      </c>
      <c r="AN645" s="132">
        <v>0.99</v>
      </c>
      <c r="AO645" s="137">
        <v>1</v>
      </c>
      <c r="AP645" s="137">
        <v>1</v>
      </c>
      <c r="AQ645" s="137">
        <v>1</v>
      </c>
      <c r="AR645" s="137">
        <v>1</v>
      </c>
      <c r="AS645" s="158">
        <v>0.0810595228934205</v>
      </c>
      <c r="AT645" s="141">
        <v>0</v>
      </c>
      <c r="AU645" s="141">
        <v>0</v>
      </c>
      <c r="AV645" s="141">
        <v>0.05</v>
      </c>
      <c r="AW645" s="141">
        <v>0.0518867924528302</v>
      </c>
      <c r="AX645" s="95"/>
      <c r="AY645" s="93"/>
    </row>
    <row r="646" ht="14.5" spans="1:51">
      <c r="A646" s="91"/>
      <c r="B646" s="95"/>
      <c r="C646" s="152" t="s">
        <v>668</v>
      </c>
      <c r="D646" s="153" t="s">
        <v>25</v>
      </c>
      <c r="E646" s="130" t="s">
        <v>669</v>
      </c>
      <c r="F646" s="179" t="s">
        <v>673</v>
      </c>
      <c r="G646" s="179" t="s">
        <v>673</v>
      </c>
      <c r="H646" s="179" t="s">
        <v>673</v>
      </c>
      <c r="I646" s="179" t="s">
        <v>673</v>
      </c>
      <c r="J646" s="132">
        <v>0.9</v>
      </c>
      <c r="K646" s="133">
        <v>0.9</v>
      </c>
      <c r="L646" s="133">
        <v>0.906976744186046</v>
      </c>
      <c r="M646" s="134">
        <v>0.902439024390244</v>
      </c>
      <c r="N646" s="133">
        <v>0.896461336828309</v>
      </c>
      <c r="O646" s="135">
        <v>0.9</v>
      </c>
      <c r="P646" s="133">
        <v>0.989830508474576</v>
      </c>
      <c r="Q646" s="133">
        <v>0.976940565118545</v>
      </c>
      <c r="R646" s="133">
        <v>0.975275938189845</v>
      </c>
      <c r="S646" s="133">
        <v>0.980968071810022</v>
      </c>
      <c r="T646" s="135">
        <v>0.9</v>
      </c>
      <c r="U646" s="133">
        <v>0.960677966101695</v>
      </c>
      <c r="V646" s="133">
        <v>0.951607664826242</v>
      </c>
      <c r="W646" s="133">
        <v>0.957615894039735</v>
      </c>
      <c r="X646" s="133">
        <v>0.954342309586032</v>
      </c>
      <c r="Y646" s="135">
        <v>0.92</v>
      </c>
      <c r="Z646" s="135">
        <v>0.937096774193548</v>
      </c>
      <c r="AA646" s="135">
        <v>0.906593406593407</v>
      </c>
      <c r="AB646" s="135">
        <v>0.938388625592417</v>
      </c>
      <c r="AC646" s="135">
        <v>0.923993632021833</v>
      </c>
      <c r="AD646" s="135">
        <v>0.92</v>
      </c>
      <c r="AE646" s="133">
        <v>1</v>
      </c>
      <c r="AF646" s="133">
        <v>1</v>
      </c>
      <c r="AG646" s="133">
        <v>0.989051094890511</v>
      </c>
      <c r="AH646" s="133">
        <v>0.994263565891473</v>
      </c>
      <c r="AI646" s="135">
        <v>0.92</v>
      </c>
      <c r="AJ646" s="133">
        <v>0.964200477326969</v>
      </c>
      <c r="AK646" s="133">
        <v>0.961933383420987</v>
      </c>
      <c r="AL646" s="133">
        <v>0.959903961584634</v>
      </c>
      <c r="AM646" s="133">
        <v>0.964267572119883</v>
      </c>
      <c r="AN646" s="132">
        <v>0.99</v>
      </c>
      <c r="AO646" s="137">
        <v>1</v>
      </c>
      <c r="AP646" s="137">
        <v>1</v>
      </c>
      <c r="AQ646" s="137">
        <v>1</v>
      </c>
      <c r="AR646" s="137">
        <v>1</v>
      </c>
      <c r="AS646" s="158">
        <v>0.0810595228934205</v>
      </c>
      <c r="AT646" s="141">
        <v>0</v>
      </c>
      <c r="AU646" s="141">
        <v>0</v>
      </c>
      <c r="AV646" s="141">
        <v>0</v>
      </c>
      <c r="AW646" s="141">
        <v>0.04</v>
      </c>
      <c r="AX646" s="95"/>
      <c r="AY646" s="93"/>
    </row>
    <row r="647" ht="14.5" spans="1:51">
      <c r="A647" s="91"/>
      <c r="B647" s="95"/>
      <c r="C647" s="152" t="s">
        <v>668</v>
      </c>
      <c r="D647" s="153" t="s">
        <v>25</v>
      </c>
      <c r="E647" s="130" t="s">
        <v>669</v>
      </c>
      <c r="F647" s="179" t="s">
        <v>674</v>
      </c>
      <c r="G647" s="179" t="s">
        <v>674</v>
      </c>
      <c r="H647" s="179" t="s">
        <v>674</v>
      </c>
      <c r="I647" s="179" t="s">
        <v>674</v>
      </c>
      <c r="J647" s="132">
        <v>0.9</v>
      </c>
      <c r="K647" s="133">
        <v>1</v>
      </c>
      <c r="L647" s="133">
        <v>1</v>
      </c>
      <c r="M647" s="134">
        <v>1</v>
      </c>
      <c r="N647" s="133">
        <v>1</v>
      </c>
      <c r="O647" s="135">
        <v>0.9</v>
      </c>
      <c r="P647" s="133">
        <v>0.996835443037975</v>
      </c>
      <c r="Q647" s="133">
        <v>0.982027318475917</v>
      </c>
      <c r="R647" s="133">
        <v>0.994296577946768</v>
      </c>
      <c r="S647" s="133">
        <v>0.991551994426058</v>
      </c>
      <c r="T647" s="135">
        <v>0.9</v>
      </c>
      <c r="U647" s="133">
        <v>0.969936708860759</v>
      </c>
      <c r="V647" s="133">
        <v>0.95902228612509</v>
      </c>
      <c r="W647" s="133">
        <v>0.975285171102662</v>
      </c>
      <c r="X647" s="133">
        <v>0.971607733844278</v>
      </c>
      <c r="Y647" s="135">
        <v>0.92</v>
      </c>
      <c r="Z647" s="135">
        <v>0.935018050541516</v>
      </c>
      <c r="AA647" s="135">
        <v>0.954081632653061</v>
      </c>
      <c r="AB647" s="135">
        <v>0.979857819905213</v>
      </c>
      <c r="AC647" s="135">
        <v>0.960798661927661</v>
      </c>
      <c r="AD647" s="135">
        <v>0.92</v>
      </c>
      <c r="AE647" s="133">
        <v>0.993311036789298</v>
      </c>
      <c r="AF647" s="133">
        <v>0.973045822102426</v>
      </c>
      <c r="AG647" s="133">
        <v>0.99468085106383</v>
      </c>
      <c r="AH647" s="133">
        <v>0.991651047878685</v>
      </c>
      <c r="AI647" s="135">
        <v>0.92</v>
      </c>
      <c r="AJ647" s="133">
        <v>0.969196919691969</v>
      </c>
      <c r="AK647" s="133">
        <v>0.983174425126192</v>
      </c>
      <c r="AL647" s="133">
        <v>0.984704641350211</v>
      </c>
      <c r="AM647" s="133">
        <v>0.982109372598445</v>
      </c>
      <c r="AN647" s="132">
        <v>0.99</v>
      </c>
      <c r="AO647" s="137">
        <v>1</v>
      </c>
      <c r="AP647" s="137">
        <v>1</v>
      </c>
      <c r="AQ647" s="137">
        <v>1</v>
      </c>
      <c r="AR647" s="137">
        <v>1</v>
      </c>
      <c r="AS647" s="158">
        <v>0.0810595228934205</v>
      </c>
      <c r="AT647" s="141">
        <v>0</v>
      </c>
      <c r="AU647" s="141">
        <v>0</v>
      </c>
      <c r="AV647" s="141">
        <v>0.333333333333333</v>
      </c>
      <c r="AW647" s="141">
        <v>0.0575539568345324</v>
      </c>
      <c r="AX647" s="95"/>
      <c r="AY647" s="93"/>
    </row>
    <row r="648" ht="14.5" spans="1:51">
      <c r="A648" s="91"/>
      <c r="B648" s="95"/>
      <c r="C648" s="152" t="s">
        <v>668</v>
      </c>
      <c r="D648" s="153" t="s">
        <v>25</v>
      </c>
      <c r="E648" s="130" t="s">
        <v>669</v>
      </c>
      <c r="F648" s="179" t="s">
        <v>675</v>
      </c>
      <c r="G648" s="179" t="s">
        <v>675</v>
      </c>
      <c r="H648" s="179" t="s">
        <v>675</v>
      </c>
      <c r="I648" s="179" t="s">
        <v>675</v>
      </c>
      <c r="J648" s="132">
        <v>0.9</v>
      </c>
      <c r="K648" s="133">
        <v>1</v>
      </c>
      <c r="L648" s="133">
        <v>0.958333333333333</v>
      </c>
      <c r="M648" s="134">
        <v>1</v>
      </c>
      <c r="N648" s="133">
        <v>0.995525727069351</v>
      </c>
      <c r="O648" s="135">
        <v>0.9</v>
      </c>
      <c r="P648" s="133">
        <v>0.981873111782477</v>
      </c>
      <c r="Q648" s="133">
        <v>0.966193042626164</v>
      </c>
      <c r="R648" s="133">
        <v>0.972903225806452</v>
      </c>
      <c r="S648" s="133">
        <v>0.978630787495053</v>
      </c>
      <c r="T648" s="135">
        <v>0.9</v>
      </c>
      <c r="U648" s="133">
        <v>0.966767371601209</v>
      </c>
      <c r="V648" s="133">
        <v>0.943165115139637</v>
      </c>
      <c r="W648" s="133">
        <v>0.952258064516129</v>
      </c>
      <c r="X648" s="133">
        <v>0.965797953530443</v>
      </c>
      <c r="Y648" s="135">
        <v>0.92</v>
      </c>
      <c r="Z648" s="135">
        <v>0.925837320574163</v>
      </c>
      <c r="AA648" s="135">
        <v>0.921221864951768</v>
      </c>
      <c r="AB648" s="135">
        <v>0.955246913580247</v>
      </c>
      <c r="AC648" s="135">
        <v>0.947368421052632</v>
      </c>
      <c r="AD648" s="135">
        <v>0.92</v>
      </c>
      <c r="AE648" s="133">
        <v>0.996632996632997</v>
      </c>
      <c r="AF648" s="133">
        <v>0.987654320987654</v>
      </c>
      <c r="AG648" s="133">
        <v>0.994708994708995</v>
      </c>
      <c r="AH648" s="133">
        <v>0.988093466289626</v>
      </c>
      <c r="AI648" s="135">
        <v>0.92</v>
      </c>
      <c r="AJ648" s="133">
        <v>0.963855421686747</v>
      </c>
      <c r="AK648" s="133">
        <v>0.959084084084084</v>
      </c>
      <c r="AL648" s="133">
        <v>0.964511595221363</v>
      </c>
      <c r="AM648" s="133">
        <v>0.973658071437085</v>
      </c>
      <c r="AN648" s="132">
        <v>0.99</v>
      </c>
      <c r="AO648" s="137">
        <v>1</v>
      </c>
      <c r="AP648" s="137">
        <v>1</v>
      </c>
      <c r="AQ648" s="137">
        <v>1</v>
      </c>
      <c r="AR648" s="137">
        <v>1</v>
      </c>
      <c r="AS648" s="158">
        <v>0.0810595228934205</v>
      </c>
      <c r="AT648" s="141">
        <v>0</v>
      </c>
      <c r="AU648" s="141">
        <v>0</v>
      </c>
      <c r="AV648" s="141">
        <v>0.0526315789473684</v>
      </c>
      <c r="AW648" s="141">
        <v>0.0330578512396694</v>
      </c>
      <c r="AX648" s="95"/>
      <c r="AY648" s="93"/>
    </row>
    <row r="649" ht="14.5" spans="1:51">
      <c r="A649" s="91"/>
      <c r="B649" s="95"/>
      <c r="C649" s="152" t="s">
        <v>668</v>
      </c>
      <c r="D649" s="153" t="s">
        <v>25</v>
      </c>
      <c r="E649" s="130" t="s">
        <v>669</v>
      </c>
      <c r="F649" s="179" t="s">
        <v>676</v>
      </c>
      <c r="G649" s="179" t="s">
        <v>676</v>
      </c>
      <c r="H649" s="179" t="s">
        <v>676</v>
      </c>
      <c r="I649" s="179" t="s">
        <v>676</v>
      </c>
      <c r="J649" s="132">
        <v>0.9</v>
      </c>
      <c r="K649" s="133">
        <v>1</v>
      </c>
      <c r="L649" s="133">
        <v>1</v>
      </c>
      <c r="M649" s="134">
        <v>1</v>
      </c>
      <c r="N649" s="133">
        <v>1</v>
      </c>
      <c r="O649" s="135">
        <v>0.9</v>
      </c>
      <c r="P649" s="133">
        <v>0.995989304812834</v>
      </c>
      <c r="Q649" s="133">
        <v>0.977621483375959</v>
      </c>
      <c r="R649" s="133">
        <v>0.996034892942109</v>
      </c>
      <c r="S649" s="133">
        <v>0.991257125250347</v>
      </c>
      <c r="T649" s="135">
        <v>0.9</v>
      </c>
      <c r="U649" s="133">
        <v>0.955882352941177</v>
      </c>
      <c r="V649" s="133">
        <v>0.945012787723785</v>
      </c>
      <c r="W649" s="133">
        <v>0.944488501189532</v>
      </c>
      <c r="X649" s="133">
        <v>0.9523571098444</v>
      </c>
      <c r="Y649" s="135">
        <v>0.92</v>
      </c>
      <c r="Z649" s="135">
        <v>0.817901234567901</v>
      </c>
      <c r="AA649" s="135">
        <v>0.808247422680412</v>
      </c>
      <c r="AB649" s="135">
        <v>0.84297520661157</v>
      </c>
      <c r="AC649" s="135">
        <v>0.888175396752591</v>
      </c>
      <c r="AD649" s="135">
        <v>0.92</v>
      </c>
      <c r="AE649" s="133">
        <v>0.997630331753555</v>
      </c>
      <c r="AF649" s="133">
        <v>1</v>
      </c>
      <c r="AG649" s="133">
        <v>1</v>
      </c>
      <c r="AH649" s="133">
        <v>0.994570135746606</v>
      </c>
      <c r="AI649" s="135">
        <v>0.92</v>
      </c>
      <c r="AJ649" s="133">
        <v>0.943097014925373</v>
      </c>
      <c r="AK649" s="133">
        <v>0.948267447535383</v>
      </c>
      <c r="AL649" s="133">
        <v>0.926905829596413</v>
      </c>
      <c r="AM649" s="133">
        <v>0.961512381675662</v>
      </c>
      <c r="AN649" s="132">
        <v>0.99</v>
      </c>
      <c r="AO649" s="137">
        <v>1</v>
      </c>
      <c r="AP649" s="137">
        <v>1</v>
      </c>
      <c r="AQ649" s="137">
        <v>1</v>
      </c>
      <c r="AR649" s="137">
        <v>1</v>
      </c>
      <c r="AS649" s="158">
        <v>0.0810595228934205</v>
      </c>
      <c r="AT649" s="141">
        <v>0</v>
      </c>
      <c r="AU649" s="141">
        <v>0</v>
      </c>
      <c r="AV649" s="141">
        <v>0.5</v>
      </c>
      <c r="AW649" s="141">
        <v>0.0555555555555556</v>
      </c>
      <c r="AX649" s="95"/>
      <c r="AY649" s="93"/>
    </row>
    <row r="650" ht="14.5" spans="1:51">
      <c r="A650" s="91"/>
      <c r="B650" s="95"/>
      <c r="C650" s="152" t="s">
        <v>668</v>
      </c>
      <c r="D650" s="153" t="s">
        <v>25</v>
      </c>
      <c r="E650" s="130" t="s">
        <v>669</v>
      </c>
      <c r="F650" s="179" t="s">
        <v>677</v>
      </c>
      <c r="G650" s="179" t="s">
        <v>677</v>
      </c>
      <c r="H650" s="179" t="s">
        <v>677</v>
      </c>
      <c r="I650" s="179" t="s">
        <v>677</v>
      </c>
      <c r="J650" s="132">
        <v>0.9</v>
      </c>
      <c r="K650" s="133">
        <v>0.818181818181818</v>
      </c>
      <c r="L650" s="133">
        <v>0.8</v>
      </c>
      <c r="M650" s="134">
        <v>0.833333333333333</v>
      </c>
      <c r="N650" s="133">
        <v>0.840336134453782</v>
      </c>
      <c r="O650" s="135">
        <v>0.9</v>
      </c>
      <c r="P650" s="133">
        <v>0.983050847457627</v>
      </c>
      <c r="Q650" s="133">
        <v>0.9712158808933</v>
      </c>
      <c r="R650" s="133">
        <v>0.988304093567251</v>
      </c>
      <c r="S650" s="133">
        <v>0.979154752373327</v>
      </c>
      <c r="T650" s="135">
        <v>0.9</v>
      </c>
      <c r="U650" s="133">
        <v>0.967161016949153</v>
      </c>
      <c r="V650" s="133">
        <v>0.951861042183623</v>
      </c>
      <c r="W650" s="133">
        <v>0.966861598440546</v>
      </c>
      <c r="X650" s="133">
        <v>0.962341301612719</v>
      </c>
      <c r="Y650" s="135">
        <v>0.92</v>
      </c>
      <c r="Z650" s="135">
        <v>0.95662100456621</v>
      </c>
      <c r="AA650" s="135">
        <v>0.967845659163987</v>
      </c>
      <c r="AB650" s="135">
        <v>0.969453376205788</v>
      </c>
      <c r="AC650" s="135">
        <v>0.968135407387103</v>
      </c>
      <c r="AD650" s="135">
        <v>0.92</v>
      </c>
      <c r="AE650" s="133">
        <v>1</v>
      </c>
      <c r="AF650" s="133">
        <v>0.994805194805195</v>
      </c>
      <c r="AG650" s="133">
        <v>0.996212121212121</v>
      </c>
      <c r="AH650" s="133">
        <v>0.994959677419355</v>
      </c>
      <c r="AI650" s="135">
        <v>0.92</v>
      </c>
      <c r="AJ650" s="133">
        <v>0.977568740955137</v>
      </c>
      <c r="AK650" s="133">
        <v>0.980280621918847</v>
      </c>
      <c r="AL650" s="133">
        <v>0.979518505210205</v>
      </c>
      <c r="AM650" s="133">
        <v>0.982690445448677</v>
      </c>
      <c r="AN650" s="132">
        <v>0.99</v>
      </c>
      <c r="AO650" s="137">
        <v>1</v>
      </c>
      <c r="AP650" s="137">
        <v>1</v>
      </c>
      <c r="AQ650" s="137">
        <v>1</v>
      </c>
      <c r="AR650" s="137">
        <v>1</v>
      </c>
      <c r="AS650" s="158">
        <v>0.0810595228934205</v>
      </c>
      <c r="AT650" s="141">
        <v>0</v>
      </c>
      <c r="AU650" s="141">
        <v>0</v>
      </c>
      <c r="AV650" s="141">
        <v>0</v>
      </c>
      <c r="AW650" s="141">
        <v>0.0307692307692308</v>
      </c>
      <c r="AX650" s="95"/>
      <c r="AY650" s="93"/>
    </row>
    <row r="651" ht="14.5" spans="1:51">
      <c r="A651" s="91"/>
      <c r="B651" s="95"/>
      <c r="C651" s="152" t="s">
        <v>668</v>
      </c>
      <c r="D651" s="153" t="s">
        <v>25</v>
      </c>
      <c r="E651" s="130" t="s">
        <v>669</v>
      </c>
      <c r="F651" s="179" t="s">
        <v>678</v>
      </c>
      <c r="G651" s="179" t="s">
        <v>678</v>
      </c>
      <c r="H651" s="179" t="s">
        <v>678</v>
      </c>
      <c r="I651" s="179" t="s">
        <v>678</v>
      </c>
      <c r="J651" s="132">
        <v>0.9</v>
      </c>
      <c r="K651" s="133">
        <v>0.916666666666667</v>
      </c>
      <c r="L651" s="133">
        <v>0.904761904761905</v>
      </c>
      <c r="M651" s="134">
        <v>0.975</v>
      </c>
      <c r="N651" s="133">
        <v>0.965800273597811</v>
      </c>
      <c r="O651" s="135">
        <v>0.9</v>
      </c>
      <c r="P651" s="133">
        <v>0.959433962264151</v>
      </c>
      <c r="Q651" s="133">
        <v>0.944219886822959</v>
      </c>
      <c r="R651" s="133">
        <v>0.956026058631922</v>
      </c>
      <c r="S651" s="133">
        <v>0.947775820577071</v>
      </c>
      <c r="T651" s="135">
        <v>0.9</v>
      </c>
      <c r="U651" s="133">
        <v>0.905660377358491</v>
      </c>
      <c r="V651" s="133">
        <v>0.915117219078415</v>
      </c>
      <c r="W651" s="133">
        <v>0.936482084690554</v>
      </c>
      <c r="X651" s="133">
        <v>0.935743171161337</v>
      </c>
      <c r="Y651" s="135">
        <v>0.92</v>
      </c>
      <c r="Z651" s="135">
        <v>0.821656050955414</v>
      </c>
      <c r="AA651" s="135">
        <v>0.820855614973262</v>
      </c>
      <c r="AB651" s="135">
        <v>0.749222153080274</v>
      </c>
      <c r="AC651" s="135">
        <v>0.816270673188912</v>
      </c>
      <c r="AD651" s="135">
        <v>0.92</v>
      </c>
      <c r="AE651" s="133">
        <v>0.996587030716723</v>
      </c>
      <c r="AF651" s="133">
        <v>1</v>
      </c>
      <c r="AG651" s="133">
        <v>0.994805194805195</v>
      </c>
      <c r="AH651" s="133">
        <v>0.988059169488505</v>
      </c>
      <c r="AI651" s="135">
        <v>0.92</v>
      </c>
      <c r="AJ651" s="133">
        <v>0.898758981058132</v>
      </c>
      <c r="AK651" s="133">
        <v>0.927684667908132</v>
      </c>
      <c r="AL651" s="133">
        <v>0.867497825456654</v>
      </c>
      <c r="AM651" s="133">
        <v>0.926869150749748</v>
      </c>
      <c r="AN651" s="132">
        <v>0.99</v>
      </c>
      <c r="AO651" s="137">
        <v>1</v>
      </c>
      <c r="AP651" s="137">
        <v>1</v>
      </c>
      <c r="AQ651" s="137">
        <v>1</v>
      </c>
      <c r="AR651" s="137">
        <v>1</v>
      </c>
      <c r="AS651" s="158">
        <v>0.0810595228934205</v>
      </c>
      <c r="AT651" s="141">
        <v>0</v>
      </c>
      <c r="AU651" s="141">
        <v>0</v>
      </c>
      <c r="AV651" s="141">
        <v>0.0476190476190476</v>
      </c>
      <c r="AW651" s="141">
        <v>0.0530035335689046</v>
      </c>
      <c r="AX651" s="95"/>
      <c r="AY651" s="93"/>
    </row>
    <row r="652" ht="14.5" spans="1:51">
      <c r="A652" s="91"/>
      <c r="B652" s="95"/>
      <c r="C652" s="152" t="s">
        <v>668</v>
      </c>
      <c r="D652" s="153" t="s">
        <v>25</v>
      </c>
      <c r="E652" s="130" t="s">
        <v>669</v>
      </c>
      <c r="F652" s="179" t="s">
        <v>679</v>
      </c>
      <c r="G652" s="179" t="s">
        <v>679</v>
      </c>
      <c r="H652" s="179" t="s">
        <v>679</v>
      </c>
      <c r="I652" s="179" t="s">
        <v>679</v>
      </c>
      <c r="J652" s="132">
        <v>0.9</v>
      </c>
      <c r="K652" s="133">
        <v>1</v>
      </c>
      <c r="L652" s="133">
        <v>1</v>
      </c>
      <c r="M652" s="134">
        <v>1</v>
      </c>
      <c r="N652" s="133">
        <v>0.995789473684211</v>
      </c>
      <c r="O652" s="135">
        <v>0.9</v>
      </c>
      <c r="P652" s="133">
        <v>0.939484126984127</v>
      </c>
      <c r="Q652" s="133">
        <v>0.955676164631388</v>
      </c>
      <c r="R652" s="133">
        <v>0.934596301308074</v>
      </c>
      <c r="S652" s="133">
        <v>0.936372513748265</v>
      </c>
      <c r="T652" s="135">
        <v>0.9</v>
      </c>
      <c r="U652" s="133">
        <v>0.906746031746032</v>
      </c>
      <c r="V652" s="133">
        <v>0.925373134328358</v>
      </c>
      <c r="W652" s="133">
        <v>0.916102841677943</v>
      </c>
      <c r="X652" s="133">
        <v>0.920337153723596</v>
      </c>
      <c r="Y652" s="135">
        <v>0.92</v>
      </c>
      <c r="Z652" s="135">
        <v>0.834666666666667</v>
      </c>
      <c r="AA652" s="135">
        <v>0.837606837606838</v>
      </c>
      <c r="AB652" s="135">
        <v>0.873180873180873</v>
      </c>
      <c r="AC652" s="135">
        <v>0.870616397366846</v>
      </c>
      <c r="AD652" s="135">
        <v>0.92</v>
      </c>
      <c r="AE652" s="133">
        <v>0.998440545808967</v>
      </c>
      <c r="AF652" s="133">
        <v>0.993051168667088</v>
      </c>
      <c r="AG652" s="133">
        <v>0.997787610619469</v>
      </c>
      <c r="AH652" s="133">
        <v>0.994054015330611</v>
      </c>
      <c r="AI652" s="135">
        <v>0.92</v>
      </c>
      <c r="AJ652" s="133">
        <v>0.917570498915401</v>
      </c>
      <c r="AK652" s="133">
        <v>0.943558282208589</v>
      </c>
      <c r="AL652" s="133">
        <v>0.94738792145239</v>
      </c>
      <c r="AM652" s="133">
        <v>0.949657331415517</v>
      </c>
      <c r="AN652" s="132">
        <v>0.99</v>
      </c>
      <c r="AO652" s="137">
        <v>1</v>
      </c>
      <c r="AP652" s="137">
        <v>1</v>
      </c>
      <c r="AQ652" s="137">
        <v>1</v>
      </c>
      <c r="AR652" s="137">
        <v>1</v>
      </c>
      <c r="AS652" s="158">
        <v>0.0810595228934205</v>
      </c>
      <c r="AT652" s="141">
        <v>0</v>
      </c>
      <c r="AU652" s="141">
        <v>0.222222222222222</v>
      </c>
      <c r="AV652" s="141">
        <v>0</v>
      </c>
      <c r="AW652" s="141">
        <v>0.0434782608695652</v>
      </c>
      <c r="AX652" s="95"/>
      <c r="AY652" s="93"/>
    </row>
    <row r="653" ht="14.5" spans="1:51">
      <c r="A653" s="91"/>
      <c r="B653" s="95"/>
      <c r="C653" s="152" t="s">
        <v>668</v>
      </c>
      <c r="D653" s="153" t="s">
        <v>25</v>
      </c>
      <c r="E653" s="130" t="s">
        <v>669</v>
      </c>
      <c r="F653" s="179" t="s">
        <v>680</v>
      </c>
      <c r="G653" s="179" t="s">
        <v>680</v>
      </c>
      <c r="H653" s="179" t="s">
        <v>680</v>
      </c>
      <c r="I653" s="179" t="s">
        <v>680</v>
      </c>
      <c r="J653" s="132">
        <v>0.9</v>
      </c>
      <c r="K653" s="133">
        <v>0.925925925925926</v>
      </c>
      <c r="L653" s="133">
        <v>0.967741935483871</v>
      </c>
      <c r="M653" s="134">
        <v>0.952380952380952</v>
      </c>
      <c r="N653" s="133">
        <v>0.959578207381371</v>
      </c>
      <c r="O653" s="135">
        <v>0.9</v>
      </c>
      <c r="P653" s="133">
        <v>0.982078853046595</v>
      </c>
      <c r="Q653" s="133">
        <v>0.974875562929604</v>
      </c>
      <c r="R653" s="133">
        <v>0.968876860622463</v>
      </c>
      <c r="S653" s="133">
        <v>0.968068285362062</v>
      </c>
      <c r="T653" s="135">
        <v>0.9</v>
      </c>
      <c r="U653" s="133">
        <v>0.955794504181601</v>
      </c>
      <c r="V653" s="133">
        <v>0.940981275183693</v>
      </c>
      <c r="W653" s="133">
        <v>0.955119530897609</v>
      </c>
      <c r="X653" s="133">
        <v>0.947338800450233</v>
      </c>
      <c r="Y653" s="135">
        <v>0.92</v>
      </c>
      <c r="Z653" s="135">
        <v>0.969337289812067</v>
      </c>
      <c r="AA653" s="135">
        <v>0.983094928478544</v>
      </c>
      <c r="AB653" s="135">
        <v>0.975046210720887</v>
      </c>
      <c r="AC653" s="135">
        <v>0.970523462646112</v>
      </c>
      <c r="AD653" s="135">
        <v>0.92</v>
      </c>
      <c r="AE653" s="133">
        <v>0.882246285570385</v>
      </c>
      <c r="AF653" s="133">
        <v>0.970142326732673</v>
      </c>
      <c r="AG653" s="133">
        <v>0.94695061082854</v>
      </c>
      <c r="AH653" s="133">
        <v>0.961376153666377</v>
      </c>
      <c r="AI653" s="135">
        <v>0.92</v>
      </c>
      <c r="AJ653" s="133">
        <v>0.98410896708286</v>
      </c>
      <c r="AK653" s="133">
        <v>0.984569138276553</v>
      </c>
      <c r="AL653" s="133">
        <v>0.986410581627106</v>
      </c>
      <c r="AM653" s="133">
        <v>0.98667171935903</v>
      </c>
      <c r="AN653" s="132">
        <v>0.99</v>
      </c>
      <c r="AO653" s="137">
        <v>1</v>
      </c>
      <c r="AP653" s="137">
        <v>1</v>
      </c>
      <c r="AQ653" s="137">
        <v>1</v>
      </c>
      <c r="AR653" s="137">
        <v>1</v>
      </c>
      <c r="AS653" s="158">
        <v>0.0810595228934205</v>
      </c>
      <c r="AT653" s="141">
        <v>0</v>
      </c>
      <c r="AU653" s="141">
        <v>0</v>
      </c>
      <c r="AV653" s="141">
        <v>0.133333333333333</v>
      </c>
      <c r="AW653" s="141">
        <v>0.0304347826086957</v>
      </c>
      <c r="AX653" s="95"/>
      <c r="AY653" s="93"/>
    </row>
    <row r="654" ht="14.5" spans="1:51">
      <c r="A654" s="91"/>
      <c r="B654" s="95"/>
      <c r="C654" s="152" t="s">
        <v>668</v>
      </c>
      <c r="D654" s="153" t="s">
        <v>25</v>
      </c>
      <c r="E654" s="130" t="s">
        <v>669</v>
      </c>
      <c r="F654" s="179" t="s">
        <v>681</v>
      </c>
      <c r="G654" s="179" t="s">
        <v>681</v>
      </c>
      <c r="H654" s="179" t="s">
        <v>681</v>
      </c>
      <c r="I654" s="179" t="s">
        <v>681</v>
      </c>
      <c r="J654" s="132">
        <v>0.9</v>
      </c>
      <c r="K654" s="133">
        <v>1</v>
      </c>
      <c r="L654" s="133">
        <v>0.944444444444444</v>
      </c>
      <c r="M654" s="134">
        <v>1</v>
      </c>
      <c r="N654" s="133">
        <v>0.974842767295597</v>
      </c>
      <c r="O654" s="135">
        <v>0.9</v>
      </c>
      <c r="P654" s="133">
        <v>0.860158311345646</v>
      </c>
      <c r="Q654" s="133">
        <v>0.903394255874674</v>
      </c>
      <c r="R654" s="133">
        <v>0.942261904761905</v>
      </c>
      <c r="S654" s="133">
        <v>0.921477005234866</v>
      </c>
      <c r="T654" s="135">
        <v>0.9</v>
      </c>
      <c r="U654" s="133">
        <v>0.849604221635884</v>
      </c>
      <c r="V654" s="133">
        <v>0.847258485639687</v>
      </c>
      <c r="W654" s="133">
        <v>0.906547619047619</v>
      </c>
      <c r="X654" s="133">
        <v>0.89059480729368</v>
      </c>
      <c r="Y654" s="135">
        <v>0.92</v>
      </c>
      <c r="Z654" s="135">
        <v>0.835294117647059</v>
      </c>
      <c r="AA654" s="135">
        <v>0.869822485207101</v>
      </c>
      <c r="AB654" s="135">
        <v>0.844919786096257</v>
      </c>
      <c r="AC654" s="135">
        <v>0.813650431666395</v>
      </c>
      <c r="AD654" s="135">
        <v>0.92</v>
      </c>
      <c r="AE654" s="133">
        <v>0.99609035621199</v>
      </c>
      <c r="AF654" s="133">
        <v>0.998776009791922</v>
      </c>
      <c r="AG654" s="133">
        <v>0.996935079409306</v>
      </c>
      <c r="AH654" s="133">
        <v>0.989578057947064</v>
      </c>
      <c r="AI654" s="135">
        <v>0.92</v>
      </c>
      <c r="AJ654" s="133">
        <v>0.865745310957552</v>
      </c>
      <c r="AK654" s="133">
        <v>0.903586125808348</v>
      </c>
      <c r="AL654" s="133">
        <v>0.94795719844358</v>
      </c>
      <c r="AM654" s="133">
        <v>0.935069063168237</v>
      </c>
      <c r="AN654" s="132">
        <v>0.99</v>
      </c>
      <c r="AO654" s="137">
        <v>1</v>
      </c>
      <c r="AP654" s="137">
        <v>1</v>
      </c>
      <c r="AQ654" s="137">
        <v>1</v>
      </c>
      <c r="AR654" s="137">
        <v>1</v>
      </c>
      <c r="AS654" s="158">
        <v>0.0810595228934205</v>
      </c>
      <c r="AT654" s="141">
        <v>0</v>
      </c>
      <c r="AU654" s="141">
        <v>0.5</v>
      </c>
      <c r="AV654" s="141">
        <v>0</v>
      </c>
      <c r="AW654" s="141">
        <v>0.075</v>
      </c>
      <c r="AX654" s="95"/>
      <c r="AY654" s="93"/>
    </row>
    <row r="655" ht="14.5" spans="1:51">
      <c r="A655" s="91"/>
      <c r="B655" s="95"/>
      <c r="C655" s="152" t="s">
        <v>668</v>
      </c>
      <c r="D655" s="153" t="s">
        <v>25</v>
      </c>
      <c r="E655" s="130" t="s">
        <v>669</v>
      </c>
      <c r="F655" s="179" t="s">
        <v>682</v>
      </c>
      <c r="G655" s="179" t="s">
        <v>682</v>
      </c>
      <c r="H655" s="179" t="s">
        <v>682</v>
      </c>
      <c r="I655" s="179" t="s">
        <v>682</v>
      </c>
      <c r="J655" s="132">
        <v>0.9</v>
      </c>
      <c r="K655" s="133">
        <v>1</v>
      </c>
      <c r="L655" s="133">
        <v>0.92156862745098</v>
      </c>
      <c r="M655" s="134">
        <v>0.979166666666667</v>
      </c>
      <c r="N655" s="133">
        <v>0.975280898876404</v>
      </c>
      <c r="O655" s="135">
        <v>0.9</v>
      </c>
      <c r="P655" s="133">
        <v>0.987134502923977</v>
      </c>
      <c r="Q655" s="133">
        <v>0.975331626716314</v>
      </c>
      <c r="R655" s="133">
        <v>0.968107725017718</v>
      </c>
      <c r="S655" s="133">
        <v>0.983406900013286</v>
      </c>
      <c r="T655" s="135">
        <v>0.9</v>
      </c>
      <c r="U655" s="133">
        <v>0.921637426900585</v>
      </c>
      <c r="V655" s="133">
        <v>0.895275773795671</v>
      </c>
      <c r="W655" s="133">
        <v>0.916843845972124</v>
      </c>
      <c r="X655" s="133">
        <v>0.899718035400582</v>
      </c>
      <c r="Y655" s="135">
        <v>0.92</v>
      </c>
      <c r="Z655" s="135">
        <v>0.925018024513338</v>
      </c>
      <c r="AA655" s="135">
        <v>0.898224852071006</v>
      </c>
      <c r="AB655" s="135">
        <v>0.889948006932409</v>
      </c>
      <c r="AC655" s="135">
        <v>0.866017387476615</v>
      </c>
      <c r="AD655" s="135">
        <v>0.92</v>
      </c>
      <c r="AE655" s="133">
        <v>0.988586054233536</v>
      </c>
      <c r="AF655" s="133">
        <v>0.994878985551424</v>
      </c>
      <c r="AG655" s="133">
        <v>0.978617858364694</v>
      </c>
      <c r="AH655" s="133">
        <v>0.979082509126868</v>
      </c>
      <c r="AI655" s="135">
        <v>0.92</v>
      </c>
      <c r="AJ655" s="133">
        <v>0.948153768335862</v>
      </c>
      <c r="AK655" s="133">
        <v>0.939735614307932</v>
      </c>
      <c r="AL655" s="133">
        <v>0.942857142857143</v>
      </c>
      <c r="AM655" s="133">
        <v>0.939687674548501</v>
      </c>
      <c r="AN655" s="132">
        <v>0.99</v>
      </c>
      <c r="AO655" s="137">
        <v>1</v>
      </c>
      <c r="AP655" s="137">
        <v>1</v>
      </c>
      <c r="AQ655" s="137">
        <v>1</v>
      </c>
      <c r="AR655" s="137">
        <v>1</v>
      </c>
      <c r="AS655" s="158">
        <v>0.0810595228934205</v>
      </c>
      <c r="AT655" s="141">
        <v>0</v>
      </c>
      <c r="AU655" s="141">
        <v>0.0769230769230769</v>
      </c>
      <c r="AV655" s="141">
        <v>0</v>
      </c>
      <c r="AW655" s="141">
        <v>0.0377358490566038</v>
      </c>
      <c r="AX655" s="95"/>
      <c r="AY655" s="93"/>
    </row>
    <row r="656" ht="14.5" spans="1:51">
      <c r="A656" s="91"/>
      <c r="B656" s="95"/>
      <c r="C656" s="152" t="s">
        <v>668</v>
      </c>
      <c r="D656" s="153" t="s">
        <v>25</v>
      </c>
      <c r="E656" s="130" t="s">
        <v>669</v>
      </c>
      <c r="F656" s="179" t="s">
        <v>683</v>
      </c>
      <c r="G656" s="179" t="s">
        <v>683</v>
      </c>
      <c r="H656" s="179" t="s">
        <v>683</v>
      </c>
      <c r="I656" s="179" t="s">
        <v>683</v>
      </c>
      <c r="J656" s="132">
        <v>0.9</v>
      </c>
      <c r="K656" s="133">
        <v>0.9</v>
      </c>
      <c r="L656" s="133">
        <v>0.846153846153846</v>
      </c>
      <c r="M656" s="134">
        <v>0.8</v>
      </c>
      <c r="N656" s="133">
        <v>0.909090909090909</v>
      </c>
      <c r="O656" s="135">
        <v>0.9</v>
      </c>
      <c r="P656" s="133">
        <v>0.898190045248869</v>
      </c>
      <c r="Q656" s="133">
        <v>0.948453608247423</v>
      </c>
      <c r="R656" s="133">
        <v>0.89267461669506</v>
      </c>
      <c r="S656" s="133">
        <v>0.932781799379524</v>
      </c>
      <c r="T656" s="135">
        <v>0.9</v>
      </c>
      <c r="U656" s="133">
        <v>0.932126696832579</v>
      </c>
      <c r="V656" s="133">
        <v>0.91340206185567</v>
      </c>
      <c r="W656" s="133">
        <v>0.907155025553663</v>
      </c>
      <c r="X656" s="133">
        <v>0.896127772032632</v>
      </c>
      <c r="Y656" s="135">
        <v>0.92</v>
      </c>
      <c r="Z656" s="135">
        <v>0.829457364341085</v>
      </c>
      <c r="AA656" s="135">
        <v>0.92156862745098</v>
      </c>
      <c r="AB656" s="135">
        <v>0.746268656716418</v>
      </c>
      <c r="AC656" s="135">
        <v>0.825352892333241</v>
      </c>
      <c r="AD656" s="135">
        <v>0.92</v>
      </c>
      <c r="AE656" s="133">
        <v>1</v>
      </c>
      <c r="AF656" s="133">
        <v>1</v>
      </c>
      <c r="AG656" s="133">
        <v>0.997737556561086</v>
      </c>
      <c r="AH656" s="133">
        <v>0.996894780843186</v>
      </c>
      <c r="AI656" s="135">
        <v>0.92</v>
      </c>
      <c r="AJ656" s="133">
        <v>0.945709281961471</v>
      </c>
      <c r="AK656" s="133">
        <v>0.944962686567164</v>
      </c>
      <c r="AL656" s="133">
        <v>0.919272727272727</v>
      </c>
      <c r="AM656" s="133">
        <v>0.940292116656358</v>
      </c>
      <c r="AN656" s="132">
        <v>0.99</v>
      </c>
      <c r="AO656" s="137">
        <v>1</v>
      </c>
      <c r="AP656" s="137">
        <v>1</v>
      </c>
      <c r="AQ656" s="137">
        <v>1</v>
      </c>
      <c r="AR656" s="137">
        <v>1</v>
      </c>
      <c r="AS656" s="158">
        <v>0.0810595228934205</v>
      </c>
      <c r="AT656" s="141">
        <v>0</v>
      </c>
      <c r="AU656" s="141">
        <v>0</v>
      </c>
      <c r="AV656" s="141">
        <v>0</v>
      </c>
      <c r="AW656" s="141">
        <v>0.0273972602739726</v>
      </c>
      <c r="AX656" s="95"/>
      <c r="AY656" s="93"/>
    </row>
    <row r="657" ht="14.5" spans="1:51">
      <c r="A657" s="91"/>
      <c r="B657" s="95"/>
      <c r="C657" s="152" t="s">
        <v>668</v>
      </c>
      <c r="D657" s="153" t="s">
        <v>25</v>
      </c>
      <c r="E657" s="130" t="s">
        <v>669</v>
      </c>
      <c r="F657" s="179" t="s">
        <v>684</v>
      </c>
      <c r="G657" s="179" t="s">
        <v>684</v>
      </c>
      <c r="H657" s="179" t="s">
        <v>684</v>
      </c>
      <c r="I657" s="179" t="s">
        <v>684</v>
      </c>
      <c r="J657" s="132">
        <v>0.9</v>
      </c>
      <c r="K657" s="133">
        <v>0.96</v>
      </c>
      <c r="L657" s="133">
        <v>0.935483870967742</v>
      </c>
      <c r="M657" s="134">
        <v>0.933333333333333</v>
      </c>
      <c r="N657" s="133">
        <v>0.96551724137931</v>
      </c>
      <c r="O657" s="135">
        <v>0.9</v>
      </c>
      <c r="P657" s="133">
        <v>0.986378205128205</v>
      </c>
      <c r="Q657" s="133">
        <v>0.933657673595754</v>
      </c>
      <c r="R657" s="133">
        <v>0.930907415937356</v>
      </c>
      <c r="S657" s="133">
        <v>0.887249268700376</v>
      </c>
      <c r="T657" s="135">
        <v>0.9</v>
      </c>
      <c r="U657" s="133">
        <v>0.96875</v>
      </c>
      <c r="V657" s="133">
        <v>0.938522777532065</v>
      </c>
      <c r="W657" s="133">
        <v>0.944725932749885</v>
      </c>
      <c r="X657" s="133">
        <v>0.953823652319264</v>
      </c>
      <c r="Y657" s="135">
        <v>0.92</v>
      </c>
      <c r="Z657" s="135">
        <v>0.966666666666667</v>
      </c>
      <c r="AA657" s="135">
        <v>0.954022988505747</v>
      </c>
      <c r="AB657" s="135">
        <v>0.957142857142857</v>
      </c>
      <c r="AC657" s="135">
        <v>0.963739188290087</v>
      </c>
      <c r="AD657" s="135">
        <v>0.92</v>
      </c>
      <c r="AE657" s="133">
        <v>0.99961393687868</v>
      </c>
      <c r="AF657" s="133">
        <v>0.994837758112094</v>
      </c>
      <c r="AG657" s="133">
        <v>0.992897822445561</v>
      </c>
      <c r="AH657" s="133">
        <v>0.989512880079986</v>
      </c>
      <c r="AI657" s="135">
        <v>0.92</v>
      </c>
      <c r="AJ657" s="133">
        <v>0.977997799779978</v>
      </c>
      <c r="AK657" s="133">
        <v>0.98198543503258</v>
      </c>
      <c r="AL657" s="133">
        <v>0.980241492864984</v>
      </c>
      <c r="AM657" s="133">
        <v>0.984066270788868</v>
      </c>
      <c r="AN657" s="132">
        <v>0.99</v>
      </c>
      <c r="AO657" s="137">
        <v>1</v>
      </c>
      <c r="AP657" s="137">
        <v>1</v>
      </c>
      <c r="AQ657" s="137">
        <v>1</v>
      </c>
      <c r="AR657" s="137">
        <v>1</v>
      </c>
      <c r="AS657" s="158">
        <v>0.0810595228934205</v>
      </c>
      <c r="AT657" s="141">
        <v>0</v>
      </c>
      <c r="AU657" s="141">
        <v>0.0909090909090909</v>
      </c>
      <c r="AV657" s="141">
        <v>0</v>
      </c>
      <c r="AW657" s="141">
        <v>0.0469798657718121</v>
      </c>
      <c r="AX657" s="95"/>
      <c r="AY657" s="93"/>
    </row>
    <row r="658" ht="14.5" spans="1:51">
      <c r="A658" s="91"/>
      <c r="B658" s="95"/>
      <c r="C658" s="152" t="s">
        <v>668</v>
      </c>
      <c r="D658" s="153" t="s">
        <v>25</v>
      </c>
      <c r="E658" s="130" t="s">
        <v>669</v>
      </c>
      <c r="F658" s="179" t="s">
        <v>685</v>
      </c>
      <c r="G658" s="179" t="s">
        <v>685</v>
      </c>
      <c r="H658" s="179" t="s">
        <v>685</v>
      </c>
      <c r="I658" s="179" t="s">
        <v>685</v>
      </c>
      <c r="J658" s="132">
        <v>0.9</v>
      </c>
      <c r="K658" s="133">
        <v>0.818181818181818</v>
      </c>
      <c r="L658" s="133">
        <v>0.941176470588235</v>
      </c>
      <c r="M658" s="134">
        <v>0.846153846153846</v>
      </c>
      <c r="N658" s="133">
        <v>0.905908096280088</v>
      </c>
      <c r="O658" s="135">
        <v>0.9</v>
      </c>
      <c r="P658" s="133">
        <v>0.924062214089661</v>
      </c>
      <c r="Q658" s="133">
        <v>0.858288770053476</v>
      </c>
      <c r="R658" s="133">
        <v>0.595975232198142</v>
      </c>
      <c r="S658" s="133">
        <v>0.861094551090974</v>
      </c>
      <c r="T658" s="135">
        <v>0.9</v>
      </c>
      <c r="U658" s="133">
        <v>0.548947849954254</v>
      </c>
      <c r="V658" s="133">
        <v>0.477272727272727</v>
      </c>
      <c r="W658" s="133">
        <v>0.434210526315789</v>
      </c>
      <c r="X658" s="133">
        <v>0.511672826994158</v>
      </c>
      <c r="Y658" s="135">
        <v>0.92</v>
      </c>
      <c r="Z658" s="135">
        <v>0.6</v>
      </c>
      <c r="AA658" s="135">
        <v>0.438818565400844</v>
      </c>
      <c r="AB658" s="135">
        <v>0.359019264448336</v>
      </c>
      <c r="AC658" s="135">
        <v>0.475983506073777</v>
      </c>
      <c r="AD658" s="135">
        <v>0.92</v>
      </c>
      <c r="AE658" s="133">
        <v>0.998996487706974</v>
      </c>
      <c r="AF658" s="133">
        <v>0.999078341013825</v>
      </c>
      <c r="AG658" s="133">
        <v>0.994984326018809</v>
      </c>
      <c r="AH658" s="133">
        <v>0.981469849246231</v>
      </c>
      <c r="AI658" s="135">
        <v>0.92</v>
      </c>
      <c r="AJ658" s="133">
        <v>0.773160762942779</v>
      </c>
      <c r="AK658" s="133">
        <v>0.617089883111648</v>
      </c>
      <c r="AL658" s="133">
        <v>0.822503961965135</v>
      </c>
      <c r="AM658" s="133">
        <v>0.789817924695068</v>
      </c>
      <c r="AN658" s="132">
        <v>0.99</v>
      </c>
      <c r="AO658" s="137">
        <v>1</v>
      </c>
      <c r="AP658" s="137">
        <v>1</v>
      </c>
      <c r="AQ658" s="137">
        <v>1</v>
      </c>
      <c r="AR658" s="137">
        <v>1</v>
      </c>
      <c r="AS658" s="158">
        <v>0.0810595228934205</v>
      </c>
      <c r="AT658" s="141">
        <v>0</v>
      </c>
      <c r="AU658" s="141">
        <v>0</v>
      </c>
      <c r="AV658" s="141">
        <v>0</v>
      </c>
      <c r="AW658" s="141">
        <v>0.0189873417721519</v>
      </c>
      <c r="AX658" s="95"/>
      <c r="AY658" s="93"/>
    </row>
    <row r="659" ht="14.5" spans="1:51">
      <c r="A659" s="91"/>
      <c r="B659" s="95"/>
      <c r="C659" s="152" t="s">
        <v>668</v>
      </c>
      <c r="D659" s="153" t="s">
        <v>25</v>
      </c>
      <c r="E659" s="130" t="s">
        <v>669</v>
      </c>
      <c r="F659" s="179" t="s">
        <v>686</v>
      </c>
      <c r="G659" s="179" t="s">
        <v>686</v>
      </c>
      <c r="H659" s="179" t="s">
        <v>686</v>
      </c>
      <c r="I659" s="179" t="s">
        <v>686</v>
      </c>
      <c r="J659" s="132">
        <v>0.9</v>
      </c>
      <c r="K659" s="133">
        <v>1</v>
      </c>
      <c r="L659" s="133">
        <v>1</v>
      </c>
      <c r="M659" s="134">
        <v>1</v>
      </c>
      <c r="N659" s="133">
        <v>0.98256735340729</v>
      </c>
      <c r="O659" s="135">
        <v>0.9</v>
      </c>
      <c r="P659" s="133">
        <v>0.994172494172494</v>
      </c>
      <c r="Q659" s="133">
        <v>0.984120836560806</v>
      </c>
      <c r="R659" s="133">
        <v>0.984297204136346</v>
      </c>
      <c r="S659" s="133">
        <v>0.973047651364584</v>
      </c>
      <c r="T659" s="135">
        <v>0.9</v>
      </c>
      <c r="U659" s="133">
        <v>0.98018648018648</v>
      </c>
      <c r="V659" s="133">
        <v>0.970952749806352</v>
      </c>
      <c r="W659" s="133">
        <v>0.970509383378016</v>
      </c>
      <c r="X659" s="133">
        <v>0.964394784041883</v>
      </c>
      <c r="Y659" s="135">
        <v>0.92</v>
      </c>
      <c r="Z659" s="135">
        <v>0.979635584137192</v>
      </c>
      <c r="AA659" s="135">
        <v>0.98694942903752</v>
      </c>
      <c r="AB659" s="135">
        <v>0.977088948787062</v>
      </c>
      <c r="AC659" s="135">
        <v>0.9745566692367</v>
      </c>
      <c r="AD659" s="135">
        <v>0.92</v>
      </c>
      <c r="AE659" s="133">
        <v>0.991402135231317</v>
      </c>
      <c r="AF659" s="133">
        <v>0.996211523283347</v>
      </c>
      <c r="AG659" s="133">
        <v>0.982568509810281</v>
      </c>
      <c r="AH659" s="133">
        <v>0.978977755532016</v>
      </c>
      <c r="AI659" s="135">
        <v>0.92</v>
      </c>
      <c r="AJ659" s="133">
        <v>0.989429973574934</v>
      </c>
      <c r="AK659" s="133">
        <v>0.989045383411581</v>
      </c>
      <c r="AL659" s="133">
        <v>0.985390578413834</v>
      </c>
      <c r="AM659" s="133">
        <v>0.986741458439572</v>
      </c>
      <c r="AN659" s="132">
        <v>0.99</v>
      </c>
      <c r="AO659" s="137">
        <v>1</v>
      </c>
      <c r="AP659" s="137">
        <v>1</v>
      </c>
      <c r="AQ659" s="137">
        <v>1</v>
      </c>
      <c r="AR659" s="137">
        <v>1</v>
      </c>
      <c r="AS659" s="158">
        <v>0.0810595228934205</v>
      </c>
      <c r="AT659" s="141">
        <v>0</v>
      </c>
      <c r="AU659" s="141">
        <v>0</v>
      </c>
      <c r="AV659" s="141">
        <v>0</v>
      </c>
      <c r="AW659" s="141">
        <v>0.036697247706422</v>
      </c>
      <c r="AX659" s="95"/>
      <c r="AY659" s="93"/>
    </row>
    <row r="660" ht="14.5" spans="1:51">
      <c r="A660" s="91"/>
      <c r="B660" s="95"/>
      <c r="C660" s="152" t="s">
        <v>668</v>
      </c>
      <c r="D660" s="153" t="s">
        <v>25</v>
      </c>
      <c r="E660" s="130" t="s">
        <v>669</v>
      </c>
      <c r="F660" s="179" t="s">
        <v>687</v>
      </c>
      <c r="G660" s="179" t="s">
        <v>687</v>
      </c>
      <c r="H660" s="179" t="s">
        <v>687</v>
      </c>
      <c r="I660" s="179" t="s">
        <v>687</v>
      </c>
      <c r="J660" s="132">
        <v>0.9</v>
      </c>
      <c r="K660" s="133">
        <v>0.952380952380952</v>
      </c>
      <c r="L660" s="133">
        <v>0.880597014925373</v>
      </c>
      <c r="M660" s="134">
        <v>0.901639344262295</v>
      </c>
      <c r="N660" s="133">
        <v>0.950041631973356</v>
      </c>
      <c r="O660" s="135">
        <v>0.9</v>
      </c>
      <c r="P660" s="133">
        <v>0.978331527627302</v>
      </c>
      <c r="Q660" s="133">
        <v>0.969702156795618</v>
      </c>
      <c r="R660" s="133">
        <v>0.919616897554301</v>
      </c>
      <c r="S660" s="133">
        <v>0.925008219178082</v>
      </c>
      <c r="T660" s="135">
        <v>0.9</v>
      </c>
      <c r="U660" s="133">
        <v>0.953954496208017</v>
      </c>
      <c r="V660" s="133">
        <v>0.942998972954468</v>
      </c>
      <c r="W660" s="133">
        <v>0.951770138532581</v>
      </c>
      <c r="X660" s="133">
        <v>0.948</v>
      </c>
      <c r="Y660" s="135">
        <v>0.92</v>
      </c>
      <c r="Z660" s="135">
        <v>0.930196483971044</v>
      </c>
      <c r="AA660" s="135">
        <v>0.856685348278623</v>
      </c>
      <c r="AB660" s="135">
        <v>0.906134969325153</v>
      </c>
      <c r="AC660" s="135">
        <v>0.885751751833791</v>
      </c>
      <c r="AD660" s="135">
        <v>0.92</v>
      </c>
      <c r="AE660" s="133">
        <v>0.936596941180295</v>
      </c>
      <c r="AF660" s="133">
        <v>0.989114581480559</v>
      </c>
      <c r="AG660" s="133">
        <v>0.975457191260154</v>
      </c>
      <c r="AH660" s="133">
        <v>0.972369189489861</v>
      </c>
      <c r="AI660" s="135">
        <v>0.92</v>
      </c>
      <c r="AJ660" s="133">
        <v>0.959673121335939</v>
      </c>
      <c r="AK660" s="133">
        <v>0.950817361894025</v>
      </c>
      <c r="AL660" s="133">
        <v>0.964171122994652</v>
      </c>
      <c r="AM660" s="133">
        <v>0.960483668830327</v>
      </c>
      <c r="AN660" s="132">
        <v>0.99</v>
      </c>
      <c r="AO660" s="137">
        <v>1</v>
      </c>
      <c r="AP660" s="137">
        <v>1</v>
      </c>
      <c r="AQ660" s="137">
        <v>1</v>
      </c>
      <c r="AR660" s="137">
        <v>1</v>
      </c>
      <c r="AS660" s="158">
        <v>0.0810595228934205</v>
      </c>
      <c r="AT660" s="141">
        <v>0.0769230769230769</v>
      </c>
      <c r="AU660" s="141">
        <v>0.0588235294117647</v>
      </c>
      <c r="AV660" s="141">
        <v>0</v>
      </c>
      <c r="AW660" s="141">
        <v>0.0227272727272727</v>
      </c>
      <c r="AX660" s="95"/>
      <c r="AY660" s="93"/>
    </row>
    <row r="661" ht="14.5" spans="1:51">
      <c r="A661" s="91"/>
      <c r="B661" s="95"/>
      <c r="C661" s="152" t="s">
        <v>668</v>
      </c>
      <c r="D661" s="153" t="s">
        <v>25</v>
      </c>
      <c r="E661" s="130" t="s">
        <v>669</v>
      </c>
      <c r="F661" s="179" t="s">
        <v>688</v>
      </c>
      <c r="G661" s="179" t="s">
        <v>688</v>
      </c>
      <c r="H661" s="179" t="s">
        <v>688</v>
      </c>
      <c r="I661" s="179" t="s">
        <v>688</v>
      </c>
      <c r="J661" s="132">
        <v>0.9</v>
      </c>
      <c r="K661" s="133">
        <v>0.92</v>
      </c>
      <c r="L661" s="133">
        <v>0.96</v>
      </c>
      <c r="M661" s="134">
        <v>0.92</v>
      </c>
      <c r="N661" s="133">
        <v>0.952789699570815</v>
      </c>
      <c r="O661" s="135">
        <v>0.9</v>
      </c>
      <c r="P661" s="133">
        <v>0.940157958687728</v>
      </c>
      <c r="Q661" s="133">
        <v>0.965781179648807</v>
      </c>
      <c r="R661" s="133">
        <v>0.733953277387163</v>
      </c>
      <c r="S661" s="133">
        <v>0.854870928088506</v>
      </c>
      <c r="T661" s="135">
        <v>0.9</v>
      </c>
      <c r="U661" s="133">
        <v>0.961725394896719</v>
      </c>
      <c r="V661" s="133">
        <v>0.945294912201711</v>
      </c>
      <c r="W661" s="133">
        <v>0.952143343161715</v>
      </c>
      <c r="X661" s="133">
        <v>0.943100799016595</v>
      </c>
      <c r="Y661" s="135">
        <v>0.92</v>
      </c>
      <c r="Z661" s="135">
        <v>0.978815860945139</v>
      </c>
      <c r="AA661" s="135">
        <v>0.896092362344583</v>
      </c>
      <c r="AB661" s="135">
        <v>0.955710955710956</v>
      </c>
      <c r="AC661" s="135">
        <v>0.949420231907237</v>
      </c>
      <c r="AD661" s="135">
        <v>0.92</v>
      </c>
      <c r="AE661" s="133">
        <v>0.872483762959377</v>
      </c>
      <c r="AF661" s="133">
        <v>0.980933868232764</v>
      </c>
      <c r="AG661" s="133">
        <v>0.965634068974826</v>
      </c>
      <c r="AH661" s="133">
        <v>0.956731074758855</v>
      </c>
      <c r="AI661" s="135">
        <v>0.92</v>
      </c>
      <c r="AJ661" s="133">
        <v>0.983440483148256</v>
      </c>
      <c r="AK661" s="133">
        <v>0.950439935356437</v>
      </c>
      <c r="AL661" s="133">
        <v>0.971568971568972</v>
      </c>
      <c r="AM661" s="133">
        <v>0.973017737577822</v>
      </c>
      <c r="AN661" s="132">
        <v>0.99</v>
      </c>
      <c r="AO661" s="137">
        <v>1</v>
      </c>
      <c r="AP661" s="137">
        <v>1</v>
      </c>
      <c r="AQ661" s="137">
        <v>1</v>
      </c>
      <c r="AR661" s="137">
        <v>1</v>
      </c>
      <c r="AS661" s="158">
        <v>0.0810595228934205</v>
      </c>
      <c r="AT661" s="141">
        <v>0</v>
      </c>
      <c r="AU661" s="141">
        <v>0</v>
      </c>
      <c r="AV661" s="141">
        <v>0</v>
      </c>
      <c r="AW661" s="141">
        <v>0.0245901639344262</v>
      </c>
      <c r="AX661" s="95"/>
      <c r="AY661" s="93"/>
    </row>
    <row r="662" ht="14.5" spans="1:51">
      <c r="A662" s="91"/>
      <c r="B662" s="95"/>
      <c r="C662" s="152" t="s">
        <v>668</v>
      </c>
      <c r="D662" s="153" t="s">
        <v>25</v>
      </c>
      <c r="E662" s="130" t="s">
        <v>669</v>
      </c>
      <c r="F662" s="179" t="s">
        <v>689</v>
      </c>
      <c r="G662" s="179" t="s">
        <v>689</v>
      </c>
      <c r="H662" s="179" t="s">
        <v>689</v>
      </c>
      <c r="I662" s="179" t="s">
        <v>689</v>
      </c>
      <c r="J662" s="132">
        <v>0.9</v>
      </c>
      <c r="K662" s="133">
        <v>0.96969696969697</v>
      </c>
      <c r="L662" s="133">
        <v>0.885714285714286</v>
      </c>
      <c r="M662" s="134">
        <v>0.96875</v>
      </c>
      <c r="N662" s="133">
        <v>0.975155279503106</v>
      </c>
      <c r="O662" s="135">
        <v>0.9</v>
      </c>
      <c r="P662" s="133">
        <v>0.949452401010952</v>
      </c>
      <c r="Q662" s="133">
        <v>0.838339222614841</v>
      </c>
      <c r="R662" s="133">
        <v>0.919557758292032</v>
      </c>
      <c r="S662" s="133">
        <v>0.94816166531495</v>
      </c>
      <c r="T662" s="135">
        <v>0.9</v>
      </c>
      <c r="U662" s="133">
        <v>0.910699241786015</v>
      </c>
      <c r="V662" s="133">
        <v>0.929770318021201</v>
      </c>
      <c r="W662" s="133">
        <v>0.876858558902021</v>
      </c>
      <c r="X662" s="133">
        <v>0.92534018203118</v>
      </c>
      <c r="Y662" s="135">
        <v>0.92</v>
      </c>
      <c r="Z662" s="135">
        <v>0.898989898989899</v>
      </c>
      <c r="AA662" s="135">
        <v>0.909871244635193</v>
      </c>
      <c r="AB662" s="135">
        <v>0.874274661508704</v>
      </c>
      <c r="AC662" s="135">
        <v>0.9198234267529</v>
      </c>
      <c r="AD662" s="135">
        <v>0.92</v>
      </c>
      <c r="AE662" s="133">
        <v>0.998782714546561</v>
      </c>
      <c r="AF662" s="133">
        <v>0.978400467016929</v>
      </c>
      <c r="AG662" s="133">
        <v>0.9796573875803</v>
      </c>
      <c r="AH662" s="133">
        <v>0.989077534643534</v>
      </c>
      <c r="AI662" s="135">
        <v>0.92</v>
      </c>
      <c r="AJ662" s="133">
        <v>0.934933670246368</v>
      </c>
      <c r="AK662" s="133">
        <v>0.94915932746197</v>
      </c>
      <c r="AL662" s="133">
        <v>0.941775373846643</v>
      </c>
      <c r="AM662" s="133">
        <v>0.955795695945322</v>
      </c>
      <c r="AN662" s="132">
        <v>0.99</v>
      </c>
      <c r="AO662" s="137">
        <v>1</v>
      </c>
      <c r="AP662" s="137">
        <v>1</v>
      </c>
      <c r="AQ662" s="137">
        <v>1</v>
      </c>
      <c r="AR662" s="137">
        <v>1</v>
      </c>
      <c r="AS662" s="158">
        <v>0.0810595228934205</v>
      </c>
      <c r="AT662" s="141">
        <v>0</v>
      </c>
      <c r="AU662" s="141">
        <v>0</v>
      </c>
      <c r="AV662" s="141">
        <v>0</v>
      </c>
      <c r="AW662" s="141">
        <v>0.0167597765363128</v>
      </c>
      <c r="AX662" s="95"/>
      <c r="AY662" s="93"/>
    </row>
    <row r="663" ht="14.5" spans="1:51">
      <c r="A663" s="91"/>
      <c r="B663" s="95"/>
      <c r="C663" s="152" t="s">
        <v>668</v>
      </c>
      <c r="D663" s="153" t="s">
        <v>25</v>
      </c>
      <c r="E663" s="130" t="s">
        <v>669</v>
      </c>
      <c r="F663" s="179" t="s">
        <v>690</v>
      </c>
      <c r="G663" s="179" t="s">
        <v>690</v>
      </c>
      <c r="H663" s="179" t="s">
        <v>690</v>
      </c>
      <c r="I663" s="179" t="s">
        <v>690</v>
      </c>
      <c r="J663" s="132">
        <v>0.9</v>
      </c>
      <c r="K663" s="133">
        <v>1</v>
      </c>
      <c r="L663" s="133">
        <v>0.791666666666667</v>
      </c>
      <c r="M663" s="134">
        <v>0.954545454545455</v>
      </c>
      <c r="N663" s="133">
        <v>0.905882352941176</v>
      </c>
      <c r="O663" s="135">
        <v>0.9</v>
      </c>
      <c r="P663" s="133">
        <v>0.671641791044776</v>
      </c>
      <c r="Q663" s="133">
        <v>0.679140679140679</v>
      </c>
      <c r="R663" s="133">
        <v>0.674801362088536</v>
      </c>
      <c r="S663" s="133">
        <v>0.729739681137008</v>
      </c>
      <c r="T663" s="135">
        <v>0.9</v>
      </c>
      <c r="U663" s="133">
        <v>0.917232021709634</v>
      </c>
      <c r="V663" s="133">
        <v>0.926541926541927</v>
      </c>
      <c r="W663" s="133">
        <v>0.888762769580023</v>
      </c>
      <c r="X663" s="133">
        <v>0.918627342685666</v>
      </c>
      <c r="Y663" s="135">
        <v>0.92</v>
      </c>
      <c r="Z663" s="135">
        <v>0.932539682539683</v>
      </c>
      <c r="AA663" s="135">
        <v>0.923076923076923</v>
      </c>
      <c r="AB663" s="135">
        <v>0.934065934065934</v>
      </c>
      <c r="AC663" s="135">
        <v>0.935645161290323</v>
      </c>
      <c r="AD663" s="135">
        <v>0.92</v>
      </c>
      <c r="AE663" s="133">
        <v>1</v>
      </c>
      <c r="AF663" s="133">
        <v>0.987654320987654</v>
      </c>
      <c r="AG663" s="133">
        <v>0.996031746031746</v>
      </c>
      <c r="AH663" s="133">
        <v>0.989237070197162</v>
      </c>
      <c r="AI663" s="135">
        <v>0.92</v>
      </c>
      <c r="AJ663" s="133">
        <v>0.949443882709808</v>
      </c>
      <c r="AK663" s="133">
        <v>0.951612903225806</v>
      </c>
      <c r="AL663" s="133">
        <v>0.951552210724365</v>
      </c>
      <c r="AM663" s="133">
        <v>0.964120856063785</v>
      </c>
      <c r="AN663" s="132">
        <v>0.99</v>
      </c>
      <c r="AO663" s="137">
        <v>1</v>
      </c>
      <c r="AP663" s="137">
        <v>1</v>
      </c>
      <c r="AQ663" s="137">
        <v>1</v>
      </c>
      <c r="AR663" s="137">
        <v>1</v>
      </c>
      <c r="AS663" s="158">
        <v>0.0810595228934205</v>
      </c>
      <c r="AT663" s="141">
        <v>0</v>
      </c>
      <c r="AU663" s="141">
        <v>0</v>
      </c>
      <c r="AV663" s="141">
        <v>0.0625</v>
      </c>
      <c r="AW663" s="141">
        <v>0.0238095238095238</v>
      </c>
      <c r="AX663" s="95"/>
      <c r="AY663" s="93"/>
    </row>
    <row r="664" ht="14.5" spans="1:51">
      <c r="A664" s="91"/>
      <c r="B664" s="95"/>
      <c r="C664" s="152" t="s">
        <v>668</v>
      </c>
      <c r="D664" s="153" t="s">
        <v>25</v>
      </c>
      <c r="E664" s="130" t="s">
        <v>669</v>
      </c>
      <c r="F664" s="179" t="s">
        <v>691</v>
      </c>
      <c r="G664" s="179" t="s">
        <v>691</v>
      </c>
      <c r="H664" s="179" t="s">
        <v>691</v>
      </c>
      <c r="I664" s="179" t="s">
        <v>691</v>
      </c>
      <c r="J664" s="132">
        <v>0.9</v>
      </c>
      <c r="K664" s="133">
        <v>1</v>
      </c>
      <c r="L664" s="133">
        <v>0.966666666666667</v>
      </c>
      <c r="M664" s="134">
        <v>1</v>
      </c>
      <c r="N664" s="133">
        <v>0.951401869158878</v>
      </c>
      <c r="O664" s="135">
        <v>0.9</v>
      </c>
      <c r="P664" s="133">
        <v>0.754545454545455</v>
      </c>
      <c r="Q664" s="133">
        <v>0.995115995115995</v>
      </c>
      <c r="R664" s="133">
        <v>0.993506493506494</v>
      </c>
      <c r="S664" s="133">
        <v>0.913559206489877</v>
      </c>
      <c r="T664" s="135">
        <v>0.9</v>
      </c>
      <c r="U664" s="133">
        <v>0.893506493506493</v>
      </c>
      <c r="V664" s="133">
        <v>0.882783882783883</v>
      </c>
      <c r="W664" s="133">
        <v>0.914502164502164</v>
      </c>
      <c r="X664" s="133">
        <v>0.912195787033881</v>
      </c>
      <c r="Y664" s="135">
        <v>0.92</v>
      </c>
      <c r="Z664" s="135">
        <v>0.816849816849817</v>
      </c>
      <c r="AA664" s="135">
        <v>0.864130434782609</v>
      </c>
      <c r="AB664" s="135">
        <v>0.820638820638821</v>
      </c>
      <c r="AC664" s="135">
        <v>0.8585797928239</v>
      </c>
      <c r="AD664" s="135">
        <v>0.92</v>
      </c>
      <c r="AE664" s="133">
        <v>0.999553969669938</v>
      </c>
      <c r="AF664" s="133">
        <v>0.962264150943396</v>
      </c>
      <c r="AG664" s="133">
        <v>0.994198312236287</v>
      </c>
      <c r="AH664" s="133">
        <v>0.989259827522353</v>
      </c>
      <c r="AI664" s="135">
        <v>0.92</v>
      </c>
      <c r="AJ664" s="133">
        <v>0.904214559386973</v>
      </c>
      <c r="AK664" s="133">
        <v>0.935271530444323</v>
      </c>
      <c r="AL664" s="133">
        <v>0.931707317073171</v>
      </c>
      <c r="AM664" s="133">
        <v>0.936284857238085</v>
      </c>
      <c r="AN664" s="132">
        <v>0.99</v>
      </c>
      <c r="AO664" s="137">
        <v>1</v>
      </c>
      <c r="AP664" s="137">
        <v>1</v>
      </c>
      <c r="AQ664" s="137">
        <v>1</v>
      </c>
      <c r="AR664" s="137">
        <v>1</v>
      </c>
      <c r="AS664" s="158">
        <v>0.0810595228934205</v>
      </c>
      <c r="AT664" s="141">
        <v>0</v>
      </c>
      <c r="AU664" s="141">
        <v>0</v>
      </c>
      <c r="AV664" s="141">
        <v>0</v>
      </c>
      <c r="AW664" s="141">
        <v>0.0238095238095238</v>
      </c>
      <c r="AX664" s="95"/>
      <c r="AY664" s="93"/>
    </row>
    <row r="665" ht="14.5" spans="1:51">
      <c r="A665" s="91"/>
      <c r="B665" s="95"/>
      <c r="C665" s="152" t="s">
        <v>668</v>
      </c>
      <c r="D665" s="153" t="s">
        <v>25</v>
      </c>
      <c r="E665" s="130" t="s">
        <v>669</v>
      </c>
      <c r="F665" s="179" t="s">
        <v>692</v>
      </c>
      <c r="G665" s="179" t="s">
        <v>692</v>
      </c>
      <c r="H665" s="179" t="s">
        <v>692</v>
      </c>
      <c r="I665" s="179" t="s">
        <v>692</v>
      </c>
      <c r="J665" s="132">
        <v>0.9</v>
      </c>
      <c r="K665" s="133">
        <v>1</v>
      </c>
      <c r="L665" s="133">
        <v>0.96</v>
      </c>
      <c r="M665" s="134">
        <v>0.851851851851852</v>
      </c>
      <c r="N665" s="133">
        <v>0.953156822810591</v>
      </c>
      <c r="O665" s="135">
        <v>0.9</v>
      </c>
      <c r="P665" s="133">
        <v>0.984126984126984</v>
      </c>
      <c r="Q665" s="133">
        <v>0.9728555917481</v>
      </c>
      <c r="R665" s="133">
        <v>0.907857811038354</v>
      </c>
      <c r="S665" s="133">
        <v>0.967793367346939</v>
      </c>
      <c r="T665" s="135">
        <v>0.9</v>
      </c>
      <c r="U665" s="133">
        <v>0.904761904761905</v>
      </c>
      <c r="V665" s="133">
        <v>0.927795874049946</v>
      </c>
      <c r="W665" s="133">
        <v>0.908793264733396</v>
      </c>
      <c r="X665" s="133">
        <v>0.933934369202226</v>
      </c>
      <c r="Y665" s="135">
        <v>0.92</v>
      </c>
      <c r="Z665" s="135">
        <v>0.88953488372093</v>
      </c>
      <c r="AA665" s="135">
        <v>0.886255924170616</v>
      </c>
      <c r="AB665" s="135">
        <v>0.904761904761905</v>
      </c>
      <c r="AC665" s="135">
        <v>0.914533229893975</v>
      </c>
      <c r="AD665" s="135">
        <v>0.92</v>
      </c>
      <c r="AE665" s="133">
        <v>0.992949471210341</v>
      </c>
      <c r="AF665" s="133">
        <v>0.996542185338866</v>
      </c>
      <c r="AG665" s="133">
        <v>0.990909090909091</v>
      </c>
      <c r="AH665" s="133">
        <v>0.987798656576822</v>
      </c>
      <c r="AI665" s="135">
        <v>0.92</v>
      </c>
      <c r="AJ665" s="133">
        <v>0.930473372781065</v>
      </c>
      <c r="AK665" s="133">
        <v>0.962006819288846</v>
      </c>
      <c r="AL665" s="133">
        <v>0.954669792887847</v>
      </c>
      <c r="AM665" s="133">
        <v>0.963321651827998</v>
      </c>
      <c r="AN665" s="132">
        <v>0.99</v>
      </c>
      <c r="AO665" s="137">
        <v>1</v>
      </c>
      <c r="AP665" s="137">
        <v>1</v>
      </c>
      <c r="AQ665" s="137">
        <v>1</v>
      </c>
      <c r="AR665" s="137">
        <v>1</v>
      </c>
      <c r="AS665" s="158">
        <v>0.0810595228934205</v>
      </c>
      <c r="AT665" s="141">
        <v>0</v>
      </c>
      <c r="AU665" s="141">
        <v>0</v>
      </c>
      <c r="AV665" s="141">
        <v>0</v>
      </c>
      <c r="AW665" s="141">
        <v>0.01953125</v>
      </c>
      <c r="AX665" s="95"/>
      <c r="AY665" s="93"/>
    </row>
    <row r="666" ht="14.5" spans="1:51">
      <c r="A666" s="91"/>
      <c r="B666" s="95"/>
      <c r="C666" s="152" t="s">
        <v>668</v>
      </c>
      <c r="D666" s="153" t="s">
        <v>25</v>
      </c>
      <c r="E666" s="130" t="s">
        <v>669</v>
      </c>
      <c r="F666" s="179" t="s">
        <v>693</v>
      </c>
      <c r="G666" s="179" t="s">
        <v>693</v>
      </c>
      <c r="H666" s="179" t="s">
        <v>693</v>
      </c>
      <c r="I666" s="179" t="s">
        <v>693</v>
      </c>
      <c r="J666" s="132">
        <v>0.9</v>
      </c>
      <c r="K666" s="133">
        <v>0.952380952380952</v>
      </c>
      <c r="L666" s="133">
        <v>0.956521739130435</v>
      </c>
      <c r="M666" s="134">
        <v>0.916666666666667</v>
      </c>
      <c r="N666" s="133">
        <v>0.95662100456621</v>
      </c>
      <c r="O666" s="135">
        <v>0.9</v>
      </c>
      <c r="P666" s="133">
        <v>0.97621407333994</v>
      </c>
      <c r="Q666" s="133">
        <v>0.980634749865519</v>
      </c>
      <c r="R666" s="133">
        <v>0.923598553345389</v>
      </c>
      <c r="S666" s="133">
        <v>0.974413823758195</v>
      </c>
      <c r="T666" s="135">
        <v>0.9</v>
      </c>
      <c r="U666" s="133">
        <v>0.929633300297324</v>
      </c>
      <c r="V666" s="133">
        <v>0.931145777299623</v>
      </c>
      <c r="W666" s="133">
        <v>0.914104882459313</v>
      </c>
      <c r="X666" s="133">
        <v>0.946382931436826</v>
      </c>
      <c r="Y666" s="135">
        <v>0.92</v>
      </c>
      <c r="Z666" s="135">
        <v>0.921768707482993</v>
      </c>
      <c r="AA666" s="135">
        <v>0.931216931216931</v>
      </c>
      <c r="AB666" s="135">
        <v>0.902004454342984</v>
      </c>
      <c r="AC666" s="135">
        <v>0.933383047477007</v>
      </c>
      <c r="AD666" s="135">
        <v>0.92</v>
      </c>
      <c r="AE666" s="133">
        <v>1</v>
      </c>
      <c r="AF666" s="133">
        <v>0.99780701754386</v>
      </c>
      <c r="AG666" s="133">
        <v>0.998170731707317</v>
      </c>
      <c r="AH666" s="133">
        <v>0.996182855040471</v>
      </c>
      <c r="AI666" s="135">
        <v>0.92</v>
      </c>
      <c r="AJ666" s="133">
        <v>0.947045280122794</v>
      </c>
      <c r="AK666" s="133">
        <v>0.958984375</v>
      </c>
      <c r="AL666" s="133">
        <v>0.960946301164101</v>
      </c>
      <c r="AM666" s="133">
        <v>0.973573682657162</v>
      </c>
      <c r="AN666" s="132">
        <v>0.99</v>
      </c>
      <c r="AO666" s="137">
        <v>1</v>
      </c>
      <c r="AP666" s="137">
        <v>1</v>
      </c>
      <c r="AQ666" s="137">
        <v>1</v>
      </c>
      <c r="AR666" s="137">
        <v>1</v>
      </c>
      <c r="AS666" s="158">
        <v>0.0810595228934205</v>
      </c>
      <c r="AT666" s="141">
        <v>0</v>
      </c>
      <c r="AU666" s="141">
        <v>0</v>
      </c>
      <c r="AV666" s="141">
        <v>0</v>
      </c>
      <c r="AW666" s="141">
        <v>0.0596026490066225</v>
      </c>
      <c r="AX666" s="95"/>
      <c r="AY666" s="93"/>
    </row>
    <row r="667" ht="14.5" spans="1:51">
      <c r="A667" s="91"/>
      <c r="B667" s="95"/>
      <c r="C667" s="152" t="s">
        <v>668</v>
      </c>
      <c r="D667" s="153" t="s">
        <v>25</v>
      </c>
      <c r="E667" s="130" t="s">
        <v>669</v>
      </c>
      <c r="F667" s="179" t="s">
        <v>694</v>
      </c>
      <c r="G667" s="179" t="s">
        <v>694</v>
      </c>
      <c r="H667" s="179" t="s">
        <v>694</v>
      </c>
      <c r="I667" s="179" t="s">
        <v>694</v>
      </c>
      <c r="J667" s="132">
        <v>0.9</v>
      </c>
      <c r="K667" s="133">
        <v>1</v>
      </c>
      <c r="L667" s="133">
        <v>1</v>
      </c>
      <c r="M667" s="134">
        <v>1</v>
      </c>
      <c r="N667" s="133">
        <v>1</v>
      </c>
      <c r="O667" s="135">
        <v>0.9</v>
      </c>
      <c r="P667" s="133">
        <v>0.90310650887574</v>
      </c>
      <c r="Q667" s="133">
        <v>0.938848920863309</v>
      </c>
      <c r="R667" s="133">
        <v>0.953769559032717</v>
      </c>
      <c r="S667" s="133">
        <v>0.955749930154091</v>
      </c>
      <c r="T667" s="135">
        <v>0.9</v>
      </c>
      <c r="U667" s="133">
        <v>0.978550295857988</v>
      </c>
      <c r="V667" s="133">
        <v>0.975219824140687</v>
      </c>
      <c r="W667" s="133">
        <v>0.974039829302987</v>
      </c>
      <c r="X667" s="133">
        <v>0.97771378220971</v>
      </c>
      <c r="Y667" s="135">
        <v>0.92</v>
      </c>
      <c r="Z667" s="135">
        <v>0.958620689655172</v>
      </c>
      <c r="AA667" s="135">
        <v>0.926829268292683</v>
      </c>
      <c r="AB667" s="135">
        <v>0.962356792144026</v>
      </c>
      <c r="AC667" s="135">
        <v>0.966384098216896</v>
      </c>
      <c r="AD667" s="135">
        <v>0.92</v>
      </c>
      <c r="AE667" s="133">
        <v>0.99932157394844</v>
      </c>
      <c r="AF667" s="133">
        <v>0.995653748641796</v>
      </c>
      <c r="AG667" s="133">
        <v>0.989473684210526</v>
      </c>
      <c r="AH667" s="133">
        <v>0.99652477301136</v>
      </c>
      <c r="AI667" s="135">
        <v>0.92</v>
      </c>
      <c r="AJ667" s="133">
        <v>0.981707317073171</v>
      </c>
      <c r="AK667" s="133">
        <v>0.983606557377049</v>
      </c>
      <c r="AL667" s="133">
        <v>0.987769365171811</v>
      </c>
      <c r="AM667" s="133">
        <v>0.988103396770169</v>
      </c>
      <c r="AN667" s="132">
        <v>0.99</v>
      </c>
      <c r="AO667" s="137">
        <v>1</v>
      </c>
      <c r="AP667" s="137">
        <v>1</v>
      </c>
      <c r="AQ667" s="137">
        <v>1</v>
      </c>
      <c r="AR667" s="137">
        <v>1</v>
      </c>
      <c r="AS667" s="158">
        <v>0.0810595228934205</v>
      </c>
      <c r="AT667" s="141">
        <v>0.142857142857143</v>
      </c>
      <c r="AU667" s="141">
        <v>0</v>
      </c>
      <c r="AV667" s="141">
        <v>0</v>
      </c>
      <c r="AW667" s="141">
        <v>0.0210084033613445</v>
      </c>
      <c r="AX667" s="95"/>
      <c r="AY667" s="93"/>
    </row>
    <row r="668" ht="14.5" spans="1:51">
      <c r="A668" s="91"/>
      <c r="B668" s="95"/>
      <c r="C668" s="152" t="s">
        <v>668</v>
      </c>
      <c r="D668" s="153" t="s">
        <v>25</v>
      </c>
      <c r="E668" s="130" t="s">
        <v>669</v>
      </c>
      <c r="F668" s="179" t="s">
        <v>695</v>
      </c>
      <c r="G668" s="179" t="s">
        <v>695</v>
      </c>
      <c r="H668" s="179" t="s">
        <v>695</v>
      </c>
      <c r="I668" s="179" t="s">
        <v>695</v>
      </c>
      <c r="J668" s="132">
        <v>0.9</v>
      </c>
      <c r="K668" s="133">
        <v>1</v>
      </c>
      <c r="L668" s="133">
        <v>0.970588235294118</v>
      </c>
      <c r="M668" s="134">
        <v>1</v>
      </c>
      <c r="N668" s="133">
        <v>0.995192307692308</v>
      </c>
      <c r="O668" s="135">
        <v>0.9</v>
      </c>
      <c r="P668" s="133">
        <v>0.993984962406015</v>
      </c>
      <c r="Q668" s="133">
        <v>0.994384125795582</v>
      </c>
      <c r="R668" s="133">
        <v>0.988197767145136</v>
      </c>
      <c r="S668" s="133">
        <v>0.99331857436327</v>
      </c>
      <c r="T668" s="135">
        <v>0.9</v>
      </c>
      <c r="U668" s="133">
        <v>0.936842105263158</v>
      </c>
      <c r="V668" s="133">
        <v>0.943841257955822</v>
      </c>
      <c r="W668" s="133">
        <v>0.927272727272727</v>
      </c>
      <c r="X668" s="133">
        <v>0.952910907676659</v>
      </c>
      <c r="Y668" s="135">
        <v>0.92</v>
      </c>
      <c r="Z668" s="135">
        <v>0.908510638297872</v>
      </c>
      <c r="AA668" s="135">
        <v>0.875621890547264</v>
      </c>
      <c r="AB668" s="135">
        <v>0.919629057187017</v>
      </c>
      <c r="AC668" s="135">
        <v>0.927187824282255</v>
      </c>
      <c r="AD668" s="135">
        <v>0.92</v>
      </c>
      <c r="AE668" s="133">
        <v>1</v>
      </c>
      <c r="AF668" s="133">
        <v>0.992405063291139</v>
      </c>
      <c r="AG668" s="133">
        <v>0.990936555891239</v>
      </c>
      <c r="AH668" s="133">
        <v>0.996710526315789</v>
      </c>
      <c r="AI668" s="135">
        <v>0.92</v>
      </c>
      <c r="AJ668" s="133">
        <v>0.948390677025527</v>
      </c>
      <c r="AK668" s="133">
        <v>0.957737321196359</v>
      </c>
      <c r="AL668" s="133">
        <v>0.973037272006344</v>
      </c>
      <c r="AM668" s="133">
        <v>0.970769330481561</v>
      </c>
      <c r="AN668" s="132">
        <v>0.99</v>
      </c>
      <c r="AO668" s="137">
        <v>1</v>
      </c>
      <c r="AP668" s="137">
        <v>1</v>
      </c>
      <c r="AQ668" s="137">
        <v>1</v>
      </c>
      <c r="AR668" s="137">
        <v>1</v>
      </c>
      <c r="AS668" s="158">
        <v>0.0810595228934205</v>
      </c>
      <c r="AT668" s="141">
        <v>0</v>
      </c>
      <c r="AU668" s="141">
        <v>0.0833333333333333</v>
      </c>
      <c r="AV668" s="141">
        <v>0</v>
      </c>
      <c r="AW668" s="141">
        <v>0.0235849056603774</v>
      </c>
      <c r="AX668" s="95"/>
      <c r="AY668" s="93"/>
    </row>
    <row r="669" ht="14.5" spans="1:51">
      <c r="A669" s="91"/>
      <c r="B669" s="95"/>
      <c r="C669" s="152" t="s">
        <v>668</v>
      </c>
      <c r="D669" s="153" t="s">
        <v>25</v>
      </c>
      <c r="E669" s="130" t="s">
        <v>669</v>
      </c>
      <c r="F669" s="179" t="s">
        <v>696</v>
      </c>
      <c r="G669" s="179" t="s">
        <v>696</v>
      </c>
      <c r="H669" s="179" t="s">
        <v>696</v>
      </c>
      <c r="I669" s="179" t="s">
        <v>696</v>
      </c>
      <c r="J669" s="132">
        <v>0.9</v>
      </c>
      <c r="K669" s="133">
        <v>1</v>
      </c>
      <c r="L669" s="133">
        <v>1</v>
      </c>
      <c r="M669" s="134">
        <v>1</v>
      </c>
      <c r="N669" s="133">
        <v>0.996078431372549</v>
      </c>
      <c r="O669" s="135">
        <v>0.9</v>
      </c>
      <c r="P669" s="133">
        <v>0.979274611398964</v>
      </c>
      <c r="Q669" s="133">
        <v>0.985344827586207</v>
      </c>
      <c r="R669" s="133">
        <v>0.9003663003663</v>
      </c>
      <c r="S669" s="133">
        <v>0.982404292079658</v>
      </c>
      <c r="T669" s="135">
        <v>0.9</v>
      </c>
      <c r="U669" s="133">
        <v>0.920552677029361</v>
      </c>
      <c r="V669" s="133">
        <v>0.910344827586207</v>
      </c>
      <c r="W669" s="133">
        <v>0.882783882783883</v>
      </c>
      <c r="X669" s="133">
        <v>0.934072928980631</v>
      </c>
      <c r="Y669" s="135">
        <v>0.92</v>
      </c>
      <c r="Z669" s="135">
        <v>0.963636363636364</v>
      </c>
      <c r="AA669" s="135">
        <v>0.894366197183099</v>
      </c>
      <c r="AB669" s="135">
        <v>0.938405797101449</v>
      </c>
      <c r="AC669" s="135">
        <v>0.936948038611625</v>
      </c>
      <c r="AD669" s="135">
        <v>0.92</v>
      </c>
      <c r="AE669" s="133">
        <v>1</v>
      </c>
      <c r="AF669" s="133">
        <v>0.976470588235294</v>
      </c>
      <c r="AG669" s="133">
        <v>1</v>
      </c>
      <c r="AH669" s="133">
        <v>0.993265993265993</v>
      </c>
      <c r="AI669" s="135">
        <v>0.92</v>
      </c>
      <c r="AJ669" s="133">
        <v>0.95375</v>
      </c>
      <c r="AK669" s="133">
        <v>0.957757296466974</v>
      </c>
      <c r="AL669" s="133">
        <v>0.968312004875076</v>
      </c>
      <c r="AM669" s="133">
        <v>0.972416617033949</v>
      </c>
      <c r="AN669" s="132">
        <v>0.99</v>
      </c>
      <c r="AO669" s="137">
        <v>1</v>
      </c>
      <c r="AP669" s="137">
        <v>1</v>
      </c>
      <c r="AQ669" s="137">
        <v>1</v>
      </c>
      <c r="AR669" s="137">
        <v>1</v>
      </c>
      <c r="AS669" s="158">
        <v>0.0810595228934205</v>
      </c>
      <c r="AT669" s="141">
        <v>0</v>
      </c>
      <c r="AU669" s="141">
        <v>0</v>
      </c>
      <c r="AV669" s="141">
        <v>0.0714285714285714</v>
      </c>
      <c r="AW669" s="141">
        <v>0.0235294117647059</v>
      </c>
      <c r="AX669" s="95"/>
      <c r="AY669" s="93"/>
    </row>
    <row r="670" ht="14.5" spans="1:51">
      <c r="A670" s="91"/>
      <c r="B670" s="95"/>
      <c r="C670" s="152" t="s">
        <v>668</v>
      </c>
      <c r="D670" s="153" t="s">
        <v>25</v>
      </c>
      <c r="E670" s="130" t="s">
        <v>669</v>
      </c>
      <c r="F670" s="179" t="s">
        <v>697</v>
      </c>
      <c r="G670" s="179" t="s">
        <v>697</v>
      </c>
      <c r="H670" s="179" t="s">
        <v>697</v>
      </c>
      <c r="I670" s="179" t="s">
        <v>697</v>
      </c>
      <c r="J670" s="132">
        <v>0.9</v>
      </c>
      <c r="K670" s="133" t="s">
        <v>35</v>
      </c>
      <c r="L670" s="133" t="s">
        <v>35</v>
      </c>
      <c r="M670" s="134" t="s">
        <v>35</v>
      </c>
      <c r="N670" s="133" t="s">
        <v>35</v>
      </c>
      <c r="O670" s="135">
        <v>0.9</v>
      </c>
      <c r="P670" s="133" t="s">
        <v>35</v>
      </c>
      <c r="Q670" s="133" t="s">
        <v>35</v>
      </c>
      <c r="R670" s="133" t="s">
        <v>35</v>
      </c>
      <c r="S670" s="133" t="s">
        <v>35</v>
      </c>
      <c r="T670" s="135">
        <v>0.9</v>
      </c>
      <c r="U670" s="133" t="s">
        <v>35</v>
      </c>
      <c r="V670" s="133" t="s">
        <v>35</v>
      </c>
      <c r="W670" s="133" t="s">
        <v>35</v>
      </c>
      <c r="X670" s="133" t="s">
        <v>35</v>
      </c>
      <c r="Y670" s="135">
        <v>0.92</v>
      </c>
      <c r="Z670" s="135" t="s">
        <v>35</v>
      </c>
      <c r="AA670" s="135" t="s">
        <v>35</v>
      </c>
      <c r="AB670" s="135" t="s">
        <v>35</v>
      </c>
      <c r="AC670" s="135" t="s">
        <v>35</v>
      </c>
      <c r="AD670" s="135">
        <v>0.92</v>
      </c>
      <c r="AE670" s="133" t="s">
        <v>35</v>
      </c>
      <c r="AF670" s="133" t="s">
        <v>35</v>
      </c>
      <c r="AG670" s="133" t="s">
        <v>35</v>
      </c>
      <c r="AH670" s="133" t="s">
        <v>35</v>
      </c>
      <c r="AI670" s="135">
        <v>0.92</v>
      </c>
      <c r="AJ670" s="133" t="s">
        <v>35</v>
      </c>
      <c r="AK670" s="133" t="s">
        <v>35</v>
      </c>
      <c r="AL670" s="133" t="s">
        <v>35</v>
      </c>
      <c r="AM670" s="133" t="s">
        <v>35</v>
      </c>
      <c r="AN670" s="132">
        <v>0.99</v>
      </c>
      <c r="AO670" s="137" t="s">
        <v>35</v>
      </c>
      <c r="AP670" s="137" t="s">
        <v>35</v>
      </c>
      <c r="AQ670" s="137" t="s">
        <v>35</v>
      </c>
      <c r="AR670" s="137" t="s">
        <v>35</v>
      </c>
      <c r="AS670" s="158">
        <v>0.0810595228934205</v>
      </c>
      <c r="AT670" s="141" t="s">
        <v>35</v>
      </c>
      <c r="AU670" s="141" t="s">
        <v>35</v>
      </c>
      <c r="AV670" s="141" t="s">
        <v>35</v>
      </c>
      <c r="AW670" s="141" t="s">
        <v>35</v>
      </c>
      <c r="AX670" s="95"/>
      <c r="AY670" s="93"/>
    </row>
    <row r="671" ht="14.5" spans="1:51">
      <c r="A671" s="91"/>
      <c r="B671" s="95"/>
      <c r="C671" s="152" t="s">
        <v>668</v>
      </c>
      <c r="D671" s="153" t="s">
        <v>25</v>
      </c>
      <c r="E671" s="130" t="s">
        <v>669</v>
      </c>
      <c r="F671" s="179" t="s">
        <v>698</v>
      </c>
      <c r="G671" s="179" t="s">
        <v>698</v>
      </c>
      <c r="H671" s="179" t="s">
        <v>698</v>
      </c>
      <c r="I671" s="179" t="s">
        <v>698</v>
      </c>
      <c r="J671" s="132">
        <v>0.9</v>
      </c>
      <c r="K671" s="133">
        <v>0.956521739130435</v>
      </c>
      <c r="L671" s="133">
        <v>0.807692307692308</v>
      </c>
      <c r="M671" s="134">
        <v>0.857142857142857</v>
      </c>
      <c r="N671" s="133">
        <v>0.881147540983607</v>
      </c>
      <c r="O671" s="135">
        <v>0.9</v>
      </c>
      <c r="P671" s="133">
        <v>0.94888178913738</v>
      </c>
      <c r="Q671" s="133">
        <v>0.949651046859422</v>
      </c>
      <c r="R671" s="133">
        <v>0.948705882352941</v>
      </c>
      <c r="S671" s="133">
        <v>0.950199748262464</v>
      </c>
      <c r="T671" s="135">
        <v>0.9</v>
      </c>
      <c r="U671" s="133">
        <v>0.93716719914803</v>
      </c>
      <c r="V671" s="133">
        <v>0.953639082751745</v>
      </c>
      <c r="W671" s="133">
        <v>0.953411764705882</v>
      </c>
      <c r="X671" s="133">
        <v>0.947873912329667</v>
      </c>
      <c r="Y671" s="135">
        <v>0.92</v>
      </c>
      <c r="Z671" s="135">
        <v>0.961608775137112</v>
      </c>
      <c r="AA671" s="135">
        <v>0.951111111111111</v>
      </c>
      <c r="AB671" s="135">
        <v>0.960410557184751</v>
      </c>
      <c r="AC671" s="135">
        <v>0.960419687793227</v>
      </c>
      <c r="AD671" s="135">
        <v>0.92</v>
      </c>
      <c r="AE671" s="133">
        <v>0.998538011695906</v>
      </c>
      <c r="AF671" s="133">
        <v>0.996941896024465</v>
      </c>
      <c r="AG671" s="133">
        <v>0.995454545454545</v>
      </c>
      <c r="AH671" s="133">
        <v>0.997387387387387</v>
      </c>
      <c r="AI671" s="135">
        <v>0.92</v>
      </c>
      <c r="AJ671" s="133">
        <v>0.969044414535666</v>
      </c>
      <c r="AK671" s="133">
        <v>0.975162866449511</v>
      </c>
      <c r="AL671" s="133">
        <v>0.980049875311721</v>
      </c>
      <c r="AM671" s="133">
        <v>0.978251864125932</v>
      </c>
      <c r="AN671" s="132">
        <v>0.99</v>
      </c>
      <c r="AO671" s="137">
        <v>1</v>
      </c>
      <c r="AP671" s="137">
        <v>1</v>
      </c>
      <c r="AQ671" s="137">
        <v>1</v>
      </c>
      <c r="AR671" s="137">
        <v>1</v>
      </c>
      <c r="AS671" s="158">
        <v>0.0810595228934205</v>
      </c>
      <c r="AT671" s="141">
        <v>0.285714285714286</v>
      </c>
      <c r="AU671" s="141">
        <v>0</v>
      </c>
      <c r="AV671" s="141">
        <v>0.111111111111111</v>
      </c>
      <c r="AW671" s="141">
        <v>0.0504201680672269</v>
      </c>
      <c r="AX671" s="95"/>
      <c r="AY671" s="93"/>
    </row>
    <row r="672" ht="14.5" spans="1:51">
      <c r="A672" s="91"/>
      <c r="B672" s="95"/>
      <c r="C672" s="152" t="s">
        <v>668</v>
      </c>
      <c r="D672" s="153" t="s">
        <v>25</v>
      </c>
      <c r="E672" s="130" t="s">
        <v>669</v>
      </c>
      <c r="F672" s="179" t="s">
        <v>699</v>
      </c>
      <c r="G672" s="179" t="s">
        <v>699</v>
      </c>
      <c r="H672" s="179" t="s">
        <v>699</v>
      </c>
      <c r="I672" s="179" t="s">
        <v>699</v>
      </c>
      <c r="J672" s="132">
        <v>0.9</v>
      </c>
      <c r="K672" s="133">
        <v>0.833333333333333</v>
      </c>
      <c r="L672" s="133">
        <v>0.851851851851852</v>
      </c>
      <c r="M672" s="134">
        <v>0.846153846153846</v>
      </c>
      <c r="N672" s="133">
        <v>0.849576271186441</v>
      </c>
      <c r="O672" s="135">
        <v>0.9</v>
      </c>
      <c r="P672" s="133">
        <v>0.942115768463074</v>
      </c>
      <c r="Q672" s="133">
        <v>0.954782608695652</v>
      </c>
      <c r="R672" s="133">
        <v>0.94902687673772</v>
      </c>
      <c r="S672" s="133">
        <v>0.95548058984385</v>
      </c>
      <c r="T672" s="135">
        <v>0.9</v>
      </c>
      <c r="U672" s="133">
        <v>0.921157684630739</v>
      </c>
      <c r="V672" s="133">
        <v>0.938695652173913</v>
      </c>
      <c r="W672" s="133">
        <v>0.939295644114921</v>
      </c>
      <c r="X672" s="133">
        <v>0.94441462853638</v>
      </c>
      <c r="Y672" s="135">
        <v>0.92</v>
      </c>
      <c r="Z672" s="135">
        <v>0.880073800738007</v>
      </c>
      <c r="AA672" s="135">
        <v>0.90174672489083</v>
      </c>
      <c r="AB672" s="135">
        <v>0.926509186351706</v>
      </c>
      <c r="AC672" s="135">
        <v>0.926482944043018</v>
      </c>
      <c r="AD672" s="135">
        <v>0.92</v>
      </c>
      <c r="AE672" s="133">
        <v>0.98936170212766</v>
      </c>
      <c r="AF672" s="133">
        <v>0.975409836065574</v>
      </c>
      <c r="AG672" s="133">
        <v>0.992063492063492</v>
      </c>
      <c r="AH672" s="133">
        <v>0.985691573926868</v>
      </c>
      <c r="AI672" s="135">
        <v>0.92</v>
      </c>
      <c r="AJ672" s="133">
        <v>0.934585492227979</v>
      </c>
      <c r="AK672" s="133">
        <v>0.963379260333575</v>
      </c>
      <c r="AL672" s="133">
        <v>0.963698630136986</v>
      </c>
      <c r="AM672" s="133">
        <v>0.967911821136301</v>
      </c>
      <c r="AN672" s="132">
        <v>0.99</v>
      </c>
      <c r="AO672" s="137">
        <v>1</v>
      </c>
      <c r="AP672" s="137">
        <v>1</v>
      </c>
      <c r="AQ672" s="137">
        <v>1</v>
      </c>
      <c r="AR672" s="137">
        <v>1</v>
      </c>
      <c r="AS672" s="158">
        <v>0.0810595228934205</v>
      </c>
      <c r="AT672" s="141" t="s">
        <v>35</v>
      </c>
      <c r="AU672" s="141">
        <v>0</v>
      </c>
      <c r="AV672" s="141">
        <v>0</v>
      </c>
      <c r="AW672" s="141">
        <v>0.0230769230769231</v>
      </c>
      <c r="AX672" s="95"/>
      <c r="AY672" s="93"/>
    </row>
    <row r="673" ht="14.5" spans="1:51">
      <c r="A673" s="91"/>
      <c r="B673" s="95"/>
      <c r="C673" s="152" t="s">
        <v>668</v>
      </c>
      <c r="D673" s="153" t="s">
        <v>25</v>
      </c>
      <c r="E673" s="130" t="s">
        <v>669</v>
      </c>
      <c r="F673" s="179" t="s">
        <v>700</v>
      </c>
      <c r="G673" s="179" t="s">
        <v>700</v>
      </c>
      <c r="H673" s="179" t="s">
        <v>700</v>
      </c>
      <c r="I673" s="179" t="s">
        <v>700</v>
      </c>
      <c r="J673" s="132">
        <v>0.9</v>
      </c>
      <c r="K673" s="133">
        <v>0.794117647058823</v>
      </c>
      <c r="L673" s="133">
        <v>0.852941176470588</v>
      </c>
      <c r="M673" s="134">
        <v>0.705882352941177</v>
      </c>
      <c r="N673" s="133">
        <v>0.834645669291339</v>
      </c>
      <c r="O673" s="135">
        <v>0.9</v>
      </c>
      <c r="P673" s="133">
        <v>0.953767123287671</v>
      </c>
      <c r="Q673" s="133">
        <v>0.792679738562092</v>
      </c>
      <c r="R673" s="133">
        <v>0.833627871749558</v>
      </c>
      <c r="S673" s="133">
        <v>0.866444048230637</v>
      </c>
      <c r="T673" s="135">
        <v>0.9</v>
      </c>
      <c r="U673" s="133">
        <v>0.921803652968037</v>
      </c>
      <c r="V673" s="133">
        <v>0.931764705882353</v>
      </c>
      <c r="W673" s="133">
        <v>0.928048472607927</v>
      </c>
      <c r="X673" s="133">
        <v>0.918542806201082</v>
      </c>
      <c r="Y673" s="135">
        <v>0.92</v>
      </c>
      <c r="Z673" s="135">
        <v>0.937864077669903</v>
      </c>
      <c r="AA673" s="135">
        <v>0.915989159891599</v>
      </c>
      <c r="AB673" s="135">
        <v>0.890822784810127</v>
      </c>
      <c r="AC673" s="135">
        <v>0.92978102189781</v>
      </c>
      <c r="AD673" s="135">
        <v>0.92</v>
      </c>
      <c r="AE673" s="133">
        <v>0.992554224668177</v>
      </c>
      <c r="AF673" s="133">
        <v>0.962197282929711</v>
      </c>
      <c r="AG673" s="133">
        <v>0.996923076923077</v>
      </c>
      <c r="AH673" s="133">
        <v>0.990264078905504</v>
      </c>
      <c r="AI673" s="135">
        <v>0.92</v>
      </c>
      <c r="AJ673" s="133">
        <v>0.960833632770392</v>
      </c>
      <c r="AK673" s="133">
        <v>0.970195047118124</v>
      </c>
      <c r="AL673" s="133">
        <v>0.96133971291866</v>
      </c>
      <c r="AM673" s="133">
        <v>0.970684865182658</v>
      </c>
      <c r="AN673" s="132">
        <v>0.99</v>
      </c>
      <c r="AO673" s="137">
        <v>1</v>
      </c>
      <c r="AP673" s="137">
        <v>1</v>
      </c>
      <c r="AQ673" s="137">
        <v>1</v>
      </c>
      <c r="AR673" s="137">
        <v>1</v>
      </c>
      <c r="AS673" s="158">
        <v>0.0810595228934205</v>
      </c>
      <c r="AT673" s="141">
        <v>0.230769230769231</v>
      </c>
      <c r="AU673" s="141">
        <v>0</v>
      </c>
      <c r="AV673" s="141">
        <v>0.0666666666666667</v>
      </c>
      <c r="AW673" s="141">
        <v>0.0289855072463768</v>
      </c>
      <c r="AX673" s="95"/>
      <c r="AY673" s="93"/>
    </row>
    <row r="674" ht="14.5" spans="1:51">
      <c r="A674" s="91"/>
      <c r="B674" s="95"/>
      <c r="C674" s="152" t="s">
        <v>668</v>
      </c>
      <c r="D674" s="153" t="s">
        <v>25</v>
      </c>
      <c r="E674" s="130" t="s">
        <v>669</v>
      </c>
      <c r="F674" s="179" t="s">
        <v>701</v>
      </c>
      <c r="G674" s="179" t="s">
        <v>701</v>
      </c>
      <c r="H674" s="179" t="s">
        <v>701</v>
      </c>
      <c r="I674" s="179" t="s">
        <v>701</v>
      </c>
      <c r="J674" s="132">
        <v>0.9</v>
      </c>
      <c r="K674" s="133">
        <v>0.791666666666667</v>
      </c>
      <c r="L674" s="133">
        <v>0.814814814814815</v>
      </c>
      <c r="M674" s="134">
        <v>0.642857142857143</v>
      </c>
      <c r="N674" s="133">
        <v>0.755600814663951</v>
      </c>
      <c r="O674" s="135">
        <v>0.9</v>
      </c>
      <c r="P674" s="133">
        <v>0.9375</v>
      </c>
      <c r="Q674" s="133">
        <v>0.930786516853933</v>
      </c>
      <c r="R674" s="133">
        <v>0.926131511528608</v>
      </c>
      <c r="S674" s="133">
        <v>0.935716473831798</v>
      </c>
      <c r="T674" s="135">
        <v>0.9</v>
      </c>
      <c r="U674" s="133">
        <v>0.921401515151515</v>
      </c>
      <c r="V674" s="133">
        <v>0.919101123595506</v>
      </c>
      <c r="W674" s="133">
        <v>0.915456874466268</v>
      </c>
      <c r="X674" s="133">
        <v>0.925253905789759</v>
      </c>
      <c r="Y674" s="135">
        <v>0.92</v>
      </c>
      <c r="Z674" s="135">
        <v>0.894736842105263</v>
      </c>
      <c r="AA674" s="135">
        <v>0.867256637168142</v>
      </c>
      <c r="AB674" s="135">
        <v>0.905263157894737</v>
      </c>
      <c r="AC674" s="135">
        <v>0.90580104061505</v>
      </c>
      <c r="AD674" s="135">
        <v>0.92</v>
      </c>
      <c r="AE674" s="133">
        <v>0.999075785582255</v>
      </c>
      <c r="AF674" s="133">
        <v>0.981785872945358</v>
      </c>
      <c r="AG674" s="133">
        <v>1</v>
      </c>
      <c r="AH674" s="133">
        <v>0.997884267236679</v>
      </c>
      <c r="AI674" s="135">
        <v>0.92</v>
      </c>
      <c r="AJ674" s="133">
        <v>0.937307928703135</v>
      </c>
      <c r="AK674" s="133">
        <v>0.949943967127381</v>
      </c>
      <c r="AL674" s="133">
        <v>0.943262411347518</v>
      </c>
      <c r="AM674" s="133">
        <v>0.954941440138809</v>
      </c>
      <c r="AN674" s="132">
        <v>0.99</v>
      </c>
      <c r="AO674" s="137">
        <v>1</v>
      </c>
      <c r="AP674" s="137">
        <v>1</v>
      </c>
      <c r="AQ674" s="137">
        <v>1</v>
      </c>
      <c r="AR674" s="137">
        <v>1</v>
      </c>
      <c r="AS674" s="158">
        <v>0.0810595228934205</v>
      </c>
      <c r="AT674" s="141">
        <v>0</v>
      </c>
      <c r="AU674" s="141">
        <v>0</v>
      </c>
      <c r="AV674" s="141">
        <v>0.272727272727273</v>
      </c>
      <c r="AW674" s="141">
        <v>0.0150753768844221</v>
      </c>
      <c r="AX674" s="95"/>
      <c r="AY674" s="93"/>
    </row>
    <row r="675" ht="14.5" spans="1:51">
      <c r="A675" s="91"/>
      <c r="B675" s="95"/>
      <c r="C675" s="152" t="s">
        <v>668</v>
      </c>
      <c r="D675" s="153" t="s">
        <v>25</v>
      </c>
      <c r="E675" s="130" t="s">
        <v>669</v>
      </c>
      <c r="F675" s="179" t="s">
        <v>702</v>
      </c>
      <c r="G675" s="179" t="s">
        <v>702</v>
      </c>
      <c r="H675" s="179" t="s">
        <v>702</v>
      </c>
      <c r="I675" s="179" t="s">
        <v>702</v>
      </c>
      <c r="J675" s="132">
        <v>0.9</v>
      </c>
      <c r="K675" s="133">
        <v>0.647058823529412</v>
      </c>
      <c r="L675" s="133">
        <v>0.666666666666667</v>
      </c>
      <c r="M675" s="134">
        <v>0.789473684210526</v>
      </c>
      <c r="N675" s="133">
        <v>0.768996960486322</v>
      </c>
      <c r="O675" s="135">
        <v>0.9</v>
      </c>
      <c r="P675" s="133">
        <v>0.978494623655914</v>
      </c>
      <c r="Q675" s="133">
        <v>0.975400457665904</v>
      </c>
      <c r="R675" s="133">
        <v>0.982477341389728</v>
      </c>
      <c r="S675" s="133">
        <v>0.982525893752088</v>
      </c>
      <c r="T675" s="135">
        <v>0.9</v>
      </c>
      <c r="U675" s="133">
        <v>0.924731182795699</v>
      </c>
      <c r="V675" s="133">
        <v>0.940503432494279</v>
      </c>
      <c r="W675" s="133">
        <v>0.950453172205438</v>
      </c>
      <c r="X675" s="133">
        <v>0.940795188773806</v>
      </c>
      <c r="Y675" s="135">
        <v>0.92</v>
      </c>
      <c r="Z675" s="135">
        <v>0.952488687782805</v>
      </c>
      <c r="AA675" s="135">
        <v>0.911917098445596</v>
      </c>
      <c r="AB675" s="135">
        <v>0.931034482758621</v>
      </c>
      <c r="AC675" s="135">
        <v>0.942522729647821</v>
      </c>
      <c r="AD675" s="135">
        <v>0.92</v>
      </c>
      <c r="AE675" s="133">
        <v>1</v>
      </c>
      <c r="AF675" s="133">
        <v>0.997140133460439</v>
      </c>
      <c r="AG675" s="133">
        <v>1</v>
      </c>
      <c r="AH675" s="133">
        <v>0.996894880339291</v>
      </c>
      <c r="AI675" s="135">
        <v>0.92</v>
      </c>
      <c r="AJ675" s="133">
        <v>0.959375</v>
      </c>
      <c r="AK675" s="133">
        <v>0.962980318650422</v>
      </c>
      <c r="AL675" s="133">
        <v>0.966890380313199</v>
      </c>
      <c r="AM675" s="133">
        <v>0.971679489775258</v>
      </c>
      <c r="AN675" s="132">
        <v>0.99</v>
      </c>
      <c r="AO675" s="137">
        <v>1</v>
      </c>
      <c r="AP675" s="137">
        <v>1</v>
      </c>
      <c r="AQ675" s="137">
        <v>1</v>
      </c>
      <c r="AR675" s="137">
        <v>1</v>
      </c>
      <c r="AS675" s="158">
        <v>0.0810595228934205</v>
      </c>
      <c r="AT675" s="141">
        <v>0</v>
      </c>
      <c r="AU675" s="141">
        <v>0</v>
      </c>
      <c r="AV675" s="141">
        <v>0</v>
      </c>
      <c r="AW675" s="141">
        <v>0.0714285714285714</v>
      </c>
      <c r="AX675" s="95"/>
      <c r="AY675" s="93"/>
    </row>
    <row r="676" ht="14.5" spans="1:51">
      <c r="A676" s="91"/>
      <c r="B676" s="95"/>
      <c r="C676" s="152" t="s">
        <v>668</v>
      </c>
      <c r="D676" s="153" t="s">
        <v>25</v>
      </c>
      <c r="E676" s="130" t="s">
        <v>669</v>
      </c>
      <c r="F676" s="179" t="s">
        <v>703</v>
      </c>
      <c r="G676" s="179" t="s">
        <v>703</v>
      </c>
      <c r="H676" s="179" t="s">
        <v>703</v>
      </c>
      <c r="I676" s="179" t="s">
        <v>703</v>
      </c>
      <c r="J676" s="132">
        <v>0.9</v>
      </c>
      <c r="K676" s="133">
        <v>0.941176470588235</v>
      </c>
      <c r="L676" s="133">
        <v>1</v>
      </c>
      <c r="M676" s="134">
        <v>1</v>
      </c>
      <c r="N676" s="133">
        <v>0.967914438502674</v>
      </c>
      <c r="O676" s="135">
        <v>0.9</v>
      </c>
      <c r="P676" s="133">
        <v>0.994324631101022</v>
      </c>
      <c r="Q676" s="133">
        <v>0.994344473007712</v>
      </c>
      <c r="R676" s="133">
        <v>0.99678800856531</v>
      </c>
      <c r="S676" s="133">
        <v>0.996014081638591</v>
      </c>
      <c r="T676" s="135">
        <v>0.9</v>
      </c>
      <c r="U676" s="133">
        <v>0.95005675368899</v>
      </c>
      <c r="V676" s="133">
        <v>0.965038560411311</v>
      </c>
      <c r="W676" s="133">
        <v>0.957708779443255</v>
      </c>
      <c r="X676" s="133">
        <v>0.963544848855139</v>
      </c>
      <c r="Y676" s="135">
        <v>0.92</v>
      </c>
      <c r="Z676" s="135">
        <v>0.973880597014925</v>
      </c>
      <c r="AA676" s="135">
        <v>0.972972972972973</v>
      </c>
      <c r="AB676" s="135">
        <v>0.959481361426256</v>
      </c>
      <c r="AC676" s="135">
        <v>0.975198587819947</v>
      </c>
      <c r="AD676" s="135">
        <v>0.92</v>
      </c>
      <c r="AE676" s="133">
        <v>1</v>
      </c>
      <c r="AF676" s="133">
        <v>0.974576271186441</v>
      </c>
      <c r="AG676" s="133">
        <v>0.986486486486487</v>
      </c>
      <c r="AH676" s="133">
        <v>0.991304347826087</v>
      </c>
      <c r="AI676" s="135">
        <v>0.92</v>
      </c>
      <c r="AJ676" s="133">
        <v>0.978828510938603</v>
      </c>
      <c r="AK676" s="133">
        <v>0.988279614901633</v>
      </c>
      <c r="AL676" s="133">
        <v>0.985513078470825</v>
      </c>
      <c r="AM676" s="133">
        <v>0.988490656864032</v>
      </c>
      <c r="AN676" s="132">
        <v>0.99</v>
      </c>
      <c r="AO676" s="137">
        <v>1</v>
      </c>
      <c r="AP676" s="137">
        <v>1</v>
      </c>
      <c r="AQ676" s="137">
        <v>1</v>
      </c>
      <c r="AR676" s="137">
        <v>1</v>
      </c>
      <c r="AS676" s="158">
        <v>0.0810595228934205</v>
      </c>
      <c r="AT676" s="141">
        <v>0</v>
      </c>
      <c r="AU676" s="141">
        <v>0</v>
      </c>
      <c r="AV676" s="141">
        <v>0</v>
      </c>
      <c r="AW676" s="141">
        <v>0.0377358490566038</v>
      </c>
      <c r="AX676" s="95"/>
      <c r="AY676" s="93"/>
    </row>
    <row r="677" ht="14.5" spans="1:51">
      <c r="A677" s="91"/>
      <c r="B677" s="95"/>
      <c r="C677" s="152" t="s">
        <v>668</v>
      </c>
      <c r="D677" s="153" t="s">
        <v>25</v>
      </c>
      <c r="E677" s="130" t="s">
        <v>669</v>
      </c>
      <c r="F677" s="179" t="s">
        <v>704</v>
      </c>
      <c r="G677" s="179" t="s">
        <v>704</v>
      </c>
      <c r="H677" s="179" t="s">
        <v>704</v>
      </c>
      <c r="I677" s="179" t="s">
        <v>704</v>
      </c>
      <c r="J677" s="132">
        <v>0.9</v>
      </c>
      <c r="K677" s="133">
        <v>0.926470588235294</v>
      </c>
      <c r="L677" s="133">
        <v>0.930555555555556</v>
      </c>
      <c r="M677" s="134">
        <v>0.945205479452055</v>
      </c>
      <c r="N677" s="133">
        <v>0.882876204595997</v>
      </c>
      <c r="O677" s="135">
        <v>0.9</v>
      </c>
      <c r="P677" s="133">
        <v>0.968866749688667</v>
      </c>
      <c r="Q677" s="133">
        <v>0.961702127659574</v>
      </c>
      <c r="R677" s="133">
        <v>0.959444235824258</v>
      </c>
      <c r="S677" s="133">
        <v>0.905494896996877</v>
      </c>
      <c r="T677" s="135">
        <v>0.9</v>
      </c>
      <c r="U677" s="133">
        <v>0.917808219178082</v>
      </c>
      <c r="V677" s="133">
        <v>0.927272727272727</v>
      </c>
      <c r="W677" s="133">
        <v>0.929402929027413</v>
      </c>
      <c r="X677" s="133">
        <v>0.928861831213194</v>
      </c>
      <c r="Y677" s="135">
        <v>0.92</v>
      </c>
      <c r="Z677" s="135">
        <v>0.895744680851064</v>
      </c>
      <c r="AA677" s="135">
        <v>0.884158415841584</v>
      </c>
      <c r="AB677" s="135">
        <v>0.878333333333333</v>
      </c>
      <c r="AC677" s="135">
        <v>0.907223483949697</v>
      </c>
      <c r="AD677" s="135">
        <v>0.92</v>
      </c>
      <c r="AE677" s="133">
        <v>1</v>
      </c>
      <c r="AF677" s="133">
        <v>0.989864864864865</v>
      </c>
      <c r="AG677" s="133">
        <v>0.986842105263158</v>
      </c>
      <c r="AH677" s="133">
        <v>0.9953825332378</v>
      </c>
      <c r="AI677" s="135">
        <v>0.92</v>
      </c>
      <c r="AJ677" s="133">
        <v>0.935847080387536</v>
      </c>
      <c r="AK677" s="133">
        <v>0.952265372168285</v>
      </c>
      <c r="AL677" s="133">
        <v>0.947383190683317</v>
      </c>
      <c r="AM677" s="133">
        <v>0.960854605105225</v>
      </c>
      <c r="AN677" s="132">
        <v>0.99</v>
      </c>
      <c r="AO677" s="137">
        <v>1</v>
      </c>
      <c r="AP677" s="137">
        <v>1</v>
      </c>
      <c r="AQ677" s="137">
        <v>1</v>
      </c>
      <c r="AR677" s="137">
        <v>1</v>
      </c>
      <c r="AS677" s="158">
        <v>0.0810595228934205</v>
      </c>
      <c r="AT677" s="141">
        <v>0.125</v>
      </c>
      <c r="AU677" s="141">
        <v>0</v>
      </c>
      <c r="AV677" s="141">
        <v>0.0666666666666667</v>
      </c>
      <c r="AW677" s="141">
        <v>0.0585585585585586</v>
      </c>
      <c r="AX677" s="95"/>
      <c r="AY677" s="93"/>
    </row>
    <row r="678" ht="14.5" spans="1:51">
      <c r="A678" s="91"/>
      <c r="B678" s="95"/>
      <c r="C678" s="152" t="s">
        <v>668</v>
      </c>
      <c r="D678" s="153" t="s">
        <v>25</v>
      </c>
      <c r="E678" s="130" t="s">
        <v>669</v>
      </c>
      <c r="F678" s="179" t="s">
        <v>705</v>
      </c>
      <c r="G678" s="179" t="s">
        <v>705</v>
      </c>
      <c r="H678" s="179" t="s">
        <v>705</v>
      </c>
      <c r="I678" s="179" t="s">
        <v>705</v>
      </c>
      <c r="J678" s="132">
        <v>0.9</v>
      </c>
      <c r="K678" s="133">
        <v>0.833333333333333</v>
      </c>
      <c r="L678" s="133">
        <v>0.833333333333333</v>
      </c>
      <c r="M678" s="134">
        <v>0.833333333333333</v>
      </c>
      <c r="N678" s="133">
        <v>0.810185185185185</v>
      </c>
      <c r="O678" s="135">
        <v>0.9</v>
      </c>
      <c r="P678" s="133">
        <v>0.991364421416235</v>
      </c>
      <c r="Q678" s="133">
        <v>0.991489361702128</v>
      </c>
      <c r="R678" s="133">
        <v>0.987903225806452</v>
      </c>
      <c r="S678" s="133">
        <v>0.987257103798457</v>
      </c>
      <c r="T678" s="135">
        <v>0.9</v>
      </c>
      <c r="U678" s="133">
        <v>0.922279792746114</v>
      </c>
      <c r="V678" s="133">
        <v>0.941276595744681</v>
      </c>
      <c r="W678" s="133">
        <v>0.936290322580645</v>
      </c>
      <c r="X678" s="133">
        <v>0.939556683917586</v>
      </c>
      <c r="Y678" s="135">
        <v>0.92</v>
      </c>
      <c r="Z678" s="135">
        <v>0.904761904761905</v>
      </c>
      <c r="AA678" s="135">
        <v>0.829457364341085</v>
      </c>
      <c r="AB678" s="135">
        <v>0.934010152284264</v>
      </c>
      <c r="AC678" s="135">
        <v>0.875535823637477</v>
      </c>
      <c r="AD678" s="135">
        <v>0.92</v>
      </c>
      <c r="AE678" s="133">
        <v>1</v>
      </c>
      <c r="AF678" s="133">
        <v>0.983050847457627</v>
      </c>
      <c r="AG678" s="133">
        <v>1</v>
      </c>
      <c r="AH678" s="133">
        <v>0.988210818307906</v>
      </c>
      <c r="AI678" s="135">
        <v>0.92</v>
      </c>
      <c r="AJ678" s="133">
        <v>0.940715883668904</v>
      </c>
      <c r="AK678" s="133">
        <v>0.955338450802512</v>
      </c>
      <c r="AL678" s="133">
        <v>0.972460220318237</v>
      </c>
      <c r="AM678" s="133">
        <v>0.957249139430729</v>
      </c>
      <c r="AN678" s="132">
        <v>0.99</v>
      </c>
      <c r="AO678" s="137">
        <v>1</v>
      </c>
      <c r="AP678" s="137">
        <v>1</v>
      </c>
      <c r="AQ678" s="137">
        <v>1</v>
      </c>
      <c r="AR678" s="137">
        <v>1</v>
      </c>
      <c r="AS678" s="158">
        <v>0.0810595228934205</v>
      </c>
      <c r="AT678" s="141">
        <v>0</v>
      </c>
      <c r="AU678" s="141">
        <v>0</v>
      </c>
      <c r="AV678" s="141">
        <v>0</v>
      </c>
      <c r="AW678" s="141">
        <v>0.0136986301369863</v>
      </c>
      <c r="AX678" s="95"/>
      <c r="AY678" s="93"/>
    </row>
    <row r="679" ht="14.5" spans="1:51">
      <c r="A679" s="91"/>
      <c r="B679" s="95"/>
      <c r="C679" s="152" t="s">
        <v>668</v>
      </c>
      <c r="D679" s="153" t="s">
        <v>25</v>
      </c>
      <c r="E679" s="130" t="s">
        <v>669</v>
      </c>
      <c r="F679" s="179" t="s">
        <v>706</v>
      </c>
      <c r="G679" s="179" t="s">
        <v>706</v>
      </c>
      <c r="H679" s="179" t="s">
        <v>706</v>
      </c>
      <c r="I679" s="179" t="s">
        <v>706</v>
      </c>
      <c r="J679" s="132">
        <v>0.9</v>
      </c>
      <c r="K679" s="133">
        <v>0.8</v>
      </c>
      <c r="L679" s="133">
        <v>0.909090909090909</v>
      </c>
      <c r="M679" s="134">
        <v>0.80952380952381</v>
      </c>
      <c r="N679" s="133">
        <v>0.825436408977556</v>
      </c>
      <c r="O679" s="135">
        <v>0.9</v>
      </c>
      <c r="P679" s="133">
        <v>0.885964912280702</v>
      </c>
      <c r="Q679" s="133">
        <v>0.888544891640867</v>
      </c>
      <c r="R679" s="133">
        <v>0.906991260923845</v>
      </c>
      <c r="S679" s="133">
        <v>0.905053003533569</v>
      </c>
      <c r="T679" s="135">
        <v>0.9</v>
      </c>
      <c r="U679" s="133">
        <v>0.891812865497076</v>
      </c>
      <c r="V679" s="133">
        <v>0.887306501547988</v>
      </c>
      <c r="W679" s="133">
        <v>0.894506866416979</v>
      </c>
      <c r="X679" s="133">
        <v>0.901696113074205</v>
      </c>
      <c r="Y679" s="135">
        <v>0.92</v>
      </c>
      <c r="Z679" s="135">
        <v>0.820796460176991</v>
      </c>
      <c r="AA679" s="135">
        <v>0.839506172839506</v>
      </c>
      <c r="AB679" s="135">
        <v>0.871939736346516</v>
      </c>
      <c r="AC679" s="135">
        <v>0.87468396174563</v>
      </c>
      <c r="AD679" s="135">
        <v>0.92</v>
      </c>
      <c r="AE679" s="133">
        <v>0.970588235294118</v>
      </c>
      <c r="AF679" s="133">
        <v>0.976190476190476</v>
      </c>
      <c r="AG679" s="133">
        <v>0.925</v>
      </c>
      <c r="AH679" s="133">
        <v>0.9671875</v>
      </c>
      <c r="AI679" s="135">
        <v>0.92</v>
      </c>
      <c r="AJ679" s="133">
        <v>0.889964788732394</v>
      </c>
      <c r="AK679" s="133">
        <v>0.925219185146983</v>
      </c>
      <c r="AL679" s="133">
        <v>0.925457102672293</v>
      </c>
      <c r="AM679" s="133">
        <v>0.933126554185941</v>
      </c>
      <c r="AN679" s="132">
        <v>0.99</v>
      </c>
      <c r="AO679" s="137">
        <v>1</v>
      </c>
      <c r="AP679" s="137">
        <v>1</v>
      </c>
      <c r="AQ679" s="137">
        <v>1</v>
      </c>
      <c r="AR679" s="137">
        <v>1</v>
      </c>
      <c r="AS679" s="158">
        <v>0.0810595228934205</v>
      </c>
      <c r="AT679" s="141">
        <v>0.333333333333333</v>
      </c>
      <c r="AU679" s="141">
        <v>0</v>
      </c>
      <c r="AV679" s="141">
        <v>0</v>
      </c>
      <c r="AW679" s="141">
        <v>0.0612244897959184</v>
      </c>
      <c r="AX679" s="95"/>
      <c r="AY679" s="93"/>
    </row>
    <row r="680" ht="14.5" spans="1:51">
      <c r="A680" s="91"/>
      <c r="B680" s="95"/>
      <c r="C680" s="152" t="s">
        <v>668</v>
      </c>
      <c r="D680" s="153" t="s">
        <v>25</v>
      </c>
      <c r="E680" s="130" t="s">
        <v>669</v>
      </c>
      <c r="F680" s="179" t="s">
        <v>707</v>
      </c>
      <c r="G680" s="179" t="s">
        <v>707</v>
      </c>
      <c r="H680" s="179" t="s">
        <v>707</v>
      </c>
      <c r="I680" s="179" t="s">
        <v>707</v>
      </c>
      <c r="J680" s="132">
        <v>0.9</v>
      </c>
      <c r="K680" s="133">
        <v>0.90625</v>
      </c>
      <c r="L680" s="133">
        <v>0.870967741935484</v>
      </c>
      <c r="M680" s="134">
        <v>0.870967741935484</v>
      </c>
      <c r="N680" s="133">
        <v>0.917369308600337</v>
      </c>
      <c r="O680" s="135">
        <v>0.9</v>
      </c>
      <c r="P680" s="133">
        <v>0.945435466946485</v>
      </c>
      <c r="Q680" s="133">
        <v>0.965672990063234</v>
      </c>
      <c r="R680" s="133">
        <v>0.968217411331184</v>
      </c>
      <c r="S680" s="133">
        <v>0.970884294837104</v>
      </c>
      <c r="T680" s="135">
        <v>0.9</v>
      </c>
      <c r="U680" s="133">
        <v>0.877229800629591</v>
      </c>
      <c r="V680" s="133">
        <v>0.905149051490515</v>
      </c>
      <c r="W680" s="133">
        <v>0.91524643021649</v>
      </c>
      <c r="X680" s="133">
        <v>0.936356748565862</v>
      </c>
      <c r="Y680" s="135">
        <v>0.92</v>
      </c>
      <c r="Z680" s="135">
        <v>0.922155688622755</v>
      </c>
      <c r="AA680" s="135">
        <v>0.941823899371069</v>
      </c>
      <c r="AB680" s="135">
        <v>0.874087591240876</v>
      </c>
      <c r="AC680" s="135">
        <v>0.928214447978192</v>
      </c>
      <c r="AD680" s="135">
        <v>0.92</v>
      </c>
      <c r="AE680" s="133">
        <v>1</v>
      </c>
      <c r="AF680" s="133">
        <v>0.99622641509434</v>
      </c>
      <c r="AG680" s="133">
        <v>0.995918367346939</v>
      </c>
      <c r="AH680" s="133">
        <v>0.99638942617666</v>
      </c>
      <c r="AI680" s="135">
        <v>0.92</v>
      </c>
      <c r="AJ680" s="133">
        <v>0.925407925407925</v>
      </c>
      <c r="AK680" s="133">
        <v>0.944514501891551</v>
      </c>
      <c r="AL680" s="133">
        <v>0.941154836336889</v>
      </c>
      <c r="AM680" s="133">
        <v>0.958467119803178</v>
      </c>
      <c r="AN680" s="132">
        <v>0.99</v>
      </c>
      <c r="AO680" s="137">
        <v>1</v>
      </c>
      <c r="AP680" s="137">
        <v>1</v>
      </c>
      <c r="AQ680" s="137">
        <v>1</v>
      </c>
      <c r="AR680" s="137">
        <v>1</v>
      </c>
      <c r="AS680" s="158">
        <v>0.0810595228934205</v>
      </c>
      <c r="AT680" s="141">
        <v>0</v>
      </c>
      <c r="AU680" s="141">
        <v>0.125</v>
      </c>
      <c r="AV680" s="141">
        <v>0</v>
      </c>
      <c r="AW680" s="141">
        <v>0.0311284046692607</v>
      </c>
      <c r="AX680" s="95"/>
      <c r="AY680" s="93"/>
    </row>
    <row r="681" ht="14.5" spans="1:51">
      <c r="A681" s="91"/>
      <c r="B681" s="95"/>
      <c r="C681" s="152" t="s">
        <v>668</v>
      </c>
      <c r="D681" s="153" t="s">
        <v>25</v>
      </c>
      <c r="E681" s="130" t="s">
        <v>669</v>
      </c>
      <c r="F681" s="179" t="s">
        <v>708</v>
      </c>
      <c r="G681" s="179" t="s">
        <v>708</v>
      </c>
      <c r="H681" s="179" t="s">
        <v>708</v>
      </c>
      <c r="I681" s="179" t="s">
        <v>708</v>
      </c>
      <c r="J681" s="132">
        <v>0.9</v>
      </c>
      <c r="K681" s="133">
        <v>0.894736842105263</v>
      </c>
      <c r="L681" s="133">
        <v>0.8</v>
      </c>
      <c r="M681" s="134">
        <v>0.9</v>
      </c>
      <c r="N681" s="133">
        <v>0.848484848484849</v>
      </c>
      <c r="O681" s="135">
        <v>0.9</v>
      </c>
      <c r="P681" s="133">
        <v>0.945326278659612</v>
      </c>
      <c r="Q681" s="133">
        <v>0.957446808510638</v>
      </c>
      <c r="R681" s="133">
        <v>0.978374347501864</v>
      </c>
      <c r="S681" s="133">
        <v>0.968498108241487</v>
      </c>
      <c r="T681" s="135">
        <v>0.9</v>
      </c>
      <c r="U681" s="133">
        <v>0.918871252204586</v>
      </c>
      <c r="V681" s="133">
        <v>0.921732522796353</v>
      </c>
      <c r="W681" s="133">
        <v>0.935123042505593</v>
      </c>
      <c r="X681" s="133">
        <v>0.939669353512091</v>
      </c>
      <c r="Y681" s="135">
        <v>0.92</v>
      </c>
      <c r="Z681" s="135">
        <v>0.913793103448276</v>
      </c>
      <c r="AA681" s="135">
        <v>0.873239436619718</v>
      </c>
      <c r="AB681" s="135">
        <v>0.958860759493671</v>
      </c>
      <c r="AC681" s="135">
        <v>0.940649666059502</v>
      </c>
      <c r="AD681" s="135">
        <v>0.92</v>
      </c>
      <c r="AE681" s="133">
        <v>1</v>
      </c>
      <c r="AF681" s="133">
        <v>1</v>
      </c>
      <c r="AG681" s="133">
        <v>1</v>
      </c>
      <c r="AH681" s="133">
        <v>0.998956594323873</v>
      </c>
      <c r="AI681" s="135">
        <v>0.92</v>
      </c>
      <c r="AJ681" s="133">
        <v>0.936170212765957</v>
      </c>
      <c r="AK681" s="133">
        <v>0.938271604938272</v>
      </c>
      <c r="AL681" s="133">
        <v>0.954133977066989</v>
      </c>
      <c r="AM681" s="133">
        <v>0.960880116486005</v>
      </c>
      <c r="AN681" s="132">
        <v>0.99</v>
      </c>
      <c r="AO681" s="137">
        <v>1</v>
      </c>
      <c r="AP681" s="137">
        <v>1</v>
      </c>
      <c r="AQ681" s="137">
        <v>1</v>
      </c>
      <c r="AR681" s="137">
        <v>1</v>
      </c>
      <c r="AS681" s="158">
        <v>0.0810595228934205</v>
      </c>
      <c r="AT681" s="141">
        <v>0</v>
      </c>
      <c r="AU681" s="141">
        <v>0</v>
      </c>
      <c r="AV681" s="141">
        <v>0</v>
      </c>
      <c r="AW681" s="141">
        <v>0.0478468899521531</v>
      </c>
      <c r="AX681" s="95"/>
      <c r="AY681" s="93"/>
    </row>
    <row r="682" ht="14.5" spans="1:51">
      <c r="A682" s="91"/>
      <c r="B682" s="95"/>
      <c r="C682" s="152" t="s">
        <v>668</v>
      </c>
      <c r="D682" s="153" t="s">
        <v>25</v>
      </c>
      <c r="E682" s="130" t="s">
        <v>669</v>
      </c>
      <c r="F682" s="179" t="s">
        <v>709</v>
      </c>
      <c r="G682" s="179" t="s">
        <v>709</v>
      </c>
      <c r="H682" s="179" t="s">
        <v>709</v>
      </c>
      <c r="I682" s="179" t="s">
        <v>709</v>
      </c>
      <c r="J682" s="132">
        <v>0.9</v>
      </c>
      <c r="K682" s="133">
        <v>0.923076923076923</v>
      </c>
      <c r="L682" s="133">
        <v>0.846153846153846</v>
      </c>
      <c r="M682" s="134">
        <v>0.84</v>
      </c>
      <c r="N682" s="133">
        <v>0.92090395480226</v>
      </c>
      <c r="O682" s="135">
        <v>0.9</v>
      </c>
      <c r="P682" s="133">
        <v>0.755624515128006</v>
      </c>
      <c r="Q682" s="133">
        <v>0.936305732484076</v>
      </c>
      <c r="R682" s="133">
        <v>0.931145201569747</v>
      </c>
      <c r="S682" s="133">
        <v>0.936813660668085</v>
      </c>
      <c r="T682" s="135">
        <v>0.9</v>
      </c>
      <c r="U682" s="133">
        <v>0.846392552366175</v>
      </c>
      <c r="V682" s="133">
        <v>0.903397027600849</v>
      </c>
      <c r="W682" s="133">
        <v>0.892615055297895</v>
      </c>
      <c r="X682" s="133">
        <v>0.923915751547557</v>
      </c>
      <c r="Y682" s="135">
        <v>0.92</v>
      </c>
      <c r="Z682" s="135">
        <v>0.923250564334086</v>
      </c>
      <c r="AA682" s="135">
        <v>0.902173913043478</v>
      </c>
      <c r="AB682" s="135">
        <v>0.897314375987362</v>
      </c>
      <c r="AC682" s="135">
        <v>0.936272905759162</v>
      </c>
      <c r="AD682" s="135">
        <v>0.92</v>
      </c>
      <c r="AE682" s="133">
        <v>0.995433789954338</v>
      </c>
      <c r="AF682" s="133">
        <v>0.994106090373281</v>
      </c>
      <c r="AG682" s="133">
        <v>0.989847715736041</v>
      </c>
      <c r="AH682" s="133">
        <v>0.99337841645534</v>
      </c>
      <c r="AI682" s="135">
        <v>0.92</v>
      </c>
      <c r="AJ682" s="133">
        <v>0.927912341407151</v>
      </c>
      <c r="AK682" s="133">
        <v>0.934558349451966</v>
      </c>
      <c r="AL682" s="133">
        <v>0.923166472642608</v>
      </c>
      <c r="AM682" s="133">
        <v>0.958873484342736</v>
      </c>
      <c r="AN682" s="132">
        <v>0.99</v>
      </c>
      <c r="AO682" s="137">
        <v>1</v>
      </c>
      <c r="AP682" s="137">
        <v>1</v>
      </c>
      <c r="AQ682" s="137">
        <v>1</v>
      </c>
      <c r="AR682" s="137">
        <v>1</v>
      </c>
      <c r="AS682" s="158">
        <v>0.0810595228934205</v>
      </c>
      <c r="AT682" s="141">
        <v>0.1</v>
      </c>
      <c r="AU682" s="141">
        <v>0.166666666666667</v>
      </c>
      <c r="AV682" s="141">
        <v>0</v>
      </c>
      <c r="AW682" s="141">
        <v>0.0625</v>
      </c>
      <c r="AX682" s="95"/>
      <c r="AY682" s="93"/>
    </row>
    <row r="683" ht="14.5" spans="1:51">
      <c r="A683" s="91"/>
      <c r="B683" s="95"/>
      <c r="C683" s="152" t="s">
        <v>668</v>
      </c>
      <c r="D683" s="153" t="s">
        <v>25</v>
      </c>
      <c r="E683" s="130" t="s">
        <v>669</v>
      </c>
      <c r="F683" s="179" t="s">
        <v>710</v>
      </c>
      <c r="G683" s="179" t="s">
        <v>710</v>
      </c>
      <c r="H683" s="179" t="s">
        <v>710</v>
      </c>
      <c r="I683" s="179" t="s">
        <v>710</v>
      </c>
      <c r="J683" s="132">
        <v>0.9</v>
      </c>
      <c r="K683" s="133">
        <v>0.863636363636364</v>
      </c>
      <c r="L683" s="133">
        <v>0.875</v>
      </c>
      <c r="M683" s="134">
        <v>0.956521739130435</v>
      </c>
      <c r="N683" s="133">
        <v>0.941724941724942</v>
      </c>
      <c r="O683" s="135">
        <v>0.9</v>
      </c>
      <c r="P683" s="133">
        <v>0.930983847283407</v>
      </c>
      <c r="Q683" s="133">
        <v>0.944032366824005</v>
      </c>
      <c r="R683" s="133">
        <v>0.950299401197605</v>
      </c>
      <c r="S683" s="133">
        <v>0.941525250460029</v>
      </c>
      <c r="T683" s="135">
        <v>0.9</v>
      </c>
      <c r="U683" s="133">
        <v>0.886930983847283</v>
      </c>
      <c r="V683" s="133">
        <v>0.935940660822657</v>
      </c>
      <c r="W683" s="133">
        <v>0.943712574850299</v>
      </c>
      <c r="X683" s="133">
        <v>0.923357770832725</v>
      </c>
      <c r="Y683" s="135">
        <v>0.92</v>
      </c>
      <c r="Z683" s="135">
        <v>0.901273885350318</v>
      </c>
      <c r="AA683" s="135">
        <v>0.930635838150289</v>
      </c>
      <c r="AB683" s="135">
        <v>0.874371859296482</v>
      </c>
      <c r="AC683" s="135">
        <v>0.918868950516585</v>
      </c>
      <c r="AD683" s="135">
        <v>0.92</v>
      </c>
      <c r="AE683" s="133">
        <v>1</v>
      </c>
      <c r="AF683" s="133">
        <v>0.991071428571429</v>
      </c>
      <c r="AG683" s="133">
        <v>1</v>
      </c>
      <c r="AH683" s="133">
        <v>0.996137275293419</v>
      </c>
      <c r="AI683" s="135">
        <v>0.92</v>
      </c>
      <c r="AJ683" s="133">
        <v>0.91356783919598</v>
      </c>
      <c r="AK683" s="133">
        <v>0.951690821256039</v>
      </c>
      <c r="AL683" s="133">
        <v>0.945841392649903</v>
      </c>
      <c r="AM683" s="133">
        <v>0.95768194690673</v>
      </c>
      <c r="AN683" s="132">
        <v>0.99</v>
      </c>
      <c r="AO683" s="137">
        <v>1</v>
      </c>
      <c r="AP683" s="137">
        <v>1</v>
      </c>
      <c r="AQ683" s="137">
        <v>1</v>
      </c>
      <c r="AR683" s="137">
        <v>1</v>
      </c>
      <c r="AS683" s="158">
        <v>0.0810595228934205</v>
      </c>
      <c r="AT683" s="141">
        <v>0</v>
      </c>
      <c r="AU683" s="141">
        <v>0.142857142857143</v>
      </c>
      <c r="AV683" s="141">
        <v>0</v>
      </c>
      <c r="AW683" s="141">
        <v>0.055</v>
      </c>
      <c r="AX683" s="95"/>
      <c r="AY683" s="93"/>
    </row>
    <row r="684" ht="14.5" spans="1:51">
      <c r="A684" s="91"/>
      <c r="B684" s="95"/>
      <c r="C684" s="152" t="s">
        <v>668</v>
      </c>
      <c r="D684" s="153" t="s">
        <v>25</v>
      </c>
      <c r="E684" s="130" t="s">
        <v>669</v>
      </c>
      <c r="F684" s="179" t="s">
        <v>711</v>
      </c>
      <c r="G684" s="179" t="s">
        <v>711</v>
      </c>
      <c r="H684" s="179" t="s">
        <v>711</v>
      </c>
      <c r="I684" s="179" t="s">
        <v>711</v>
      </c>
      <c r="J684" s="132">
        <v>0.9</v>
      </c>
      <c r="K684" s="133">
        <v>0.826086956521739</v>
      </c>
      <c r="L684" s="133">
        <v>0.769230769230769</v>
      </c>
      <c r="M684" s="134">
        <v>0.909090909090909</v>
      </c>
      <c r="N684" s="133">
        <v>0.882703777335984</v>
      </c>
      <c r="O684" s="135">
        <v>0.9</v>
      </c>
      <c r="P684" s="133">
        <v>0.927868852459016</v>
      </c>
      <c r="Q684" s="133">
        <v>0.852112676056338</v>
      </c>
      <c r="R684" s="133">
        <v>0.781483325037332</v>
      </c>
      <c r="S684" s="133">
        <v>0.894267070612911</v>
      </c>
      <c r="T684" s="135">
        <v>0.9</v>
      </c>
      <c r="U684" s="133">
        <v>0.902732240437158</v>
      </c>
      <c r="V684" s="133">
        <v>0.920368364030336</v>
      </c>
      <c r="W684" s="133">
        <v>0.917869586859134</v>
      </c>
      <c r="X684" s="133">
        <v>0.934304357958518</v>
      </c>
      <c r="Y684" s="135">
        <v>0.92</v>
      </c>
      <c r="Z684" s="135">
        <v>0.909574468085106</v>
      </c>
      <c r="AA684" s="135">
        <v>0.924686192468619</v>
      </c>
      <c r="AB684" s="135">
        <v>0.935897435897436</v>
      </c>
      <c r="AC684" s="135">
        <v>0.945027529249828</v>
      </c>
      <c r="AD684" s="135">
        <v>0.92</v>
      </c>
      <c r="AE684" s="133">
        <v>0.998191681735985</v>
      </c>
      <c r="AF684" s="133">
        <v>0.995934959349594</v>
      </c>
      <c r="AG684" s="133">
        <v>0.992592592592593</v>
      </c>
      <c r="AH684" s="133">
        <v>0.996191926884996</v>
      </c>
      <c r="AI684" s="135">
        <v>0.92</v>
      </c>
      <c r="AJ684" s="133">
        <v>0.920216886134779</v>
      </c>
      <c r="AK684" s="133">
        <v>0.947721822541966</v>
      </c>
      <c r="AL684" s="133">
        <v>0.943883730318934</v>
      </c>
      <c r="AM684" s="133">
        <v>0.960889654919506</v>
      </c>
      <c r="AN684" s="132">
        <v>0.99</v>
      </c>
      <c r="AO684" s="137">
        <v>1</v>
      </c>
      <c r="AP684" s="137">
        <v>1</v>
      </c>
      <c r="AQ684" s="137">
        <v>1</v>
      </c>
      <c r="AR684" s="137">
        <v>1</v>
      </c>
      <c r="AS684" s="158">
        <v>0.0810595228934205</v>
      </c>
      <c r="AT684" s="141">
        <v>0.3</v>
      </c>
      <c r="AU684" s="141">
        <v>0.0714285714285714</v>
      </c>
      <c r="AV684" s="141">
        <v>0.111111111111111</v>
      </c>
      <c r="AW684" s="141">
        <v>0.0622222222222222</v>
      </c>
      <c r="AX684" s="95"/>
      <c r="AY684" s="93"/>
    </row>
    <row r="685" ht="14.5" spans="1:51">
      <c r="A685" s="91"/>
      <c r="B685" s="95"/>
      <c r="C685" s="152" t="s">
        <v>668</v>
      </c>
      <c r="D685" s="153" t="s">
        <v>25</v>
      </c>
      <c r="E685" s="130" t="s">
        <v>669</v>
      </c>
      <c r="F685" s="179" t="s">
        <v>712</v>
      </c>
      <c r="G685" s="179" t="s">
        <v>712</v>
      </c>
      <c r="H685" s="179" t="s">
        <v>712</v>
      </c>
      <c r="I685" s="179" t="s">
        <v>712</v>
      </c>
      <c r="J685" s="132">
        <v>0.9</v>
      </c>
      <c r="K685" s="133">
        <v>0.888888888888889</v>
      </c>
      <c r="L685" s="133">
        <v>0.888888888888889</v>
      </c>
      <c r="M685" s="134">
        <v>0.944444444444444</v>
      </c>
      <c r="N685" s="133">
        <v>0.96</v>
      </c>
      <c r="O685" s="135">
        <v>0.9</v>
      </c>
      <c r="P685" s="133">
        <v>0.983079526226734</v>
      </c>
      <c r="Q685" s="133">
        <v>0.980122324159021</v>
      </c>
      <c r="R685" s="133">
        <v>0.947265625</v>
      </c>
      <c r="S685" s="133">
        <v>0.980329262637193</v>
      </c>
      <c r="T685" s="135">
        <v>0.9</v>
      </c>
      <c r="U685" s="133">
        <v>0.966159052453469</v>
      </c>
      <c r="V685" s="133">
        <v>0.944189602446483</v>
      </c>
      <c r="W685" s="133">
        <v>0.94140625</v>
      </c>
      <c r="X685" s="133">
        <v>0.961856546606894</v>
      </c>
      <c r="Y685" s="135">
        <v>0.92</v>
      </c>
      <c r="Z685" s="135">
        <v>0.860655737704918</v>
      </c>
      <c r="AA685" s="135">
        <v>0.703448275862069</v>
      </c>
      <c r="AB685" s="135">
        <v>0.816568047337278</v>
      </c>
      <c r="AC685" s="135">
        <v>0.863643035373551</v>
      </c>
      <c r="AD685" s="135">
        <v>0.92</v>
      </c>
      <c r="AE685" s="133">
        <v>1</v>
      </c>
      <c r="AF685" s="133">
        <v>0.987179487179487</v>
      </c>
      <c r="AG685" s="133">
        <v>1</v>
      </c>
      <c r="AH685" s="133">
        <v>0.994578029231495</v>
      </c>
      <c r="AI685" s="135">
        <v>0.92</v>
      </c>
      <c r="AJ685" s="133">
        <v>0.936526946107784</v>
      </c>
      <c r="AK685" s="133">
        <v>0.93805918788713</v>
      </c>
      <c r="AL685" s="133">
        <v>0.939167556029883</v>
      </c>
      <c r="AM685" s="133">
        <v>0.953930865708168</v>
      </c>
      <c r="AN685" s="132">
        <v>0.99</v>
      </c>
      <c r="AO685" s="137">
        <v>1</v>
      </c>
      <c r="AP685" s="137">
        <v>1</v>
      </c>
      <c r="AQ685" s="137">
        <v>1</v>
      </c>
      <c r="AR685" s="137">
        <v>1</v>
      </c>
      <c r="AS685" s="158">
        <v>0.0810595228934205</v>
      </c>
      <c r="AT685" s="141">
        <v>0.5</v>
      </c>
      <c r="AU685" s="141">
        <v>0.5</v>
      </c>
      <c r="AV685" s="141">
        <v>0</v>
      </c>
      <c r="AW685" s="141">
        <v>0.0340909090909091</v>
      </c>
      <c r="AX685" s="95"/>
      <c r="AY685" s="93"/>
    </row>
    <row r="686" ht="14.5" spans="1:51">
      <c r="A686" s="91"/>
      <c r="B686" s="95"/>
      <c r="C686" s="152" t="s">
        <v>668</v>
      </c>
      <c r="D686" s="153" t="s">
        <v>25</v>
      </c>
      <c r="E686" s="130" t="s">
        <v>669</v>
      </c>
      <c r="F686" s="179" t="s">
        <v>713</v>
      </c>
      <c r="G686" s="179" t="s">
        <v>713</v>
      </c>
      <c r="H686" s="179" t="s">
        <v>713</v>
      </c>
      <c r="I686" s="179" t="s">
        <v>713</v>
      </c>
      <c r="J686" s="132">
        <v>0.9</v>
      </c>
      <c r="K686" s="133">
        <v>0.868421052631579</v>
      </c>
      <c r="L686" s="133">
        <v>0.82051282051282</v>
      </c>
      <c r="M686" s="134">
        <v>0.871794871794872</v>
      </c>
      <c r="N686" s="133">
        <v>0.890277777777778</v>
      </c>
      <c r="O686" s="135">
        <v>0.9</v>
      </c>
      <c r="P686" s="133">
        <v>0.970106761565836</v>
      </c>
      <c r="Q686" s="133">
        <v>0.948789898281305</v>
      </c>
      <c r="R686" s="133">
        <v>0.967633175994606</v>
      </c>
      <c r="S686" s="133">
        <v>0.958336235113866</v>
      </c>
      <c r="T686" s="135">
        <v>0.9</v>
      </c>
      <c r="U686" s="133">
        <v>0.918861209964413</v>
      </c>
      <c r="V686" s="133">
        <v>0.923184847421957</v>
      </c>
      <c r="W686" s="133">
        <v>0.925826028320971</v>
      </c>
      <c r="X686" s="133">
        <v>0.94153492583049</v>
      </c>
      <c r="Y686" s="135">
        <v>0.92</v>
      </c>
      <c r="Z686" s="135">
        <v>0.914285714285714</v>
      </c>
      <c r="AA686" s="135">
        <v>0.877966101694915</v>
      </c>
      <c r="AB686" s="135">
        <v>0.90962962962963</v>
      </c>
      <c r="AC686" s="135">
        <v>0.93232117229398</v>
      </c>
      <c r="AD686" s="135">
        <v>0.92</v>
      </c>
      <c r="AE686" s="133">
        <v>0.998075072184793</v>
      </c>
      <c r="AF686" s="133">
        <v>0.998109640831758</v>
      </c>
      <c r="AG686" s="133">
        <v>0.991391678622669</v>
      </c>
      <c r="AH686" s="133">
        <v>0.99733773983292</v>
      </c>
      <c r="AI686" s="135">
        <v>0.92</v>
      </c>
      <c r="AJ686" s="133">
        <v>0.938786279683377</v>
      </c>
      <c r="AK686" s="133">
        <v>0.936109345200254</v>
      </c>
      <c r="AL686" s="133">
        <v>0.941774237846745</v>
      </c>
      <c r="AM686" s="133">
        <v>0.959745882619277</v>
      </c>
      <c r="AN686" s="132">
        <v>0.99</v>
      </c>
      <c r="AO686" s="137">
        <v>1</v>
      </c>
      <c r="AP686" s="137">
        <v>1</v>
      </c>
      <c r="AQ686" s="137">
        <v>1</v>
      </c>
      <c r="AR686" s="137">
        <v>1</v>
      </c>
      <c r="AS686" s="158">
        <v>0.0810595228934205</v>
      </c>
      <c r="AT686" s="141">
        <v>0</v>
      </c>
      <c r="AU686" s="141">
        <v>0.111111111111111</v>
      </c>
      <c r="AV686" s="141">
        <v>0.0666666666666667</v>
      </c>
      <c r="AW686" s="141">
        <v>0.0504451038575668</v>
      </c>
      <c r="AX686" s="95"/>
      <c r="AY686" s="93"/>
    </row>
    <row r="687" ht="14.5" spans="1:51">
      <c r="A687" s="91"/>
      <c r="B687" s="95"/>
      <c r="C687" s="152" t="s">
        <v>668</v>
      </c>
      <c r="D687" s="153" t="s">
        <v>25</v>
      </c>
      <c r="E687" s="130" t="s">
        <v>669</v>
      </c>
      <c r="F687" s="179" t="s">
        <v>714</v>
      </c>
      <c r="G687" s="179" t="s">
        <v>714</v>
      </c>
      <c r="H687" s="179" t="s">
        <v>714</v>
      </c>
      <c r="I687" s="179" t="s">
        <v>714</v>
      </c>
      <c r="J687" s="132">
        <v>0.9</v>
      </c>
      <c r="K687" s="133">
        <v>1</v>
      </c>
      <c r="L687" s="133">
        <v>0.956521739130435</v>
      </c>
      <c r="M687" s="134">
        <v>0.91304347826087</v>
      </c>
      <c r="N687" s="133">
        <v>0.979405034324943</v>
      </c>
      <c r="O687" s="135">
        <v>0.9</v>
      </c>
      <c r="P687" s="133">
        <v>0.975657254138267</v>
      </c>
      <c r="Q687" s="133">
        <v>0.9743947858473</v>
      </c>
      <c r="R687" s="133">
        <v>0.936214855224507</v>
      </c>
      <c r="S687" s="133">
        <v>0.965482587472825</v>
      </c>
      <c r="T687" s="135">
        <v>0.9</v>
      </c>
      <c r="U687" s="133">
        <v>0.925024342745862</v>
      </c>
      <c r="V687" s="133">
        <v>0.932495344506518</v>
      </c>
      <c r="W687" s="133">
        <v>0.923206042803189</v>
      </c>
      <c r="X687" s="133">
        <v>0.943660527503179</v>
      </c>
      <c r="Y687" s="135">
        <v>0.92</v>
      </c>
      <c r="Z687" s="135">
        <v>0.917989417989418</v>
      </c>
      <c r="AA687" s="135">
        <v>0.950413223140496</v>
      </c>
      <c r="AB687" s="135">
        <v>0.943327239488117</v>
      </c>
      <c r="AC687" s="135">
        <v>0.937740858097114</v>
      </c>
      <c r="AD687" s="135">
        <v>0.92</v>
      </c>
      <c r="AE687" s="133">
        <v>1</v>
      </c>
      <c r="AF687" s="133">
        <v>0.991803278688525</v>
      </c>
      <c r="AG687" s="133">
        <v>0.990697674418605</v>
      </c>
      <c r="AH687" s="133">
        <v>0.994159162813337</v>
      </c>
      <c r="AI687" s="135">
        <v>0.92</v>
      </c>
      <c r="AJ687" s="133">
        <v>0.939544807965861</v>
      </c>
      <c r="AK687" s="133">
        <v>0.956066945606695</v>
      </c>
      <c r="AL687" s="133">
        <v>0.953924914675768</v>
      </c>
      <c r="AM687" s="133">
        <v>0.965386015420762</v>
      </c>
      <c r="AN687" s="132">
        <v>0.99</v>
      </c>
      <c r="AO687" s="137">
        <v>1</v>
      </c>
      <c r="AP687" s="137">
        <v>1</v>
      </c>
      <c r="AQ687" s="137">
        <v>1</v>
      </c>
      <c r="AR687" s="137">
        <v>1</v>
      </c>
      <c r="AS687" s="158">
        <v>0.0810595228934205</v>
      </c>
      <c r="AT687" s="141">
        <v>0.0909090909090909</v>
      </c>
      <c r="AU687" s="141">
        <v>0.0769230769230769</v>
      </c>
      <c r="AV687" s="141">
        <v>0.0833333333333333</v>
      </c>
      <c r="AW687" s="141">
        <v>0.0276243093922652</v>
      </c>
      <c r="AX687" s="95"/>
      <c r="AY687" s="93"/>
    </row>
    <row r="688" ht="14.5" spans="1:51">
      <c r="A688" s="91"/>
      <c r="B688" s="95"/>
      <c r="C688" s="152" t="s">
        <v>668</v>
      </c>
      <c r="D688" s="153" t="s">
        <v>25</v>
      </c>
      <c r="E688" s="130" t="s">
        <v>669</v>
      </c>
      <c r="F688" s="179" t="s">
        <v>715</v>
      </c>
      <c r="G688" s="179" t="s">
        <v>715</v>
      </c>
      <c r="H688" s="179" t="s">
        <v>715</v>
      </c>
      <c r="I688" s="179" t="s">
        <v>715</v>
      </c>
      <c r="J688" s="132">
        <v>0.9</v>
      </c>
      <c r="K688" s="133">
        <v>0.966101694915254</v>
      </c>
      <c r="L688" s="133">
        <v>0.949152542372881</v>
      </c>
      <c r="M688" s="134">
        <v>1</v>
      </c>
      <c r="N688" s="133">
        <v>0.964570416297609</v>
      </c>
      <c r="O688" s="135">
        <v>0.9</v>
      </c>
      <c r="P688" s="133">
        <v>0.929042067916878</v>
      </c>
      <c r="Q688" s="133">
        <v>0.950327786182552</v>
      </c>
      <c r="R688" s="133">
        <v>0.955758595816302</v>
      </c>
      <c r="S688" s="133">
        <v>0.961367661441675</v>
      </c>
      <c r="T688" s="135">
        <v>0.9</v>
      </c>
      <c r="U688" s="133">
        <v>0.883426254434871</v>
      </c>
      <c r="V688" s="133">
        <v>0.898134140191629</v>
      </c>
      <c r="W688" s="133">
        <v>0.906948785765809</v>
      </c>
      <c r="X688" s="133">
        <v>0.934907879781132</v>
      </c>
      <c r="Y688" s="135">
        <v>0.92</v>
      </c>
      <c r="Z688" s="135">
        <v>0.866216216216216</v>
      </c>
      <c r="AA688" s="135">
        <v>0.82646420824295</v>
      </c>
      <c r="AB688" s="135">
        <v>0.833174451858913</v>
      </c>
      <c r="AC688" s="135">
        <v>0.900680130834328</v>
      </c>
      <c r="AD688" s="135">
        <v>0.92</v>
      </c>
      <c r="AE688" s="133">
        <v>0.999138228197173</v>
      </c>
      <c r="AF688" s="133">
        <v>0.995661605206074</v>
      </c>
      <c r="AG688" s="133">
        <v>0.994477485131691</v>
      </c>
      <c r="AH688" s="133">
        <v>0.996204618636097</v>
      </c>
      <c r="AI688" s="135">
        <v>0.92</v>
      </c>
      <c r="AJ688" s="133">
        <v>0.908689248895434</v>
      </c>
      <c r="AK688" s="133">
        <v>0.9313769751693</v>
      </c>
      <c r="AL688" s="133">
        <v>0.919193857965451</v>
      </c>
      <c r="AM688" s="133">
        <v>0.952356384770889</v>
      </c>
      <c r="AN688" s="132">
        <v>0.99</v>
      </c>
      <c r="AO688" s="137">
        <v>1</v>
      </c>
      <c r="AP688" s="137">
        <v>1</v>
      </c>
      <c r="AQ688" s="137">
        <v>1</v>
      </c>
      <c r="AR688" s="137">
        <v>1</v>
      </c>
      <c r="AS688" s="158">
        <v>0.0810595228934205</v>
      </c>
      <c r="AT688" s="141">
        <v>0.0909090909090909</v>
      </c>
      <c r="AU688" s="141">
        <v>0.0697674418604651</v>
      </c>
      <c r="AV688" s="141">
        <v>0.02</v>
      </c>
      <c r="AW688" s="141">
        <v>0.0371660859465738</v>
      </c>
      <c r="AX688" s="95"/>
      <c r="AY688" s="93"/>
    </row>
    <row r="689" ht="14.5" spans="1:51">
      <c r="A689" s="91"/>
      <c r="B689" s="95"/>
      <c r="C689" s="152" t="s">
        <v>668</v>
      </c>
      <c r="D689" s="153" t="s">
        <v>25</v>
      </c>
      <c r="E689" s="130" t="s">
        <v>669</v>
      </c>
      <c r="F689" s="179" t="s">
        <v>716</v>
      </c>
      <c r="G689" s="179" t="s">
        <v>716</v>
      </c>
      <c r="H689" s="179" t="s">
        <v>716</v>
      </c>
      <c r="I689" s="179" t="s">
        <v>716</v>
      </c>
      <c r="J689" s="132">
        <v>0.9</v>
      </c>
      <c r="K689" s="133">
        <v>0.96</v>
      </c>
      <c r="L689" s="133">
        <v>1</v>
      </c>
      <c r="M689" s="134">
        <v>1</v>
      </c>
      <c r="N689" s="133">
        <v>0.98159509202454</v>
      </c>
      <c r="O689" s="135">
        <v>0.9</v>
      </c>
      <c r="P689" s="133">
        <v>0.98</v>
      </c>
      <c r="Q689" s="133">
        <v>0.938805970149254</v>
      </c>
      <c r="R689" s="133">
        <v>0.975457170356112</v>
      </c>
      <c r="S689" s="133">
        <v>0.960562706095096</v>
      </c>
      <c r="T689" s="135">
        <v>0.9</v>
      </c>
      <c r="U689" s="133">
        <v>0.926315789473684</v>
      </c>
      <c r="V689" s="133">
        <v>0.917412935323383</v>
      </c>
      <c r="W689" s="133">
        <v>0.919634263715111</v>
      </c>
      <c r="X689" s="133">
        <v>0.92865120731837</v>
      </c>
      <c r="Y689" s="135">
        <v>0.92</v>
      </c>
      <c r="Z689" s="135">
        <v>0.904347826086957</v>
      </c>
      <c r="AA689" s="135">
        <v>0.918918918918919</v>
      </c>
      <c r="AB689" s="135">
        <v>0.931958762886598</v>
      </c>
      <c r="AC689" s="135">
        <v>0.928999144568007</v>
      </c>
      <c r="AD689" s="135">
        <v>0.92</v>
      </c>
      <c r="AE689" s="133">
        <v>0.997432605905006</v>
      </c>
      <c r="AF689" s="133">
        <v>0.991423670668954</v>
      </c>
      <c r="AG689" s="133">
        <v>0.953488372093023</v>
      </c>
      <c r="AH689" s="133">
        <v>0.996206433256935</v>
      </c>
      <c r="AI689" s="135">
        <v>0.92</v>
      </c>
      <c r="AJ689" s="133">
        <v>0.938223938223938</v>
      </c>
      <c r="AK689" s="133">
        <v>0.94758064516129</v>
      </c>
      <c r="AL689" s="133">
        <v>0.952046783625731</v>
      </c>
      <c r="AM689" s="133">
        <v>0.959923339011925</v>
      </c>
      <c r="AN689" s="132">
        <v>0.99</v>
      </c>
      <c r="AO689" s="137">
        <v>1</v>
      </c>
      <c r="AP689" s="137">
        <v>1</v>
      </c>
      <c r="AQ689" s="137">
        <v>1</v>
      </c>
      <c r="AR689" s="137">
        <v>1</v>
      </c>
      <c r="AS689" s="158">
        <v>0.0810595228934205</v>
      </c>
      <c r="AT689" s="141">
        <v>0</v>
      </c>
      <c r="AU689" s="141">
        <v>0.1</v>
      </c>
      <c r="AV689" s="141">
        <v>0.133333333333333</v>
      </c>
      <c r="AW689" s="141">
        <v>0.062043795620438</v>
      </c>
      <c r="AX689" s="95"/>
      <c r="AY689" s="93"/>
    </row>
    <row r="690" ht="14.5" spans="1:51">
      <c r="A690" s="91"/>
      <c r="B690" s="95"/>
      <c r="C690" s="152" t="s">
        <v>668</v>
      </c>
      <c r="D690" s="153" t="s">
        <v>25</v>
      </c>
      <c r="E690" s="130" t="s">
        <v>669</v>
      </c>
      <c r="F690" s="179" t="s">
        <v>717</v>
      </c>
      <c r="G690" s="179" t="s">
        <v>717</v>
      </c>
      <c r="H690" s="179" t="s">
        <v>717</v>
      </c>
      <c r="I690" s="179" t="s">
        <v>717</v>
      </c>
      <c r="J690" s="132">
        <v>0.9</v>
      </c>
      <c r="K690" s="133">
        <v>0.878787878787879</v>
      </c>
      <c r="L690" s="133">
        <v>0.941176470588235</v>
      </c>
      <c r="M690" s="134">
        <v>0.941176470588235</v>
      </c>
      <c r="N690" s="133">
        <v>0.923410404624277</v>
      </c>
      <c r="O690" s="135">
        <v>0.9</v>
      </c>
      <c r="P690" s="133">
        <v>0.92776886035313</v>
      </c>
      <c r="Q690" s="133">
        <v>0.922167111789393</v>
      </c>
      <c r="R690" s="133">
        <v>0.83880486905201</v>
      </c>
      <c r="S690" s="133">
        <v>0.94531026885888</v>
      </c>
      <c r="T690" s="135">
        <v>0.9</v>
      </c>
      <c r="U690" s="133">
        <v>0.874799357945425</v>
      </c>
      <c r="V690" s="133">
        <v>0.917970240366272</v>
      </c>
      <c r="W690" s="133">
        <v>0.815935079306529</v>
      </c>
      <c r="X690" s="133">
        <v>0.90755171147648</v>
      </c>
      <c r="Y690" s="135">
        <v>0.92</v>
      </c>
      <c r="Z690" s="135">
        <v>0.874141876430206</v>
      </c>
      <c r="AA690" s="135">
        <v>0.866920152091255</v>
      </c>
      <c r="AB690" s="135">
        <v>0.876876876876877</v>
      </c>
      <c r="AC690" s="135">
        <v>0.908930998640761</v>
      </c>
      <c r="AD690" s="135">
        <v>0.92</v>
      </c>
      <c r="AE690" s="133">
        <v>0.999441964285714</v>
      </c>
      <c r="AF690" s="133">
        <v>0.999527186761229</v>
      </c>
      <c r="AG690" s="133">
        <v>0.996503496503496</v>
      </c>
      <c r="AH690" s="133">
        <v>0.988329898104334</v>
      </c>
      <c r="AI690" s="135">
        <v>0.92</v>
      </c>
      <c r="AJ690" s="133">
        <v>0.913301662707839</v>
      </c>
      <c r="AK690" s="133">
        <v>0.945927209705373</v>
      </c>
      <c r="AL690" s="133">
        <v>0.895173230678117</v>
      </c>
      <c r="AM690" s="133">
        <v>0.947042573935652</v>
      </c>
      <c r="AN690" s="132">
        <v>0.99</v>
      </c>
      <c r="AO690" s="137">
        <v>1</v>
      </c>
      <c r="AP690" s="137">
        <v>1</v>
      </c>
      <c r="AQ690" s="137">
        <v>1</v>
      </c>
      <c r="AR690" s="137">
        <v>1</v>
      </c>
      <c r="AS690" s="158">
        <v>0.0810595228934205</v>
      </c>
      <c r="AT690" s="141">
        <v>0.0833333333333333</v>
      </c>
      <c r="AU690" s="141">
        <v>0.133333333333333</v>
      </c>
      <c r="AV690" s="141">
        <v>0</v>
      </c>
      <c r="AW690" s="141">
        <v>0.0748031496062992</v>
      </c>
      <c r="AX690" s="95"/>
      <c r="AY690" s="93"/>
    </row>
    <row r="691" ht="14.5" spans="1:51">
      <c r="A691" s="91"/>
      <c r="B691" s="95"/>
      <c r="C691" s="152" t="s">
        <v>668</v>
      </c>
      <c r="D691" s="153" t="s">
        <v>25</v>
      </c>
      <c r="E691" s="130" t="s">
        <v>669</v>
      </c>
      <c r="F691" s="179" t="s">
        <v>718</v>
      </c>
      <c r="G691" s="179" t="s">
        <v>718</v>
      </c>
      <c r="H691" s="179" t="s">
        <v>718</v>
      </c>
      <c r="I691" s="179" t="s">
        <v>718</v>
      </c>
      <c r="J691" s="132">
        <v>0.9</v>
      </c>
      <c r="K691" s="133">
        <v>0.851851851851852</v>
      </c>
      <c r="L691" s="133">
        <v>0.814814814814815</v>
      </c>
      <c r="M691" s="134">
        <v>0.862068965517241</v>
      </c>
      <c r="N691" s="133">
        <v>0.794824399260628</v>
      </c>
      <c r="O691" s="135">
        <v>0.9</v>
      </c>
      <c r="P691" s="133">
        <v>0.932551319648094</v>
      </c>
      <c r="Q691" s="133">
        <v>0.966512107161257</v>
      </c>
      <c r="R691" s="133">
        <v>0.958067456700091</v>
      </c>
      <c r="S691" s="133">
        <v>0.94926110737933</v>
      </c>
      <c r="T691" s="135">
        <v>0.9</v>
      </c>
      <c r="U691" s="133">
        <v>0.928641251221896</v>
      </c>
      <c r="V691" s="133">
        <v>0.911385883565173</v>
      </c>
      <c r="W691" s="133">
        <v>0.911577028258888</v>
      </c>
      <c r="X691" s="133">
        <v>0.925702907590442</v>
      </c>
      <c r="Y691" s="135">
        <v>0.92</v>
      </c>
      <c r="Z691" s="135">
        <v>0.920560747663551</v>
      </c>
      <c r="AA691" s="135">
        <v>0.84765625</v>
      </c>
      <c r="AB691" s="135">
        <v>0.899253731343284</v>
      </c>
      <c r="AC691" s="135">
        <v>0.9017507915813</v>
      </c>
      <c r="AD691" s="135">
        <v>0.92</v>
      </c>
      <c r="AE691" s="133">
        <v>0.999404229967233</v>
      </c>
      <c r="AF691" s="133">
        <v>0.998247978436658</v>
      </c>
      <c r="AG691" s="133">
        <v>0.995220075682135</v>
      </c>
      <c r="AH691" s="133">
        <v>0.997045429476371</v>
      </c>
      <c r="AI691" s="135">
        <v>0.92</v>
      </c>
      <c r="AJ691" s="133">
        <v>0.943526170798898</v>
      </c>
      <c r="AK691" s="133">
        <v>0.932635411925353</v>
      </c>
      <c r="AL691" s="133">
        <v>0.939194139194139</v>
      </c>
      <c r="AM691" s="133">
        <v>0.952242905096125</v>
      </c>
      <c r="AN691" s="132">
        <v>0.99</v>
      </c>
      <c r="AO691" s="137">
        <v>1</v>
      </c>
      <c r="AP691" s="137">
        <v>1</v>
      </c>
      <c r="AQ691" s="137">
        <v>1</v>
      </c>
      <c r="AR691" s="137">
        <v>1</v>
      </c>
      <c r="AS691" s="158">
        <v>0.0810595228934205</v>
      </c>
      <c r="AT691" s="141">
        <v>0</v>
      </c>
      <c r="AU691" s="141">
        <v>0.0434782608695652</v>
      </c>
      <c r="AV691" s="141">
        <v>0.0384615384615385</v>
      </c>
      <c r="AW691" s="141">
        <v>0.0276134122287968</v>
      </c>
      <c r="AX691" s="95"/>
      <c r="AY691" s="93"/>
    </row>
    <row r="692" ht="14.5" spans="1:51">
      <c r="A692" s="91"/>
      <c r="B692" s="95"/>
      <c r="C692" s="152" t="s">
        <v>668</v>
      </c>
      <c r="D692" s="153" t="s">
        <v>25</v>
      </c>
      <c r="E692" s="130" t="s">
        <v>669</v>
      </c>
      <c r="F692" s="179" t="s">
        <v>719</v>
      </c>
      <c r="G692" s="179" t="s">
        <v>719</v>
      </c>
      <c r="H692" s="179" t="s">
        <v>719</v>
      </c>
      <c r="I692" s="179" t="s">
        <v>719</v>
      </c>
      <c r="J692" s="132">
        <v>0.9</v>
      </c>
      <c r="K692" s="133">
        <v>1</v>
      </c>
      <c r="L692" s="133">
        <v>0.928571428571429</v>
      </c>
      <c r="M692" s="134">
        <v>1</v>
      </c>
      <c r="N692" s="133">
        <v>0.97319587628866</v>
      </c>
      <c r="O692" s="135">
        <v>0.9</v>
      </c>
      <c r="P692" s="133">
        <v>0.948717948717949</v>
      </c>
      <c r="Q692" s="133">
        <v>0.966962524654832</v>
      </c>
      <c r="R692" s="133">
        <v>0.892307692307692</v>
      </c>
      <c r="S692" s="133">
        <v>0.95030906317733</v>
      </c>
      <c r="T692" s="135">
        <v>0.9</v>
      </c>
      <c r="U692" s="133">
        <v>0.901538461538462</v>
      </c>
      <c r="V692" s="133">
        <v>0.915187376725838</v>
      </c>
      <c r="W692" s="133">
        <v>0.895104895104895</v>
      </c>
      <c r="X692" s="133">
        <v>0.919643573894196</v>
      </c>
      <c r="Y692" s="135">
        <v>0.92</v>
      </c>
      <c r="Z692" s="135">
        <v>0.829608938547486</v>
      </c>
      <c r="AA692" s="135">
        <v>0.756410256410256</v>
      </c>
      <c r="AB692" s="135">
        <v>0.772994129158513</v>
      </c>
      <c r="AC692" s="135">
        <v>0.860750132065504</v>
      </c>
      <c r="AD692" s="135">
        <v>0.92</v>
      </c>
      <c r="AE692" s="133">
        <v>1</v>
      </c>
      <c r="AF692" s="133">
        <v>0.994778067885117</v>
      </c>
      <c r="AG692" s="133">
        <v>0.965116279069767</v>
      </c>
      <c r="AH692" s="133">
        <v>0.991753257463302</v>
      </c>
      <c r="AI692" s="135">
        <v>0.92</v>
      </c>
      <c r="AJ692" s="133">
        <v>0.910044977511244</v>
      </c>
      <c r="AK692" s="133">
        <v>0.931918656056587</v>
      </c>
      <c r="AL692" s="133">
        <v>0.911144578313253</v>
      </c>
      <c r="AM692" s="133">
        <v>0.942933390264731</v>
      </c>
      <c r="AN692" s="132">
        <v>0.99</v>
      </c>
      <c r="AO692" s="137">
        <v>1</v>
      </c>
      <c r="AP692" s="137">
        <v>1</v>
      </c>
      <c r="AQ692" s="137">
        <v>1</v>
      </c>
      <c r="AR692" s="137">
        <v>1</v>
      </c>
      <c r="AS692" s="158">
        <v>0.0810595228934205</v>
      </c>
      <c r="AT692" s="141">
        <v>0.166666666666667</v>
      </c>
      <c r="AU692" s="141">
        <v>0.0555555555555556</v>
      </c>
      <c r="AV692" s="141">
        <v>0.117647058823529</v>
      </c>
      <c r="AW692" s="141">
        <v>0.0863309352517986</v>
      </c>
      <c r="AX692" s="95"/>
      <c r="AY692" s="93"/>
    </row>
    <row r="693" ht="14.5" spans="1:51">
      <c r="A693" s="91"/>
      <c r="B693" s="95"/>
      <c r="C693" s="152" t="s">
        <v>668</v>
      </c>
      <c r="D693" s="153" t="s">
        <v>25</v>
      </c>
      <c r="E693" s="130" t="s">
        <v>669</v>
      </c>
      <c r="F693" s="179" t="s">
        <v>720</v>
      </c>
      <c r="G693" s="179" t="s">
        <v>720</v>
      </c>
      <c r="H693" s="179" t="s">
        <v>720</v>
      </c>
      <c r="I693" s="179" t="s">
        <v>720</v>
      </c>
      <c r="J693" s="132">
        <v>0.9</v>
      </c>
      <c r="K693" s="133">
        <v>0.818181818181818</v>
      </c>
      <c r="L693" s="133">
        <v>0.851851851851852</v>
      </c>
      <c r="M693" s="134">
        <v>0.925925925925926</v>
      </c>
      <c r="N693" s="133">
        <v>0.938398357289528</v>
      </c>
      <c r="O693" s="135">
        <v>0.9</v>
      </c>
      <c r="P693" s="133">
        <v>0.929268292682927</v>
      </c>
      <c r="Q693" s="133">
        <v>0.920448478376935</v>
      </c>
      <c r="R693" s="133">
        <v>0.98961038961039</v>
      </c>
      <c r="S693" s="133">
        <v>0.978035961272476</v>
      </c>
      <c r="T693" s="135">
        <v>0.9</v>
      </c>
      <c r="U693" s="133">
        <v>0.910975609756098</v>
      </c>
      <c r="V693" s="133">
        <v>0.850507207688201</v>
      </c>
      <c r="W693" s="133">
        <v>0.906493506493506</v>
      </c>
      <c r="X693" s="133">
        <v>0.932116182572614</v>
      </c>
      <c r="Y693" s="135">
        <v>0.92</v>
      </c>
      <c r="Z693" s="135">
        <v>0.775280898876405</v>
      </c>
      <c r="AA693" s="135">
        <v>0.871900826446281</v>
      </c>
      <c r="AB693" s="135">
        <v>0.865671641791045</v>
      </c>
      <c r="AC693" s="135">
        <v>0.875339173579347</v>
      </c>
      <c r="AD693" s="135">
        <v>0.92</v>
      </c>
      <c r="AE693" s="133">
        <v>0.99620253164557</v>
      </c>
      <c r="AF693" s="133">
        <v>0.992481203007519</v>
      </c>
      <c r="AG693" s="133">
        <v>0.99001996007984</v>
      </c>
      <c r="AH693" s="133">
        <v>0.993534176495666</v>
      </c>
      <c r="AI693" s="135">
        <v>0.92</v>
      </c>
      <c r="AJ693" s="133">
        <v>0.895652173913044</v>
      </c>
      <c r="AK693" s="133">
        <v>0.941051738761662</v>
      </c>
      <c r="AL693" s="133">
        <v>0.939143501126972</v>
      </c>
      <c r="AM693" s="133">
        <v>0.950155953764296</v>
      </c>
      <c r="AN693" s="132">
        <v>0.99</v>
      </c>
      <c r="AO693" s="137">
        <v>1</v>
      </c>
      <c r="AP693" s="137">
        <v>1</v>
      </c>
      <c r="AQ693" s="137">
        <v>1</v>
      </c>
      <c r="AR693" s="137">
        <v>1</v>
      </c>
      <c r="AS693" s="158">
        <v>0.0810595228934205</v>
      </c>
      <c r="AT693" s="141">
        <v>0</v>
      </c>
      <c r="AU693" s="141">
        <v>0.1</v>
      </c>
      <c r="AV693" s="141">
        <v>0</v>
      </c>
      <c r="AW693" s="141">
        <v>0.0256410256410256</v>
      </c>
      <c r="AX693" s="95"/>
      <c r="AY693" s="93"/>
    </row>
    <row r="694" ht="14.5" spans="1:51">
      <c r="A694" s="91"/>
      <c r="B694" s="95"/>
      <c r="C694" s="152" t="s">
        <v>668</v>
      </c>
      <c r="D694" s="153" t="s">
        <v>25</v>
      </c>
      <c r="E694" s="130" t="s">
        <v>669</v>
      </c>
      <c r="F694" s="179" t="s">
        <v>721</v>
      </c>
      <c r="G694" s="179" t="s">
        <v>721</v>
      </c>
      <c r="H694" s="179" t="s">
        <v>721</v>
      </c>
      <c r="I694" s="179" t="s">
        <v>721</v>
      </c>
      <c r="J694" s="132">
        <v>0.9</v>
      </c>
      <c r="K694" s="133">
        <v>0.8</v>
      </c>
      <c r="L694" s="133">
        <v>0.829268292682927</v>
      </c>
      <c r="M694" s="134">
        <v>0.833333333333333</v>
      </c>
      <c r="N694" s="133">
        <v>0.868162692847125</v>
      </c>
      <c r="O694" s="135">
        <v>0.9</v>
      </c>
      <c r="P694" s="133">
        <v>0.907209136331192</v>
      </c>
      <c r="Q694" s="133">
        <v>0.903953057442866</v>
      </c>
      <c r="R694" s="133">
        <v>0.9424</v>
      </c>
      <c r="S694" s="133">
        <v>0.957668924787216</v>
      </c>
      <c r="T694" s="135">
        <v>0.9</v>
      </c>
      <c r="U694" s="133">
        <v>0.910064239828694</v>
      </c>
      <c r="V694" s="133">
        <v>0.935762816553428</v>
      </c>
      <c r="W694" s="133">
        <v>0.88736</v>
      </c>
      <c r="X694" s="133">
        <v>0.931387875629668</v>
      </c>
      <c r="Y694" s="135">
        <v>0.92</v>
      </c>
      <c r="Z694" s="135">
        <v>0.845</v>
      </c>
      <c r="AA694" s="135">
        <v>0.861205915813424</v>
      </c>
      <c r="AB694" s="135">
        <v>0.799490229396772</v>
      </c>
      <c r="AC694" s="135">
        <v>0.871849738468854</v>
      </c>
      <c r="AD694" s="135">
        <v>0.92</v>
      </c>
      <c r="AE694" s="133">
        <v>0.999748301031966</v>
      </c>
      <c r="AF694" s="133">
        <v>0.980066445182724</v>
      </c>
      <c r="AG694" s="133">
        <v>0.989403973509934</v>
      </c>
      <c r="AH694" s="133">
        <v>0.983808805663776</v>
      </c>
      <c r="AI694" s="135">
        <v>0.92</v>
      </c>
      <c r="AJ694" s="133">
        <v>0.906037221970041</v>
      </c>
      <c r="AK694" s="133">
        <v>0.936619718309859</v>
      </c>
      <c r="AL694" s="133">
        <v>0.898186889818689</v>
      </c>
      <c r="AM694" s="133">
        <v>0.941424882658967</v>
      </c>
      <c r="AN694" s="132">
        <v>0.99</v>
      </c>
      <c r="AO694" s="137">
        <v>1</v>
      </c>
      <c r="AP694" s="137">
        <v>1</v>
      </c>
      <c r="AQ694" s="137">
        <v>1</v>
      </c>
      <c r="AR694" s="137">
        <v>1</v>
      </c>
      <c r="AS694" s="158">
        <v>0.0810595228934205</v>
      </c>
      <c r="AT694" s="141">
        <v>0</v>
      </c>
      <c r="AU694" s="141">
        <v>0</v>
      </c>
      <c r="AV694" s="141">
        <v>0</v>
      </c>
      <c r="AW694" s="141">
        <v>0.0165631469979296</v>
      </c>
      <c r="AX694" s="95"/>
      <c r="AY694" s="93"/>
    </row>
    <row r="695" ht="14.5" spans="1:51">
      <c r="A695" s="91"/>
      <c r="B695" s="95"/>
      <c r="C695" s="152" t="s">
        <v>668</v>
      </c>
      <c r="D695" s="153" t="s">
        <v>25</v>
      </c>
      <c r="E695" s="130" t="s">
        <v>669</v>
      </c>
      <c r="F695" s="179" t="s">
        <v>722</v>
      </c>
      <c r="G695" s="179" t="s">
        <v>722</v>
      </c>
      <c r="H695" s="179" t="s">
        <v>722</v>
      </c>
      <c r="I695" s="179" t="s">
        <v>722</v>
      </c>
      <c r="J695" s="132">
        <v>0.9</v>
      </c>
      <c r="K695" s="133">
        <v>0.733333333333333</v>
      </c>
      <c r="L695" s="133">
        <v>0.625</v>
      </c>
      <c r="M695" s="134">
        <v>0.8125</v>
      </c>
      <c r="N695" s="133">
        <v>0.791887125220459</v>
      </c>
      <c r="O695" s="135">
        <v>0.9</v>
      </c>
      <c r="P695" s="133">
        <v>0.981851179673321</v>
      </c>
      <c r="Q695" s="133">
        <v>0.97489539748954</v>
      </c>
      <c r="R695" s="133">
        <v>0.976643598615917</v>
      </c>
      <c r="S695" s="133">
        <v>0.970678715631609</v>
      </c>
      <c r="T695" s="135">
        <v>0.9</v>
      </c>
      <c r="U695" s="133">
        <v>0.949183303085299</v>
      </c>
      <c r="V695" s="133">
        <v>0.95397489539749</v>
      </c>
      <c r="W695" s="133">
        <v>0.968858131487889</v>
      </c>
      <c r="X695" s="133">
        <v>0.947125552778312</v>
      </c>
      <c r="Y695" s="135">
        <v>0.92</v>
      </c>
      <c r="Z695" s="135">
        <v>0.889212827988338</v>
      </c>
      <c r="AA695" s="135">
        <v>0.931464174454829</v>
      </c>
      <c r="AB695" s="135">
        <v>0.950471698113208</v>
      </c>
      <c r="AC695" s="135">
        <v>0.958759986497131</v>
      </c>
      <c r="AD695" s="135">
        <v>0.92</v>
      </c>
      <c r="AE695" s="133">
        <v>0.998789346246973</v>
      </c>
      <c r="AF695" s="133">
        <v>1</v>
      </c>
      <c r="AG695" s="133">
        <v>0.998685939553219</v>
      </c>
      <c r="AH695" s="133">
        <v>0.997019795518817</v>
      </c>
      <c r="AI695" s="135">
        <v>0.92</v>
      </c>
      <c r="AJ695" s="133">
        <v>0.941834451901566</v>
      </c>
      <c r="AK695" s="133">
        <v>0.974291364535267</v>
      </c>
      <c r="AL695" s="133">
        <v>0.978481012658228</v>
      </c>
      <c r="AM695" s="133">
        <v>0.976950921794764</v>
      </c>
      <c r="AN695" s="132">
        <v>0.99</v>
      </c>
      <c r="AO695" s="137">
        <v>1</v>
      </c>
      <c r="AP695" s="137">
        <v>1</v>
      </c>
      <c r="AQ695" s="137">
        <v>1</v>
      </c>
      <c r="AR695" s="137">
        <v>1</v>
      </c>
      <c r="AS695" s="158">
        <v>0.0810595228934205</v>
      </c>
      <c r="AT695" s="141">
        <v>0.166666666666667</v>
      </c>
      <c r="AU695" s="141">
        <v>0</v>
      </c>
      <c r="AV695" s="141">
        <v>0.166666666666667</v>
      </c>
      <c r="AW695" s="141">
        <v>0.0738461538461539</v>
      </c>
      <c r="AX695" s="95"/>
      <c r="AY695" s="93"/>
    </row>
    <row r="696" ht="14.5" spans="1:51">
      <c r="A696" s="91"/>
      <c r="B696" s="95"/>
      <c r="C696" s="152" t="s">
        <v>668</v>
      </c>
      <c r="D696" s="153" t="s">
        <v>25</v>
      </c>
      <c r="E696" s="130" t="s">
        <v>669</v>
      </c>
      <c r="F696" s="179" t="s">
        <v>723</v>
      </c>
      <c r="G696" s="179" t="s">
        <v>723</v>
      </c>
      <c r="H696" s="179" t="s">
        <v>723</v>
      </c>
      <c r="I696" s="179" t="s">
        <v>723</v>
      </c>
      <c r="J696" s="132">
        <v>0.9</v>
      </c>
      <c r="K696" s="133">
        <v>1</v>
      </c>
      <c r="L696" s="133">
        <v>0.952380952380952</v>
      </c>
      <c r="M696" s="134">
        <v>0.952380952380952</v>
      </c>
      <c r="N696" s="133">
        <v>0.953804347826087</v>
      </c>
      <c r="O696" s="135">
        <v>0.9</v>
      </c>
      <c r="P696" s="133">
        <v>1</v>
      </c>
      <c r="Q696" s="133">
        <v>1</v>
      </c>
      <c r="R696" s="133">
        <v>0.997722095671982</v>
      </c>
      <c r="S696" s="133">
        <v>0.999127084462103</v>
      </c>
      <c r="T696" s="135">
        <v>0.9</v>
      </c>
      <c r="U696" s="133">
        <v>0.960880195599022</v>
      </c>
      <c r="V696" s="133">
        <v>0.972506738544474</v>
      </c>
      <c r="W696" s="133">
        <v>0.975512528473804</v>
      </c>
      <c r="X696" s="133">
        <v>0.974805851544157</v>
      </c>
      <c r="Y696" s="135">
        <v>0.92</v>
      </c>
      <c r="Z696" s="135">
        <v>0.958041958041958</v>
      </c>
      <c r="AA696" s="135">
        <v>0.958742632612967</v>
      </c>
      <c r="AB696" s="135">
        <v>0.96</v>
      </c>
      <c r="AC696" s="135">
        <v>0.966086082733211</v>
      </c>
      <c r="AD696" s="135">
        <v>0.92</v>
      </c>
      <c r="AE696" s="133">
        <v>0.997854077253219</v>
      </c>
      <c r="AF696" s="133">
        <v>0.993265993265993</v>
      </c>
      <c r="AG696" s="133">
        <v>0.992727272727273</v>
      </c>
      <c r="AH696" s="133">
        <v>0.978787513559118</v>
      </c>
      <c r="AI696" s="135">
        <v>0.92</v>
      </c>
      <c r="AJ696" s="133">
        <v>0.972734562951083</v>
      </c>
      <c r="AK696" s="133">
        <v>0.978849407783418</v>
      </c>
      <c r="AL696" s="133">
        <v>0.979641693811075</v>
      </c>
      <c r="AM696" s="133">
        <v>0.983815259265819</v>
      </c>
      <c r="AN696" s="132">
        <v>0.99</v>
      </c>
      <c r="AO696" s="137">
        <v>1</v>
      </c>
      <c r="AP696" s="137">
        <v>1</v>
      </c>
      <c r="AQ696" s="137">
        <v>1</v>
      </c>
      <c r="AR696" s="137">
        <v>1</v>
      </c>
      <c r="AS696" s="158">
        <v>0.0810595228934205</v>
      </c>
      <c r="AT696" s="141">
        <v>0</v>
      </c>
      <c r="AU696" s="141">
        <v>0.142857142857143</v>
      </c>
      <c r="AV696" s="141">
        <v>0</v>
      </c>
      <c r="AW696" s="141">
        <v>0.0347222222222222</v>
      </c>
      <c r="AX696" s="95"/>
      <c r="AY696" s="93"/>
    </row>
    <row r="697" ht="14.5" spans="1:51">
      <c r="A697" s="91"/>
      <c r="B697" s="95"/>
      <c r="C697" s="152" t="s">
        <v>668</v>
      </c>
      <c r="D697" s="153" t="s">
        <v>25</v>
      </c>
      <c r="E697" s="130" t="s">
        <v>669</v>
      </c>
      <c r="F697" s="179" t="s">
        <v>724</v>
      </c>
      <c r="G697" s="179" t="s">
        <v>724</v>
      </c>
      <c r="H697" s="179" t="s">
        <v>724</v>
      </c>
      <c r="I697" s="179" t="s">
        <v>724</v>
      </c>
      <c r="J697" s="132">
        <v>0.9</v>
      </c>
      <c r="K697" s="133">
        <v>1</v>
      </c>
      <c r="L697" s="133">
        <v>0.975</v>
      </c>
      <c r="M697" s="134">
        <v>0.975</v>
      </c>
      <c r="N697" s="133">
        <v>0.991341991341991</v>
      </c>
      <c r="O697" s="135">
        <v>0.9</v>
      </c>
      <c r="P697" s="133">
        <v>0.954421148587056</v>
      </c>
      <c r="Q697" s="133">
        <v>0.997323135755258</v>
      </c>
      <c r="R697" s="133">
        <v>0.993205435651479</v>
      </c>
      <c r="S697" s="133">
        <v>0.993040853543505</v>
      </c>
      <c r="T697" s="135">
        <v>0.9</v>
      </c>
      <c r="U697" s="133">
        <v>0.928896991795807</v>
      </c>
      <c r="V697" s="133">
        <v>0.903250478011472</v>
      </c>
      <c r="W697" s="133">
        <v>0.947641886490807</v>
      </c>
      <c r="X697" s="133">
        <v>0.94231454503532</v>
      </c>
      <c r="Y697" s="135">
        <v>0.92</v>
      </c>
      <c r="Z697" s="135">
        <v>0.901800327332242</v>
      </c>
      <c r="AA697" s="135">
        <v>0.910299003322259</v>
      </c>
      <c r="AB697" s="135">
        <v>0.941111111111111</v>
      </c>
      <c r="AC697" s="135">
        <v>0.934913993491399</v>
      </c>
      <c r="AD697" s="135">
        <v>0.92</v>
      </c>
      <c r="AE697" s="133">
        <v>1</v>
      </c>
      <c r="AF697" s="133">
        <v>0.997326203208556</v>
      </c>
      <c r="AG697" s="133">
        <v>1</v>
      </c>
      <c r="AH697" s="133">
        <v>0.996058269065981</v>
      </c>
      <c r="AI697" s="135">
        <v>0.92</v>
      </c>
      <c r="AJ697" s="133">
        <v>0.936182669789227</v>
      </c>
      <c r="AK697" s="133">
        <v>0.964585274930102</v>
      </c>
      <c r="AL697" s="133">
        <v>0.967078189300412</v>
      </c>
      <c r="AM697" s="133">
        <v>0.969410858683096</v>
      </c>
      <c r="AN697" s="132">
        <v>0.99</v>
      </c>
      <c r="AO697" s="137">
        <v>1</v>
      </c>
      <c r="AP697" s="137">
        <v>1</v>
      </c>
      <c r="AQ697" s="137">
        <v>1</v>
      </c>
      <c r="AR697" s="137">
        <v>1</v>
      </c>
      <c r="AS697" s="158">
        <v>0.0810595228934205</v>
      </c>
      <c r="AT697" s="141">
        <v>0</v>
      </c>
      <c r="AU697" s="141">
        <v>0</v>
      </c>
      <c r="AV697" s="141">
        <v>0</v>
      </c>
      <c r="AW697" s="141">
        <v>0.0339805825242718</v>
      </c>
      <c r="AX697" s="95"/>
      <c r="AY697" s="93"/>
    </row>
    <row r="698" ht="14.5" spans="1:51">
      <c r="A698" s="91"/>
      <c r="B698" s="95"/>
      <c r="C698" s="152" t="s">
        <v>668</v>
      </c>
      <c r="D698" s="153" t="s">
        <v>25</v>
      </c>
      <c r="E698" s="130" t="s">
        <v>669</v>
      </c>
      <c r="F698" s="179" t="s">
        <v>725</v>
      </c>
      <c r="G698" s="179" t="s">
        <v>725</v>
      </c>
      <c r="H698" s="179" t="s">
        <v>725</v>
      </c>
      <c r="I698" s="179" t="s">
        <v>725</v>
      </c>
      <c r="J698" s="132">
        <v>0.9</v>
      </c>
      <c r="K698" s="133">
        <v>0.793650793650794</v>
      </c>
      <c r="L698" s="133">
        <v>0.815789473684211</v>
      </c>
      <c r="M698" s="134">
        <v>0.73972602739726</v>
      </c>
      <c r="N698" s="133">
        <v>0.823728813559322</v>
      </c>
      <c r="O698" s="135">
        <v>0.9</v>
      </c>
      <c r="P698" s="133">
        <v>0.930396475770925</v>
      </c>
      <c r="Q698" s="133">
        <v>0.931822302810517</v>
      </c>
      <c r="R698" s="133">
        <v>0.933546686746988</v>
      </c>
      <c r="S698" s="133">
        <v>0.938552515171739</v>
      </c>
      <c r="T698" s="135">
        <v>0.9</v>
      </c>
      <c r="U698" s="133">
        <v>0.892070484581498</v>
      </c>
      <c r="V698" s="133">
        <v>0.901903898458749</v>
      </c>
      <c r="W698" s="133">
        <v>0.887801204819277</v>
      </c>
      <c r="X698" s="133">
        <v>0.923574787750858</v>
      </c>
      <c r="Y698" s="135">
        <v>0.92</v>
      </c>
      <c r="Z698" s="135">
        <v>0.883687943262411</v>
      </c>
      <c r="AA698" s="135">
        <v>0.86056338028169</v>
      </c>
      <c r="AB698" s="135">
        <v>0.883241066935078</v>
      </c>
      <c r="AC698" s="135">
        <v>0.906519834814166</v>
      </c>
      <c r="AD698" s="135">
        <v>0.92</v>
      </c>
      <c r="AE698" s="133">
        <v>0.99883788495061</v>
      </c>
      <c r="AF698" s="133">
        <v>0.991607488702389</v>
      </c>
      <c r="AG698" s="133">
        <v>0.995337995337995</v>
      </c>
      <c r="AH698" s="133">
        <v>0.989166482423171</v>
      </c>
      <c r="AI698" s="135">
        <v>0.92</v>
      </c>
      <c r="AJ698" s="133">
        <v>0.920945395273024</v>
      </c>
      <c r="AK698" s="133">
        <v>0.9267483777938</v>
      </c>
      <c r="AL698" s="133">
        <v>0.923414166324154</v>
      </c>
      <c r="AM698" s="133">
        <v>0.948305506538166</v>
      </c>
      <c r="AN698" s="132">
        <v>0.99</v>
      </c>
      <c r="AO698" s="137">
        <v>1</v>
      </c>
      <c r="AP698" s="137">
        <v>1</v>
      </c>
      <c r="AQ698" s="137">
        <v>1</v>
      </c>
      <c r="AR698" s="137">
        <v>1</v>
      </c>
      <c r="AS698" s="158">
        <v>0.0810595228934205</v>
      </c>
      <c r="AT698" s="141">
        <v>0</v>
      </c>
      <c r="AU698" s="141">
        <v>0.025</v>
      </c>
      <c r="AV698" s="141">
        <v>0.0606060606060606</v>
      </c>
      <c r="AW698" s="141">
        <v>0.0466019417475728</v>
      </c>
      <c r="AX698" s="95"/>
      <c r="AY698" s="93"/>
    </row>
    <row r="699" ht="14.5" spans="1:51">
      <c r="A699" s="91"/>
      <c r="B699" s="95"/>
      <c r="C699" s="152" t="s">
        <v>668</v>
      </c>
      <c r="D699" s="153" t="s">
        <v>25</v>
      </c>
      <c r="E699" s="130" t="s">
        <v>669</v>
      </c>
      <c r="F699" s="179" t="s">
        <v>726</v>
      </c>
      <c r="G699" s="179" t="s">
        <v>726</v>
      </c>
      <c r="H699" s="179" t="s">
        <v>726</v>
      </c>
      <c r="I699" s="179" t="s">
        <v>726</v>
      </c>
      <c r="J699" s="132">
        <v>0.9</v>
      </c>
      <c r="K699" s="133">
        <v>0.815789473684211</v>
      </c>
      <c r="L699" s="133">
        <v>0.791666666666667</v>
      </c>
      <c r="M699" s="134">
        <v>0.836734693877551</v>
      </c>
      <c r="N699" s="133">
        <v>0.83256351039261</v>
      </c>
      <c r="O699" s="135">
        <v>0.9</v>
      </c>
      <c r="P699" s="133">
        <v>0.97522816166884</v>
      </c>
      <c r="Q699" s="133">
        <v>0.97725258493353</v>
      </c>
      <c r="R699" s="133">
        <v>0.974724947963128</v>
      </c>
      <c r="S699" s="133">
        <v>0.976752006113871</v>
      </c>
      <c r="T699" s="135">
        <v>0.9</v>
      </c>
      <c r="U699" s="133">
        <v>0.926988265971317</v>
      </c>
      <c r="V699" s="133">
        <v>0.910487444608567</v>
      </c>
      <c r="W699" s="133">
        <v>0.930121914956884</v>
      </c>
      <c r="X699" s="133">
        <v>0.941841803591899</v>
      </c>
      <c r="Y699" s="135">
        <v>0.92</v>
      </c>
      <c r="Z699" s="135">
        <v>0.926342072409488</v>
      </c>
      <c r="AA699" s="135">
        <v>0.918232044198895</v>
      </c>
      <c r="AB699" s="135">
        <v>0.944716585024493</v>
      </c>
      <c r="AC699" s="135">
        <v>0.94256228059045</v>
      </c>
      <c r="AD699" s="135">
        <v>0.92</v>
      </c>
      <c r="AE699" s="133">
        <v>0.99874843554443</v>
      </c>
      <c r="AF699" s="133">
        <v>0.980113636363636</v>
      </c>
      <c r="AG699" s="133">
        <v>0.984177215189873</v>
      </c>
      <c r="AH699" s="133">
        <v>0.985089381332894</v>
      </c>
      <c r="AI699" s="135">
        <v>0.92</v>
      </c>
      <c r="AJ699" s="133">
        <v>0.948608137044968</v>
      </c>
      <c r="AK699" s="133">
        <v>0.955244755244755</v>
      </c>
      <c r="AL699" s="133">
        <v>0.963480801335559</v>
      </c>
      <c r="AM699" s="133">
        <v>0.971797146032851</v>
      </c>
      <c r="AN699" s="132">
        <v>0.99</v>
      </c>
      <c r="AO699" s="137">
        <v>1</v>
      </c>
      <c r="AP699" s="137">
        <v>1</v>
      </c>
      <c r="AQ699" s="137">
        <v>1</v>
      </c>
      <c r="AR699" s="137">
        <v>1</v>
      </c>
      <c r="AS699" s="158">
        <v>0.0810595228934205</v>
      </c>
      <c r="AT699" s="141">
        <v>0.15</v>
      </c>
      <c r="AU699" s="141">
        <v>0.0909090909090909</v>
      </c>
      <c r="AV699" s="141">
        <v>0</v>
      </c>
      <c r="AW699" s="141">
        <v>0.0421052631578947</v>
      </c>
      <c r="AX699" s="95"/>
      <c r="AY699" s="93"/>
    </row>
    <row r="700" ht="14.5" spans="1:51">
      <c r="A700" s="91"/>
      <c r="B700" s="95"/>
      <c r="C700" s="152" t="s">
        <v>668</v>
      </c>
      <c r="D700" s="153" t="s">
        <v>25</v>
      </c>
      <c r="E700" s="130" t="s">
        <v>669</v>
      </c>
      <c r="F700" s="179" t="s">
        <v>727</v>
      </c>
      <c r="G700" s="179" t="s">
        <v>727</v>
      </c>
      <c r="H700" s="179" t="s">
        <v>727</v>
      </c>
      <c r="I700" s="179" t="s">
        <v>727</v>
      </c>
      <c r="J700" s="132">
        <v>0.9</v>
      </c>
      <c r="K700" s="133">
        <v>1</v>
      </c>
      <c r="L700" s="133">
        <v>0.974358974358974</v>
      </c>
      <c r="M700" s="134">
        <v>0.976190476190476</v>
      </c>
      <c r="N700" s="133">
        <v>0.974496644295302</v>
      </c>
      <c r="O700" s="135">
        <v>0.9</v>
      </c>
      <c r="P700" s="133">
        <v>0.99468085106383</v>
      </c>
      <c r="Q700" s="133">
        <v>0.993897787948131</v>
      </c>
      <c r="R700" s="133">
        <v>0.994596680818217</v>
      </c>
      <c r="S700" s="133">
        <v>0.991995841995842</v>
      </c>
      <c r="T700" s="135">
        <v>0.9</v>
      </c>
      <c r="U700" s="133">
        <v>0.936170212765957</v>
      </c>
      <c r="V700" s="133">
        <v>0.923340961098398</v>
      </c>
      <c r="W700" s="133">
        <v>0.962948668467773</v>
      </c>
      <c r="X700" s="133">
        <v>0.951954261954262</v>
      </c>
      <c r="Y700" s="135">
        <v>0.92</v>
      </c>
      <c r="Z700" s="135">
        <v>0.904918032786885</v>
      </c>
      <c r="AA700" s="135">
        <v>0.905743740795287</v>
      </c>
      <c r="AB700" s="135">
        <v>0.934112646121148</v>
      </c>
      <c r="AC700" s="135">
        <v>0.936937949640288</v>
      </c>
      <c r="AD700" s="135">
        <v>0.92</v>
      </c>
      <c r="AE700" s="133">
        <v>1</v>
      </c>
      <c r="AF700" s="133">
        <v>0.999281092739037</v>
      </c>
      <c r="AG700" s="133">
        <v>0.998946814112691</v>
      </c>
      <c r="AH700" s="133">
        <v>0.996931852556069</v>
      </c>
      <c r="AI700" s="135">
        <v>0.92</v>
      </c>
      <c r="AJ700" s="133">
        <v>0.950631458094145</v>
      </c>
      <c r="AK700" s="133">
        <v>0.959745762711864</v>
      </c>
      <c r="AL700" s="133">
        <v>0.973684210526316</v>
      </c>
      <c r="AM700" s="133">
        <v>0.971355312466811</v>
      </c>
      <c r="AN700" s="132">
        <v>0.99</v>
      </c>
      <c r="AO700" s="137">
        <v>1</v>
      </c>
      <c r="AP700" s="137">
        <v>1</v>
      </c>
      <c r="AQ700" s="137">
        <v>1</v>
      </c>
      <c r="AR700" s="137">
        <v>1</v>
      </c>
      <c r="AS700" s="158">
        <v>0.0810595228934205</v>
      </c>
      <c r="AT700" s="141">
        <v>0</v>
      </c>
      <c r="AU700" s="141">
        <v>0.2</v>
      </c>
      <c r="AV700" s="141">
        <v>0.25</v>
      </c>
      <c r="AW700" s="141">
        <v>0.0669014084507042</v>
      </c>
      <c r="AX700" s="95"/>
      <c r="AY700" s="93"/>
    </row>
    <row r="701" ht="14.5" spans="1:51">
      <c r="A701" s="91"/>
      <c r="B701" s="95"/>
      <c r="C701" s="152" t="s">
        <v>668</v>
      </c>
      <c r="D701" s="153" t="s">
        <v>25</v>
      </c>
      <c r="E701" s="130" t="s">
        <v>669</v>
      </c>
      <c r="F701" s="179" t="s">
        <v>728</v>
      </c>
      <c r="G701" s="179" t="s">
        <v>728</v>
      </c>
      <c r="H701" s="179" t="s">
        <v>728</v>
      </c>
      <c r="I701" s="179" t="s">
        <v>728</v>
      </c>
      <c r="J701" s="132">
        <v>0.9</v>
      </c>
      <c r="K701" s="133">
        <v>1</v>
      </c>
      <c r="L701" s="133">
        <v>0.891304347826087</v>
      </c>
      <c r="M701" s="134">
        <v>0.91304347826087</v>
      </c>
      <c r="N701" s="133">
        <v>0.93075117370892</v>
      </c>
      <c r="O701" s="135">
        <v>0.9</v>
      </c>
      <c r="P701" s="133">
        <v>0.995830437804031</v>
      </c>
      <c r="Q701" s="133">
        <v>0.984785202863962</v>
      </c>
      <c r="R701" s="133">
        <v>0.987929993964997</v>
      </c>
      <c r="S701" s="133">
        <v>0.984816865767291</v>
      </c>
      <c r="T701" s="135">
        <v>0.9</v>
      </c>
      <c r="U701" s="133">
        <v>0.930507296733843</v>
      </c>
      <c r="V701" s="133">
        <v>0.952565632458234</v>
      </c>
      <c r="W701" s="133">
        <v>0.961677730838865</v>
      </c>
      <c r="X701" s="133">
        <v>0.958197084969683</v>
      </c>
      <c r="Y701" s="135">
        <v>0.92</v>
      </c>
      <c r="Z701" s="135">
        <v>0.92336217552534</v>
      </c>
      <c r="AA701" s="135">
        <v>0.914317925591883</v>
      </c>
      <c r="AB701" s="135">
        <v>0.938837920489297</v>
      </c>
      <c r="AC701" s="135">
        <v>0.953554374267952</v>
      </c>
      <c r="AD701" s="135">
        <v>0.92</v>
      </c>
      <c r="AE701" s="133">
        <v>0.999334221038615</v>
      </c>
      <c r="AF701" s="133">
        <v>0.991833030852995</v>
      </c>
      <c r="AG701" s="133">
        <v>0.997706422018349</v>
      </c>
      <c r="AH701" s="133">
        <v>0.995478325859492</v>
      </c>
      <c r="AI701" s="135">
        <v>0.92</v>
      </c>
      <c r="AJ701" s="133">
        <v>0.950177935943061</v>
      </c>
      <c r="AK701" s="133">
        <v>0.966745283018868</v>
      </c>
      <c r="AL701" s="133">
        <v>0.971879731775903</v>
      </c>
      <c r="AM701" s="133">
        <v>0.97930461582914</v>
      </c>
      <c r="AN701" s="132">
        <v>0.99</v>
      </c>
      <c r="AO701" s="137">
        <v>1</v>
      </c>
      <c r="AP701" s="137">
        <v>1</v>
      </c>
      <c r="AQ701" s="137">
        <v>1</v>
      </c>
      <c r="AR701" s="137">
        <v>1</v>
      </c>
      <c r="AS701" s="158">
        <v>0.0810595228934205</v>
      </c>
      <c r="AT701" s="141">
        <v>0.181818181818182</v>
      </c>
      <c r="AU701" s="141">
        <v>0</v>
      </c>
      <c r="AV701" s="141">
        <v>0</v>
      </c>
      <c r="AW701" s="141">
        <v>0.0243055555555556</v>
      </c>
      <c r="AX701" s="95"/>
      <c r="AY701" s="93"/>
    </row>
    <row r="702" ht="14.5" spans="1:51">
      <c r="A702" s="91"/>
      <c r="B702" s="95"/>
      <c r="C702" s="152" t="s">
        <v>668</v>
      </c>
      <c r="D702" s="153" t="s">
        <v>25</v>
      </c>
      <c r="E702" s="130" t="s">
        <v>669</v>
      </c>
      <c r="F702" s="179" t="s">
        <v>729</v>
      </c>
      <c r="G702" s="179" t="s">
        <v>729</v>
      </c>
      <c r="H702" s="179" t="s">
        <v>729</v>
      </c>
      <c r="I702" s="179" t="s">
        <v>729</v>
      </c>
      <c r="J702" s="132">
        <v>0.9</v>
      </c>
      <c r="K702" s="133">
        <v>0.666666666666667</v>
      </c>
      <c r="L702" s="133">
        <v>0.777777777777778</v>
      </c>
      <c r="M702" s="134">
        <v>0.722222222222222</v>
      </c>
      <c r="N702" s="133">
        <v>0.79375</v>
      </c>
      <c r="O702" s="135">
        <v>0.9</v>
      </c>
      <c r="P702" s="133">
        <v>0.994143484626647</v>
      </c>
      <c r="Q702" s="133">
        <v>0.991025641025641</v>
      </c>
      <c r="R702" s="133">
        <v>0.98270126413839</v>
      </c>
      <c r="S702" s="133">
        <v>0.990200554950652</v>
      </c>
      <c r="T702" s="135">
        <v>0.9</v>
      </c>
      <c r="U702" s="133">
        <v>0.961932650073206</v>
      </c>
      <c r="V702" s="133">
        <v>0.969230769230769</v>
      </c>
      <c r="W702" s="133">
        <v>0.970059880239521</v>
      </c>
      <c r="X702" s="133">
        <v>0.969126479575709</v>
      </c>
      <c r="Y702" s="135">
        <v>0.92</v>
      </c>
      <c r="Z702" s="135">
        <v>0.932668329177057</v>
      </c>
      <c r="AA702" s="135">
        <v>0.956803455723542</v>
      </c>
      <c r="AB702" s="135">
        <v>0.961016949152542</v>
      </c>
      <c r="AC702" s="135">
        <v>0.971784971784972</v>
      </c>
      <c r="AD702" s="135">
        <v>0.92</v>
      </c>
      <c r="AE702" s="133">
        <v>1</v>
      </c>
      <c r="AF702" s="133">
        <v>1</v>
      </c>
      <c r="AG702" s="133">
        <v>0.996168582375479</v>
      </c>
      <c r="AH702" s="133">
        <v>0.996663281590019</v>
      </c>
      <c r="AI702" s="135">
        <v>0.92</v>
      </c>
      <c r="AJ702" s="133">
        <v>0.965867158671587</v>
      </c>
      <c r="AK702" s="133">
        <v>0.981216015818092</v>
      </c>
      <c r="AL702" s="133">
        <v>0.984233158146202</v>
      </c>
      <c r="AM702" s="133">
        <v>0.986546038987972</v>
      </c>
      <c r="AN702" s="132">
        <v>0.99</v>
      </c>
      <c r="AO702" s="137">
        <v>1</v>
      </c>
      <c r="AP702" s="137">
        <v>1</v>
      </c>
      <c r="AQ702" s="137">
        <v>1</v>
      </c>
      <c r="AR702" s="137">
        <v>1</v>
      </c>
      <c r="AS702" s="158">
        <v>0.0810595228934205</v>
      </c>
      <c r="AT702" s="141">
        <v>0</v>
      </c>
      <c r="AU702" s="141">
        <v>0</v>
      </c>
      <c r="AV702" s="141">
        <v>0</v>
      </c>
      <c r="AW702" s="141">
        <v>0.0192307692307692</v>
      </c>
      <c r="AX702" s="95"/>
      <c r="AY702" s="93"/>
    </row>
    <row r="703" ht="14.5" spans="1:51">
      <c r="A703" s="91"/>
      <c r="B703" s="95"/>
      <c r="C703" s="152" t="s">
        <v>668</v>
      </c>
      <c r="D703" s="153" t="s">
        <v>25</v>
      </c>
      <c r="E703" s="130" t="s">
        <v>669</v>
      </c>
      <c r="F703" s="179" t="s">
        <v>730</v>
      </c>
      <c r="G703" s="179" t="s">
        <v>730</v>
      </c>
      <c r="H703" s="179" t="s">
        <v>730</v>
      </c>
      <c r="I703" s="179" t="s">
        <v>730</v>
      </c>
      <c r="J703" s="132">
        <v>0.9</v>
      </c>
      <c r="K703" s="133">
        <v>0.90625</v>
      </c>
      <c r="L703" s="133">
        <v>0.837209302325581</v>
      </c>
      <c r="M703" s="134">
        <v>0.857142857142857</v>
      </c>
      <c r="N703" s="133">
        <v>0.9394261424017</v>
      </c>
      <c r="O703" s="135">
        <v>0.9</v>
      </c>
      <c r="P703" s="133">
        <v>0.932631578947368</v>
      </c>
      <c r="Q703" s="133">
        <v>0.934129803035195</v>
      </c>
      <c r="R703" s="133">
        <v>0.943813131313131</v>
      </c>
      <c r="S703" s="133">
        <v>0.931142389352488</v>
      </c>
      <c r="T703" s="135">
        <v>0.9</v>
      </c>
      <c r="U703" s="133">
        <v>0.887017543859649</v>
      </c>
      <c r="V703" s="133">
        <v>0.922828543752018</v>
      </c>
      <c r="W703" s="133">
        <v>0.922032828282828</v>
      </c>
      <c r="X703" s="133">
        <v>0.920552973486849</v>
      </c>
      <c r="Y703" s="135">
        <v>0.92</v>
      </c>
      <c r="Z703" s="135">
        <v>0.85239852398524</v>
      </c>
      <c r="AA703" s="135">
        <v>0.875440658049354</v>
      </c>
      <c r="AB703" s="135">
        <v>0.867647058823529</v>
      </c>
      <c r="AC703" s="135">
        <v>0.902675100983157</v>
      </c>
      <c r="AD703" s="135">
        <v>0.92</v>
      </c>
      <c r="AE703" s="133">
        <v>1</v>
      </c>
      <c r="AF703" s="133">
        <v>0.997232472324723</v>
      </c>
      <c r="AG703" s="133">
        <v>0.944585987261147</v>
      </c>
      <c r="AH703" s="133">
        <v>0.989842042519372</v>
      </c>
      <c r="AI703" s="135">
        <v>0.92</v>
      </c>
      <c r="AJ703" s="133">
        <v>0.90840035746202</v>
      </c>
      <c r="AK703" s="133">
        <v>0.940982776089159</v>
      </c>
      <c r="AL703" s="133">
        <v>0.937341040462428</v>
      </c>
      <c r="AM703" s="133">
        <v>0.952160100405938</v>
      </c>
      <c r="AN703" s="132">
        <v>0.99</v>
      </c>
      <c r="AO703" s="137">
        <v>1</v>
      </c>
      <c r="AP703" s="137">
        <v>1</v>
      </c>
      <c r="AQ703" s="137">
        <v>1</v>
      </c>
      <c r="AR703" s="137">
        <v>1</v>
      </c>
      <c r="AS703" s="158">
        <v>0.0810595228934205</v>
      </c>
      <c r="AT703" s="141">
        <v>0</v>
      </c>
      <c r="AU703" s="141">
        <v>0</v>
      </c>
      <c r="AV703" s="141">
        <v>0.111111111111111</v>
      </c>
      <c r="AW703" s="141">
        <v>0.040983606557377</v>
      </c>
      <c r="AX703" s="95"/>
      <c r="AY703" s="93"/>
    </row>
    <row r="704" ht="14.5" spans="1:51">
      <c r="A704" s="91"/>
      <c r="B704" s="95"/>
      <c r="C704" s="152" t="s">
        <v>668</v>
      </c>
      <c r="D704" s="153" t="s">
        <v>25</v>
      </c>
      <c r="E704" s="130" t="s">
        <v>669</v>
      </c>
      <c r="F704" s="179" t="s">
        <v>731</v>
      </c>
      <c r="G704" s="179" t="s">
        <v>731</v>
      </c>
      <c r="H704" s="179" t="s">
        <v>731</v>
      </c>
      <c r="I704" s="179" t="s">
        <v>731</v>
      </c>
      <c r="J704" s="132">
        <v>0.9</v>
      </c>
      <c r="K704" s="133">
        <v>0.96</v>
      </c>
      <c r="L704" s="133">
        <v>0.972222222222222</v>
      </c>
      <c r="M704" s="134">
        <v>1</v>
      </c>
      <c r="N704" s="133">
        <v>0.981818181818182</v>
      </c>
      <c r="O704" s="135">
        <v>0.9</v>
      </c>
      <c r="P704" s="133">
        <v>0.946977730646872</v>
      </c>
      <c r="Q704" s="133">
        <v>0.990223463687151</v>
      </c>
      <c r="R704" s="133">
        <v>0.988140417457306</v>
      </c>
      <c r="S704" s="133">
        <v>0.984935221452245</v>
      </c>
      <c r="T704" s="135">
        <v>0.9</v>
      </c>
      <c r="U704" s="133">
        <v>0.892895015906681</v>
      </c>
      <c r="V704" s="133">
        <v>0.900837988826816</v>
      </c>
      <c r="W704" s="133">
        <v>0.936432637571157</v>
      </c>
      <c r="X704" s="133">
        <v>0.934016269960832</v>
      </c>
      <c r="Y704" s="135">
        <v>0.92</v>
      </c>
      <c r="Z704" s="135">
        <v>0.851485148514851</v>
      </c>
      <c r="AA704" s="135">
        <v>0.915492957746479</v>
      </c>
      <c r="AB704" s="135">
        <v>0.897908979089791</v>
      </c>
      <c r="AC704" s="135">
        <v>0.9133649153029</v>
      </c>
      <c r="AD704" s="135">
        <v>0.92</v>
      </c>
      <c r="AE704" s="133">
        <v>1</v>
      </c>
      <c r="AF704" s="133">
        <v>0.99469964664311</v>
      </c>
      <c r="AG704" s="133">
        <v>1</v>
      </c>
      <c r="AH704" s="133">
        <v>0.995699849494732</v>
      </c>
      <c r="AI704" s="135">
        <v>0.92</v>
      </c>
      <c r="AJ704" s="133">
        <v>0.912292817679558</v>
      </c>
      <c r="AK704" s="133">
        <v>0.963181148748159</v>
      </c>
      <c r="AL704" s="133">
        <v>0.955837042108867</v>
      </c>
      <c r="AM704" s="133">
        <v>0.964437831302892</v>
      </c>
      <c r="AN704" s="132">
        <v>0.99</v>
      </c>
      <c r="AO704" s="137">
        <v>1</v>
      </c>
      <c r="AP704" s="137">
        <v>1</v>
      </c>
      <c r="AQ704" s="137">
        <v>1</v>
      </c>
      <c r="AR704" s="137">
        <v>1</v>
      </c>
      <c r="AS704" s="158">
        <v>0.0810595228934205</v>
      </c>
      <c r="AT704" s="141">
        <v>0</v>
      </c>
      <c r="AU704" s="141">
        <v>0</v>
      </c>
      <c r="AV704" s="141">
        <v>0</v>
      </c>
      <c r="AW704" s="141">
        <v>0.0357142857142857</v>
      </c>
      <c r="AX704" s="95"/>
      <c r="AY704" s="93"/>
    </row>
    <row r="705" ht="14.5" spans="1:51">
      <c r="A705" s="91"/>
      <c r="B705" s="95"/>
      <c r="C705" s="152" t="s">
        <v>668</v>
      </c>
      <c r="D705" s="153" t="s">
        <v>25</v>
      </c>
      <c r="E705" s="130" t="s">
        <v>669</v>
      </c>
      <c r="F705" s="179" t="s">
        <v>732</v>
      </c>
      <c r="G705" s="179" t="s">
        <v>732</v>
      </c>
      <c r="H705" s="179" t="s">
        <v>732</v>
      </c>
      <c r="I705" s="179" t="s">
        <v>732</v>
      </c>
      <c r="J705" s="132">
        <v>0.9</v>
      </c>
      <c r="K705" s="133">
        <v>0.764705882352941</v>
      </c>
      <c r="L705" s="133">
        <v>0.8</v>
      </c>
      <c r="M705" s="134">
        <v>0.8</v>
      </c>
      <c r="N705" s="133">
        <v>0.806539509536785</v>
      </c>
      <c r="O705" s="135">
        <v>0.9</v>
      </c>
      <c r="P705" s="133">
        <v>0.958333333333333</v>
      </c>
      <c r="Q705" s="133">
        <v>0.960093896713615</v>
      </c>
      <c r="R705" s="133">
        <v>0.962772050400916</v>
      </c>
      <c r="S705" s="133">
        <v>0.969500166914509</v>
      </c>
      <c r="T705" s="135">
        <v>0.9</v>
      </c>
      <c r="U705" s="133">
        <v>0.913690476190476</v>
      </c>
      <c r="V705" s="133">
        <v>0.908450704225352</v>
      </c>
      <c r="W705" s="133">
        <v>0.940435280641466</v>
      </c>
      <c r="X705" s="133">
        <v>0.937422233012655</v>
      </c>
      <c r="Y705" s="135">
        <v>0.92</v>
      </c>
      <c r="Z705" s="135">
        <v>0.886100386100386</v>
      </c>
      <c r="AA705" s="135">
        <v>0.917431192660551</v>
      </c>
      <c r="AB705" s="135">
        <v>0.943368107302534</v>
      </c>
      <c r="AC705" s="135">
        <v>0.940327392952181</v>
      </c>
      <c r="AD705" s="135">
        <v>0.92</v>
      </c>
      <c r="AE705" s="133">
        <v>1</v>
      </c>
      <c r="AF705" s="133">
        <v>0.992932862190813</v>
      </c>
      <c r="AG705" s="133">
        <v>0.967741935483871</v>
      </c>
      <c r="AH705" s="133">
        <v>0.984226529836564</v>
      </c>
      <c r="AI705" s="135">
        <v>0.92</v>
      </c>
      <c r="AJ705" s="133">
        <v>0.926050420168067</v>
      </c>
      <c r="AK705" s="133">
        <v>0.947837150127226</v>
      </c>
      <c r="AL705" s="133">
        <v>0.964832436905254</v>
      </c>
      <c r="AM705" s="133">
        <v>0.970057767782335</v>
      </c>
      <c r="AN705" s="132">
        <v>0.99</v>
      </c>
      <c r="AO705" s="137">
        <v>1</v>
      </c>
      <c r="AP705" s="137" t="s">
        <v>35</v>
      </c>
      <c r="AQ705" s="137">
        <v>1</v>
      </c>
      <c r="AR705" s="137">
        <v>1</v>
      </c>
      <c r="AS705" s="158">
        <v>0.0810595228934205</v>
      </c>
      <c r="AT705" s="141">
        <v>0.375</v>
      </c>
      <c r="AU705" s="141">
        <v>0</v>
      </c>
      <c r="AV705" s="141">
        <v>0</v>
      </c>
      <c r="AW705" s="141">
        <v>0.032258064516129</v>
      </c>
      <c r="AX705" s="95"/>
      <c r="AY705" s="93"/>
    </row>
    <row r="706" ht="14.5" spans="1:51">
      <c r="A706" s="91"/>
      <c r="B706" s="95"/>
      <c r="C706" s="152" t="s">
        <v>668</v>
      </c>
      <c r="D706" s="153" t="s">
        <v>25</v>
      </c>
      <c r="E706" s="130" t="s">
        <v>669</v>
      </c>
      <c r="F706" s="179" t="s">
        <v>733</v>
      </c>
      <c r="G706" s="179" t="s">
        <v>733</v>
      </c>
      <c r="H706" s="179" t="s">
        <v>733</v>
      </c>
      <c r="I706" s="179" t="s">
        <v>733</v>
      </c>
      <c r="J706" s="132">
        <v>0.9</v>
      </c>
      <c r="K706" s="133">
        <v>0.846153846153846</v>
      </c>
      <c r="L706" s="133">
        <v>0.8</v>
      </c>
      <c r="M706" s="134">
        <v>0.857142857142857</v>
      </c>
      <c r="N706" s="133">
        <v>0.840304182509506</v>
      </c>
      <c r="O706" s="135">
        <v>0.9</v>
      </c>
      <c r="P706" s="133">
        <v>1</v>
      </c>
      <c r="Q706" s="133">
        <v>1</v>
      </c>
      <c r="R706" s="133">
        <v>0.999165275459099</v>
      </c>
      <c r="S706" s="133">
        <v>0.998513178643839</v>
      </c>
      <c r="T706" s="135">
        <v>0.9</v>
      </c>
      <c r="U706" s="133">
        <v>0.984340044742729</v>
      </c>
      <c r="V706" s="133">
        <v>0.972514147130154</v>
      </c>
      <c r="W706" s="133">
        <v>0.98330550918197</v>
      </c>
      <c r="X706" s="133">
        <v>0.976796575805362</v>
      </c>
      <c r="Y706" s="135">
        <v>0.92</v>
      </c>
      <c r="Z706" s="135">
        <v>0.972868217054264</v>
      </c>
      <c r="AA706" s="135">
        <v>0.954983922829582</v>
      </c>
      <c r="AB706" s="135">
        <v>0.976842105263158</v>
      </c>
      <c r="AC706" s="135">
        <v>0.975434618291761</v>
      </c>
      <c r="AD706" s="135">
        <v>0.92</v>
      </c>
      <c r="AE706" s="133">
        <v>1</v>
      </c>
      <c r="AF706" s="133">
        <v>0.998452012383901</v>
      </c>
      <c r="AG706" s="133">
        <v>1</v>
      </c>
      <c r="AH706" s="133">
        <v>0.998136868505912</v>
      </c>
      <c r="AI706" s="135">
        <v>0.92</v>
      </c>
      <c r="AJ706" s="133">
        <v>0.987234042553191</v>
      </c>
      <c r="AK706" s="133">
        <v>0.981266149870801</v>
      </c>
      <c r="AL706" s="133">
        <v>0.989240884638374</v>
      </c>
      <c r="AM706" s="133">
        <v>0.989480321231831</v>
      </c>
      <c r="AN706" s="132">
        <v>0.99</v>
      </c>
      <c r="AO706" s="137">
        <v>1</v>
      </c>
      <c r="AP706" s="137">
        <v>1</v>
      </c>
      <c r="AQ706" s="137">
        <v>1</v>
      </c>
      <c r="AR706" s="137">
        <v>1</v>
      </c>
      <c r="AS706" s="158">
        <v>0.0810595228934205</v>
      </c>
      <c r="AT706" s="141">
        <v>0</v>
      </c>
      <c r="AU706" s="141">
        <v>0</v>
      </c>
      <c r="AV706" s="141">
        <v>0</v>
      </c>
      <c r="AW706" s="141">
        <v>0.0379746835443038</v>
      </c>
      <c r="AX706" s="95"/>
      <c r="AY706" s="93"/>
    </row>
    <row r="707" ht="14.5" spans="1:51">
      <c r="A707" s="91"/>
      <c r="B707" s="95"/>
      <c r="C707" s="152" t="s">
        <v>668</v>
      </c>
      <c r="D707" s="153" t="s">
        <v>25</v>
      </c>
      <c r="E707" s="130" t="s">
        <v>669</v>
      </c>
      <c r="F707" s="179" t="s">
        <v>734</v>
      </c>
      <c r="G707" s="179" t="s">
        <v>734</v>
      </c>
      <c r="H707" s="179" t="s">
        <v>734</v>
      </c>
      <c r="I707" s="179" t="s">
        <v>734</v>
      </c>
      <c r="J707" s="132">
        <v>0.9</v>
      </c>
      <c r="K707" s="133">
        <v>0.866666666666667</v>
      </c>
      <c r="L707" s="133">
        <v>0.733333333333333</v>
      </c>
      <c r="M707" s="134">
        <v>0.75</v>
      </c>
      <c r="N707" s="133">
        <v>0.833922261484099</v>
      </c>
      <c r="O707" s="135">
        <v>0.9</v>
      </c>
      <c r="P707" s="133">
        <v>0.976307996051333</v>
      </c>
      <c r="Q707" s="133">
        <v>0.983516483516483</v>
      </c>
      <c r="R707" s="133">
        <v>0.969864176570458</v>
      </c>
      <c r="S707" s="133">
        <v>0.960944141621243</v>
      </c>
      <c r="T707" s="135">
        <v>0.9</v>
      </c>
      <c r="U707" s="133">
        <v>0.891411648568608</v>
      </c>
      <c r="V707" s="133">
        <v>0.94459706959707</v>
      </c>
      <c r="W707" s="133">
        <v>0.950339558573854</v>
      </c>
      <c r="X707" s="133">
        <v>0.93546531979797</v>
      </c>
      <c r="Y707" s="135">
        <v>0.92</v>
      </c>
      <c r="Z707" s="135">
        <v>0.951612903225806</v>
      </c>
      <c r="AA707" s="135">
        <v>0.948586118251928</v>
      </c>
      <c r="AB707" s="135">
        <v>0.945736434108527</v>
      </c>
      <c r="AC707" s="135">
        <v>0.947673914926795</v>
      </c>
      <c r="AD707" s="135">
        <v>0.92</v>
      </c>
      <c r="AE707" s="133">
        <v>0.995192307692308</v>
      </c>
      <c r="AF707" s="133">
        <v>0.992857142857143</v>
      </c>
      <c r="AG707" s="133">
        <v>0.978494623655914</v>
      </c>
      <c r="AH707" s="133">
        <v>0.981486838299103</v>
      </c>
      <c r="AI707" s="135">
        <v>0.92</v>
      </c>
      <c r="AJ707" s="133">
        <v>0.964877402253148</v>
      </c>
      <c r="AK707" s="133">
        <v>0.973581973581974</v>
      </c>
      <c r="AL707" s="133">
        <v>0.973692973692974</v>
      </c>
      <c r="AM707" s="133">
        <v>0.973086170790351</v>
      </c>
      <c r="AN707" s="132">
        <v>0.99</v>
      </c>
      <c r="AO707" s="137">
        <v>1</v>
      </c>
      <c r="AP707" s="137">
        <v>1</v>
      </c>
      <c r="AQ707" s="137">
        <v>1</v>
      </c>
      <c r="AR707" s="137">
        <v>1</v>
      </c>
      <c r="AS707" s="158">
        <v>0.0810595228934205</v>
      </c>
      <c r="AT707" s="141">
        <v>0</v>
      </c>
      <c r="AU707" s="141">
        <v>0.142857142857143</v>
      </c>
      <c r="AV707" s="141">
        <v>0</v>
      </c>
      <c r="AW707" s="141">
        <v>0.0319148936170213</v>
      </c>
      <c r="AX707" s="95"/>
      <c r="AY707" s="93"/>
    </row>
    <row r="708" ht="14.5" spans="1:51">
      <c r="A708" s="91"/>
      <c r="B708" s="95"/>
      <c r="C708" s="152" t="s">
        <v>668</v>
      </c>
      <c r="D708" s="153" t="s">
        <v>25</v>
      </c>
      <c r="E708" s="130" t="s">
        <v>669</v>
      </c>
      <c r="F708" s="179" t="s">
        <v>735</v>
      </c>
      <c r="G708" s="179" t="s">
        <v>735</v>
      </c>
      <c r="H708" s="179" t="s">
        <v>735</v>
      </c>
      <c r="I708" s="179" t="s">
        <v>735</v>
      </c>
      <c r="J708" s="132">
        <v>0.9</v>
      </c>
      <c r="K708" s="133">
        <v>0.916666666666667</v>
      </c>
      <c r="L708" s="133">
        <v>0.825396825396825</v>
      </c>
      <c r="M708" s="134">
        <v>0.803921568627451</v>
      </c>
      <c r="N708" s="133">
        <v>0.879294336118849</v>
      </c>
      <c r="O708" s="135">
        <v>0.9</v>
      </c>
      <c r="P708" s="133">
        <v>0.963275434243176</v>
      </c>
      <c r="Q708" s="133">
        <v>0.984422227388979</v>
      </c>
      <c r="R708" s="133">
        <v>0.983358878913948</v>
      </c>
      <c r="S708" s="133">
        <v>0.972211767657759</v>
      </c>
      <c r="T708" s="135">
        <v>0.9</v>
      </c>
      <c r="U708" s="133">
        <v>0.948883374689826</v>
      </c>
      <c r="V708" s="133">
        <v>0.962799348988607</v>
      </c>
      <c r="W708" s="133">
        <v>0.941318151959711</v>
      </c>
      <c r="X708" s="133">
        <v>0.944699535817338</v>
      </c>
      <c r="Y708" s="135">
        <v>0.92</v>
      </c>
      <c r="Z708" s="135">
        <v>0.949943117178612</v>
      </c>
      <c r="AA708" s="135">
        <v>0.961325966850829</v>
      </c>
      <c r="AB708" s="135">
        <v>0.902092675635277</v>
      </c>
      <c r="AC708" s="135">
        <v>0.939880638932772</v>
      </c>
      <c r="AD708" s="135">
        <v>0.92</v>
      </c>
      <c r="AE708" s="133">
        <v>0.99424736337488</v>
      </c>
      <c r="AF708" s="133">
        <v>0.97027027027027</v>
      </c>
      <c r="AG708" s="133">
        <v>0.96797153024911</v>
      </c>
      <c r="AH708" s="133">
        <v>0.967419158023185</v>
      </c>
      <c r="AI708" s="135">
        <v>0.92</v>
      </c>
      <c r="AJ708" s="133">
        <v>0.965124309392265</v>
      </c>
      <c r="AK708" s="133">
        <v>0.97493534911478</v>
      </c>
      <c r="AL708" s="133">
        <v>0.950059251735229</v>
      </c>
      <c r="AM708" s="133">
        <v>0.963190722151837</v>
      </c>
      <c r="AN708" s="132">
        <v>0.99</v>
      </c>
      <c r="AO708" s="137">
        <v>1</v>
      </c>
      <c r="AP708" s="137">
        <v>1</v>
      </c>
      <c r="AQ708" s="137">
        <v>1</v>
      </c>
      <c r="AR708" s="137">
        <v>1</v>
      </c>
      <c r="AS708" s="158">
        <v>0.0810595228934205</v>
      </c>
      <c r="AT708" s="141">
        <v>0</v>
      </c>
      <c r="AU708" s="141">
        <v>0.0476190476190476</v>
      </c>
      <c r="AV708" s="141">
        <v>0</v>
      </c>
      <c r="AW708" s="141">
        <v>0.0265060240963855</v>
      </c>
      <c r="AX708" s="95"/>
      <c r="AY708" s="93"/>
    </row>
    <row r="709" ht="14.5" spans="1:51">
      <c r="A709" s="91"/>
      <c r="B709" s="95"/>
      <c r="C709" s="152" t="s">
        <v>668</v>
      </c>
      <c r="D709" s="153" t="s">
        <v>25</v>
      </c>
      <c r="E709" s="130" t="s">
        <v>669</v>
      </c>
      <c r="F709" s="179" t="s">
        <v>736</v>
      </c>
      <c r="G709" s="179" t="s">
        <v>736</v>
      </c>
      <c r="H709" s="179" t="s">
        <v>736</v>
      </c>
      <c r="I709" s="179" t="s">
        <v>736</v>
      </c>
      <c r="J709" s="132">
        <v>0.9</v>
      </c>
      <c r="K709" s="133">
        <v>0.810810810810811</v>
      </c>
      <c r="L709" s="133">
        <v>0.75609756097561</v>
      </c>
      <c r="M709" s="134">
        <v>0.897435897435897</v>
      </c>
      <c r="N709" s="133">
        <v>0.852005532503458</v>
      </c>
      <c r="O709" s="135">
        <v>0.9</v>
      </c>
      <c r="P709" s="133">
        <v>0.861093651791326</v>
      </c>
      <c r="Q709" s="133">
        <v>0.913637685373655</v>
      </c>
      <c r="R709" s="133">
        <v>0.910953058321479</v>
      </c>
      <c r="S709" s="133">
        <v>0.908941438173993</v>
      </c>
      <c r="T709" s="135">
        <v>0.9</v>
      </c>
      <c r="U709" s="133">
        <v>0.933375235700817</v>
      </c>
      <c r="V709" s="133">
        <v>0.935446350683338</v>
      </c>
      <c r="W709" s="133">
        <v>0.939971550497866</v>
      </c>
      <c r="X709" s="133">
        <v>0.93184712349082</v>
      </c>
      <c r="Y709" s="135">
        <v>0.92</v>
      </c>
      <c r="Z709" s="135">
        <v>0.945707070707071</v>
      </c>
      <c r="AA709" s="135">
        <v>0.955017301038062</v>
      </c>
      <c r="AB709" s="135">
        <v>0.926103646833013</v>
      </c>
      <c r="AC709" s="135">
        <v>0.941541952563618</v>
      </c>
      <c r="AD709" s="135">
        <v>0.92</v>
      </c>
      <c r="AE709" s="133">
        <v>0.998303647158609</v>
      </c>
      <c r="AF709" s="133">
        <v>0.983870967741935</v>
      </c>
      <c r="AG709" s="133">
        <v>0.979942693409742</v>
      </c>
      <c r="AH709" s="133">
        <v>0.966716300254007</v>
      </c>
      <c r="AI709" s="135">
        <v>0.92</v>
      </c>
      <c r="AJ709" s="133">
        <v>0.960989932885906</v>
      </c>
      <c r="AK709" s="133">
        <v>0.960179193628671</v>
      </c>
      <c r="AL709" s="133">
        <v>0.954794821154268</v>
      </c>
      <c r="AM709" s="133">
        <v>0.962252214255588</v>
      </c>
      <c r="AN709" s="132">
        <v>0.99</v>
      </c>
      <c r="AO709" s="137">
        <v>1</v>
      </c>
      <c r="AP709" s="137">
        <v>1</v>
      </c>
      <c r="AQ709" s="137">
        <v>1</v>
      </c>
      <c r="AR709" s="137">
        <v>1</v>
      </c>
      <c r="AS709" s="158">
        <v>0.0810595228934205</v>
      </c>
      <c r="AT709" s="141">
        <v>0</v>
      </c>
      <c r="AU709" s="141">
        <v>0</v>
      </c>
      <c r="AV709" s="141">
        <v>0.0476190476190476</v>
      </c>
      <c r="AW709" s="141">
        <v>0.0657142857142857</v>
      </c>
      <c r="AX709" s="95"/>
      <c r="AY709" s="93"/>
    </row>
    <row r="710" ht="14.5" spans="1:51">
      <c r="A710" s="91"/>
      <c r="B710" s="95"/>
      <c r="C710" s="152" t="s">
        <v>668</v>
      </c>
      <c r="D710" s="153" t="s">
        <v>25</v>
      </c>
      <c r="E710" s="130" t="s">
        <v>669</v>
      </c>
      <c r="F710" s="179" t="s">
        <v>737</v>
      </c>
      <c r="G710" s="179" t="s">
        <v>737</v>
      </c>
      <c r="H710" s="179" t="s">
        <v>737</v>
      </c>
      <c r="I710" s="179" t="s">
        <v>737</v>
      </c>
      <c r="J710" s="132">
        <v>0.9</v>
      </c>
      <c r="K710" s="133">
        <v>0.945945945945946</v>
      </c>
      <c r="L710" s="133">
        <v>0.911111111111111</v>
      </c>
      <c r="M710" s="134">
        <v>0.837209302325581</v>
      </c>
      <c r="N710" s="133">
        <v>0.901002506265664</v>
      </c>
      <c r="O710" s="135">
        <v>0.9</v>
      </c>
      <c r="P710" s="133">
        <v>0.954988399071926</v>
      </c>
      <c r="Q710" s="133">
        <v>0.972882115643209</v>
      </c>
      <c r="R710" s="133">
        <v>0.965625</v>
      </c>
      <c r="S710" s="133">
        <v>0.949977189168881</v>
      </c>
      <c r="T710" s="135">
        <v>0.9</v>
      </c>
      <c r="U710" s="133">
        <v>0.963341067285383</v>
      </c>
      <c r="V710" s="133">
        <v>0.961900493052443</v>
      </c>
      <c r="W710" s="133">
        <v>0.960044642857143</v>
      </c>
      <c r="X710" s="133">
        <v>0.953210959933446</v>
      </c>
      <c r="Y710" s="135">
        <v>0.92</v>
      </c>
      <c r="Z710" s="135">
        <v>0.968299711815562</v>
      </c>
      <c r="AA710" s="135">
        <v>0.962555066079295</v>
      </c>
      <c r="AB710" s="135">
        <v>0.960147601476015</v>
      </c>
      <c r="AC710" s="135">
        <v>0.969864805931095</v>
      </c>
      <c r="AD710" s="135">
        <v>0.92</v>
      </c>
      <c r="AE710" s="133">
        <v>0.999602306621595</v>
      </c>
      <c r="AF710" s="133">
        <v>0.997945205479452</v>
      </c>
      <c r="AG710" s="133">
        <v>0.983050847457627</v>
      </c>
      <c r="AH710" s="133">
        <v>0.993412384716733</v>
      </c>
      <c r="AI710" s="135">
        <v>0.92</v>
      </c>
      <c r="AJ710" s="133">
        <v>0.980600750938673</v>
      </c>
      <c r="AK710" s="133">
        <v>0.983429528951778</v>
      </c>
      <c r="AL710" s="133">
        <v>0.97943797121316</v>
      </c>
      <c r="AM710" s="133">
        <v>0.981381178063643</v>
      </c>
      <c r="AN710" s="132">
        <v>0.99</v>
      </c>
      <c r="AO710" s="137">
        <v>1</v>
      </c>
      <c r="AP710" s="137">
        <v>1</v>
      </c>
      <c r="AQ710" s="137">
        <v>1</v>
      </c>
      <c r="AR710" s="137">
        <v>1</v>
      </c>
      <c r="AS710" s="158">
        <v>0.0810595228934205</v>
      </c>
      <c r="AT710" s="141">
        <v>0</v>
      </c>
      <c r="AU710" s="141">
        <v>0</v>
      </c>
      <c r="AV710" s="141">
        <v>0.117647058823529</v>
      </c>
      <c r="AW710" s="141">
        <v>0.0331325301204819</v>
      </c>
      <c r="AX710" s="95"/>
      <c r="AY710" s="93"/>
    </row>
    <row r="711" ht="14.5" spans="1:51">
      <c r="A711" s="91"/>
      <c r="B711" s="95"/>
      <c r="C711" s="152" t="s">
        <v>668</v>
      </c>
      <c r="D711" s="153" t="s">
        <v>25</v>
      </c>
      <c r="E711" s="130" t="s">
        <v>669</v>
      </c>
      <c r="F711" s="179" t="s">
        <v>738</v>
      </c>
      <c r="G711" s="179" t="s">
        <v>738</v>
      </c>
      <c r="H711" s="179" t="s">
        <v>738</v>
      </c>
      <c r="I711" s="179" t="s">
        <v>738</v>
      </c>
      <c r="J711" s="132">
        <v>0.9</v>
      </c>
      <c r="K711" s="133">
        <v>0.916666666666667</v>
      </c>
      <c r="L711" s="133">
        <v>0.96551724137931</v>
      </c>
      <c r="M711" s="134">
        <v>0.961538461538462</v>
      </c>
      <c r="N711" s="133">
        <v>0.956862745098039</v>
      </c>
      <c r="O711" s="135">
        <v>0.9</v>
      </c>
      <c r="P711" s="133">
        <v>0.964774951076321</v>
      </c>
      <c r="Q711" s="133">
        <v>0.954155955441302</v>
      </c>
      <c r="R711" s="133">
        <v>0.939974457215837</v>
      </c>
      <c r="S711" s="133">
        <v>0.93493541466977</v>
      </c>
      <c r="T711" s="135">
        <v>0.9</v>
      </c>
      <c r="U711" s="133">
        <v>0.929549902152642</v>
      </c>
      <c r="V711" s="133">
        <v>0.937874892887746</v>
      </c>
      <c r="W711" s="133">
        <v>0.914857386121754</v>
      </c>
      <c r="X711" s="133">
        <v>0.916244465744671</v>
      </c>
      <c r="Y711" s="135">
        <v>0.92</v>
      </c>
      <c r="Z711" s="135">
        <v>0.94980694980695</v>
      </c>
      <c r="AA711" s="135">
        <v>0.935185185185185</v>
      </c>
      <c r="AB711" s="135">
        <v>0.94743935309973</v>
      </c>
      <c r="AC711" s="135">
        <v>0.947170390846963</v>
      </c>
      <c r="AD711" s="135">
        <v>0.92</v>
      </c>
      <c r="AE711" s="133">
        <v>1</v>
      </c>
      <c r="AF711" s="133">
        <v>0.996055226824458</v>
      </c>
      <c r="AG711" s="133">
        <v>0.917933130699088</v>
      </c>
      <c r="AH711" s="133">
        <v>0.987925038639876</v>
      </c>
      <c r="AI711" s="135">
        <v>0.92</v>
      </c>
      <c r="AJ711" s="133">
        <v>0.960466623460791</v>
      </c>
      <c r="AK711" s="133">
        <v>0.965691585409895</v>
      </c>
      <c r="AL711" s="133">
        <v>0.961513583441138</v>
      </c>
      <c r="AM711" s="133">
        <v>0.965072721197306</v>
      </c>
      <c r="AN711" s="132">
        <v>0.99</v>
      </c>
      <c r="AO711" s="137">
        <v>1</v>
      </c>
      <c r="AP711" s="137">
        <v>1</v>
      </c>
      <c r="AQ711" s="137">
        <v>1</v>
      </c>
      <c r="AR711" s="137">
        <v>1</v>
      </c>
      <c r="AS711" s="158">
        <v>0.0810595228934205</v>
      </c>
      <c r="AT711" s="141">
        <v>0.0769230769230769</v>
      </c>
      <c r="AU711" s="141">
        <v>0.117647058823529</v>
      </c>
      <c r="AV711" s="141">
        <v>0</v>
      </c>
      <c r="AW711" s="141">
        <v>0.032520325203252</v>
      </c>
      <c r="AX711" s="95"/>
      <c r="AY711" s="93"/>
    </row>
    <row r="712" ht="14.5" spans="1:51">
      <c r="A712" s="91"/>
      <c r="B712" s="95"/>
      <c r="C712" s="152" t="s">
        <v>668</v>
      </c>
      <c r="D712" s="153" t="s">
        <v>25</v>
      </c>
      <c r="E712" s="130" t="s">
        <v>669</v>
      </c>
      <c r="F712" s="179" t="s">
        <v>739</v>
      </c>
      <c r="G712" s="179" t="s">
        <v>739</v>
      </c>
      <c r="H712" s="179" t="s">
        <v>739</v>
      </c>
      <c r="I712" s="179" t="s">
        <v>739</v>
      </c>
      <c r="J712" s="132">
        <v>0.9</v>
      </c>
      <c r="K712" s="133">
        <v>0.8</v>
      </c>
      <c r="L712" s="133">
        <v>0.702127659574468</v>
      </c>
      <c r="M712" s="134">
        <v>0.659574468085106</v>
      </c>
      <c r="N712" s="133">
        <v>0.736780258519389</v>
      </c>
      <c r="O712" s="135">
        <v>0.9</v>
      </c>
      <c r="P712" s="133">
        <v>0.934562760261749</v>
      </c>
      <c r="Q712" s="133">
        <v>0.93151096425353</v>
      </c>
      <c r="R712" s="133">
        <v>0.968568812938663</v>
      </c>
      <c r="S712" s="133">
        <v>0.95269898099697</v>
      </c>
      <c r="T712" s="135">
        <v>0.9</v>
      </c>
      <c r="U712" s="133">
        <v>0.918500892325996</v>
      </c>
      <c r="V712" s="133">
        <v>0.896064884349655</v>
      </c>
      <c r="W712" s="133">
        <v>0.931034482758621</v>
      </c>
      <c r="X712" s="133">
        <v>0.913436381162214</v>
      </c>
      <c r="Y712" s="135">
        <v>0.92</v>
      </c>
      <c r="Z712" s="135">
        <v>0.954332552693208</v>
      </c>
      <c r="AA712" s="135">
        <v>0.96671490593343</v>
      </c>
      <c r="AB712" s="135">
        <v>0.966449207828518</v>
      </c>
      <c r="AC712" s="135">
        <v>0.963997141757819</v>
      </c>
      <c r="AD712" s="135">
        <v>0.92</v>
      </c>
      <c r="AE712" s="133">
        <v>0.993788819875776</v>
      </c>
      <c r="AF712" s="133">
        <v>0.995269286754003</v>
      </c>
      <c r="AG712" s="133">
        <v>0.995426829268293</v>
      </c>
      <c r="AH712" s="133">
        <v>0.993335467535869</v>
      </c>
      <c r="AI712" s="135">
        <v>0.92</v>
      </c>
      <c r="AJ712" s="133">
        <v>0.970019723865878</v>
      </c>
      <c r="AK712" s="133">
        <v>0.976616915422886</v>
      </c>
      <c r="AL712" s="133">
        <v>0.979085267754539</v>
      </c>
      <c r="AM712" s="133">
        <v>0.976806317691895</v>
      </c>
      <c r="AN712" s="132">
        <v>0.99</v>
      </c>
      <c r="AO712" s="137">
        <v>1</v>
      </c>
      <c r="AP712" s="137">
        <v>1</v>
      </c>
      <c r="AQ712" s="137">
        <v>1</v>
      </c>
      <c r="AR712" s="137">
        <v>1</v>
      </c>
      <c r="AS712" s="158">
        <v>0.0810595228934205</v>
      </c>
      <c r="AT712" s="141">
        <v>0</v>
      </c>
      <c r="AU712" s="141">
        <v>0.0769230769230769</v>
      </c>
      <c r="AV712" s="141">
        <v>0</v>
      </c>
      <c r="AW712" s="141">
        <v>0.0241379310344828</v>
      </c>
      <c r="AX712" s="95"/>
      <c r="AY712" s="93"/>
    </row>
    <row r="713" ht="14.5" spans="1:51">
      <c r="A713" s="91"/>
      <c r="B713" s="95"/>
      <c r="C713" s="152" t="s">
        <v>668</v>
      </c>
      <c r="D713" s="153" t="s">
        <v>25</v>
      </c>
      <c r="E713" s="130" t="s">
        <v>669</v>
      </c>
      <c r="F713" s="179" t="s">
        <v>740</v>
      </c>
      <c r="G713" s="179" t="s">
        <v>740</v>
      </c>
      <c r="H713" s="179" t="s">
        <v>740</v>
      </c>
      <c r="I713" s="179" t="s">
        <v>740</v>
      </c>
      <c r="J713" s="132">
        <v>0.9</v>
      </c>
      <c r="K713" s="133">
        <v>0.964285714285714</v>
      </c>
      <c r="L713" s="133">
        <v>0.911764705882353</v>
      </c>
      <c r="M713" s="134">
        <v>0.823529411764706</v>
      </c>
      <c r="N713" s="133">
        <v>0.904</v>
      </c>
      <c r="O713" s="135">
        <v>0.9</v>
      </c>
      <c r="P713" s="133">
        <v>0.923723335488041</v>
      </c>
      <c r="Q713" s="133">
        <v>0.966770186335404</v>
      </c>
      <c r="R713" s="133">
        <v>0.969332911792602</v>
      </c>
      <c r="S713" s="133">
        <v>0.956226239150707</v>
      </c>
      <c r="T713" s="135">
        <v>0.9</v>
      </c>
      <c r="U713" s="133">
        <v>0.951519069166128</v>
      </c>
      <c r="V713" s="133">
        <v>0.938509316770186</v>
      </c>
      <c r="W713" s="133">
        <v>0.921593423964591</v>
      </c>
      <c r="X713" s="133">
        <v>0.926762786026827</v>
      </c>
      <c r="Y713" s="135">
        <v>0.92</v>
      </c>
      <c r="Z713" s="135">
        <v>0.972058823529412</v>
      </c>
      <c r="AA713" s="135">
        <v>0.976277372262774</v>
      </c>
      <c r="AB713" s="135">
        <v>0.96234309623431</v>
      </c>
      <c r="AC713" s="135">
        <v>0.964836105675147</v>
      </c>
      <c r="AD713" s="135">
        <v>0.92</v>
      </c>
      <c r="AE713" s="133">
        <v>0.99548532731377</v>
      </c>
      <c r="AF713" s="133">
        <v>0.986979166666667</v>
      </c>
      <c r="AG713" s="133">
        <v>0.994987468671679</v>
      </c>
      <c r="AH713" s="133">
        <v>0.994409776391056</v>
      </c>
      <c r="AI713" s="135">
        <v>0.92</v>
      </c>
      <c r="AJ713" s="133">
        <v>0.97262118491921</v>
      </c>
      <c r="AK713" s="133">
        <v>0.978503184713376</v>
      </c>
      <c r="AL713" s="133">
        <v>0.97110949259529</v>
      </c>
      <c r="AM713" s="133">
        <v>0.972062084257206</v>
      </c>
      <c r="AN713" s="132">
        <v>0.99</v>
      </c>
      <c r="AO713" s="137">
        <v>1</v>
      </c>
      <c r="AP713" s="137">
        <v>1</v>
      </c>
      <c r="AQ713" s="137">
        <v>1</v>
      </c>
      <c r="AR713" s="137">
        <v>1</v>
      </c>
      <c r="AS713" s="158">
        <v>0.0810595228934205</v>
      </c>
      <c r="AT713" s="141">
        <v>0</v>
      </c>
      <c r="AU713" s="141">
        <v>0</v>
      </c>
      <c r="AV713" s="141">
        <v>0.0714285714285714</v>
      </c>
      <c r="AW713" s="141">
        <v>0.0350877192982456</v>
      </c>
      <c r="AX713" s="95"/>
      <c r="AY713" s="93"/>
    </row>
    <row r="714" ht="14.5" spans="1:51">
      <c r="A714" s="91"/>
      <c r="B714" s="95"/>
      <c r="C714" s="152" t="s">
        <v>668</v>
      </c>
      <c r="D714" s="153" t="s">
        <v>25</v>
      </c>
      <c r="E714" s="130" t="s">
        <v>669</v>
      </c>
      <c r="F714" s="179" t="s">
        <v>741</v>
      </c>
      <c r="G714" s="179" t="s">
        <v>741</v>
      </c>
      <c r="H714" s="179" t="s">
        <v>741</v>
      </c>
      <c r="I714" s="179" t="s">
        <v>741</v>
      </c>
      <c r="J714" s="132">
        <v>0.9</v>
      </c>
      <c r="K714" s="133">
        <v>0.866666666666667</v>
      </c>
      <c r="L714" s="133">
        <v>0.6</v>
      </c>
      <c r="M714" s="134">
        <v>0.590909090909091</v>
      </c>
      <c r="N714" s="133">
        <v>0.694871794871795</v>
      </c>
      <c r="O714" s="135">
        <v>0.9</v>
      </c>
      <c r="P714" s="133">
        <v>0.944862155388471</v>
      </c>
      <c r="Q714" s="133">
        <v>0.954970760233918</v>
      </c>
      <c r="R714" s="133">
        <v>0.943630214205186</v>
      </c>
      <c r="S714" s="133">
        <v>0.939864947073853</v>
      </c>
      <c r="T714" s="135">
        <v>0.9</v>
      </c>
      <c r="U714" s="133">
        <v>0.847117794486215</v>
      </c>
      <c r="V714" s="133">
        <v>0.926900584795322</v>
      </c>
      <c r="W714" s="133">
        <v>0.888951521984216</v>
      </c>
      <c r="X714" s="133">
        <v>0.893569777345176</v>
      </c>
      <c r="Y714" s="135">
        <v>0.92</v>
      </c>
      <c r="Z714" s="135">
        <v>0.912596401028278</v>
      </c>
      <c r="AA714" s="135">
        <v>0.949152542372881</v>
      </c>
      <c r="AB714" s="135">
        <v>0.924843423799583</v>
      </c>
      <c r="AC714" s="135">
        <v>0.910565679974718</v>
      </c>
      <c r="AD714" s="135">
        <v>0.92</v>
      </c>
      <c r="AE714" s="133">
        <v>1</v>
      </c>
      <c r="AF714" s="133">
        <v>1</v>
      </c>
      <c r="AG714" s="133">
        <v>0.989583333333333</v>
      </c>
      <c r="AH714" s="133">
        <v>0.98455114822547</v>
      </c>
      <c r="AI714" s="135">
        <v>0.92</v>
      </c>
      <c r="AJ714" s="133">
        <v>0.945240101095198</v>
      </c>
      <c r="AK714" s="133">
        <v>0.958125623130608</v>
      </c>
      <c r="AL714" s="133">
        <v>0.946293830448291</v>
      </c>
      <c r="AM714" s="133">
        <v>0.947864840010375</v>
      </c>
      <c r="AN714" s="132">
        <v>0.99</v>
      </c>
      <c r="AO714" s="137">
        <v>1</v>
      </c>
      <c r="AP714" s="137" t="s">
        <v>35</v>
      </c>
      <c r="AQ714" s="137" t="s">
        <v>35</v>
      </c>
      <c r="AR714" s="137">
        <v>1</v>
      </c>
      <c r="AS714" s="158">
        <v>0.0810595228934205</v>
      </c>
      <c r="AT714" s="141">
        <v>1.5</v>
      </c>
      <c r="AU714" s="141">
        <v>0</v>
      </c>
      <c r="AV714" s="141">
        <v>0</v>
      </c>
      <c r="AW714" s="141">
        <v>0.0444444444444444</v>
      </c>
      <c r="AX714" s="95"/>
      <c r="AY714" s="93"/>
    </row>
    <row r="715" ht="14.5" spans="1:51">
      <c r="A715" s="91"/>
      <c r="B715" s="95"/>
      <c r="C715" s="152" t="s">
        <v>668</v>
      </c>
      <c r="D715" s="153" t="s">
        <v>25</v>
      </c>
      <c r="E715" s="130" t="s">
        <v>669</v>
      </c>
      <c r="F715" s="179" t="s">
        <v>742</v>
      </c>
      <c r="G715" s="179" t="s">
        <v>742</v>
      </c>
      <c r="H715" s="179" t="s">
        <v>742</v>
      </c>
      <c r="I715" s="179" t="s">
        <v>742</v>
      </c>
      <c r="J715" s="132">
        <v>0.9</v>
      </c>
      <c r="K715" s="133">
        <v>0.896551724137931</v>
      </c>
      <c r="L715" s="133">
        <v>0.896551724137931</v>
      </c>
      <c r="M715" s="134">
        <v>0.862068965517241</v>
      </c>
      <c r="N715" s="133">
        <v>0.887404580152672</v>
      </c>
      <c r="O715" s="135">
        <v>0.9</v>
      </c>
      <c r="P715" s="133">
        <v>0.977474807350326</v>
      </c>
      <c r="Q715" s="133">
        <v>0.975035868005739</v>
      </c>
      <c r="R715" s="133">
        <v>0.970234844347351</v>
      </c>
      <c r="S715" s="133">
        <v>0.960963923337091</v>
      </c>
      <c r="T715" s="135">
        <v>0.9</v>
      </c>
      <c r="U715" s="133">
        <v>0.94665085951393</v>
      </c>
      <c r="V715" s="133">
        <v>0.951793400286944</v>
      </c>
      <c r="W715" s="133">
        <v>0.956581103222283</v>
      </c>
      <c r="X715" s="133">
        <v>0.942455843667794</v>
      </c>
      <c r="Y715" s="135">
        <v>0.92</v>
      </c>
      <c r="Z715" s="135">
        <v>0.970379146919431</v>
      </c>
      <c r="AA715" s="135">
        <v>0.977044476327116</v>
      </c>
      <c r="AB715" s="135">
        <v>0.964705882352941</v>
      </c>
      <c r="AC715" s="135">
        <v>0.96609186310183</v>
      </c>
      <c r="AD715" s="135">
        <v>0.92</v>
      </c>
      <c r="AE715" s="133">
        <v>1</v>
      </c>
      <c r="AF715" s="133">
        <v>0.997574777687955</v>
      </c>
      <c r="AG715" s="133">
        <v>1</v>
      </c>
      <c r="AH715" s="133">
        <v>0.999053687464513</v>
      </c>
      <c r="AI715" s="135">
        <v>0.92</v>
      </c>
      <c r="AJ715" s="133">
        <v>0.975513428120063</v>
      </c>
      <c r="AK715" s="133">
        <v>0.981831221611284</v>
      </c>
      <c r="AL715" s="133">
        <v>0.980490874764003</v>
      </c>
      <c r="AM715" s="133">
        <v>0.975078144800203</v>
      </c>
      <c r="AN715" s="132">
        <v>0.99</v>
      </c>
      <c r="AO715" s="137">
        <v>1</v>
      </c>
      <c r="AP715" s="137">
        <v>1</v>
      </c>
      <c r="AQ715" s="137">
        <v>1</v>
      </c>
      <c r="AR715" s="137">
        <v>1</v>
      </c>
      <c r="AS715" s="158">
        <v>0.0810595228934205</v>
      </c>
      <c r="AT715" s="141">
        <v>0</v>
      </c>
      <c r="AU715" s="141">
        <v>0</v>
      </c>
      <c r="AV715" s="141">
        <v>0</v>
      </c>
      <c r="AW715" s="141">
        <v>0.0514705882352941</v>
      </c>
      <c r="AX715" s="95"/>
      <c r="AY715" s="93"/>
    </row>
    <row r="716" ht="14.5" spans="1:51">
      <c r="A716" s="91"/>
      <c r="B716" s="95"/>
      <c r="C716" s="152" t="s">
        <v>668</v>
      </c>
      <c r="D716" s="153" t="s">
        <v>25</v>
      </c>
      <c r="E716" s="130" t="s">
        <v>669</v>
      </c>
      <c r="F716" s="179" t="s">
        <v>743</v>
      </c>
      <c r="G716" s="179" t="s">
        <v>743</v>
      </c>
      <c r="H716" s="179" t="s">
        <v>743</v>
      </c>
      <c r="I716" s="179" t="s">
        <v>743</v>
      </c>
      <c r="J716" s="132">
        <v>0.9</v>
      </c>
      <c r="K716" s="133">
        <v>0.8125</v>
      </c>
      <c r="L716" s="133">
        <v>0.7</v>
      </c>
      <c r="M716" s="134">
        <v>0.7</v>
      </c>
      <c r="N716" s="133">
        <v>0.8</v>
      </c>
      <c r="O716" s="135">
        <v>0.9</v>
      </c>
      <c r="P716" s="133">
        <v>0.965043695380774</v>
      </c>
      <c r="Q716" s="133">
        <v>0.948148148148148</v>
      </c>
      <c r="R716" s="133">
        <v>0.922358435493287</v>
      </c>
      <c r="S716" s="133">
        <v>0.930890522030156</v>
      </c>
      <c r="T716" s="135">
        <v>0.9</v>
      </c>
      <c r="U716" s="133">
        <v>0.920099875156055</v>
      </c>
      <c r="V716" s="133">
        <v>0.935185185185185</v>
      </c>
      <c r="W716" s="133">
        <v>0.921190893169877</v>
      </c>
      <c r="X716" s="133">
        <v>0.912914467101404</v>
      </c>
      <c r="Y716" s="135">
        <v>0.92</v>
      </c>
      <c r="Z716" s="135">
        <v>0.896457765667575</v>
      </c>
      <c r="AA716" s="135">
        <v>0.888888888888889</v>
      </c>
      <c r="AB716" s="135">
        <v>0.923679060665362</v>
      </c>
      <c r="AC716" s="135">
        <v>0.888786020136558</v>
      </c>
      <c r="AD716" s="135">
        <v>0.92</v>
      </c>
      <c r="AE716" s="133">
        <v>0.994594594594595</v>
      </c>
      <c r="AF716" s="133">
        <v>0.976744186046512</v>
      </c>
      <c r="AG716" s="133">
        <v>0.971428571428571</v>
      </c>
      <c r="AH716" s="133">
        <v>0.977148080438757</v>
      </c>
      <c r="AI716" s="135">
        <v>0.92</v>
      </c>
      <c r="AJ716" s="133">
        <v>0.936643835616438</v>
      </c>
      <c r="AK716" s="133">
        <v>0.950965049556599</v>
      </c>
      <c r="AL716" s="133">
        <v>0.953728661275831</v>
      </c>
      <c r="AM716" s="133">
        <v>0.94221572794899</v>
      </c>
      <c r="AN716" s="132">
        <v>0.99</v>
      </c>
      <c r="AO716" s="137">
        <v>1</v>
      </c>
      <c r="AP716" s="137">
        <v>1</v>
      </c>
      <c r="AQ716" s="137">
        <v>1</v>
      </c>
      <c r="AR716" s="137">
        <v>1</v>
      </c>
      <c r="AS716" s="158">
        <v>0.0810595228934205</v>
      </c>
      <c r="AT716" s="141">
        <v>0</v>
      </c>
      <c r="AU716" s="141">
        <v>0</v>
      </c>
      <c r="AV716" s="141">
        <v>0</v>
      </c>
      <c r="AW716" s="141">
        <v>0.0434782608695652</v>
      </c>
      <c r="AX716" s="95"/>
      <c r="AY716" s="93"/>
    </row>
    <row r="717" ht="14.5" spans="1:51">
      <c r="A717" s="91"/>
      <c r="B717" s="95"/>
      <c r="C717" s="152" t="s">
        <v>668</v>
      </c>
      <c r="D717" s="153" t="s">
        <v>25</v>
      </c>
      <c r="E717" s="130" t="s">
        <v>669</v>
      </c>
      <c r="F717" s="179" t="s">
        <v>744</v>
      </c>
      <c r="G717" s="179" t="s">
        <v>744</v>
      </c>
      <c r="H717" s="179" t="s">
        <v>744</v>
      </c>
      <c r="I717" s="179" t="s">
        <v>744</v>
      </c>
      <c r="J717" s="132">
        <v>0.9</v>
      </c>
      <c r="K717" s="133">
        <v>0.592592592592593</v>
      </c>
      <c r="L717" s="133">
        <v>0.59375</v>
      </c>
      <c r="M717" s="134">
        <v>0.5</v>
      </c>
      <c r="N717" s="133">
        <v>0.631118881118881</v>
      </c>
      <c r="O717" s="135">
        <v>0.9</v>
      </c>
      <c r="P717" s="133">
        <v>0.900512820512821</v>
      </c>
      <c r="Q717" s="133">
        <v>0.925130890052356</v>
      </c>
      <c r="R717" s="133">
        <v>0.829594272076372</v>
      </c>
      <c r="S717" s="133">
        <v>0.843696443873179</v>
      </c>
      <c r="T717" s="135">
        <v>0.9</v>
      </c>
      <c r="U717" s="133">
        <v>0.753846153846154</v>
      </c>
      <c r="V717" s="133">
        <v>0.86020942408377</v>
      </c>
      <c r="W717" s="133">
        <v>0.782816229116945</v>
      </c>
      <c r="X717" s="133">
        <v>0.819167737789203</v>
      </c>
      <c r="Y717" s="135">
        <v>0.92</v>
      </c>
      <c r="Z717" s="135">
        <v>0.888198757763975</v>
      </c>
      <c r="AA717" s="135">
        <v>0.888</v>
      </c>
      <c r="AB717" s="135">
        <v>0.76625386996904</v>
      </c>
      <c r="AC717" s="135">
        <v>0.890521411933345</v>
      </c>
      <c r="AD717" s="135">
        <v>0.92</v>
      </c>
      <c r="AE717" s="133">
        <v>1</v>
      </c>
      <c r="AF717" s="133">
        <v>0.987903225806452</v>
      </c>
      <c r="AG717" s="133">
        <v>0.982456140350877</v>
      </c>
      <c r="AH717" s="133">
        <v>0.977129598939344</v>
      </c>
      <c r="AI717" s="135">
        <v>0.92</v>
      </c>
      <c r="AJ717" s="133">
        <v>0.88957475994513</v>
      </c>
      <c r="AK717" s="133">
        <v>0.919037199124726</v>
      </c>
      <c r="AL717" s="133">
        <v>0.858810653046333</v>
      </c>
      <c r="AM717" s="133">
        <v>0.926239643872882</v>
      </c>
      <c r="AN717" s="132">
        <v>0.99</v>
      </c>
      <c r="AO717" s="137">
        <v>1</v>
      </c>
      <c r="AP717" s="137">
        <v>1</v>
      </c>
      <c r="AQ717" s="137">
        <v>1</v>
      </c>
      <c r="AR717" s="137">
        <v>1</v>
      </c>
      <c r="AS717" s="158">
        <v>0.0810595228934205</v>
      </c>
      <c r="AT717" s="141">
        <v>0.5</v>
      </c>
      <c r="AU717" s="141">
        <v>0</v>
      </c>
      <c r="AV717" s="141">
        <v>0</v>
      </c>
      <c r="AW717" s="141">
        <v>0.0538461538461538</v>
      </c>
      <c r="AX717" s="95"/>
      <c r="AY717" s="93"/>
    </row>
    <row r="718" ht="14.5" spans="1:51">
      <c r="A718" s="91"/>
      <c r="B718" s="95"/>
      <c r="C718" s="152" t="s">
        <v>668</v>
      </c>
      <c r="D718" s="153" t="s">
        <v>25</v>
      </c>
      <c r="E718" s="130" t="s">
        <v>669</v>
      </c>
      <c r="F718" s="179" t="s">
        <v>745</v>
      </c>
      <c r="G718" s="179" t="s">
        <v>745</v>
      </c>
      <c r="H718" s="179" t="s">
        <v>745</v>
      </c>
      <c r="I718" s="179" t="s">
        <v>745</v>
      </c>
      <c r="J718" s="132">
        <v>0.9</v>
      </c>
      <c r="K718" s="133">
        <v>0.976190476190476</v>
      </c>
      <c r="L718" s="133">
        <v>0.897959183673469</v>
      </c>
      <c r="M718" s="134">
        <v>0.895833333333333</v>
      </c>
      <c r="N718" s="133">
        <v>0.942632170978628</v>
      </c>
      <c r="O718" s="135">
        <v>0.9</v>
      </c>
      <c r="P718" s="133">
        <v>0.974106680476437</v>
      </c>
      <c r="Q718" s="133">
        <v>0.956501182033097</v>
      </c>
      <c r="R718" s="133">
        <v>0.976538908246225</v>
      </c>
      <c r="S718" s="133">
        <v>0.96840737647324</v>
      </c>
      <c r="T718" s="135">
        <v>0.9</v>
      </c>
      <c r="U718" s="133">
        <v>0.953909891248058</v>
      </c>
      <c r="V718" s="133">
        <v>0.953900709219858</v>
      </c>
      <c r="W718" s="133">
        <v>0.961207897793264</v>
      </c>
      <c r="X718" s="133">
        <v>0.955295708547111</v>
      </c>
      <c r="Y718" s="135">
        <v>0.92</v>
      </c>
      <c r="Z718" s="135">
        <v>0.966280295047418</v>
      </c>
      <c r="AA718" s="135">
        <v>0.952879581151832</v>
      </c>
      <c r="AB718" s="135">
        <v>0.936874518860662</v>
      </c>
      <c r="AC718" s="135">
        <v>0.96056645872228</v>
      </c>
      <c r="AD718" s="135">
        <v>0.92</v>
      </c>
      <c r="AE718" s="133">
        <v>1</v>
      </c>
      <c r="AF718" s="133">
        <v>0.993512511584801</v>
      </c>
      <c r="AG718" s="133">
        <v>0.988262910798122</v>
      </c>
      <c r="AH718" s="133">
        <v>0.984319874558996</v>
      </c>
      <c r="AI718" s="135">
        <v>0.92</v>
      </c>
      <c r="AJ718" s="133">
        <v>0.968055555555556</v>
      </c>
      <c r="AK718" s="133">
        <v>0.968768768768769</v>
      </c>
      <c r="AL718" s="133">
        <v>0.969669937555754</v>
      </c>
      <c r="AM718" s="133">
        <v>0.974052101081847</v>
      </c>
      <c r="AN718" s="132">
        <v>0.99</v>
      </c>
      <c r="AO718" s="137">
        <v>1</v>
      </c>
      <c r="AP718" s="137">
        <v>1</v>
      </c>
      <c r="AQ718" s="137">
        <v>1</v>
      </c>
      <c r="AR718" s="137">
        <v>1</v>
      </c>
      <c r="AS718" s="158">
        <v>0.0810595228934205</v>
      </c>
      <c r="AT718" s="141">
        <v>0</v>
      </c>
      <c r="AU718" s="141">
        <v>0</v>
      </c>
      <c r="AV718" s="141">
        <v>0.0454545454545455</v>
      </c>
      <c r="AW718" s="141">
        <v>0.032258064516129</v>
      </c>
      <c r="AX718" s="95"/>
      <c r="AY718" s="93"/>
    </row>
    <row r="719" ht="14.5" spans="1:51">
      <c r="A719" s="91"/>
      <c r="B719" s="95"/>
      <c r="C719" s="152" t="s">
        <v>668</v>
      </c>
      <c r="D719" s="153" t="s">
        <v>25</v>
      </c>
      <c r="E719" s="130" t="s">
        <v>669</v>
      </c>
      <c r="F719" s="179" t="s">
        <v>746</v>
      </c>
      <c r="G719" s="179" t="s">
        <v>746</v>
      </c>
      <c r="H719" s="179" t="s">
        <v>746</v>
      </c>
      <c r="I719" s="179" t="s">
        <v>746</v>
      </c>
      <c r="J719" s="132">
        <v>0.9</v>
      </c>
      <c r="K719" s="133">
        <v>0.972222222222222</v>
      </c>
      <c r="L719" s="133">
        <v>0.9</v>
      </c>
      <c r="M719" s="134">
        <v>0.948717948717949</v>
      </c>
      <c r="N719" s="133">
        <v>0.967018469656992</v>
      </c>
      <c r="O719" s="135">
        <v>0.9</v>
      </c>
      <c r="P719" s="133">
        <v>0.988343558282209</v>
      </c>
      <c r="Q719" s="133">
        <v>0.968828715365239</v>
      </c>
      <c r="R719" s="133">
        <v>0.968143203883495</v>
      </c>
      <c r="S719" s="133">
        <v>0.967637991395677</v>
      </c>
      <c r="T719" s="135">
        <v>0.9</v>
      </c>
      <c r="U719" s="133">
        <v>0.939877300613497</v>
      </c>
      <c r="V719" s="133">
        <v>0.909949622166247</v>
      </c>
      <c r="W719" s="133">
        <v>0.882584951456311</v>
      </c>
      <c r="X719" s="133">
        <v>0.925870447459635</v>
      </c>
      <c r="Y719" s="135">
        <v>0.92</v>
      </c>
      <c r="Z719" s="135">
        <v>0.894378194207836</v>
      </c>
      <c r="AA719" s="135">
        <v>0.922437673130194</v>
      </c>
      <c r="AB719" s="135">
        <v>0.869240348692404</v>
      </c>
      <c r="AC719" s="135">
        <v>0.926574188394219</v>
      </c>
      <c r="AD719" s="135">
        <v>0.92</v>
      </c>
      <c r="AE719" s="133">
        <v>1</v>
      </c>
      <c r="AF719" s="133">
        <v>0.998891352549889</v>
      </c>
      <c r="AG719" s="133">
        <v>0.996385542168675</v>
      </c>
      <c r="AH719" s="133">
        <v>0.997883425594269</v>
      </c>
      <c r="AI719" s="135">
        <v>0.92</v>
      </c>
      <c r="AJ719" s="133">
        <v>0.946323861073523</v>
      </c>
      <c r="AK719" s="133">
        <v>0.951088493073226</v>
      </c>
      <c r="AL719" s="133">
        <v>0.939741400341547</v>
      </c>
      <c r="AM719" s="133">
        <v>0.961902086113648</v>
      </c>
      <c r="AN719" s="132">
        <v>0.99</v>
      </c>
      <c r="AO719" s="137">
        <v>1</v>
      </c>
      <c r="AP719" s="137">
        <v>1</v>
      </c>
      <c r="AQ719" s="137">
        <v>1</v>
      </c>
      <c r="AR719" s="137">
        <v>1</v>
      </c>
      <c r="AS719" s="158">
        <v>0.0810595228934205</v>
      </c>
      <c r="AT719" s="141">
        <v>0</v>
      </c>
      <c r="AU719" s="141">
        <v>0.107142857142857</v>
      </c>
      <c r="AV719" s="141">
        <v>0</v>
      </c>
      <c r="AW719" s="141">
        <v>0.0171306209850107</v>
      </c>
      <c r="AX719" s="95"/>
      <c r="AY719" s="93"/>
    </row>
    <row r="720" ht="14.5" spans="1:51">
      <c r="A720" s="91"/>
      <c r="B720" s="95"/>
      <c r="C720" s="152" t="s">
        <v>668</v>
      </c>
      <c r="D720" s="153" t="s">
        <v>25</v>
      </c>
      <c r="E720" s="130" t="s">
        <v>669</v>
      </c>
      <c r="F720" s="179" t="s">
        <v>747</v>
      </c>
      <c r="G720" s="179" t="s">
        <v>747</v>
      </c>
      <c r="H720" s="179" t="s">
        <v>747</v>
      </c>
      <c r="I720" s="179" t="s">
        <v>747</v>
      </c>
      <c r="J720" s="132">
        <v>0.9</v>
      </c>
      <c r="K720" s="133">
        <v>0.971014492753623</v>
      </c>
      <c r="L720" s="133">
        <v>0.928571428571429</v>
      </c>
      <c r="M720" s="134">
        <v>0.970149253731343</v>
      </c>
      <c r="N720" s="133">
        <v>0.972179289026275</v>
      </c>
      <c r="O720" s="135">
        <v>0.9</v>
      </c>
      <c r="P720" s="133">
        <v>0.988384371700106</v>
      </c>
      <c r="Q720" s="133">
        <v>0.988209159261791</v>
      </c>
      <c r="R720" s="133">
        <v>0.979938521274875</v>
      </c>
      <c r="S720" s="133">
        <v>0.981619620546043</v>
      </c>
      <c r="T720" s="135">
        <v>0.9</v>
      </c>
      <c r="U720" s="133">
        <v>0.952129531854981</v>
      </c>
      <c r="V720" s="133">
        <v>0.944976076555024</v>
      </c>
      <c r="W720" s="133">
        <v>0.931402685649571</v>
      </c>
      <c r="X720" s="133">
        <v>0.936196205460435</v>
      </c>
      <c r="Y720" s="135">
        <v>0.92</v>
      </c>
      <c r="Z720" s="135">
        <v>0.935984481086324</v>
      </c>
      <c r="AA720" s="135">
        <v>0.936267071320182</v>
      </c>
      <c r="AB720" s="135">
        <v>0.942675159235669</v>
      </c>
      <c r="AC720" s="135">
        <v>0.94798083504449</v>
      </c>
      <c r="AD720" s="135">
        <v>0.92</v>
      </c>
      <c r="AE720" s="133">
        <v>0.997333333333333</v>
      </c>
      <c r="AF720" s="133">
        <v>0.952173913043478</v>
      </c>
      <c r="AG720" s="133">
        <v>0.967136150234742</v>
      </c>
      <c r="AH720" s="133">
        <v>0.979919001012487</v>
      </c>
      <c r="AI720" s="135">
        <v>0.92</v>
      </c>
      <c r="AJ720" s="133">
        <v>0.960485537190083</v>
      </c>
      <c r="AK720" s="133">
        <v>0.961910612809092</v>
      </c>
      <c r="AL720" s="133">
        <v>0.965249440568645</v>
      </c>
      <c r="AM720" s="133">
        <v>0.972201134283035</v>
      </c>
      <c r="AN720" s="132">
        <v>0.99</v>
      </c>
      <c r="AO720" s="137">
        <v>1</v>
      </c>
      <c r="AP720" s="137">
        <v>1</v>
      </c>
      <c r="AQ720" s="137">
        <v>1</v>
      </c>
      <c r="AR720" s="137">
        <v>1</v>
      </c>
      <c r="AS720" s="158">
        <v>0.0810595228934205</v>
      </c>
      <c r="AT720" s="141">
        <v>0.0333333333333333</v>
      </c>
      <c r="AU720" s="141">
        <v>0</v>
      </c>
      <c r="AV720" s="141">
        <v>0.0266666666666667</v>
      </c>
      <c r="AW720" s="141">
        <v>0.0277777777777778</v>
      </c>
      <c r="AX720" s="95"/>
      <c r="AY720" s="93"/>
    </row>
    <row r="721" ht="14.5" spans="1:51">
      <c r="A721" s="91"/>
      <c r="B721" s="95"/>
      <c r="C721" s="152" t="s">
        <v>668</v>
      </c>
      <c r="D721" s="153" t="s">
        <v>25</v>
      </c>
      <c r="E721" s="130" t="s">
        <v>669</v>
      </c>
      <c r="F721" s="179" t="s">
        <v>748</v>
      </c>
      <c r="G721" s="179" t="s">
        <v>748</v>
      </c>
      <c r="H721" s="179" t="s">
        <v>748</v>
      </c>
      <c r="I721" s="179" t="s">
        <v>748</v>
      </c>
      <c r="J721" s="132">
        <v>0.9</v>
      </c>
      <c r="K721" s="133">
        <v>0.975609756097561</v>
      </c>
      <c r="L721" s="133">
        <v>0.976744186046512</v>
      </c>
      <c r="M721" s="134">
        <v>0.976190476190476</v>
      </c>
      <c r="N721" s="133">
        <v>0.955500618046972</v>
      </c>
      <c r="O721" s="135">
        <v>0.9</v>
      </c>
      <c r="P721" s="133">
        <v>0.963254593175853</v>
      </c>
      <c r="Q721" s="133">
        <v>0.920480363518338</v>
      </c>
      <c r="R721" s="133">
        <v>0.9349376114082</v>
      </c>
      <c r="S721" s="133">
        <v>0.917953343591376</v>
      </c>
      <c r="T721" s="135">
        <v>0.9</v>
      </c>
      <c r="U721" s="133">
        <v>0.769685039370079</v>
      </c>
      <c r="V721" s="133">
        <v>0.787731256085687</v>
      </c>
      <c r="W721" s="133">
        <v>0.751039809863339</v>
      </c>
      <c r="X721" s="133">
        <v>0.796908438124547</v>
      </c>
      <c r="Y721" s="135">
        <v>0.92</v>
      </c>
      <c r="Z721" s="135">
        <v>0.89945155393053</v>
      </c>
      <c r="AA721" s="135">
        <v>0.939130434782609</v>
      </c>
      <c r="AB721" s="135">
        <v>0.880112834978843</v>
      </c>
      <c r="AC721" s="135">
        <v>0.912609706698672</v>
      </c>
      <c r="AD721" s="135">
        <v>0.92</v>
      </c>
      <c r="AE721" s="133">
        <v>0.994727592267135</v>
      </c>
      <c r="AF721" s="133">
        <v>0.996746203904555</v>
      </c>
      <c r="AG721" s="133">
        <v>0.994186046511628</v>
      </c>
      <c r="AH721" s="133">
        <v>0.989902670067142</v>
      </c>
      <c r="AI721" s="135">
        <v>0.92</v>
      </c>
      <c r="AJ721" s="133">
        <v>0.929502655721874</v>
      </c>
      <c r="AK721" s="133">
        <v>0.954200700116686</v>
      </c>
      <c r="AL721" s="133">
        <v>0.927379784102061</v>
      </c>
      <c r="AM721" s="133">
        <v>0.952218088151116</v>
      </c>
      <c r="AN721" s="132">
        <v>0.99</v>
      </c>
      <c r="AO721" s="137">
        <v>1</v>
      </c>
      <c r="AP721" s="137">
        <v>1</v>
      </c>
      <c r="AQ721" s="137">
        <v>1</v>
      </c>
      <c r="AR721" s="137">
        <v>1</v>
      </c>
      <c r="AS721" s="158">
        <v>0.0810595228934205</v>
      </c>
      <c r="AT721" s="141">
        <v>0.25</v>
      </c>
      <c r="AU721" s="141">
        <v>0</v>
      </c>
      <c r="AV721" s="141">
        <v>0.0714285714285714</v>
      </c>
      <c r="AW721" s="141">
        <v>0.035230352303523</v>
      </c>
      <c r="AX721" s="95"/>
      <c r="AY721" s="93"/>
    </row>
    <row r="722" ht="14.5" spans="1:51">
      <c r="A722" s="91"/>
      <c r="B722" s="95"/>
      <c r="C722" s="152" t="s">
        <v>668</v>
      </c>
      <c r="D722" s="153" t="s">
        <v>25</v>
      </c>
      <c r="E722" s="130" t="s">
        <v>669</v>
      </c>
      <c r="F722" s="179" t="s">
        <v>749</v>
      </c>
      <c r="G722" s="179" t="s">
        <v>749</v>
      </c>
      <c r="H722" s="179" t="s">
        <v>749</v>
      </c>
      <c r="I722" s="179" t="s">
        <v>749</v>
      </c>
      <c r="J722" s="132">
        <v>0.9</v>
      </c>
      <c r="K722" s="133">
        <v>0.966666666666667</v>
      </c>
      <c r="L722" s="133">
        <v>0.911764705882353</v>
      </c>
      <c r="M722" s="134">
        <v>0.944444444444444</v>
      </c>
      <c r="N722" s="133">
        <v>0.962441314553991</v>
      </c>
      <c r="O722" s="135">
        <v>0.9</v>
      </c>
      <c r="P722" s="133">
        <v>0.973232669869595</v>
      </c>
      <c r="Q722" s="133">
        <v>0.954517326732673</v>
      </c>
      <c r="R722" s="133">
        <v>0.959667852906287</v>
      </c>
      <c r="S722" s="133">
        <v>0.960935992562578</v>
      </c>
      <c r="T722" s="135">
        <v>0.9</v>
      </c>
      <c r="U722" s="133">
        <v>0.899794097460535</v>
      </c>
      <c r="V722" s="133">
        <v>0.918007425742574</v>
      </c>
      <c r="W722" s="133">
        <v>0.910142348754448</v>
      </c>
      <c r="X722" s="133">
        <v>0.927186935396165</v>
      </c>
      <c r="Y722" s="135">
        <v>0.92</v>
      </c>
      <c r="Z722" s="135">
        <v>0.944741532976827</v>
      </c>
      <c r="AA722" s="135">
        <v>0.959459459459459</v>
      </c>
      <c r="AB722" s="135">
        <v>0.954767726161369</v>
      </c>
      <c r="AC722" s="135">
        <v>0.959906242289662</v>
      </c>
      <c r="AD722" s="135">
        <v>0.92</v>
      </c>
      <c r="AE722" s="133">
        <v>0.997474747474748</v>
      </c>
      <c r="AF722" s="133">
        <v>0.996323529411765</v>
      </c>
      <c r="AG722" s="133">
        <v>0.993939393939394</v>
      </c>
      <c r="AH722" s="133">
        <v>0.991575400168492</v>
      </c>
      <c r="AI722" s="135">
        <v>0.92</v>
      </c>
      <c r="AJ722" s="133">
        <v>0.956888007928642</v>
      </c>
      <c r="AK722" s="133">
        <v>0.963918956425201</v>
      </c>
      <c r="AL722" s="133">
        <v>0.95799522673031</v>
      </c>
      <c r="AM722" s="133">
        <v>0.969013315124616</v>
      </c>
      <c r="AN722" s="132">
        <v>0.99</v>
      </c>
      <c r="AO722" s="137">
        <v>1</v>
      </c>
      <c r="AP722" s="137">
        <v>1</v>
      </c>
      <c r="AQ722" s="137">
        <v>1</v>
      </c>
      <c r="AR722" s="137">
        <v>1</v>
      </c>
      <c r="AS722" s="158">
        <v>0.0810595228934205</v>
      </c>
      <c r="AT722" s="141">
        <v>0</v>
      </c>
      <c r="AU722" s="141">
        <v>0</v>
      </c>
      <c r="AV722" s="141">
        <v>0.125</v>
      </c>
      <c r="AW722" s="141">
        <v>0.0125</v>
      </c>
      <c r="AX722" s="95"/>
      <c r="AY722" s="93"/>
    </row>
    <row r="723" ht="14.5" spans="1:51">
      <c r="A723" s="91"/>
      <c r="B723" s="95"/>
      <c r="C723" s="152" t="s">
        <v>668</v>
      </c>
      <c r="D723" s="153" t="s">
        <v>25</v>
      </c>
      <c r="E723" s="130" t="s">
        <v>669</v>
      </c>
      <c r="F723" s="179" t="s">
        <v>750</v>
      </c>
      <c r="G723" s="179" t="s">
        <v>750</v>
      </c>
      <c r="H723" s="179" t="s">
        <v>750</v>
      </c>
      <c r="I723" s="179" t="s">
        <v>750</v>
      </c>
      <c r="J723" s="132">
        <v>0.9</v>
      </c>
      <c r="K723" s="133">
        <v>1</v>
      </c>
      <c r="L723" s="133">
        <v>0.9375</v>
      </c>
      <c r="M723" s="134">
        <v>1</v>
      </c>
      <c r="N723" s="133">
        <v>0.994652406417112</v>
      </c>
      <c r="O723" s="135">
        <v>0.9</v>
      </c>
      <c r="P723" s="133">
        <v>0.983870967741935</v>
      </c>
      <c r="Q723" s="133">
        <v>0.982367758186398</v>
      </c>
      <c r="R723" s="133">
        <v>0.978992997665889</v>
      </c>
      <c r="S723" s="133">
        <v>0.960696775222227</v>
      </c>
      <c r="T723" s="135">
        <v>0.9</v>
      </c>
      <c r="U723" s="133">
        <v>0.935483870967742</v>
      </c>
      <c r="V723" s="133">
        <v>0.935588341129903</v>
      </c>
      <c r="W723" s="133">
        <v>0.916305435145048</v>
      </c>
      <c r="X723" s="133">
        <v>0.932754016024236</v>
      </c>
      <c r="Y723" s="135">
        <v>0.92</v>
      </c>
      <c r="Z723" s="135">
        <v>0.875</v>
      </c>
      <c r="AA723" s="135">
        <v>0.819277108433735</v>
      </c>
      <c r="AB723" s="135">
        <v>0.900293255131965</v>
      </c>
      <c r="AC723" s="135">
        <v>0.893186922884951</v>
      </c>
      <c r="AD723" s="135">
        <v>0.92</v>
      </c>
      <c r="AE723" s="133">
        <v>0.999086757990868</v>
      </c>
      <c r="AF723" s="133">
        <v>0.988372093023256</v>
      </c>
      <c r="AG723" s="133">
        <v>0.990196078431373</v>
      </c>
      <c r="AH723" s="133">
        <v>0.997831164497831</v>
      </c>
      <c r="AI723" s="135">
        <v>0.92</v>
      </c>
      <c r="AJ723" s="133">
        <v>0.932254196642686</v>
      </c>
      <c r="AK723" s="133">
        <v>0.951799273687686</v>
      </c>
      <c r="AL723" s="133">
        <v>0.955730581205866</v>
      </c>
      <c r="AM723" s="133">
        <v>0.957684707696757</v>
      </c>
      <c r="AN723" s="132">
        <v>0.99</v>
      </c>
      <c r="AO723" s="137">
        <v>1</v>
      </c>
      <c r="AP723" s="137">
        <v>1</v>
      </c>
      <c r="AQ723" s="137">
        <v>1</v>
      </c>
      <c r="AR723" s="137">
        <v>1</v>
      </c>
      <c r="AS723" s="158">
        <v>0.0810595228934205</v>
      </c>
      <c r="AT723" s="141">
        <v>0</v>
      </c>
      <c r="AU723" s="141">
        <v>0.05</v>
      </c>
      <c r="AV723" s="141">
        <v>0.105263157894737</v>
      </c>
      <c r="AW723" s="141">
        <v>0.026431718061674</v>
      </c>
      <c r="AX723" s="95"/>
      <c r="AY723" s="93"/>
    </row>
    <row r="724" ht="14.5" spans="1:51">
      <c r="A724" s="91"/>
      <c r="B724" s="95"/>
      <c r="C724" s="152" t="s">
        <v>668</v>
      </c>
      <c r="D724" s="153" t="s">
        <v>25</v>
      </c>
      <c r="E724" s="130" t="s">
        <v>669</v>
      </c>
      <c r="F724" s="179" t="s">
        <v>751</v>
      </c>
      <c r="G724" s="179" t="s">
        <v>751</v>
      </c>
      <c r="H724" s="179" t="s">
        <v>751</v>
      </c>
      <c r="I724" s="179" t="s">
        <v>751</v>
      </c>
      <c r="J724" s="132">
        <v>0.9</v>
      </c>
      <c r="K724" s="133">
        <v>0.96</v>
      </c>
      <c r="L724" s="133">
        <v>0.962264150943396</v>
      </c>
      <c r="M724" s="134">
        <v>0.96078431372549</v>
      </c>
      <c r="N724" s="133">
        <v>0.963362068965517</v>
      </c>
      <c r="O724" s="135">
        <v>0.9</v>
      </c>
      <c r="P724" s="133">
        <v>0.982102908277405</v>
      </c>
      <c r="Q724" s="133">
        <v>0.92972972972973</v>
      </c>
      <c r="R724" s="133">
        <v>0.95393634840871</v>
      </c>
      <c r="S724" s="133">
        <v>0.951074176388667</v>
      </c>
      <c r="T724" s="135">
        <v>0.9</v>
      </c>
      <c r="U724" s="133">
        <v>0.83758389261745</v>
      </c>
      <c r="V724" s="133">
        <v>0.781189189189189</v>
      </c>
      <c r="W724" s="133">
        <v>0.764865996649916</v>
      </c>
      <c r="X724" s="133">
        <v>0.73480057532933</v>
      </c>
      <c r="Y724" s="135">
        <v>0.92</v>
      </c>
      <c r="Z724" s="135">
        <v>0.880952380952381</v>
      </c>
      <c r="AA724" s="135">
        <v>0.850180505415162</v>
      </c>
      <c r="AB724" s="135">
        <v>0.880386983289358</v>
      </c>
      <c r="AC724" s="135">
        <v>0.886373365041617</v>
      </c>
      <c r="AD724" s="135">
        <v>0.92</v>
      </c>
      <c r="AE724" s="133">
        <v>0.999689151383276</v>
      </c>
      <c r="AF724" s="133">
        <v>0.999213630406291</v>
      </c>
      <c r="AG724" s="133">
        <v>0.99917695473251</v>
      </c>
      <c r="AH724" s="133">
        <v>0.998238672622846</v>
      </c>
      <c r="AI724" s="135">
        <v>0.92</v>
      </c>
      <c r="AJ724" s="133">
        <v>0.920211012199143</v>
      </c>
      <c r="AK724" s="133">
        <v>0.923730449893802</v>
      </c>
      <c r="AL724" s="133">
        <v>0.928474805546162</v>
      </c>
      <c r="AM724" s="133">
        <v>0.939300212642567</v>
      </c>
      <c r="AN724" s="132">
        <v>0.99</v>
      </c>
      <c r="AO724" s="137">
        <v>1</v>
      </c>
      <c r="AP724" s="137">
        <v>1</v>
      </c>
      <c r="AQ724" s="137">
        <v>1</v>
      </c>
      <c r="AR724" s="137">
        <v>1</v>
      </c>
      <c r="AS724" s="158">
        <v>0.0810595228934205</v>
      </c>
      <c r="AT724" s="141">
        <v>0</v>
      </c>
      <c r="AU724" s="141">
        <v>0.0526315789473684</v>
      </c>
      <c r="AV724" s="141">
        <v>0</v>
      </c>
      <c r="AW724" s="141">
        <v>0.0348837209302326</v>
      </c>
      <c r="AX724" s="95"/>
      <c r="AY724" s="93"/>
    </row>
    <row r="725" ht="14.5" spans="1:51">
      <c r="A725" s="91"/>
      <c r="B725" s="95"/>
      <c r="C725" s="152" t="s">
        <v>668</v>
      </c>
      <c r="D725" s="153" t="s">
        <v>25</v>
      </c>
      <c r="E725" s="130" t="s">
        <v>669</v>
      </c>
      <c r="F725" s="179" t="s">
        <v>752</v>
      </c>
      <c r="G725" s="179" t="s">
        <v>752</v>
      </c>
      <c r="H725" s="179" t="s">
        <v>752</v>
      </c>
      <c r="I725" s="179" t="s">
        <v>752</v>
      </c>
      <c r="J725" s="132">
        <v>0.9</v>
      </c>
      <c r="K725" s="133">
        <v>0.961538461538462</v>
      </c>
      <c r="L725" s="133">
        <v>0.862068965517241</v>
      </c>
      <c r="M725" s="134">
        <v>0.964285714285714</v>
      </c>
      <c r="N725" s="133">
        <v>0.931297709923664</v>
      </c>
      <c r="O725" s="135">
        <v>0.9</v>
      </c>
      <c r="P725" s="133">
        <v>0.966401414677277</v>
      </c>
      <c r="Q725" s="133">
        <v>0.96602787456446</v>
      </c>
      <c r="R725" s="133">
        <v>0.9589995899959</v>
      </c>
      <c r="S725" s="133">
        <v>0.960960960960961</v>
      </c>
      <c r="T725" s="135">
        <v>0.9</v>
      </c>
      <c r="U725" s="133">
        <v>0.8894783377542</v>
      </c>
      <c r="V725" s="133">
        <v>0.905052264808362</v>
      </c>
      <c r="W725" s="133">
        <v>0.915129151291513</v>
      </c>
      <c r="X725" s="133">
        <v>0.91589299222887</v>
      </c>
      <c r="Y725" s="135">
        <v>0.92</v>
      </c>
      <c r="Z725" s="135">
        <v>0.895408163265306</v>
      </c>
      <c r="AA725" s="135">
        <v>0.926070038910506</v>
      </c>
      <c r="AB725" s="135">
        <v>0.933092224231465</v>
      </c>
      <c r="AC725" s="135">
        <v>0.925856051315914</v>
      </c>
      <c r="AD725" s="135">
        <v>0.92</v>
      </c>
      <c r="AE725" s="133">
        <v>0.987951807228916</v>
      </c>
      <c r="AF725" s="133">
        <v>0.990654205607477</v>
      </c>
      <c r="AG725" s="133">
        <v>0.958333333333333</v>
      </c>
      <c r="AH725" s="133">
        <v>0.978441754916793</v>
      </c>
      <c r="AI725" s="135">
        <v>0.92</v>
      </c>
      <c r="AJ725" s="133">
        <v>0.936309914642154</v>
      </c>
      <c r="AK725" s="133">
        <v>0.958088523305915</v>
      </c>
      <c r="AL725" s="133">
        <v>0.952540106951872</v>
      </c>
      <c r="AM725" s="133">
        <v>0.957435036792505</v>
      </c>
      <c r="AN725" s="132">
        <v>0.99</v>
      </c>
      <c r="AO725" s="137">
        <v>1</v>
      </c>
      <c r="AP725" s="137">
        <v>1</v>
      </c>
      <c r="AQ725" s="137">
        <v>1</v>
      </c>
      <c r="AR725" s="137">
        <v>1</v>
      </c>
      <c r="AS725" s="158">
        <v>0.0810595228934205</v>
      </c>
      <c r="AT725" s="141">
        <v>0</v>
      </c>
      <c r="AU725" s="141">
        <v>0</v>
      </c>
      <c r="AV725" s="141">
        <v>0.1</v>
      </c>
      <c r="AW725" s="141">
        <v>0.0459016393442623</v>
      </c>
      <c r="AX725" s="95"/>
      <c r="AY725" s="93"/>
    </row>
    <row r="726" ht="14.5" spans="1:51">
      <c r="A726" s="91"/>
      <c r="B726" s="95"/>
      <c r="C726" s="152" t="s">
        <v>668</v>
      </c>
      <c r="D726" s="153" t="s">
        <v>25</v>
      </c>
      <c r="E726" s="130" t="s">
        <v>669</v>
      </c>
      <c r="F726" s="179" t="s">
        <v>753</v>
      </c>
      <c r="G726" s="179" t="s">
        <v>753</v>
      </c>
      <c r="H726" s="179" t="s">
        <v>753</v>
      </c>
      <c r="I726" s="179" t="s">
        <v>753</v>
      </c>
      <c r="J726" s="132">
        <v>0.9</v>
      </c>
      <c r="K726" s="133">
        <v>0.967741935483871</v>
      </c>
      <c r="L726" s="133">
        <v>1</v>
      </c>
      <c r="M726" s="134">
        <v>0.967741935483871</v>
      </c>
      <c r="N726" s="133">
        <v>0.983079526226734</v>
      </c>
      <c r="O726" s="135">
        <v>0.9</v>
      </c>
      <c r="P726" s="133">
        <v>0.963568773234201</v>
      </c>
      <c r="Q726" s="133">
        <v>0.956678700361011</v>
      </c>
      <c r="R726" s="133">
        <v>0.935176358436606</v>
      </c>
      <c r="S726" s="133">
        <v>0.954351585014409</v>
      </c>
      <c r="T726" s="135">
        <v>0.9</v>
      </c>
      <c r="U726" s="133">
        <v>0.82453531598513</v>
      </c>
      <c r="V726" s="133">
        <v>0.844765342960289</v>
      </c>
      <c r="W726" s="133">
        <v>0.804258023514458</v>
      </c>
      <c r="X726" s="133">
        <v>0.843611911623439</v>
      </c>
      <c r="Y726" s="135">
        <v>0.92</v>
      </c>
      <c r="Z726" s="135">
        <v>0.89438202247191</v>
      </c>
      <c r="AA726" s="135">
        <v>0.807272727272727</v>
      </c>
      <c r="AB726" s="135">
        <v>0.831654676258993</v>
      </c>
      <c r="AC726" s="135">
        <v>0.903823468184026</v>
      </c>
      <c r="AD726" s="135">
        <v>0.92</v>
      </c>
      <c r="AE726" s="133">
        <v>1</v>
      </c>
      <c r="AF726" s="133">
        <v>1</v>
      </c>
      <c r="AG726" s="133">
        <v>0.978260869565217</v>
      </c>
      <c r="AH726" s="133">
        <v>0.960698689956332</v>
      </c>
      <c r="AI726" s="135">
        <v>0.92</v>
      </c>
      <c r="AJ726" s="133">
        <v>0.912849162011173</v>
      </c>
      <c r="AK726" s="133">
        <v>0.940229885057471</v>
      </c>
      <c r="AL726" s="133">
        <v>0.893545028630921</v>
      </c>
      <c r="AM726" s="133">
        <v>0.943350235476445</v>
      </c>
      <c r="AN726" s="132">
        <v>0.99</v>
      </c>
      <c r="AO726" s="137">
        <v>1</v>
      </c>
      <c r="AP726" s="137">
        <v>1</v>
      </c>
      <c r="AQ726" s="137">
        <v>1</v>
      </c>
      <c r="AR726" s="137">
        <v>1</v>
      </c>
      <c r="AS726" s="158">
        <v>0.0810595228934205</v>
      </c>
      <c r="AT726" s="141">
        <v>0</v>
      </c>
      <c r="AU726" s="141">
        <v>0</v>
      </c>
      <c r="AV726" s="141">
        <v>0</v>
      </c>
      <c r="AW726" s="141">
        <v>0.0246478873239437</v>
      </c>
      <c r="AX726" s="95"/>
      <c r="AY726" s="93"/>
    </row>
    <row r="727" ht="14.5" spans="1:51">
      <c r="A727" s="91"/>
      <c r="B727" s="95"/>
      <c r="C727" s="152" t="s">
        <v>668</v>
      </c>
      <c r="D727" s="153" t="s">
        <v>25</v>
      </c>
      <c r="E727" s="130" t="s">
        <v>669</v>
      </c>
      <c r="F727" s="179" t="s">
        <v>754</v>
      </c>
      <c r="G727" s="179" t="s">
        <v>754</v>
      </c>
      <c r="H727" s="179" t="s">
        <v>754</v>
      </c>
      <c r="I727" s="179" t="s">
        <v>754</v>
      </c>
      <c r="J727" s="132">
        <v>0.9</v>
      </c>
      <c r="K727" s="133">
        <v>0.928571428571429</v>
      </c>
      <c r="L727" s="133">
        <v>0.875</v>
      </c>
      <c r="M727" s="134">
        <v>0.933333333333333</v>
      </c>
      <c r="N727" s="133">
        <v>0.889679715302491</v>
      </c>
      <c r="O727" s="135">
        <v>0.9</v>
      </c>
      <c r="P727" s="133">
        <v>0.966620305980529</v>
      </c>
      <c r="Q727" s="133">
        <v>0.982047872340426</v>
      </c>
      <c r="R727" s="133">
        <v>0.983539094650206</v>
      </c>
      <c r="S727" s="133">
        <v>0.980196234037948</v>
      </c>
      <c r="T727" s="135">
        <v>0.9</v>
      </c>
      <c r="U727" s="133">
        <v>0.919332406119611</v>
      </c>
      <c r="V727" s="133">
        <v>0.942154255319149</v>
      </c>
      <c r="W727" s="133">
        <v>0.937683715461493</v>
      </c>
      <c r="X727" s="133">
        <v>0.945314190895318</v>
      </c>
      <c r="Y727" s="135">
        <v>0.92</v>
      </c>
      <c r="Z727" s="135">
        <v>0.844444444444444</v>
      </c>
      <c r="AA727" s="135">
        <v>0.837078651685393</v>
      </c>
      <c r="AB727" s="135">
        <v>0.825714285714286</v>
      </c>
      <c r="AC727" s="135">
        <v>0.88034717916925</v>
      </c>
      <c r="AD727" s="135">
        <v>0.92</v>
      </c>
      <c r="AE727" s="133">
        <v>1</v>
      </c>
      <c r="AF727" s="133">
        <v>0.971428571428571</v>
      </c>
      <c r="AG727" s="133">
        <v>0.986666666666667</v>
      </c>
      <c r="AH727" s="133">
        <v>0.992929739284136</v>
      </c>
      <c r="AI727" s="135">
        <v>0.92</v>
      </c>
      <c r="AJ727" s="133">
        <v>0.930232558139535</v>
      </c>
      <c r="AK727" s="133">
        <v>0.957193816884661</v>
      </c>
      <c r="AL727" s="133">
        <v>0.951243295953194</v>
      </c>
      <c r="AM727" s="133">
        <v>0.962107911985019</v>
      </c>
      <c r="AN727" s="132">
        <v>0.99</v>
      </c>
      <c r="AO727" s="137">
        <v>1</v>
      </c>
      <c r="AP727" s="137">
        <v>1</v>
      </c>
      <c r="AQ727" s="137">
        <v>1</v>
      </c>
      <c r="AR727" s="137">
        <v>1</v>
      </c>
      <c r="AS727" s="158">
        <v>0.0810595228934205</v>
      </c>
      <c r="AT727" s="141">
        <v>0</v>
      </c>
      <c r="AU727" s="141">
        <v>0</v>
      </c>
      <c r="AV727" s="141">
        <v>0</v>
      </c>
      <c r="AW727" s="141">
        <v>0.0393700787401575</v>
      </c>
      <c r="AX727" s="95"/>
      <c r="AY727" s="93"/>
    </row>
    <row r="728" ht="14.5" spans="1:51">
      <c r="A728" s="91"/>
      <c r="B728" s="95"/>
      <c r="C728" s="152" t="s">
        <v>668</v>
      </c>
      <c r="D728" s="153" t="s">
        <v>25</v>
      </c>
      <c r="E728" s="130" t="s">
        <v>669</v>
      </c>
      <c r="F728" s="179" t="s">
        <v>755</v>
      </c>
      <c r="G728" s="179" t="s">
        <v>755</v>
      </c>
      <c r="H728" s="179" t="s">
        <v>755</v>
      </c>
      <c r="I728" s="179" t="s">
        <v>755</v>
      </c>
      <c r="J728" s="132">
        <v>0.9</v>
      </c>
      <c r="K728" s="133">
        <v>0.925925925925926</v>
      </c>
      <c r="L728" s="133">
        <v>1</v>
      </c>
      <c r="M728" s="134">
        <v>0.923076923076923</v>
      </c>
      <c r="N728" s="133">
        <v>0.946886446886447</v>
      </c>
      <c r="O728" s="135">
        <v>0.9</v>
      </c>
      <c r="P728" s="133">
        <v>0.991489361702128</v>
      </c>
      <c r="Q728" s="133">
        <v>0.977958792525156</v>
      </c>
      <c r="R728" s="133">
        <v>0.972715998346424</v>
      </c>
      <c r="S728" s="133">
        <v>0.976817211687069</v>
      </c>
      <c r="T728" s="135">
        <v>0.9</v>
      </c>
      <c r="U728" s="133">
        <v>0.956595744680851</v>
      </c>
      <c r="V728" s="133">
        <v>0.96166746526114</v>
      </c>
      <c r="W728" s="133">
        <v>0.961554361306325</v>
      </c>
      <c r="X728" s="133">
        <v>0.968721634815887</v>
      </c>
      <c r="Y728" s="135">
        <v>0.92</v>
      </c>
      <c r="Z728" s="135">
        <v>0.937205651491366</v>
      </c>
      <c r="AA728" s="135">
        <v>0.93953488372093</v>
      </c>
      <c r="AB728" s="135">
        <v>0.942065491183879</v>
      </c>
      <c r="AC728" s="135">
        <v>0.95711915034849</v>
      </c>
      <c r="AD728" s="135">
        <v>0.92</v>
      </c>
      <c r="AE728" s="133">
        <v>1</v>
      </c>
      <c r="AF728" s="133">
        <v>0.997836668469443</v>
      </c>
      <c r="AG728" s="133">
        <v>0.993710691823899</v>
      </c>
      <c r="AH728" s="133">
        <v>0.99895681612408</v>
      </c>
      <c r="AI728" s="135">
        <v>0.92</v>
      </c>
      <c r="AJ728" s="133">
        <v>0.960838389409818</v>
      </c>
      <c r="AK728" s="133">
        <v>0.967818831942789</v>
      </c>
      <c r="AL728" s="133">
        <v>0.969508400746733</v>
      </c>
      <c r="AM728" s="133">
        <v>0.978722261028424</v>
      </c>
      <c r="AN728" s="132">
        <v>0.99</v>
      </c>
      <c r="AO728" s="137">
        <v>1</v>
      </c>
      <c r="AP728" s="137">
        <v>1</v>
      </c>
      <c r="AQ728" s="137">
        <v>1</v>
      </c>
      <c r="AR728" s="137">
        <v>1</v>
      </c>
      <c r="AS728" s="158">
        <v>0.0810595228934205</v>
      </c>
      <c r="AT728" s="141">
        <v>0</v>
      </c>
      <c r="AU728" s="141">
        <v>0.222222222222222</v>
      </c>
      <c r="AV728" s="141">
        <v>0</v>
      </c>
      <c r="AW728" s="141">
        <v>0.0418604651162791</v>
      </c>
      <c r="AX728" s="95"/>
      <c r="AY728" s="93"/>
    </row>
    <row r="729" ht="14.5" spans="1:51">
      <c r="A729" s="91"/>
      <c r="B729" s="95"/>
      <c r="C729" s="152" t="s">
        <v>668</v>
      </c>
      <c r="D729" s="153" t="s">
        <v>25</v>
      </c>
      <c r="E729" s="130" t="s">
        <v>669</v>
      </c>
      <c r="F729" s="179" t="s">
        <v>756</v>
      </c>
      <c r="G729" s="179" t="s">
        <v>756</v>
      </c>
      <c r="H729" s="179" t="s">
        <v>756</v>
      </c>
      <c r="I729" s="179" t="s">
        <v>756</v>
      </c>
      <c r="J729" s="132">
        <v>0.9</v>
      </c>
      <c r="K729" s="133">
        <v>0.970588235294118</v>
      </c>
      <c r="L729" s="133">
        <v>0.972602739726027</v>
      </c>
      <c r="M729" s="134">
        <v>0.958904109589041</v>
      </c>
      <c r="N729" s="133">
        <v>0.972602739726027</v>
      </c>
      <c r="O729" s="135">
        <v>0.9</v>
      </c>
      <c r="P729" s="133">
        <v>0.995911413969336</v>
      </c>
      <c r="Q729" s="133">
        <v>0.981425322213798</v>
      </c>
      <c r="R729" s="133">
        <v>0.995724387436277</v>
      </c>
      <c r="S729" s="133">
        <v>0.992846441947566</v>
      </c>
      <c r="T729" s="135">
        <v>0.9</v>
      </c>
      <c r="U729" s="133">
        <v>0.941396933560477</v>
      </c>
      <c r="V729" s="133">
        <v>0.938968915845337</v>
      </c>
      <c r="W729" s="133">
        <v>0.938168064463082</v>
      </c>
      <c r="X729" s="133">
        <v>0.947743445692884</v>
      </c>
      <c r="Y729" s="135">
        <v>0.92</v>
      </c>
      <c r="Z729" s="135">
        <v>0.926425505824647</v>
      </c>
      <c r="AA729" s="135">
        <v>0.924870466321243</v>
      </c>
      <c r="AB729" s="135">
        <v>0.948655256723716</v>
      </c>
      <c r="AC729" s="135">
        <v>0.954777359296952</v>
      </c>
      <c r="AD729" s="135">
        <v>0.92</v>
      </c>
      <c r="AE729" s="133">
        <v>0.999884898710866</v>
      </c>
      <c r="AF729" s="133">
        <v>0.999242997728993</v>
      </c>
      <c r="AG729" s="133">
        <v>0.99609375</v>
      </c>
      <c r="AH729" s="133">
        <v>0.998622749394551</v>
      </c>
      <c r="AI729" s="135">
        <v>0.92</v>
      </c>
      <c r="AJ729" s="133">
        <v>0.958625218914186</v>
      </c>
      <c r="AK729" s="133">
        <v>0.96037296037296</v>
      </c>
      <c r="AL729" s="133">
        <v>0.965801451593062</v>
      </c>
      <c r="AM729" s="133">
        <v>0.97329979349438</v>
      </c>
      <c r="AN729" s="132">
        <v>0.99</v>
      </c>
      <c r="AO729" s="137">
        <v>1</v>
      </c>
      <c r="AP729" s="137">
        <v>1</v>
      </c>
      <c r="AQ729" s="137">
        <v>1</v>
      </c>
      <c r="AR729" s="137">
        <v>1</v>
      </c>
      <c r="AS729" s="158">
        <v>0.0810595228934205</v>
      </c>
      <c r="AT729" s="141">
        <v>0.0833333333333333</v>
      </c>
      <c r="AU729" s="141">
        <v>0.0952380952380952</v>
      </c>
      <c r="AV729" s="141">
        <v>0.0769230769230769</v>
      </c>
      <c r="AW729" s="141">
        <v>0.0354838709677419</v>
      </c>
      <c r="AX729" s="95"/>
      <c r="AY729" s="93"/>
    </row>
    <row r="730" ht="14.5" spans="1:51">
      <c r="A730" s="91"/>
      <c r="B730" s="95"/>
      <c r="C730" s="152" t="s">
        <v>668</v>
      </c>
      <c r="D730" s="153" t="s">
        <v>25</v>
      </c>
      <c r="E730" s="130" t="s">
        <v>669</v>
      </c>
      <c r="F730" s="179" t="s">
        <v>757</v>
      </c>
      <c r="G730" s="179" t="s">
        <v>757</v>
      </c>
      <c r="H730" s="179" t="s">
        <v>757</v>
      </c>
      <c r="I730" s="179" t="s">
        <v>757</v>
      </c>
      <c r="J730" s="132">
        <v>0.9</v>
      </c>
      <c r="K730" s="133">
        <v>0.891891891891892</v>
      </c>
      <c r="L730" s="133">
        <v>0.945945945945946</v>
      </c>
      <c r="M730" s="134">
        <v>0.921052631578947</v>
      </c>
      <c r="N730" s="133">
        <v>0.956343792633015</v>
      </c>
      <c r="O730" s="135">
        <v>0.9</v>
      </c>
      <c r="P730" s="133">
        <v>0.992312241277351</v>
      </c>
      <c r="Q730" s="133">
        <v>0.988937311431445</v>
      </c>
      <c r="R730" s="133">
        <v>0.992320819112628</v>
      </c>
      <c r="S730" s="133">
        <v>0.986704059738812</v>
      </c>
      <c r="T730" s="135">
        <v>0.9</v>
      </c>
      <c r="U730" s="133">
        <v>0.942046126552336</v>
      </c>
      <c r="V730" s="133">
        <v>0.954408313778076</v>
      </c>
      <c r="W730" s="133">
        <v>0.957053469852105</v>
      </c>
      <c r="X730" s="133">
        <v>0.957966582757514</v>
      </c>
      <c r="Y730" s="135">
        <v>0.92</v>
      </c>
      <c r="Z730" s="135">
        <v>0.943478260869565</v>
      </c>
      <c r="AA730" s="135">
        <v>0.951907131011609</v>
      </c>
      <c r="AB730" s="135">
        <v>0.964166666666667</v>
      </c>
      <c r="AC730" s="135">
        <v>0.964048055022107</v>
      </c>
      <c r="AD730" s="135">
        <v>0.92</v>
      </c>
      <c r="AE730" s="133">
        <v>0.999826509368494</v>
      </c>
      <c r="AF730" s="133">
        <v>0.998464687819857</v>
      </c>
      <c r="AG730" s="133">
        <v>0.997977755308392</v>
      </c>
      <c r="AH730" s="133">
        <v>0.998430397959517</v>
      </c>
      <c r="AI730" s="135">
        <v>0.92</v>
      </c>
      <c r="AJ730" s="133">
        <v>0.965926493108729</v>
      </c>
      <c r="AK730" s="133">
        <v>0.979643056330173</v>
      </c>
      <c r="AL730" s="133">
        <v>0.981128074639525</v>
      </c>
      <c r="AM730" s="133">
        <v>0.982608375923815</v>
      </c>
      <c r="AN730" s="132">
        <v>0.99</v>
      </c>
      <c r="AO730" s="137">
        <v>1</v>
      </c>
      <c r="AP730" s="137">
        <v>1</v>
      </c>
      <c r="AQ730" s="137">
        <v>1</v>
      </c>
      <c r="AR730" s="137">
        <v>1</v>
      </c>
      <c r="AS730" s="158">
        <v>0.0810595228934205</v>
      </c>
      <c r="AT730" s="141">
        <v>0.0714285714285714</v>
      </c>
      <c r="AU730" s="141">
        <v>0</v>
      </c>
      <c r="AV730" s="141">
        <v>0</v>
      </c>
      <c r="AW730" s="141">
        <v>0.0232558139534884</v>
      </c>
      <c r="AX730" s="95"/>
      <c r="AY730" s="93"/>
    </row>
    <row r="731" ht="14.5" spans="1:51">
      <c r="A731" s="91"/>
      <c r="B731" s="95"/>
      <c r="C731" s="152" t="s">
        <v>668</v>
      </c>
      <c r="D731" s="153" t="s">
        <v>25</v>
      </c>
      <c r="E731" s="130" t="s">
        <v>669</v>
      </c>
      <c r="F731" s="179" t="s">
        <v>758</v>
      </c>
      <c r="G731" s="179" t="s">
        <v>758</v>
      </c>
      <c r="H731" s="179" t="s">
        <v>758</v>
      </c>
      <c r="I731" s="179" t="s">
        <v>758</v>
      </c>
      <c r="J731" s="132">
        <v>0.9</v>
      </c>
      <c r="K731" s="133">
        <v>0.91304347826087</v>
      </c>
      <c r="L731" s="133">
        <v>0.893617021276596</v>
      </c>
      <c r="M731" s="134">
        <v>0.883720930232558</v>
      </c>
      <c r="N731" s="133">
        <v>0.919724770642202</v>
      </c>
      <c r="O731" s="135">
        <v>0.9</v>
      </c>
      <c r="P731" s="133">
        <v>0.968528368794326</v>
      </c>
      <c r="Q731" s="133">
        <v>0.97564849126522</v>
      </c>
      <c r="R731" s="133">
        <v>0.956199460916442</v>
      </c>
      <c r="S731" s="133">
        <v>0.97134830694541</v>
      </c>
      <c r="T731" s="135">
        <v>0.9</v>
      </c>
      <c r="U731" s="133">
        <v>0.923758865248227</v>
      </c>
      <c r="V731" s="133">
        <v>0.919534145050291</v>
      </c>
      <c r="W731" s="133">
        <v>0.919811320754717</v>
      </c>
      <c r="X731" s="133">
        <v>0.931186842858896</v>
      </c>
      <c r="Y731" s="135">
        <v>0.92</v>
      </c>
      <c r="Z731" s="135">
        <v>0.938037865748709</v>
      </c>
      <c r="AA731" s="135">
        <v>0.918032786885246</v>
      </c>
      <c r="AB731" s="135">
        <v>0.912244897959184</v>
      </c>
      <c r="AC731" s="135">
        <v>0.941702365431179</v>
      </c>
      <c r="AD731" s="135">
        <v>0.92</v>
      </c>
      <c r="AE731" s="133">
        <v>0.994874423372629</v>
      </c>
      <c r="AF731" s="133">
        <v>0.998595787362086</v>
      </c>
      <c r="AG731" s="133">
        <v>0.980635551142006</v>
      </c>
      <c r="AH731" s="133">
        <v>0.987835387546191</v>
      </c>
      <c r="AI731" s="135">
        <v>0.92</v>
      </c>
      <c r="AJ731" s="133">
        <v>0.954704850964348</v>
      </c>
      <c r="AK731" s="133">
        <v>0.953203586267221</v>
      </c>
      <c r="AL731" s="133">
        <v>0.94614215769036</v>
      </c>
      <c r="AM731" s="133">
        <v>0.964146726006346</v>
      </c>
      <c r="AN731" s="132">
        <v>0.99</v>
      </c>
      <c r="AO731" s="137">
        <v>1</v>
      </c>
      <c r="AP731" s="137">
        <v>1</v>
      </c>
      <c r="AQ731" s="137">
        <v>1</v>
      </c>
      <c r="AR731" s="137">
        <v>1</v>
      </c>
      <c r="AS731" s="158">
        <v>0.0810595228934205</v>
      </c>
      <c r="AT731" s="141">
        <v>0.05</v>
      </c>
      <c r="AU731" s="141">
        <v>0.157894736842105</v>
      </c>
      <c r="AV731" s="141">
        <v>0</v>
      </c>
      <c r="AW731" s="141">
        <v>0.0495626822157434</v>
      </c>
      <c r="AX731" s="95"/>
      <c r="AY731" s="93"/>
    </row>
    <row r="732" ht="14.5" spans="1:51">
      <c r="A732" s="91"/>
      <c r="B732" s="95"/>
      <c r="C732" s="152" t="s">
        <v>668</v>
      </c>
      <c r="D732" s="153" t="s">
        <v>25</v>
      </c>
      <c r="E732" s="130" t="s">
        <v>669</v>
      </c>
      <c r="F732" s="179" t="s">
        <v>759</v>
      </c>
      <c r="G732" s="179" t="s">
        <v>759</v>
      </c>
      <c r="H732" s="179" t="s">
        <v>759</v>
      </c>
      <c r="I732" s="179" t="s">
        <v>759</v>
      </c>
      <c r="J732" s="132">
        <v>0.9</v>
      </c>
      <c r="K732" s="133">
        <v>1</v>
      </c>
      <c r="L732" s="133">
        <v>0.733333333333333</v>
      </c>
      <c r="M732" s="134">
        <v>0.944444444444444</v>
      </c>
      <c r="N732" s="133">
        <v>0.91875</v>
      </c>
      <c r="O732" s="135">
        <v>0.9</v>
      </c>
      <c r="P732" s="133">
        <v>0.931475903614458</v>
      </c>
      <c r="Q732" s="133">
        <v>0.902646502835539</v>
      </c>
      <c r="R732" s="133">
        <v>0.967538322813345</v>
      </c>
      <c r="S732" s="133">
        <v>0.937196728129766</v>
      </c>
      <c r="T732" s="135">
        <v>0.9</v>
      </c>
      <c r="U732" s="133">
        <v>0.923192771084337</v>
      </c>
      <c r="V732" s="133">
        <v>0.896975425330813</v>
      </c>
      <c r="W732" s="133">
        <v>0.913435527502254</v>
      </c>
      <c r="X732" s="133">
        <v>0.917510051296271</v>
      </c>
      <c r="Y732" s="135">
        <v>0.92</v>
      </c>
      <c r="Z732" s="135">
        <v>0.952115812917595</v>
      </c>
      <c r="AA732" s="135">
        <v>0.93909626719057</v>
      </c>
      <c r="AB732" s="135">
        <v>0.941034897713598</v>
      </c>
      <c r="AC732" s="135">
        <v>0.939724891131541</v>
      </c>
      <c r="AD732" s="135">
        <v>0.92</v>
      </c>
      <c r="AE732" s="133">
        <v>0.899033921696811</v>
      </c>
      <c r="AF732" s="133">
        <v>0.998210023866348</v>
      </c>
      <c r="AG732" s="133">
        <v>0.996236154425207</v>
      </c>
      <c r="AH732" s="133">
        <v>0.954687507689885</v>
      </c>
      <c r="AI732" s="135">
        <v>0.92</v>
      </c>
      <c r="AJ732" s="133">
        <v>0.958725886047555</v>
      </c>
      <c r="AK732" s="133">
        <v>0.959253617669459</v>
      </c>
      <c r="AL732" s="133">
        <v>0.961626762873073</v>
      </c>
      <c r="AM732" s="133">
        <v>0.963553620894341</v>
      </c>
      <c r="AN732" s="132">
        <v>0.99</v>
      </c>
      <c r="AO732" s="137">
        <v>1</v>
      </c>
      <c r="AP732" s="137">
        <v>1</v>
      </c>
      <c r="AQ732" s="137">
        <v>1</v>
      </c>
      <c r="AR732" s="137">
        <v>1</v>
      </c>
      <c r="AS732" s="158">
        <v>0.0810595228934205</v>
      </c>
      <c r="AT732" s="141">
        <v>0</v>
      </c>
      <c r="AU732" s="141">
        <v>0</v>
      </c>
      <c r="AV732" s="141">
        <v>0</v>
      </c>
      <c r="AW732" s="141">
        <v>0.0222222222222222</v>
      </c>
      <c r="AX732" s="95"/>
      <c r="AY732" s="93"/>
    </row>
    <row r="733" ht="14.5" spans="1:51">
      <c r="A733" s="91"/>
      <c r="B733" s="95"/>
      <c r="C733" s="152" t="s">
        <v>668</v>
      </c>
      <c r="D733" s="153" t="s">
        <v>25</v>
      </c>
      <c r="E733" s="130" t="s">
        <v>669</v>
      </c>
      <c r="F733" s="179" t="s">
        <v>760</v>
      </c>
      <c r="G733" s="179" t="s">
        <v>760</v>
      </c>
      <c r="H733" s="179" t="s">
        <v>760</v>
      </c>
      <c r="I733" s="179" t="s">
        <v>760</v>
      </c>
      <c r="J733" s="132">
        <v>0.9</v>
      </c>
      <c r="K733" s="133">
        <v>1</v>
      </c>
      <c r="L733" s="133">
        <v>0.928571428571429</v>
      </c>
      <c r="M733" s="134">
        <v>0.961538461538462</v>
      </c>
      <c r="N733" s="133">
        <v>0.976608187134503</v>
      </c>
      <c r="O733" s="135">
        <v>0.9</v>
      </c>
      <c r="P733" s="133">
        <v>0.985221674876847</v>
      </c>
      <c r="Q733" s="133">
        <v>0.98079561042524</v>
      </c>
      <c r="R733" s="133">
        <v>0.970599920540326</v>
      </c>
      <c r="S733" s="133">
        <v>0.986365075113827</v>
      </c>
      <c r="T733" s="135">
        <v>0.9</v>
      </c>
      <c r="U733" s="133">
        <v>0.950738916256158</v>
      </c>
      <c r="V733" s="133">
        <v>0.95976223136717</v>
      </c>
      <c r="W733" s="133">
        <v>0.940802542709575</v>
      </c>
      <c r="X733" s="133">
        <v>0.950183828005162</v>
      </c>
      <c r="Y733" s="135">
        <v>0.92</v>
      </c>
      <c r="Z733" s="135">
        <v>0.962903225806452</v>
      </c>
      <c r="AA733" s="135">
        <v>0.963282937365011</v>
      </c>
      <c r="AB733" s="135">
        <v>0.944700460829493</v>
      </c>
      <c r="AC733" s="135">
        <v>0.969794682811266</v>
      </c>
      <c r="AD733" s="135">
        <v>0.92</v>
      </c>
      <c r="AE733" s="133">
        <v>1</v>
      </c>
      <c r="AF733" s="133">
        <v>0.994100294985251</v>
      </c>
      <c r="AG733" s="133">
        <v>1</v>
      </c>
      <c r="AH733" s="133">
        <v>0.997546938390414</v>
      </c>
      <c r="AI733" s="135">
        <v>0.92</v>
      </c>
      <c r="AJ733" s="133">
        <v>0.976605005440696</v>
      </c>
      <c r="AK733" s="133">
        <v>0.978867924528302</v>
      </c>
      <c r="AL733" s="133">
        <v>0.973132565692353</v>
      </c>
      <c r="AM733" s="133">
        <v>0.98242683771922</v>
      </c>
      <c r="AN733" s="132">
        <v>0.99</v>
      </c>
      <c r="AO733" s="137">
        <v>1</v>
      </c>
      <c r="AP733" s="137">
        <v>1</v>
      </c>
      <c r="AQ733" s="137">
        <v>1</v>
      </c>
      <c r="AR733" s="137">
        <v>1</v>
      </c>
      <c r="AS733" s="158">
        <v>0.0810595228934205</v>
      </c>
      <c r="AT733" s="141">
        <v>0</v>
      </c>
      <c r="AU733" s="141">
        <v>0</v>
      </c>
      <c r="AV733" s="141">
        <v>0</v>
      </c>
      <c r="AW733" s="141">
        <v>0.0344827586206897</v>
      </c>
      <c r="AX733" s="95"/>
      <c r="AY733" s="93"/>
    </row>
    <row r="734" ht="14.5" spans="1:51">
      <c r="A734" s="91"/>
      <c r="B734" s="95"/>
      <c r="C734" s="152" t="s">
        <v>668</v>
      </c>
      <c r="D734" s="153" t="s">
        <v>25</v>
      </c>
      <c r="E734" s="130" t="s">
        <v>669</v>
      </c>
      <c r="F734" s="179" t="s">
        <v>761</v>
      </c>
      <c r="G734" s="179" t="s">
        <v>761</v>
      </c>
      <c r="H734" s="179" t="s">
        <v>761</v>
      </c>
      <c r="I734" s="179" t="s">
        <v>761</v>
      </c>
      <c r="J734" s="132">
        <v>0.9</v>
      </c>
      <c r="K734" s="133">
        <v>0.972972972972973</v>
      </c>
      <c r="L734" s="133">
        <v>0.894736842105263</v>
      </c>
      <c r="M734" s="134">
        <v>0.947368421052632</v>
      </c>
      <c r="N734" s="133">
        <v>0.954220314735336</v>
      </c>
      <c r="O734" s="135">
        <v>0.9</v>
      </c>
      <c r="P734" s="133">
        <v>0.978115501519757</v>
      </c>
      <c r="Q734" s="133">
        <v>0.98353765323993</v>
      </c>
      <c r="R734" s="133">
        <v>0.946840826245444</v>
      </c>
      <c r="S734" s="133">
        <v>0.97461084824796</v>
      </c>
      <c r="T734" s="135">
        <v>0.9</v>
      </c>
      <c r="U734" s="133">
        <v>0.905775075987842</v>
      </c>
      <c r="V734" s="133">
        <v>0.937653239929947</v>
      </c>
      <c r="W734" s="133">
        <v>0.93134872417983</v>
      </c>
      <c r="X734" s="133">
        <v>0.930432695604471</v>
      </c>
      <c r="Y734" s="135">
        <v>0.92</v>
      </c>
      <c r="Z734" s="135">
        <v>0.938559322033898</v>
      </c>
      <c r="AA734" s="135">
        <v>0.933229813664596</v>
      </c>
      <c r="AB734" s="135">
        <v>0.93963963963964</v>
      </c>
      <c r="AC734" s="135">
        <v>0.950398295665061</v>
      </c>
      <c r="AD734" s="135">
        <v>0.92</v>
      </c>
      <c r="AE734" s="133">
        <v>1</v>
      </c>
      <c r="AF734" s="133">
        <v>0.997524752475248</v>
      </c>
      <c r="AG734" s="133">
        <v>0.997311827956989</v>
      </c>
      <c r="AH734" s="133">
        <v>0.999091948611018</v>
      </c>
      <c r="AI734" s="135">
        <v>0.92</v>
      </c>
      <c r="AJ734" s="133">
        <v>0.951370127363952</v>
      </c>
      <c r="AK734" s="133">
        <v>0.970008568980291</v>
      </c>
      <c r="AL734" s="133">
        <v>0.967067908244379</v>
      </c>
      <c r="AM734" s="133">
        <v>0.96993910292481</v>
      </c>
      <c r="AN734" s="132">
        <v>0.99</v>
      </c>
      <c r="AO734" s="137">
        <v>1</v>
      </c>
      <c r="AP734" s="137">
        <v>1</v>
      </c>
      <c r="AQ734" s="137">
        <v>1</v>
      </c>
      <c r="AR734" s="137">
        <v>1</v>
      </c>
      <c r="AS734" s="158">
        <v>0.0810595228934205</v>
      </c>
      <c r="AT734" s="141">
        <v>0.037037037037037</v>
      </c>
      <c r="AU734" s="141">
        <v>0.05</v>
      </c>
      <c r="AV734" s="141">
        <v>0</v>
      </c>
      <c r="AW734" s="141">
        <v>0.0435643564356436</v>
      </c>
      <c r="AX734" s="95"/>
      <c r="AY734" s="93"/>
    </row>
    <row r="735" ht="14.5" spans="1:51">
      <c r="A735" s="91"/>
      <c r="B735" s="95"/>
      <c r="C735" s="152" t="s">
        <v>668</v>
      </c>
      <c r="D735" s="153" t="s">
        <v>25</v>
      </c>
      <c r="E735" s="130" t="s">
        <v>669</v>
      </c>
      <c r="F735" s="179" t="s">
        <v>762</v>
      </c>
      <c r="G735" s="179" t="s">
        <v>762</v>
      </c>
      <c r="H735" s="179" t="s">
        <v>762</v>
      </c>
      <c r="I735" s="179" t="s">
        <v>762</v>
      </c>
      <c r="J735" s="132">
        <v>0.9</v>
      </c>
      <c r="K735" s="133">
        <v>0.942857142857143</v>
      </c>
      <c r="L735" s="133">
        <v>0.878787878787879</v>
      </c>
      <c r="M735" s="134">
        <v>1</v>
      </c>
      <c r="N735" s="133">
        <v>0.915123456790123</v>
      </c>
      <c r="O735" s="135">
        <v>0.9</v>
      </c>
      <c r="P735" s="133">
        <v>0.978213507625272</v>
      </c>
      <c r="Q735" s="133">
        <v>0.945151033386328</v>
      </c>
      <c r="R735" s="133">
        <v>0.987285223367698</v>
      </c>
      <c r="S735" s="133">
        <v>0.969524624918461</v>
      </c>
      <c r="T735" s="135">
        <v>0.9</v>
      </c>
      <c r="U735" s="133">
        <v>0.940450254175744</v>
      </c>
      <c r="V735" s="133">
        <v>0.953100158982512</v>
      </c>
      <c r="W735" s="133">
        <v>0.945704467353952</v>
      </c>
      <c r="X735" s="133">
        <v>0.954664057403783</v>
      </c>
      <c r="Y735" s="135">
        <v>0.92</v>
      </c>
      <c r="Z735" s="135">
        <v>0.950600801068091</v>
      </c>
      <c r="AA735" s="135">
        <v>0.916015625</v>
      </c>
      <c r="AB735" s="135">
        <v>0.956066945606695</v>
      </c>
      <c r="AC735" s="135">
        <v>0.954471101417666</v>
      </c>
      <c r="AD735" s="135">
        <v>0.92</v>
      </c>
      <c r="AE735" s="133">
        <v>1</v>
      </c>
      <c r="AF735" s="133">
        <v>0.999026290165531</v>
      </c>
      <c r="AG735" s="133">
        <v>0.99725902238465</v>
      </c>
      <c r="AH735" s="133">
        <v>0.999230786633787</v>
      </c>
      <c r="AI735" s="135">
        <v>0.92</v>
      </c>
      <c r="AJ735" s="133">
        <v>0.967074317968015</v>
      </c>
      <c r="AK735" s="133">
        <v>0.965323645970938</v>
      </c>
      <c r="AL735" s="133">
        <v>0.978277734678045</v>
      </c>
      <c r="AM735" s="133">
        <v>0.977585593069483</v>
      </c>
      <c r="AN735" s="132">
        <v>0.99</v>
      </c>
      <c r="AO735" s="137">
        <v>1</v>
      </c>
      <c r="AP735" s="137">
        <v>1</v>
      </c>
      <c r="AQ735" s="137">
        <v>1</v>
      </c>
      <c r="AR735" s="137">
        <v>1</v>
      </c>
      <c r="AS735" s="158">
        <v>0.0810595228934205</v>
      </c>
      <c r="AT735" s="141">
        <v>0</v>
      </c>
      <c r="AU735" s="141">
        <v>0</v>
      </c>
      <c r="AV735" s="141">
        <v>0</v>
      </c>
      <c r="AW735" s="141">
        <v>0.0225806451612903</v>
      </c>
      <c r="AX735" s="95"/>
      <c r="AY735" s="93"/>
    </row>
    <row r="736" ht="14.5" spans="1:51">
      <c r="A736" s="91"/>
      <c r="B736" s="95"/>
      <c r="C736" s="152" t="s">
        <v>668</v>
      </c>
      <c r="D736" s="153" t="s">
        <v>25</v>
      </c>
      <c r="E736" s="130" t="s">
        <v>669</v>
      </c>
      <c r="F736" s="179" t="s">
        <v>763</v>
      </c>
      <c r="G736" s="179" t="s">
        <v>763</v>
      </c>
      <c r="H736" s="179" t="s">
        <v>763</v>
      </c>
      <c r="I736" s="179" t="s">
        <v>763</v>
      </c>
      <c r="J736" s="132">
        <v>0.9</v>
      </c>
      <c r="K736" s="133">
        <v>0.882352941176471</v>
      </c>
      <c r="L736" s="133">
        <v>0.85</v>
      </c>
      <c r="M736" s="134">
        <v>0.833333333333333</v>
      </c>
      <c r="N736" s="133">
        <v>0.918604651162791</v>
      </c>
      <c r="O736" s="135">
        <v>0.9</v>
      </c>
      <c r="P736" s="133">
        <v>0.963013698630137</v>
      </c>
      <c r="Q736" s="133">
        <v>0.959306204136091</v>
      </c>
      <c r="R736" s="133">
        <v>0.968864468864469</v>
      </c>
      <c r="S736" s="133">
        <v>0.951309774326972</v>
      </c>
      <c r="T736" s="135">
        <v>0.9</v>
      </c>
      <c r="U736" s="133">
        <v>0.927397260273973</v>
      </c>
      <c r="V736" s="133">
        <v>0.95130086724483</v>
      </c>
      <c r="W736" s="133">
        <v>0.898046398046398</v>
      </c>
      <c r="X736" s="133">
        <v>0.923263914084609</v>
      </c>
      <c r="Y736" s="135">
        <v>0.92</v>
      </c>
      <c r="Z736" s="135">
        <v>0.944303797468354</v>
      </c>
      <c r="AA736" s="135">
        <v>0.920454545454545</v>
      </c>
      <c r="AB736" s="135">
        <v>0.949579831932773</v>
      </c>
      <c r="AC736" s="135">
        <v>0.95313899114516</v>
      </c>
      <c r="AD736" s="135">
        <v>0.92</v>
      </c>
      <c r="AE736" s="133">
        <v>0.999022482893451</v>
      </c>
      <c r="AF736" s="133">
        <v>0.998026315789474</v>
      </c>
      <c r="AG736" s="133">
        <v>0.999431171786121</v>
      </c>
      <c r="AH736" s="133">
        <v>0.999025341130604</v>
      </c>
      <c r="AI736" s="135">
        <v>0.92</v>
      </c>
      <c r="AJ736" s="133">
        <v>0.967140319715808</v>
      </c>
      <c r="AK736" s="133">
        <v>0.972206466250709</v>
      </c>
      <c r="AL736" s="133">
        <v>0.966875559534467</v>
      </c>
      <c r="AM736" s="133">
        <v>0.973897557215385</v>
      </c>
      <c r="AN736" s="132">
        <v>0.99</v>
      </c>
      <c r="AO736" s="137">
        <v>1</v>
      </c>
      <c r="AP736" s="137">
        <v>1</v>
      </c>
      <c r="AQ736" s="137">
        <v>1</v>
      </c>
      <c r="AR736" s="137">
        <v>1</v>
      </c>
      <c r="AS736" s="158">
        <v>0.0810595228934205</v>
      </c>
      <c r="AT736" s="141">
        <v>0.166666666666667</v>
      </c>
      <c r="AU736" s="141">
        <v>0</v>
      </c>
      <c r="AV736" s="141">
        <v>0</v>
      </c>
      <c r="AW736" s="141">
        <v>0.0909090909090909</v>
      </c>
      <c r="AX736" s="95"/>
      <c r="AY736" s="93"/>
    </row>
    <row r="737" ht="14.5" spans="1:51">
      <c r="A737" s="91"/>
      <c r="B737" s="95"/>
      <c r="C737" s="152" t="s">
        <v>668</v>
      </c>
      <c r="D737" s="153" t="s">
        <v>25</v>
      </c>
      <c r="E737" s="130" t="s">
        <v>669</v>
      </c>
      <c r="F737" s="179" t="s">
        <v>764</v>
      </c>
      <c r="G737" s="179" t="s">
        <v>764</v>
      </c>
      <c r="H737" s="179" t="s">
        <v>764</v>
      </c>
      <c r="I737" s="179" t="s">
        <v>764</v>
      </c>
      <c r="J737" s="132">
        <v>0.9</v>
      </c>
      <c r="K737" s="133">
        <v>0.9375</v>
      </c>
      <c r="L737" s="133">
        <v>0.894736842105263</v>
      </c>
      <c r="M737" s="134">
        <v>1</v>
      </c>
      <c r="N737" s="133">
        <v>0.951566951566952</v>
      </c>
      <c r="O737" s="135">
        <v>0.9</v>
      </c>
      <c r="P737" s="133">
        <v>0.981699346405229</v>
      </c>
      <c r="Q737" s="133">
        <v>0.945129469790382</v>
      </c>
      <c r="R737" s="133">
        <v>0.963828603227602</v>
      </c>
      <c r="S737" s="133">
        <v>0.980507915567282</v>
      </c>
      <c r="T737" s="135">
        <v>0.9</v>
      </c>
      <c r="U737" s="133">
        <v>0.935947712418301</v>
      </c>
      <c r="V737" s="133">
        <v>0.938964241676942</v>
      </c>
      <c r="W737" s="133">
        <v>0.94268224819143</v>
      </c>
      <c r="X737" s="133">
        <v>0.950626649076517</v>
      </c>
      <c r="Y737" s="135">
        <v>0.92</v>
      </c>
      <c r="Z737" s="135">
        <v>0.922764227642276</v>
      </c>
      <c r="AA737" s="135">
        <v>0.925714285714286</v>
      </c>
      <c r="AB737" s="135">
        <v>0.963414634146341</v>
      </c>
      <c r="AC737" s="135">
        <v>0.94070006863418</v>
      </c>
      <c r="AD737" s="135">
        <v>0.92</v>
      </c>
      <c r="AE737" s="133">
        <v>0.970149253731343</v>
      </c>
      <c r="AF737" s="133">
        <v>0.997894736842105</v>
      </c>
      <c r="AG737" s="133">
        <v>1</v>
      </c>
      <c r="AH737" s="133">
        <v>0.989252470972076</v>
      </c>
      <c r="AI737" s="135">
        <v>0.92</v>
      </c>
      <c r="AJ737" s="133">
        <v>0.956478733926805</v>
      </c>
      <c r="AK737" s="133">
        <v>0.959399332591769</v>
      </c>
      <c r="AL737" s="133">
        <v>0.969655797101449</v>
      </c>
      <c r="AM737" s="133">
        <v>0.970193304794065</v>
      </c>
      <c r="AN737" s="132">
        <v>0.99</v>
      </c>
      <c r="AO737" s="137">
        <v>1</v>
      </c>
      <c r="AP737" s="137">
        <v>1</v>
      </c>
      <c r="AQ737" s="137">
        <v>1</v>
      </c>
      <c r="AR737" s="137">
        <v>1</v>
      </c>
      <c r="AS737" s="158">
        <v>0.0810595228934205</v>
      </c>
      <c r="AT737" s="141">
        <v>0</v>
      </c>
      <c r="AU737" s="141">
        <v>0</v>
      </c>
      <c r="AV737" s="141">
        <v>0</v>
      </c>
      <c r="AW737" s="141">
        <v>0.0390625</v>
      </c>
      <c r="AX737" s="95"/>
      <c r="AY737" s="93"/>
    </row>
    <row r="738" ht="14.5" spans="1:51">
      <c r="A738" s="91"/>
      <c r="B738" s="95"/>
      <c r="C738" s="152" t="s">
        <v>668</v>
      </c>
      <c r="D738" s="153" t="s">
        <v>25</v>
      </c>
      <c r="E738" s="130" t="s">
        <v>669</v>
      </c>
      <c r="F738" s="179" t="s">
        <v>765</v>
      </c>
      <c r="G738" s="179" t="s">
        <v>765</v>
      </c>
      <c r="H738" s="179" t="s">
        <v>765</v>
      </c>
      <c r="I738" s="179" t="s">
        <v>765</v>
      </c>
      <c r="J738" s="132">
        <v>0.9</v>
      </c>
      <c r="K738" s="133">
        <v>0.966666666666667</v>
      </c>
      <c r="L738" s="133">
        <v>0.916666666666667</v>
      </c>
      <c r="M738" s="134">
        <v>1</v>
      </c>
      <c r="N738" s="133">
        <v>0.968354430379747</v>
      </c>
      <c r="O738" s="135">
        <v>0.9</v>
      </c>
      <c r="P738" s="133">
        <v>0.949892627057981</v>
      </c>
      <c r="Q738" s="133">
        <v>0.96484375</v>
      </c>
      <c r="R738" s="133">
        <v>0.961145867632532</v>
      </c>
      <c r="S738" s="133">
        <v>0.949757335098169</v>
      </c>
      <c r="T738" s="135">
        <v>0.9</v>
      </c>
      <c r="U738" s="133">
        <v>0.902648532569792</v>
      </c>
      <c r="V738" s="133">
        <v>0.930397727272727</v>
      </c>
      <c r="W738" s="133">
        <v>0.940730984524202</v>
      </c>
      <c r="X738" s="133">
        <v>0.926446797558644</v>
      </c>
      <c r="Y738" s="135">
        <v>0.92</v>
      </c>
      <c r="Z738" s="135">
        <v>0.813519813519814</v>
      </c>
      <c r="AA738" s="135">
        <v>0.804560260586319</v>
      </c>
      <c r="AB738" s="135">
        <v>0.924219910846954</v>
      </c>
      <c r="AC738" s="135">
        <v>0.898163198959688</v>
      </c>
      <c r="AD738" s="135">
        <v>0.92</v>
      </c>
      <c r="AE738" s="133">
        <v>0.941860465116279</v>
      </c>
      <c r="AF738" s="133">
        <v>1</v>
      </c>
      <c r="AG738" s="133">
        <v>0.956709956709957</v>
      </c>
      <c r="AH738" s="133">
        <v>0.982676791646891</v>
      </c>
      <c r="AI738" s="135">
        <v>0.92</v>
      </c>
      <c r="AJ738" s="133">
        <v>0.903614457831325</v>
      </c>
      <c r="AK738" s="133">
        <v>0.938840858149215</v>
      </c>
      <c r="AL738" s="133">
        <v>0.956603773584906</v>
      </c>
      <c r="AM738" s="133">
        <v>0.952150384505839</v>
      </c>
      <c r="AN738" s="132">
        <v>0.99</v>
      </c>
      <c r="AO738" s="137">
        <v>1</v>
      </c>
      <c r="AP738" s="137">
        <v>1</v>
      </c>
      <c r="AQ738" s="137">
        <v>1</v>
      </c>
      <c r="AR738" s="137">
        <v>1</v>
      </c>
      <c r="AS738" s="158">
        <v>0.0810595228934205</v>
      </c>
      <c r="AT738" s="141">
        <v>0</v>
      </c>
      <c r="AU738" s="141">
        <v>0</v>
      </c>
      <c r="AV738" s="141">
        <v>0.0714285714285714</v>
      </c>
      <c r="AW738" s="141">
        <v>0.0452674897119342</v>
      </c>
      <c r="AX738" s="95"/>
      <c r="AY738" s="93"/>
    </row>
    <row r="739" ht="14.5" spans="1:51">
      <c r="A739" s="91"/>
      <c r="B739" s="95"/>
      <c r="C739" s="152" t="s">
        <v>668</v>
      </c>
      <c r="D739" s="153" t="s">
        <v>25</v>
      </c>
      <c r="E739" s="130" t="s">
        <v>669</v>
      </c>
      <c r="F739" s="179" t="s">
        <v>766</v>
      </c>
      <c r="G739" s="179" t="s">
        <v>766</v>
      </c>
      <c r="H739" s="179" t="s">
        <v>766</v>
      </c>
      <c r="I739" s="179" t="s">
        <v>766</v>
      </c>
      <c r="J739" s="132">
        <v>0.9</v>
      </c>
      <c r="K739" s="133">
        <v>0.927272727272727</v>
      </c>
      <c r="L739" s="133">
        <v>0.949152542372881</v>
      </c>
      <c r="M739" s="134">
        <v>0.913793103448276</v>
      </c>
      <c r="N739" s="133">
        <v>0.947858472998138</v>
      </c>
      <c r="O739" s="135">
        <v>0.9</v>
      </c>
      <c r="P739" s="133">
        <v>0.96104513064133</v>
      </c>
      <c r="Q739" s="133">
        <v>0.964820846905537</v>
      </c>
      <c r="R739" s="133">
        <v>0.95706763872013</v>
      </c>
      <c r="S739" s="133">
        <v>0.963426799514441</v>
      </c>
      <c r="T739" s="135">
        <v>0.9</v>
      </c>
      <c r="U739" s="133">
        <v>0.910688836104513</v>
      </c>
      <c r="V739" s="133">
        <v>0.932247557003257</v>
      </c>
      <c r="W739" s="133">
        <v>0.918388011340624</v>
      </c>
      <c r="X739" s="133">
        <v>0.928355948703773</v>
      </c>
      <c r="Y739" s="135">
        <v>0.92</v>
      </c>
      <c r="Z739" s="135">
        <v>0.898950131233596</v>
      </c>
      <c r="AA739" s="135">
        <v>0.854126679462572</v>
      </c>
      <c r="AB739" s="135">
        <v>0.916234887737478</v>
      </c>
      <c r="AC739" s="135">
        <v>0.912890725910617</v>
      </c>
      <c r="AD739" s="135">
        <v>0.92</v>
      </c>
      <c r="AE739" s="133">
        <v>1</v>
      </c>
      <c r="AF739" s="133">
        <v>0.978494623655914</v>
      </c>
      <c r="AG739" s="133">
        <v>0.994285714285714</v>
      </c>
      <c r="AH739" s="133">
        <v>0.991721023582539</v>
      </c>
      <c r="AI739" s="135">
        <v>0.92</v>
      </c>
      <c r="AJ739" s="133">
        <v>0.938960585978375</v>
      </c>
      <c r="AK739" s="133">
        <v>0.955724595279891</v>
      </c>
      <c r="AL739" s="133">
        <v>0.954411282387668</v>
      </c>
      <c r="AM739" s="133">
        <v>0.962311606777282</v>
      </c>
      <c r="AN739" s="132">
        <v>0.99</v>
      </c>
      <c r="AO739" s="137">
        <v>1</v>
      </c>
      <c r="AP739" s="137">
        <v>1</v>
      </c>
      <c r="AQ739" s="137">
        <v>1</v>
      </c>
      <c r="AR739" s="137">
        <v>1</v>
      </c>
      <c r="AS739" s="158">
        <v>0.0810595228934205</v>
      </c>
      <c r="AT739" s="141">
        <v>0</v>
      </c>
      <c r="AU739" s="141">
        <v>0.142857142857143</v>
      </c>
      <c r="AV739" s="141">
        <v>0.0454545454545455</v>
      </c>
      <c r="AW739" s="141">
        <v>0.096551724137931</v>
      </c>
      <c r="AX739" s="95"/>
      <c r="AY739" s="93"/>
    </row>
    <row r="740" ht="14.5" spans="1:51">
      <c r="A740" s="91"/>
      <c r="B740" s="95"/>
      <c r="C740" s="152" t="s">
        <v>668</v>
      </c>
      <c r="D740" s="153" t="s">
        <v>25</v>
      </c>
      <c r="E740" s="130" t="s">
        <v>669</v>
      </c>
      <c r="F740" s="179" t="s">
        <v>767</v>
      </c>
      <c r="G740" s="179" t="s">
        <v>767</v>
      </c>
      <c r="H740" s="179" t="s">
        <v>767</v>
      </c>
      <c r="I740" s="179" t="s">
        <v>767</v>
      </c>
      <c r="J740" s="132">
        <v>0.9</v>
      </c>
      <c r="K740" s="133">
        <v>0.92</v>
      </c>
      <c r="L740" s="133">
        <v>0.931034482758621</v>
      </c>
      <c r="M740" s="134">
        <v>1</v>
      </c>
      <c r="N740" s="133">
        <v>0.986641221374046</v>
      </c>
      <c r="O740" s="135">
        <v>0.9</v>
      </c>
      <c r="P740" s="133">
        <v>0.971935007385524</v>
      </c>
      <c r="Q740" s="133">
        <v>0.979108075532342</v>
      </c>
      <c r="R740" s="133">
        <v>0.970023059185242</v>
      </c>
      <c r="S740" s="133">
        <v>0.973524673562829</v>
      </c>
      <c r="T740" s="135">
        <v>0.9</v>
      </c>
      <c r="U740" s="133">
        <v>0.919497784342688</v>
      </c>
      <c r="V740" s="133">
        <v>0.949779027721977</v>
      </c>
      <c r="W740" s="133">
        <v>0.938893159108378</v>
      </c>
      <c r="X740" s="133">
        <v>0.943170256062405</v>
      </c>
      <c r="Y740" s="135">
        <v>0.92</v>
      </c>
      <c r="Z740" s="135">
        <v>0.942800788954635</v>
      </c>
      <c r="AA740" s="135">
        <v>0.929411764705882</v>
      </c>
      <c r="AB740" s="135">
        <v>0.956521739130435</v>
      </c>
      <c r="AC740" s="135">
        <v>0.952055402645831</v>
      </c>
      <c r="AD740" s="135">
        <v>0.92</v>
      </c>
      <c r="AE740" s="133">
        <v>0.998852270864076</v>
      </c>
      <c r="AF740" s="133">
        <v>0.996220710506425</v>
      </c>
      <c r="AG740" s="133">
        <v>0.99811293366236</v>
      </c>
      <c r="AH740" s="133">
        <v>0.993425800985345</v>
      </c>
      <c r="AI740" s="135">
        <v>0.92</v>
      </c>
      <c r="AJ740" s="133">
        <v>0.961311123052123</v>
      </c>
      <c r="AK740" s="133">
        <v>0.972428419936373</v>
      </c>
      <c r="AL740" s="133">
        <v>0.973050095117311</v>
      </c>
      <c r="AM740" s="133">
        <v>0.976116338751069</v>
      </c>
      <c r="AN740" s="132">
        <v>0.99</v>
      </c>
      <c r="AO740" s="137">
        <v>1</v>
      </c>
      <c r="AP740" s="137">
        <v>1</v>
      </c>
      <c r="AQ740" s="137">
        <v>1</v>
      </c>
      <c r="AR740" s="137">
        <v>1</v>
      </c>
      <c r="AS740" s="158">
        <v>0.0810595228934205</v>
      </c>
      <c r="AT740" s="141">
        <v>0.166666666666667</v>
      </c>
      <c r="AU740" s="141">
        <v>0</v>
      </c>
      <c r="AV740" s="141">
        <v>0</v>
      </c>
      <c r="AW740" s="141">
        <v>0.0558139534883721</v>
      </c>
      <c r="AX740" s="95"/>
      <c r="AY740" s="93"/>
    </row>
    <row r="741" ht="14.5" spans="1:51">
      <c r="A741" s="91"/>
      <c r="B741" s="95"/>
      <c r="C741" s="152" t="s">
        <v>668</v>
      </c>
      <c r="D741" s="153" t="s">
        <v>25</v>
      </c>
      <c r="E741" s="130" t="s">
        <v>669</v>
      </c>
      <c r="F741" s="179" t="s">
        <v>768</v>
      </c>
      <c r="G741" s="179" t="s">
        <v>768</v>
      </c>
      <c r="H741" s="179" t="s">
        <v>768</v>
      </c>
      <c r="I741" s="179" t="s">
        <v>768</v>
      </c>
      <c r="J741" s="132">
        <v>0.9</v>
      </c>
      <c r="K741" s="133">
        <v>0.983050847457627</v>
      </c>
      <c r="L741" s="133">
        <v>0.963636363636364</v>
      </c>
      <c r="M741" s="134">
        <v>0.907407407407407</v>
      </c>
      <c r="N741" s="133">
        <v>0.959372114496768</v>
      </c>
      <c r="O741" s="135">
        <v>0.9</v>
      </c>
      <c r="P741" s="133">
        <v>0.972250770811922</v>
      </c>
      <c r="Q741" s="133">
        <v>0.963667398195562</v>
      </c>
      <c r="R741" s="133">
        <v>0.972473023563092</v>
      </c>
      <c r="S741" s="133">
        <v>0.974624932965351</v>
      </c>
      <c r="T741" s="135">
        <v>0.9</v>
      </c>
      <c r="U741" s="133">
        <v>0.948098663926002</v>
      </c>
      <c r="V741" s="133">
        <v>0.932211655693733</v>
      </c>
      <c r="W741" s="133">
        <v>0.954635542831975</v>
      </c>
      <c r="X741" s="133">
        <v>0.957280943847854</v>
      </c>
      <c r="Y741" s="135">
        <v>0.92</v>
      </c>
      <c r="Z741" s="135">
        <v>0.929292929292929</v>
      </c>
      <c r="AA741" s="135">
        <v>0.803030303030303</v>
      </c>
      <c r="AB741" s="135">
        <v>0.874623871614845</v>
      </c>
      <c r="AC741" s="135">
        <v>0.918368520968763</v>
      </c>
      <c r="AD741" s="135">
        <v>0.92</v>
      </c>
      <c r="AE741" s="133">
        <v>0.981707317073171</v>
      </c>
      <c r="AF741" s="133">
        <v>0.949044585987261</v>
      </c>
      <c r="AG741" s="133">
        <v>0.981651376146789</v>
      </c>
      <c r="AH741" s="133">
        <v>0.964753466872111</v>
      </c>
      <c r="AI741" s="135">
        <v>0.92</v>
      </c>
      <c r="AJ741" s="133">
        <v>0.957559681697613</v>
      </c>
      <c r="AK741" s="133">
        <v>0.941073384446878</v>
      </c>
      <c r="AL741" s="133">
        <v>0.9514440433213</v>
      </c>
      <c r="AM741" s="133">
        <v>0.964448185120868</v>
      </c>
      <c r="AN741" s="132">
        <v>0.99</v>
      </c>
      <c r="AO741" s="137">
        <v>1</v>
      </c>
      <c r="AP741" s="137">
        <v>1</v>
      </c>
      <c r="AQ741" s="137">
        <v>1</v>
      </c>
      <c r="AR741" s="137">
        <v>1</v>
      </c>
      <c r="AS741" s="158">
        <v>0.0810595228934205</v>
      </c>
      <c r="AT741" s="141">
        <v>0.0625</v>
      </c>
      <c r="AU741" s="141">
        <v>0.1875</v>
      </c>
      <c r="AV741" s="141">
        <v>0.0625</v>
      </c>
      <c r="AW741" s="141">
        <v>0.0751445086705202</v>
      </c>
      <c r="AX741" s="95"/>
      <c r="AY741" s="93"/>
    </row>
    <row r="742" ht="14.5" spans="1:51">
      <c r="A742" s="91"/>
      <c r="B742" s="95"/>
      <c r="C742" s="152" t="s">
        <v>668</v>
      </c>
      <c r="D742" s="153" t="s">
        <v>25</v>
      </c>
      <c r="E742" s="130" t="s">
        <v>669</v>
      </c>
      <c r="F742" s="179" t="s">
        <v>769</v>
      </c>
      <c r="G742" s="179" t="s">
        <v>769</v>
      </c>
      <c r="H742" s="179" t="s">
        <v>769</v>
      </c>
      <c r="I742" s="179" t="s">
        <v>769</v>
      </c>
      <c r="J742" s="132">
        <v>0.9</v>
      </c>
      <c r="K742" s="133">
        <v>0.95</v>
      </c>
      <c r="L742" s="133">
        <v>0.825</v>
      </c>
      <c r="M742" s="134">
        <v>0.921052631578947</v>
      </c>
      <c r="N742" s="133">
        <v>0.939828080229226</v>
      </c>
      <c r="O742" s="135">
        <v>0.9</v>
      </c>
      <c r="P742" s="133">
        <v>0.990942028985507</v>
      </c>
      <c r="Q742" s="133">
        <v>0.989552726085537</v>
      </c>
      <c r="R742" s="133">
        <v>0.986482427155302</v>
      </c>
      <c r="S742" s="133">
        <v>0.985572083659546</v>
      </c>
      <c r="T742" s="135">
        <v>0.9</v>
      </c>
      <c r="U742" s="133">
        <v>0.93719806763285</v>
      </c>
      <c r="V742" s="133">
        <v>0.954946131243879</v>
      </c>
      <c r="W742" s="133">
        <v>0.944728146590568</v>
      </c>
      <c r="X742" s="133">
        <v>0.941968779458993</v>
      </c>
      <c r="Y742" s="135">
        <v>0.92</v>
      </c>
      <c r="Z742" s="135">
        <v>0.931458699472759</v>
      </c>
      <c r="AA742" s="135">
        <v>0.945823927765237</v>
      </c>
      <c r="AB742" s="135">
        <v>0.91869918699187</v>
      </c>
      <c r="AC742" s="135">
        <v>0.931383865589329</v>
      </c>
      <c r="AD742" s="135">
        <v>0.92</v>
      </c>
      <c r="AE742" s="133">
        <v>0.998165137614679</v>
      </c>
      <c r="AF742" s="133">
        <v>0.998267648332612</v>
      </c>
      <c r="AG742" s="133">
        <v>0.997755051134946</v>
      </c>
      <c r="AH742" s="133">
        <v>0.996887770683963</v>
      </c>
      <c r="AI742" s="135">
        <v>0.92</v>
      </c>
      <c r="AJ742" s="133">
        <v>0.950606196677144</v>
      </c>
      <c r="AK742" s="133">
        <v>0.973474044495151</v>
      </c>
      <c r="AL742" s="133">
        <v>0.967789525448734</v>
      </c>
      <c r="AM742" s="133">
        <v>0.969133592471358</v>
      </c>
      <c r="AN742" s="132">
        <v>0.99</v>
      </c>
      <c r="AO742" s="137">
        <v>1</v>
      </c>
      <c r="AP742" s="137">
        <v>1</v>
      </c>
      <c r="AQ742" s="137">
        <v>1</v>
      </c>
      <c r="AR742" s="137">
        <v>1</v>
      </c>
      <c r="AS742" s="158">
        <v>0.0810595228934205</v>
      </c>
      <c r="AT742" s="141">
        <v>0.181818181818182</v>
      </c>
      <c r="AU742" s="141">
        <v>0</v>
      </c>
      <c r="AV742" s="141">
        <v>0.0625</v>
      </c>
      <c r="AW742" s="141">
        <v>0.0745098039215686</v>
      </c>
      <c r="AX742" s="95"/>
      <c r="AY742" s="93"/>
    </row>
    <row r="743" ht="14.5" spans="1:51">
      <c r="A743" s="91"/>
      <c r="B743" s="95"/>
      <c r="C743" s="152" t="s">
        <v>668</v>
      </c>
      <c r="D743" s="153" t="s">
        <v>25</v>
      </c>
      <c r="E743" s="130" t="s">
        <v>669</v>
      </c>
      <c r="F743" s="179" t="s">
        <v>770</v>
      </c>
      <c r="G743" s="179" t="s">
        <v>770</v>
      </c>
      <c r="H743" s="179" t="s">
        <v>770</v>
      </c>
      <c r="I743" s="179" t="s">
        <v>770</v>
      </c>
      <c r="J743" s="132">
        <v>0.9</v>
      </c>
      <c r="K743" s="133">
        <v>0.862068965517241</v>
      </c>
      <c r="L743" s="133">
        <v>0.870967741935484</v>
      </c>
      <c r="M743" s="134">
        <v>0.875</v>
      </c>
      <c r="N743" s="133">
        <v>0.90671031096563</v>
      </c>
      <c r="O743" s="135">
        <v>0.9</v>
      </c>
      <c r="P743" s="133">
        <v>0.985407066052227</v>
      </c>
      <c r="Q743" s="133">
        <v>0.985591900311526</v>
      </c>
      <c r="R743" s="133">
        <v>0.985174726438405</v>
      </c>
      <c r="S743" s="133">
        <v>0.976587176247631</v>
      </c>
      <c r="T743" s="135">
        <v>0.9</v>
      </c>
      <c r="U743" s="133">
        <v>0.898617511520737</v>
      </c>
      <c r="V743" s="133">
        <v>0.904984423676013</v>
      </c>
      <c r="W743" s="133">
        <v>0.926579597599718</v>
      </c>
      <c r="X743" s="133">
        <v>0.918114339861023</v>
      </c>
      <c r="Y743" s="135">
        <v>0.92</v>
      </c>
      <c r="Z743" s="135">
        <v>0.912951167728238</v>
      </c>
      <c r="AA743" s="135">
        <v>0.896321070234114</v>
      </c>
      <c r="AB743" s="135">
        <v>0.936170212765957</v>
      </c>
      <c r="AC743" s="135">
        <v>0.932534730887613</v>
      </c>
      <c r="AD743" s="135">
        <v>0.92</v>
      </c>
      <c r="AE743" s="133">
        <v>1</v>
      </c>
      <c r="AF743" s="133">
        <v>0.975609756097561</v>
      </c>
      <c r="AG743" s="133">
        <v>0.999039231385108</v>
      </c>
      <c r="AH743" s="133">
        <v>0.997379131064755</v>
      </c>
      <c r="AI743" s="135">
        <v>0.92</v>
      </c>
      <c r="AJ743" s="133">
        <v>0.936865839909808</v>
      </c>
      <c r="AK743" s="133">
        <v>0.956415620641562</v>
      </c>
      <c r="AL743" s="133">
        <v>0.963620739043254</v>
      </c>
      <c r="AM743" s="133">
        <v>0.963097041703213</v>
      </c>
      <c r="AN743" s="132">
        <v>0.99</v>
      </c>
      <c r="AO743" s="137">
        <v>1</v>
      </c>
      <c r="AP743" s="137">
        <v>1</v>
      </c>
      <c r="AQ743" s="137">
        <v>1</v>
      </c>
      <c r="AR743" s="137">
        <v>1</v>
      </c>
      <c r="AS743" s="158">
        <v>0.0810595228934205</v>
      </c>
      <c r="AT743" s="141">
        <v>0.166666666666667</v>
      </c>
      <c r="AU743" s="141">
        <v>0</v>
      </c>
      <c r="AV743" s="141">
        <v>0</v>
      </c>
      <c r="AW743" s="141">
        <v>0.0776255707762557</v>
      </c>
      <c r="AX743" s="95"/>
      <c r="AY743" s="93"/>
    </row>
    <row r="744" ht="14.5" spans="1:51">
      <c r="A744" s="91"/>
      <c r="B744" s="95"/>
      <c r="C744" s="152" t="s">
        <v>668</v>
      </c>
      <c r="D744" s="153" t="s">
        <v>25</v>
      </c>
      <c r="E744" s="130" t="s">
        <v>669</v>
      </c>
      <c r="F744" s="179" t="s">
        <v>771</v>
      </c>
      <c r="G744" s="179" t="s">
        <v>771</v>
      </c>
      <c r="H744" s="179" t="s">
        <v>771</v>
      </c>
      <c r="I744" s="179" t="s">
        <v>771</v>
      </c>
      <c r="J744" s="132">
        <v>0.9</v>
      </c>
      <c r="K744" s="133">
        <v>0.921052631578947</v>
      </c>
      <c r="L744" s="133">
        <v>0.952380952380952</v>
      </c>
      <c r="M744" s="134">
        <v>0.875</v>
      </c>
      <c r="N744" s="133">
        <v>0.929752066115702</v>
      </c>
      <c r="O744" s="135">
        <v>0.9</v>
      </c>
      <c r="P744" s="133">
        <v>0.958568738229755</v>
      </c>
      <c r="Q744" s="133">
        <v>0.928292829282928</v>
      </c>
      <c r="R744" s="133">
        <v>0.936890713186249</v>
      </c>
      <c r="S744" s="133">
        <v>0.946439198571712</v>
      </c>
      <c r="T744" s="135">
        <v>0.9</v>
      </c>
      <c r="U744" s="133">
        <v>0.932203389830508</v>
      </c>
      <c r="V744" s="133">
        <v>0.92019201920192</v>
      </c>
      <c r="W744" s="133">
        <v>0.914828116983068</v>
      </c>
      <c r="X744" s="133">
        <v>0.917856906698406</v>
      </c>
      <c r="Y744" s="135">
        <v>0.92</v>
      </c>
      <c r="Z744" s="135">
        <v>0.839222614840989</v>
      </c>
      <c r="AA744" s="135">
        <v>0.771084337349398</v>
      </c>
      <c r="AB744" s="135">
        <v>0.77039627039627</v>
      </c>
      <c r="AC744" s="135">
        <v>0.831949360196025</v>
      </c>
      <c r="AD744" s="135">
        <v>0.92</v>
      </c>
      <c r="AE744" s="133">
        <v>0.9875</v>
      </c>
      <c r="AF744" s="133">
        <v>0.994897959183674</v>
      </c>
      <c r="AG744" s="133">
        <v>0.995505617977528</v>
      </c>
      <c r="AH744" s="133">
        <v>0.98691131498471</v>
      </c>
      <c r="AI744" s="135">
        <v>0.92</v>
      </c>
      <c r="AJ744" s="133">
        <v>0.933765632237147</v>
      </c>
      <c r="AK744" s="133">
        <v>0.943169690501601</v>
      </c>
      <c r="AL744" s="133">
        <v>0.921993271656855</v>
      </c>
      <c r="AM744" s="133">
        <v>0.940024203093209</v>
      </c>
      <c r="AN744" s="132">
        <v>0.99</v>
      </c>
      <c r="AO744" s="137">
        <v>1</v>
      </c>
      <c r="AP744" s="137">
        <v>1</v>
      </c>
      <c r="AQ744" s="137">
        <v>1</v>
      </c>
      <c r="AR744" s="137">
        <v>1</v>
      </c>
      <c r="AS744" s="158">
        <v>0.0810595228934205</v>
      </c>
      <c r="AT744" s="141">
        <v>0.0833333333333333</v>
      </c>
      <c r="AU744" s="141">
        <v>0.0714285714285714</v>
      </c>
      <c r="AV744" s="141">
        <v>0.2</v>
      </c>
      <c r="AW744" s="141">
        <v>0.037037037037037</v>
      </c>
      <c r="AX744" s="95"/>
      <c r="AY744" s="93"/>
    </row>
    <row r="745" ht="14.5" spans="1:51">
      <c r="A745" s="91"/>
      <c r="B745" s="95"/>
      <c r="C745" s="152" t="s">
        <v>668</v>
      </c>
      <c r="D745" s="153" t="s">
        <v>25</v>
      </c>
      <c r="E745" s="130" t="s">
        <v>669</v>
      </c>
      <c r="F745" s="179" t="s">
        <v>772</v>
      </c>
      <c r="G745" s="179" t="s">
        <v>772</v>
      </c>
      <c r="H745" s="179" t="s">
        <v>772</v>
      </c>
      <c r="I745" s="179" t="s">
        <v>772</v>
      </c>
      <c r="J745" s="132">
        <v>0.9</v>
      </c>
      <c r="K745" s="133">
        <v>0.92</v>
      </c>
      <c r="L745" s="133">
        <v>0.96875</v>
      </c>
      <c r="M745" s="134">
        <v>0.928571428571429</v>
      </c>
      <c r="N745" s="133">
        <v>0.956912028725314</v>
      </c>
      <c r="O745" s="135">
        <v>0.9</v>
      </c>
      <c r="P745" s="133">
        <v>0.962527553269655</v>
      </c>
      <c r="Q745" s="133">
        <v>0.975609756097561</v>
      </c>
      <c r="R745" s="133">
        <v>0.974207188160677</v>
      </c>
      <c r="S745" s="133">
        <v>0.967330636489324</v>
      </c>
      <c r="T745" s="135">
        <v>0.9</v>
      </c>
      <c r="U745" s="133">
        <v>0.920646583394563</v>
      </c>
      <c r="V745" s="133">
        <v>0.917734601074824</v>
      </c>
      <c r="W745" s="133">
        <v>0.9276955602537</v>
      </c>
      <c r="X745" s="133">
        <v>0.926417123252599</v>
      </c>
      <c r="Y745" s="135">
        <v>0.92</v>
      </c>
      <c r="Z745" s="135">
        <v>0.949101796407186</v>
      </c>
      <c r="AA745" s="135">
        <v>0.945736434108527</v>
      </c>
      <c r="AB745" s="135">
        <v>0.912</v>
      </c>
      <c r="AC745" s="135">
        <v>0.933055205200349</v>
      </c>
      <c r="AD745" s="135">
        <v>0.92</v>
      </c>
      <c r="AE745" s="133">
        <v>0.954749704375246</v>
      </c>
      <c r="AF745" s="133">
        <v>0.977959837926889</v>
      </c>
      <c r="AG745" s="133">
        <v>0.997831743278404</v>
      </c>
      <c r="AH745" s="133">
        <v>0.938233686171192</v>
      </c>
      <c r="AI745" s="135">
        <v>0.92</v>
      </c>
      <c r="AJ745" s="133">
        <v>0.959133431806992</v>
      </c>
      <c r="AK745" s="133">
        <v>0.960456002850018</v>
      </c>
      <c r="AL745" s="133">
        <v>0.957219251336898</v>
      </c>
      <c r="AM745" s="133">
        <v>0.963512665276287</v>
      </c>
      <c r="AN745" s="132">
        <v>0.99</v>
      </c>
      <c r="AO745" s="137">
        <v>1</v>
      </c>
      <c r="AP745" s="137">
        <v>1</v>
      </c>
      <c r="AQ745" s="137">
        <v>1</v>
      </c>
      <c r="AR745" s="137">
        <v>1</v>
      </c>
      <c r="AS745" s="158">
        <v>0.0810595228934205</v>
      </c>
      <c r="AT745" s="141">
        <v>0</v>
      </c>
      <c r="AU745" s="141">
        <v>0</v>
      </c>
      <c r="AV745" s="141">
        <v>0</v>
      </c>
      <c r="AW745" s="141">
        <v>0.0512820512820513</v>
      </c>
      <c r="AX745" s="95"/>
      <c r="AY745" s="93"/>
    </row>
    <row r="746" ht="14.5" spans="1:51">
      <c r="A746" s="91"/>
      <c r="B746" s="95"/>
      <c r="C746" s="152" t="s">
        <v>668</v>
      </c>
      <c r="D746" s="153" t="s">
        <v>25</v>
      </c>
      <c r="E746" s="130" t="s">
        <v>669</v>
      </c>
      <c r="F746" s="179" t="s">
        <v>773</v>
      </c>
      <c r="G746" s="179" t="s">
        <v>773</v>
      </c>
      <c r="H746" s="179" t="s">
        <v>773</v>
      </c>
      <c r="I746" s="179" t="s">
        <v>773</v>
      </c>
      <c r="J746" s="132">
        <v>0.9</v>
      </c>
      <c r="K746" s="133">
        <v>1</v>
      </c>
      <c r="L746" s="133">
        <v>1</v>
      </c>
      <c r="M746" s="134">
        <v>1</v>
      </c>
      <c r="N746" s="133">
        <v>0.992277992277992</v>
      </c>
      <c r="O746" s="135">
        <v>0.9</v>
      </c>
      <c r="P746" s="133">
        <v>0.968965517241379</v>
      </c>
      <c r="Q746" s="133">
        <v>0.98094867807154</v>
      </c>
      <c r="R746" s="133">
        <v>0.945565283593453</v>
      </c>
      <c r="S746" s="133">
        <v>0.972428961809335</v>
      </c>
      <c r="T746" s="135">
        <v>0.9</v>
      </c>
      <c r="U746" s="133">
        <v>0.943448275862069</v>
      </c>
      <c r="V746" s="133">
        <v>0.940124416796267</v>
      </c>
      <c r="W746" s="133">
        <v>0.934526075371146</v>
      </c>
      <c r="X746" s="133">
        <v>0.943058363511142</v>
      </c>
      <c r="Y746" s="135">
        <v>0.92</v>
      </c>
      <c r="Z746" s="135">
        <v>0.947674418604651</v>
      </c>
      <c r="AA746" s="135">
        <v>0.955555555555556</v>
      </c>
      <c r="AB746" s="135">
        <v>0.960691823899371</v>
      </c>
      <c r="AC746" s="135">
        <v>0.953662182361734</v>
      </c>
      <c r="AD746" s="135">
        <v>0.92</v>
      </c>
      <c r="AE746" s="133">
        <v>0.991281217674006</v>
      </c>
      <c r="AF746" s="133">
        <v>0.979187403854855</v>
      </c>
      <c r="AG746" s="133">
        <v>0.979764705882353</v>
      </c>
      <c r="AH746" s="133">
        <v>0.956781645011706</v>
      </c>
      <c r="AI746" s="135">
        <v>0.92</v>
      </c>
      <c r="AJ746" s="133">
        <v>0.963517305893358</v>
      </c>
      <c r="AK746" s="133">
        <v>0.96495867768595</v>
      </c>
      <c r="AL746" s="133">
        <v>0.954044117647059</v>
      </c>
      <c r="AM746" s="133">
        <v>0.970881185311215</v>
      </c>
      <c r="AN746" s="132">
        <v>0.99</v>
      </c>
      <c r="AO746" s="137">
        <v>1</v>
      </c>
      <c r="AP746" s="137">
        <v>1</v>
      </c>
      <c r="AQ746" s="137">
        <v>1</v>
      </c>
      <c r="AR746" s="137">
        <v>1</v>
      </c>
      <c r="AS746" s="158">
        <v>0.0810595228934205</v>
      </c>
      <c r="AT746" s="141">
        <v>0.125</v>
      </c>
      <c r="AU746" s="141">
        <v>0.0714285714285714</v>
      </c>
      <c r="AV746" s="141">
        <v>0</v>
      </c>
      <c r="AW746" s="141">
        <v>0.0476190476190476</v>
      </c>
      <c r="AX746" s="95"/>
      <c r="AY746" s="93"/>
    </row>
    <row r="747" ht="14.5" spans="1:51">
      <c r="A747" s="91"/>
      <c r="B747" s="95"/>
      <c r="C747" s="152" t="s">
        <v>668</v>
      </c>
      <c r="D747" s="153" t="s">
        <v>25</v>
      </c>
      <c r="E747" s="130" t="s">
        <v>669</v>
      </c>
      <c r="F747" s="179" t="s">
        <v>774</v>
      </c>
      <c r="G747" s="179" t="s">
        <v>774</v>
      </c>
      <c r="H747" s="179" t="s">
        <v>774</v>
      </c>
      <c r="I747" s="179" t="s">
        <v>774</v>
      </c>
      <c r="J747" s="132">
        <v>0.9</v>
      </c>
      <c r="K747" s="133">
        <v>0.970588235294118</v>
      </c>
      <c r="L747" s="133">
        <v>0.947368421052632</v>
      </c>
      <c r="M747" s="134">
        <v>0.916666666666667</v>
      </c>
      <c r="N747" s="133">
        <v>0.958748221906117</v>
      </c>
      <c r="O747" s="135">
        <v>0.9</v>
      </c>
      <c r="P747" s="133">
        <v>0.979381443298969</v>
      </c>
      <c r="Q747" s="133">
        <v>0.990994371482176</v>
      </c>
      <c r="R747" s="133">
        <v>0.978777899743871</v>
      </c>
      <c r="S747" s="133">
        <v>0.985314509012984</v>
      </c>
      <c r="T747" s="135">
        <v>0.9</v>
      </c>
      <c r="U747" s="133">
        <v>0.95796986518636</v>
      </c>
      <c r="V747" s="133">
        <v>0.962476547842402</v>
      </c>
      <c r="W747" s="133">
        <v>0.952799121844127</v>
      </c>
      <c r="X747" s="133">
        <v>0.959536114962814</v>
      </c>
      <c r="Y747" s="135">
        <v>0.92</v>
      </c>
      <c r="Z747" s="135">
        <v>0.995412844036697</v>
      </c>
      <c r="AA747" s="135">
        <v>1</v>
      </c>
      <c r="AB747" s="135">
        <v>0.991896272285251</v>
      </c>
      <c r="AC747" s="135">
        <v>0.988668555240793</v>
      </c>
      <c r="AD747" s="135">
        <v>0.92</v>
      </c>
      <c r="AE747" s="133">
        <v>0.99623352165725</v>
      </c>
      <c r="AF747" s="133">
        <v>0.996101364522417</v>
      </c>
      <c r="AG747" s="133">
        <v>0.99613601236476</v>
      </c>
      <c r="AH747" s="133">
        <v>0.995258747427227</v>
      </c>
      <c r="AI747" s="135">
        <v>0.92</v>
      </c>
      <c r="AJ747" s="133">
        <v>0.991750147318798</v>
      </c>
      <c r="AK747" s="133">
        <v>0.994949494949495</v>
      </c>
      <c r="AL747" s="133">
        <v>0.992537313432836</v>
      </c>
      <c r="AM747" s="133">
        <v>0.993220049526087</v>
      </c>
      <c r="AN747" s="132">
        <v>0.99</v>
      </c>
      <c r="AO747" s="137">
        <v>1</v>
      </c>
      <c r="AP747" s="137">
        <v>1</v>
      </c>
      <c r="AQ747" s="137">
        <v>1</v>
      </c>
      <c r="AR747" s="137">
        <v>1</v>
      </c>
      <c r="AS747" s="158">
        <v>0.0810595228934205</v>
      </c>
      <c r="AT747" s="141">
        <v>0.142857142857143</v>
      </c>
      <c r="AU747" s="141">
        <v>0.2</v>
      </c>
      <c r="AV747" s="141">
        <v>0</v>
      </c>
      <c r="AW747" s="141">
        <v>0.045045045045045</v>
      </c>
      <c r="AX747" s="95"/>
      <c r="AY747" s="93"/>
    </row>
    <row r="748" ht="14.5" spans="1:51">
      <c r="A748" s="91"/>
      <c r="B748" s="95"/>
      <c r="C748" s="152" t="s">
        <v>668</v>
      </c>
      <c r="D748" s="153" t="s">
        <v>25</v>
      </c>
      <c r="E748" s="130" t="s">
        <v>669</v>
      </c>
      <c r="F748" s="179" t="s">
        <v>775</v>
      </c>
      <c r="G748" s="179" t="s">
        <v>775</v>
      </c>
      <c r="H748" s="179" t="s">
        <v>775</v>
      </c>
      <c r="I748" s="179" t="s">
        <v>775</v>
      </c>
      <c r="J748" s="132">
        <v>0.9</v>
      </c>
      <c r="K748" s="133">
        <v>1</v>
      </c>
      <c r="L748" s="133">
        <v>1</v>
      </c>
      <c r="M748" s="134">
        <v>1</v>
      </c>
      <c r="N748" s="133">
        <v>0.989406779661017</v>
      </c>
      <c r="O748" s="135">
        <v>0.9</v>
      </c>
      <c r="P748" s="133">
        <v>0.978766430738119</v>
      </c>
      <c r="Q748" s="133">
        <v>0.978229317851959</v>
      </c>
      <c r="R748" s="133">
        <v>0.966651009863786</v>
      </c>
      <c r="S748" s="133">
        <v>0.978109673307656</v>
      </c>
      <c r="T748" s="135">
        <v>0.9</v>
      </c>
      <c r="U748" s="133">
        <v>0.951466127401416</v>
      </c>
      <c r="V748" s="133">
        <v>0.951136913401064</v>
      </c>
      <c r="W748" s="133">
        <v>0.941286989196806</v>
      </c>
      <c r="X748" s="133">
        <v>0.949984759899138</v>
      </c>
      <c r="Y748" s="135">
        <v>0.92</v>
      </c>
      <c r="Z748" s="135">
        <v>0.906801007556675</v>
      </c>
      <c r="AA748" s="135">
        <v>0.845814977973568</v>
      </c>
      <c r="AB748" s="135">
        <v>0.904214559386973</v>
      </c>
      <c r="AC748" s="135">
        <v>0.898565458036824</v>
      </c>
      <c r="AD748" s="135">
        <v>0.92</v>
      </c>
      <c r="AE748" s="133">
        <v>0.99864406779661</v>
      </c>
      <c r="AF748" s="133">
        <v>0.99192759295499</v>
      </c>
      <c r="AG748" s="133">
        <v>0.992101799034664</v>
      </c>
      <c r="AH748" s="133">
        <v>0.990536093314899</v>
      </c>
      <c r="AI748" s="135">
        <v>0.92</v>
      </c>
      <c r="AJ748" s="133">
        <v>0.952380952380952</v>
      </c>
      <c r="AK748" s="133">
        <v>0.960348583877996</v>
      </c>
      <c r="AL748" s="133">
        <v>0.959637872500943</v>
      </c>
      <c r="AM748" s="133">
        <v>0.964364364364364</v>
      </c>
      <c r="AN748" s="132">
        <v>0.99</v>
      </c>
      <c r="AO748" s="137">
        <v>1</v>
      </c>
      <c r="AP748" s="137">
        <v>1</v>
      </c>
      <c r="AQ748" s="137">
        <v>1</v>
      </c>
      <c r="AR748" s="137">
        <v>1</v>
      </c>
      <c r="AS748" s="158">
        <v>0.0810595228934205</v>
      </c>
      <c r="AT748" s="141">
        <v>0</v>
      </c>
      <c r="AU748" s="141">
        <v>0.125</v>
      </c>
      <c r="AV748" s="141">
        <v>0</v>
      </c>
      <c r="AW748" s="141">
        <v>0.0437956204379562</v>
      </c>
      <c r="AX748" s="95"/>
      <c r="AY748" s="93"/>
    </row>
    <row r="749" ht="14.5" spans="1:51">
      <c r="A749" s="91"/>
      <c r="B749" s="95"/>
      <c r="C749" s="152" t="s">
        <v>668</v>
      </c>
      <c r="D749" s="153" t="s">
        <v>25</v>
      </c>
      <c r="E749" s="130" t="s">
        <v>669</v>
      </c>
      <c r="F749" s="179" t="s">
        <v>776</v>
      </c>
      <c r="G749" s="179" t="s">
        <v>776</v>
      </c>
      <c r="H749" s="179" t="s">
        <v>776</v>
      </c>
      <c r="I749" s="179" t="s">
        <v>776</v>
      </c>
      <c r="J749" s="132">
        <v>0.9</v>
      </c>
      <c r="K749" s="133">
        <v>1</v>
      </c>
      <c r="L749" s="133">
        <v>0.972972972972973</v>
      </c>
      <c r="M749" s="134">
        <v>0.972972972972973</v>
      </c>
      <c r="N749" s="133">
        <v>0.985855728429986</v>
      </c>
      <c r="O749" s="135">
        <v>0.9</v>
      </c>
      <c r="P749" s="133">
        <v>0.953342618384401</v>
      </c>
      <c r="Q749" s="133">
        <v>0.96271186440678</v>
      </c>
      <c r="R749" s="133">
        <v>0.952971913781842</v>
      </c>
      <c r="S749" s="133">
        <v>0.95975326504969</v>
      </c>
      <c r="T749" s="135">
        <v>0.9</v>
      </c>
      <c r="U749" s="133">
        <v>0.920612813370474</v>
      </c>
      <c r="V749" s="133">
        <v>0.943389830508475</v>
      </c>
      <c r="W749" s="133">
        <v>0.934356629653821</v>
      </c>
      <c r="X749" s="133">
        <v>0.944275216083463</v>
      </c>
      <c r="Y749" s="135">
        <v>0.92</v>
      </c>
      <c r="Z749" s="135">
        <v>0.873727087576375</v>
      </c>
      <c r="AA749" s="135">
        <v>0.896142433234421</v>
      </c>
      <c r="AB749" s="135">
        <v>0.885174418604651</v>
      </c>
      <c r="AC749" s="135">
        <v>0.92156384621637</v>
      </c>
      <c r="AD749" s="135">
        <v>0.92</v>
      </c>
      <c r="AE749" s="133">
        <v>1</v>
      </c>
      <c r="AF749" s="133">
        <v>0.982857142857143</v>
      </c>
      <c r="AG749" s="133">
        <v>0.9957805907173</v>
      </c>
      <c r="AH749" s="133">
        <v>0.992348890589135</v>
      </c>
      <c r="AI749" s="135">
        <v>0.92</v>
      </c>
      <c r="AJ749" s="133">
        <v>0.940321743642968</v>
      </c>
      <c r="AK749" s="133">
        <v>0.968664435655613</v>
      </c>
      <c r="AL749" s="133">
        <v>0.9648</v>
      </c>
      <c r="AM749" s="133">
        <v>0.972158381021425</v>
      </c>
      <c r="AN749" s="132">
        <v>0.99</v>
      </c>
      <c r="AO749" s="137">
        <v>1</v>
      </c>
      <c r="AP749" s="137">
        <v>1</v>
      </c>
      <c r="AQ749" s="137">
        <v>1</v>
      </c>
      <c r="AR749" s="137">
        <v>1</v>
      </c>
      <c r="AS749" s="158">
        <v>0.0810595228934205</v>
      </c>
      <c r="AT749" s="141">
        <v>0</v>
      </c>
      <c r="AU749" s="141">
        <v>0</v>
      </c>
      <c r="AV749" s="141">
        <v>0</v>
      </c>
      <c r="AW749" s="141">
        <v>0.0358744394618834</v>
      </c>
      <c r="AX749" s="95"/>
      <c r="AY749" s="93"/>
    </row>
    <row r="750" ht="14.5" spans="1:51">
      <c r="A750" s="91"/>
      <c r="B750" s="95"/>
      <c r="C750" s="152" t="s">
        <v>668</v>
      </c>
      <c r="D750" s="153" t="s">
        <v>25</v>
      </c>
      <c r="E750" s="130" t="s">
        <v>669</v>
      </c>
      <c r="F750" s="179" t="s">
        <v>777</v>
      </c>
      <c r="G750" s="179" t="s">
        <v>777</v>
      </c>
      <c r="H750" s="179" t="s">
        <v>777</v>
      </c>
      <c r="I750" s="179" t="s">
        <v>777</v>
      </c>
      <c r="J750" s="132">
        <v>0.9</v>
      </c>
      <c r="K750" s="133">
        <v>1</v>
      </c>
      <c r="L750" s="133">
        <v>0.970588235294118</v>
      </c>
      <c r="M750" s="134">
        <v>1</v>
      </c>
      <c r="N750" s="133">
        <v>0.991909385113269</v>
      </c>
      <c r="O750" s="135">
        <v>0.9</v>
      </c>
      <c r="P750" s="133">
        <v>0.982680722891566</v>
      </c>
      <c r="Q750" s="133">
        <v>0.979258077383327</v>
      </c>
      <c r="R750" s="133">
        <v>0.934965290464012</v>
      </c>
      <c r="S750" s="133">
        <v>0.972794723825227</v>
      </c>
      <c r="T750" s="135">
        <v>0.9</v>
      </c>
      <c r="U750" s="133">
        <v>0.957078313253012</v>
      </c>
      <c r="V750" s="133">
        <v>0.962903869166334</v>
      </c>
      <c r="W750" s="133">
        <v>0.951772013153087</v>
      </c>
      <c r="X750" s="133">
        <v>0.960280719555246</v>
      </c>
      <c r="Y750" s="135">
        <v>0.92</v>
      </c>
      <c r="Z750" s="135">
        <v>0.878524945770065</v>
      </c>
      <c r="AA750" s="135">
        <v>0.867088607594937</v>
      </c>
      <c r="AB750" s="135">
        <v>0.832822085889571</v>
      </c>
      <c r="AC750" s="135">
        <v>0.890783528007503</v>
      </c>
      <c r="AD750" s="135">
        <v>0.92</v>
      </c>
      <c r="AE750" s="133">
        <v>0.997721663185874</v>
      </c>
      <c r="AF750" s="133">
        <v>0.999339207048458</v>
      </c>
      <c r="AG750" s="133">
        <v>0.99964330301409</v>
      </c>
      <c r="AH750" s="133">
        <v>0.99927736237266</v>
      </c>
      <c r="AI750" s="135">
        <v>0.92</v>
      </c>
      <c r="AJ750" s="133">
        <v>0.953046394633874</v>
      </c>
      <c r="AK750" s="133">
        <v>0.968119022316684</v>
      </c>
      <c r="AL750" s="133">
        <v>0.959009141846063</v>
      </c>
      <c r="AM750" s="133">
        <v>0.968461525432341</v>
      </c>
      <c r="AN750" s="132">
        <v>0.99</v>
      </c>
      <c r="AO750" s="137">
        <v>1</v>
      </c>
      <c r="AP750" s="137">
        <v>1</v>
      </c>
      <c r="AQ750" s="137">
        <v>1</v>
      </c>
      <c r="AR750" s="137">
        <v>1</v>
      </c>
      <c r="AS750" s="158">
        <v>0.0810595228934205</v>
      </c>
      <c r="AT750" s="141">
        <v>0.166666666666667</v>
      </c>
      <c r="AU750" s="141">
        <v>0</v>
      </c>
      <c r="AV750" s="141">
        <v>0.25</v>
      </c>
      <c r="AW750" s="141">
        <v>0.0939597315436242</v>
      </c>
      <c r="AX750" s="95"/>
      <c r="AY750" s="93"/>
    </row>
    <row r="751" ht="14.5" spans="1:51">
      <c r="A751" s="91"/>
      <c r="B751" s="95"/>
      <c r="C751" s="152" t="s">
        <v>668</v>
      </c>
      <c r="D751" s="153" t="s">
        <v>25</v>
      </c>
      <c r="E751" s="130" t="s">
        <v>669</v>
      </c>
      <c r="F751" s="179" t="s">
        <v>778</v>
      </c>
      <c r="G751" s="179" t="s">
        <v>778</v>
      </c>
      <c r="H751" s="179" t="s">
        <v>778</v>
      </c>
      <c r="I751" s="179" t="s">
        <v>778</v>
      </c>
      <c r="J751" s="132">
        <v>0.9</v>
      </c>
      <c r="K751" s="133">
        <v>1</v>
      </c>
      <c r="L751" s="133">
        <v>1</v>
      </c>
      <c r="M751" s="134">
        <v>1</v>
      </c>
      <c r="N751" s="133">
        <v>0.994241842610365</v>
      </c>
      <c r="O751" s="135">
        <v>0.9</v>
      </c>
      <c r="P751" s="133">
        <v>0.95018115942029</v>
      </c>
      <c r="Q751" s="133">
        <v>0.962759204401185</v>
      </c>
      <c r="R751" s="133">
        <v>0.963128876636802</v>
      </c>
      <c r="S751" s="133">
        <v>0.964079133938016</v>
      </c>
      <c r="T751" s="135">
        <v>0.9</v>
      </c>
      <c r="U751" s="133">
        <v>0.923913043478261</v>
      </c>
      <c r="V751" s="133">
        <v>0.951333051206094</v>
      </c>
      <c r="W751" s="133">
        <v>0.919710544452102</v>
      </c>
      <c r="X751" s="133">
        <v>0.949629763003308</v>
      </c>
      <c r="Y751" s="135">
        <v>0.92</v>
      </c>
      <c r="Z751" s="135">
        <v>0.897959183673469</v>
      </c>
      <c r="AA751" s="135">
        <v>0.916666666666667</v>
      </c>
      <c r="AB751" s="135">
        <v>0.942307692307692</v>
      </c>
      <c r="AC751" s="135">
        <v>0.946837513631407</v>
      </c>
      <c r="AD751" s="135">
        <v>0.92</v>
      </c>
      <c r="AE751" s="133">
        <v>1</v>
      </c>
      <c r="AF751" s="133">
        <v>0.989761092150171</v>
      </c>
      <c r="AG751" s="133">
        <v>1</v>
      </c>
      <c r="AH751" s="133">
        <v>0.995846730975348</v>
      </c>
      <c r="AI751" s="135">
        <v>0.92</v>
      </c>
      <c r="AJ751" s="133">
        <v>0.951871657754011</v>
      </c>
      <c r="AK751" s="133">
        <v>0.978494623655914</v>
      </c>
      <c r="AL751" s="133">
        <v>0.977601360929969</v>
      </c>
      <c r="AM751" s="133">
        <v>0.979616869295429</v>
      </c>
      <c r="AN751" s="132">
        <v>0.99</v>
      </c>
      <c r="AO751" s="137">
        <v>1</v>
      </c>
      <c r="AP751" s="137">
        <v>1</v>
      </c>
      <c r="AQ751" s="137">
        <v>1</v>
      </c>
      <c r="AR751" s="137">
        <v>1</v>
      </c>
      <c r="AS751" s="158">
        <v>0.0810595228934205</v>
      </c>
      <c r="AT751" s="141">
        <v>0</v>
      </c>
      <c r="AU751" s="141">
        <v>0.111111111111111</v>
      </c>
      <c r="AV751" s="141">
        <v>0</v>
      </c>
      <c r="AW751" s="141">
        <v>0.0598802395209581</v>
      </c>
      <c r="AX751" s="95"/>
      <c r="AY751" s="93"/>
    </row>
    <row r="752" ht="14.5" spans="1:51">
      <c r="A752" s="91"/>
      <c r="B752" s="95"/>
      <c r="C752" s="152" t="s">
        <v>668</v>
      </c>
      <c r="D752" s="153" t="s">
        <v>25</v>
      </c>
      <c r="E752" s="130" t="s">
        <v>669</v>
      </c>
      <c r="F752" s="179" t="s">
        <v>779</v>
      </c>
      <c r="G752" s="179" t="s">
        <v>779</v>
      </c>
      <c r="H752" s="179" t="s">
        <v>779</v>
      </c>
      <c r="I752" s="179" t="s">
        <v>779</v>
      </c>
      <c r="J752" s="132">
        <v>0.9</v>
      </c>
      <c r="K752" s="133">
        <v>0.947368421052632</v>
      </c>
      <c r="L752" s="133">
        <v>0.954545454545455</v>
      </c>
      <c r="M752" s="134">
        <v>0.956521739130435</v>
      </c>
      <c r="N752" s="133">
        <v>0.956120092378753</v>
      </c>
      <c r="O752" s="135">
        <v>0.9</v>
      </c>
      <c r="P752" s="133">
        <v>0.949367088607595</v>
      </c>
      <c r="Q752" s="133">
        <v>0.946538124452235</v>
      </c>
      <c r="R752" s="133">
        <v>0.955922865013774</v>
      </c>
      <c r="S752" s="133">
        <v>0.951580363147276</v>
      </c>
      <c r="T752" s="135">
        <v>0.9</v>
      </c>
      <c r="U752" s="133">
        <v>0.948462929475588</v>
      </c>
      <c r="V752" s="133">
        <v>0.928571428571429</v>
      </c>
      <c r="W752" s="133">
        <v>0.929161747343565</v>
      </c>
      <c r="X752" s="133">
        <v>0.937890287251417</v>
      </c>
      <c r="Y752" s="135">
        <v>0.92</v>
      </c>
      <c r="Z752" s="135">
        <v>0.916897506925208</v>
      </c>
      <c r="AA752" s="135">
        <v>0.903765690376569</v>
      </c>
      <c r="AB752" s="135">
        <v>0.948028673835125</v>
      </c>
      <c r="AC752" s="135">
        <v>0.946909995852343</v>
      </c>
      <c r="AD752" s="135">
        <v>0.92</v>
      </c>
      <c r="AE752" s="133">
        <v>0.994764397905759</v>
      </c>
      <c r="AF752" s="133">
        <v>0.902040816326531</v>
      </c>
      <c r="AG752" s="133">
        <v>0.996212121212121</v>
      </c>
      <c r="AH752" s="133">
        <v>0.988004730528806</v>
      </c>
      <c r="AI752" s="135">
        <v>0.92</v>
      </c>
      <c r="AJ752" s="133">
        <v>0.953646898432175</v>
      </c>
      <c r="AK752" s="133">
        <v>0.959539865132884</v>
      </c>
      <c r="AL752" s="133">
        <v>0.975491776846179</v>
      </c>
      <c r="AM752" s="133">
        <v>0.974306489658265</v>
      </c>
      <c r="AN752" s="132">
        <v>0.99</v>
      </c>
      <c r="AO752" s="137">
        <v>1</v>
      </c>
      <c r="AP752" s="137">
        <v>1</v>
      </c>
      <c r="AQ752" s="137">
        <v>1</v>
      </c>
      <c r="AR752" s="137">
        <v>1</v>
      </c>
      <c r="AS752" s="158">
        <v>0.0810595228934205</v>
      </c>
      <c r="AT752" s="141">
        <v>0.166666666666667</v>
      </c>
      <c r="AU752" s="141">
        <v>0</v>
      </c>
      <c r="AV752" s="141">
        <v>0</v>
      </c>
      <c r="AW752" s="141">
        <v>0.0961538461538462</v>
      </c>
      <c r="AX752" s="95"/>
      <c r="AY752" s="93"/>
    </row>
    <row r="753" ht="14.5" spans="1:51">
      <c r="A753" s="91"/>
      <c r="B753" s="95"/>
      <c r="C753" s="152" t="s">
        <v>668</v>
      </c>
      <c r="D753" s="153" t="s">
        <v>25</v>
      </c>
      <c r="E753" s="130" t="s">
        <v>669</v>
      </c>
      <c r="F753" s="179" t="s">
        <v>780</v>
      </c>
      <c r="G753" s="179" t="s">
        <v>780</v>
      </c>
      <c r="H753" s="179" t="s">
        <v>780</v>
      </c>
      <c r="I753" s="179" t="s">
        <v>780</v>
      </c>
      <c r="J753" s="132">
        <v>0.9</v>
      </c>
      <c r="K753" s="133">
        <v>1</v>
      </c>
      <c r="L753" s="133">
        <v>0.96551724137931</v>
      </c>
      <c r="M753" s="134">
        <v>1</v>
      </c>
      <c r="N753" s="133">
        <v>0.986666666666667</v>
      </c>
      <c r="O753" s="135">
        <v>0.9</v>
      </c>
      <c r="P753" s="133">
        <v>0.972408026755853</v>
      </c>
      <c r="Q753" s="133">
        <v>0.962735642262166</v>
      </c>
      <c r="R753" s="133">
        <v>0.966640190627482</v>
      </c>
      <c r="S753" s="133">
        <v>0.963761479244536</v>
      </c>
      <c r="T753" s="135">
        <v>0.9</v>
      </c>
      <c r="U753" s="133">
        <v>0.895484949832776</v>
      </c>
      <c r="V753" s="133">
        <v>0.903112669881631</v>
      </c>
      <c r="W753" s="133">
        <v>0.868546465448769</v>
      </c>
      <c r="X753" s="133">
        <v>0.909675982078764</v>
      </c>
      <c r="Y753" s="135">
        <v>0.92</v>
      </c>
      <c r="Z753" s="135">
        <v>0.916030534351145</v>
      </c>
      <c r="AA753" s="135">
        <v>0.889733840304182</v>
      </c>
      <c r="AB753" s="135">
        <v>0.888454011741683</v>
      </c>
      <c r="AC753" s="135">
        <v>0.920784729586426</v>
      </c>
      <c r="AD753" s="135">
        <v>0.92</v>
      </c>
      <c r="AE753" s="133">
        <v>0.9997611655123</v>
      </c>
      <c r="AF753" s="133">
        <v>0.995978235154956</v>
      </c>
      <c r="AG753" s="133">
        <v>0.999003735990037</v>
      </c>
      <c r="AH753" s="133">
        <v>0.99875904860393</v>
      </c>
      <c r="AI753" s="135">
        <v>0.92</v>
      </c>
      <c r="AJ753" s="133">
        <v>0.938993710691824</v>
      </c>
      <c r="AK753" s="133">
        <v>0.953616352201258</v>
      </c>
      <c r="AL753" s="133">
        <v>0.950808847804556</v>
      </c>
      <c r="AM753" s="133">
        <v>0.963576158940397</v>
      </c>
      <c r="AN753" s="132">
        <v>0.99</v>
      </c>
      <c r="AO753" s="137">
        <v>1</v>
      </c>
      <c r="AP753" s="137">
        <v>1</v>
      </c>
      <c r="AQ753" s="137">
        <v>1</v>
      </c>
      <c r="AR753" s="137">
        <v>1</v>
      </c>
      <c r="AS753" s="158">
        <v>0.0810595228934205</v>
      </c>
      <c r="AT753" s="141">
        <v>0.666666666666667</v>
      </c>
      <c r="AU753" s="141">
        <v>0</v>
      </c>
      <c r="AV753" s="141">
        <v>0.142857142857143</v>
      </c>
      <c r="AW753" s="141">
        <v>0.0740740740740741</v>
      </c>
      <c r="AX753" s="95"/>
      <c r="AY753" s="93"/>
    </row>
    <row r="754" ht="14.5" spans="1:51">
      <c r="A754" s="91"/>
      <c r="B754" s="95"/>
      <c r="C754" s="152" t="s">
        <v>668</v>
      </c>
      <c r="D754" s="153" t="s">
        <v>25</v>
      </c>
      <c r="E754" s="130" t="s">
        <v>669</v>
      </c>
      <c r="F754" s="179" t="s">
        <v>781</v>
      </c>
      <c r="G754" s="179" t="s">
        <v>781</v>
      </c>
      <c r="H754" s="179" t="s">
        <v>781</v>
      </c>
      <c r="I754" s="179" t="s">
        <v>781</v>
      </c>
      <c r="J754" s="132">
        <v>0.9</v>
      </c>
      <c r="K754" s="133">
        <v>1</v>
      </c>
      <c r="L754" s="133">
        <v>0.942857142857143</v>
      </c>
      <c r="M754" s="134">
        <v>0.903225806451613</v>
      </c>
      <c r="N754" s="133">
        <v>0.951013513513513</v>
      </c>
      <c r="O754" s="135">
        <v>0.9</v>
      </c>
      <c r="P754" s="133">
        <v>0.949895615866388</v>
      </c>
      <c r="Q754" s="133">
        <v>0.964272282813088</v>
      </c>
      <c r="R754" s="133">
        <v>0.965454545454545</v>
      </c>
      <c r="S754" s="133">
        <v>0.963635605412957</v>
      </c>
      <c r="T754" s="135">
        <v>0.9</v>
      </c>
      <c r="U754" s="133">
        <v>0.897007654836465</v>
      </c>
      <c r="V754" s="133">
        <v>0.905227529146296</v>
      </c>
      <c r="W754" s="133">
        <v>0.894181818181818</v>
      </c>
      <c r="X754" s="133">
        <v>0.915135845201109</v>
      </c>
      <c r="Y754" s="135">
        <v>0.92</v>
      </c>
      <c r="Z754" s="135">
        <v>0.922098569157393</v>
      </c>
      <c r="AA754" s="135">
        <v>0.928388746803069</v>
      </c>
      <c r="AB754" s="135">
        <v>0.936484490398818</v>
      </c>
      <c r="AC754" s="135">
        <v>0.936255963151834</v>
      </c>
      <c r="AD754" s="135">
        <v>0.92</v>
      </c>
      <c r="AE754" s="133">
        <v>0.999646518204312</v>
      </c>
      <c r="AF754" s="133">
        <v>0.99943961894088</v>
      </c>
      <c r="AG754" s="133">
        <v>0.990709827260851</v>
      </c>
      <c r="AH754" s="133">
        <v>0.997296016363591</v>
      </c>
      <c r="AI754" s="135">
        <v>0.92</v>
      </c>
      <c r="AJ754" s="133">
        <v>0.951644100580271</v>
      </c>
      <c r="AK754" s="133">
        <v>0.957704918032787</v>
      </c>
      <c r="AL754" s="133">
        <v>0.957105339947476</v>
      </c>
      <c r="AM754" s="133">
        <v>0.967236017097144</v>
      </c>
      <c r="AN754" s="132">
        <v>0.99</v>
      </c>
      <c r="AO754" s="137">
        <v>1</v>
      </c>
      <c r="AP754" s="137">
        <v>1</v>
      </c>
      <c r="AQ754" s="137">
        <v>1</v>
      </c>
      <c r="AR754" s="137">
        <v>1</v>
      </c>
      <c r="AS754" s="158">
        <v>0.0810595228934205</v>
      </c>
      <c r="AT754" s="141">
        <v>0</v>
      </c>
      <c r="AU754" s="141">
        <v>0.0714285714285714</v>
      </c>
      <c r="AV754" s="141">
        <v>0</v>
      </c>
      <c r="AW754" s="141">
        <v>0.0491803278688525</v>
      </c>
      <c r="AX754" s="95"/>
      <c r="AY754" s="93"/>
    </row>
    <row r="755" ht="14.5" spans="1:51">
      <c r="A755" s="91"/>
      <c r="B755" s="95"/>
      <c r="C755" s="152" t="s">
        <v>668</v>
      </c>
      <c r="D755" s="153" t="s">
        <v>25</v>
      </c>
      <c r="E755" s="130" t="s">
        <v>669</v>
      </c>
      <c r="F755" s="179" t="s">
        <v>782</v>
      </c>
      <c r="G755" s="179" t="s">
        <v>782</v>
      </c>
      <c r="H755" s="179" t="s">
        <v>782</v>
      </c>
      <c r="I755" s="179" t="s">
        <v>782</v>
      </c>
      <c r="J755" s="132">
        <v>0.9</v>
      </c>
      <c r="K755" s="133">
        <v>0.928571428571429</v>
      </c>
      <c r="L755" s="133">
        <v>0.903225806451613</v>
      </c>
      <c r="M755" s="134">
        <v>0.833333333333333</v>
      </c>
      <c r="N755" s="133">
        <v>0.952127659574468</v>
      </c>
      <c r="O755" s="135">
        <v>0.9</v>
      </c>
      <c r="P755" s="133">
        <v>0.969044414535666</v>
      </c>
      <c r="Q755" s="133">
        <v>0.966730038022814</v>
      </c>
      <c r="R755" s="133">
        <v>0.973124300111982</v>
      </c>
      <c r="S755" s="133">
        <v>0.972210057660025</v>
      </c>
      <c r="T755" s="135">
        <v>0.9</v>
      </c>
      <c r="U755" s="133">
        <v>0.950874831763122</v>
      </c>
      <c r="V755" s="133">
        <v>0.935361216730038</v>
      </c>
      <c r="W755" s="133">
        <v>0.946248600223964</v>
      </c>
      <c r="X755" s="133">
        <v>0.944675571126195</v>
      </c>
      <c r="Y755" s="135">
        <v>0.92</v>
      </c>
      <c r="Z755" s="135">
        <v>0.890772128060264</v>
      </c>
      <c r="AA755" s="135">
        <v>0.892128279883382</v>
      </c>
      <c r="AB755" s="135">
        <v>0.908974358974359</v>
      </c>
      <c r="AC755" s="135">
        <v>0.927600427676799</v>
      </c>
      <c r="AD755" s="135">
        <v>0.92</v>
      </c>
      <c r="AE755" s="133">
        <v>0.999184339314845</v>
      </c>
      <c r="AF755" s="133">
        <v>1</v>
      </c>
      <c r="AG755" s="133">
        <v>0.997590361445783</v>
      </c>
      <c r="AH755" s="133">
        <v>0.998884106488124</v>
      </c>
      <c r="AI755" s="135">
        <v>0.92</v>
      </c>
      <c r="AJ755" s="133">
        <v>0.946950917203768</v>
      </c>
      <c r="AK755" s="133">
        <v>0.971142857142857</v>
      </c>
      <c r="AL755" s="133">
        <v>0.973345588235294</v>
      </c>
      <c r="AM755" s="133">
        <v>0.97381481863301</v>
      </c>
      <c r="AN755" s="132">
        <v>0.99</v>
      </c>
      <c r="AO755" s="137">
        <v>1</v>
      </c>
      <c r="AP755" s="137">
        <v>1</v>
      </c>
      <c r="AQ755" s="137">
        <v>1</v>
      </c>
      <c r="AR755" s="137">
        <v>1</v>
      </c>
      <c r="AS755" s="158">
        <v>0.0810595228934205</v>
      </c>
      <c r="AT755" s="141">
        <v>0</v>
      </c>
      <c r="AU755" s="141">
        <v>0</v>
      </c>
      <c r="AV755" s="141">
        <v>0</v>
      </c>
      <c r="AW755" s="141">
        <v>0.0538116591928251</v>
      </c>
      <c r="AX755" s="95"/>
      <c r="AY755" s="93"/>
    </row>
    <row r="756" ht="14.5" spans="1:51">
      <c r="A756" s="91"/>
      <c r="B756" s="95"/>
      <c r="C756" s="152" t="s">
        <v>668</v>
      </c>
      <c r="D756" s="153" t="s">
        <v>25</v>
      </c>
      <c r="E756" s="130" t="s">
        <v>669</v>
      </c>
      <c r="F756" s="179" t="s">
        <v>783</v>
      </c>
      <c r="G756" s="179" t="s">
        <v>783</v>
      </c>
      <c r="H756" s="179" t="s">
        <v>783</v>
      </c>
      <c r="I756" s="179" t="s">
        <v>783</v>
      </c>
      <c r="J756" s="132">
        <v>0.9</v>
      </c>
      <c r="K756" s="133">
        <v>0.961538461538462</v>
      </c>
      <c r="L756" s="133">
        <v>0.96875</v>
      </c>
      <c r="M756" s="134">
        <v>0.967741935483871</v>
      </c>
      <c r="N756" s="133">
        <v>0.967128027681661</v>
      </c>
      <c r="O756" s="135">
        <v>0.9</v>
      </c>
      <c r="P756" s="133">
        <v>0.930296756383713</v>
      </c>
      <c r="Q756" s="133">
        <v>0.946409807355517</v>
      </c>
      <c r="R756" s="133">
        <v>0.9375</v>
      </c>
      <c r="S756" s="133">
        <v>0.949369863013699</v>
      </c>
      <c r="T756" s="135">
        <v>0.9</v>
      </c>
      <c r="U756" s="133">
        <v>0.917184265010352</v>
      </c>
      <c r="V756" s="133">
        <v>0.941856392294221</v>
      </c>
      <c r="W756" s="133">
        <v>0.924043062200957</v>
      </c>
      <c r="X756" s="133">
        <v>0.935543378995434</v>
      </c>
      <c r="Y756" s="135">
        <v>0.92</v>
      </c>
      <c r="Z756" s="135">
        <v>0.835555555555556</v>
      </c>
      <c r="AA756" s="135">
        <v>0.855384615384615</v>
      </c>
      <c r="AB756" s="135">
        <v>0.839363241678726</v>
      </c>
      <c r="AC756" s="135">
        <v>0.881484897394512</v>
      </c>
      <c r="AD756" s="135">
        <v>0.92</v>
      </c>
      <c r="AE756" s="133">
        <v>0.99917695473251</v>
      </c>
      <c r="AF756" s="133">
        <v>1</v>
      </c>
      <c r="AG756" s="133">
        <v>1</v>
      </c>
      <c r="AH756" s="133">
        <v>0.998264815803524</v>
      </c>
      <c r="AI756" s="135">
        <v>0.92</v>
      </c>
      <c r="AJ756" s="133">
        <v>0.927856766719326</v>
      </c>
      <c r="AK756" s="133">
        <v>0.960691823899371</v>
      </c>
      <c r="AL756" s="133">
        <v>0.951920693928129</v>
      </c>
      <c r="AM756" s="133">
        <v>0.961218346024438</v>
      </c>
      <c r="AN756" s="132">
        <v>0.99</v>
      </c>
      <c r="AO756" s="137">
        <v>1</v>
      </c>
      <c r="AP756" s="137">
        <v>1</v>
      </c>
      <c r="AQ756" s="137">
        <v>1</v>
      </c>
      <c r="AR756" s="137">
        <v>1</v>
      </c>
      <c r="AS756" s="158">
        <v>0.0810595228934205</v>
      </c>
      <c r="AT756" s="141">
        <v>0.166666666666667</v>
      </c>
      <c r="AU756" s="141">
        <v>0</v>
      </c>
      <c r="AV756" s="141">
        <v>0.0588235294117647</v>
      </c>
      <c r="AW756" s="141">
        <v>0.0294117647058824</v>
      </c>
      <c r="AX756" s="95"/>
      <c r="AY756" s="93"/>
    </row>
    <row r="757" ht="14.5" spans="1:51">
      <c r="A757" s="91"/>
      <c r="B757" s="95"/>
      <c r="C757" s="152" t="s">
        <v>668</v>
      </c>
      <c r="D757" s="153" t="s">
        <v>25</v>
      </c>
      <c r="E757" s="130" t="s">
        <v>669</v>
      </c>
      <c r="F757" s="179" t="s">
        <v>784</v>
      </c>
      <c r="G757" s="179" t="s">
        <v>784</v>
      </c>
      <c r="H757" s="179" t="s">
        <v>784</v>
      </c>
      <c r="I757" s="179" t="s">
        <v>784</v>
      </c>
      <c r="J757" s="132">
        <v>0.9</v>
      </c>
      <c r="K757" s="133">
        <v>1</v>
      </c>
      <c r="L757" s="133">
        <v>1</v>
      </c>
      <c r="M757" s="134">
        <v>1</v>
      </c>
      <c r="N757" s="133">
        <v>0.985380116959064</v>
      </c>
      <c r="O757" s="135">
        <v>0.9</v>
      </c>
      <c r="P757" s="133">
        <v>0.947</v>
      </c>
      <c r="Q757" s="133">
        <v>0.938092860708937</v>
      </c>
      <c r="R757" s="133">
        <v>0.95378751786565</v>
      </c>
      <c r="S757" s="133">
        <v>0.951731750246114</v>
      </c>
      <c r="T757" s="135">
        <v>0.9</v>
      </c>
      <c r="U757" s="133">
        <v>0.909</v>
      </c>
      <c r="V757" s="133">
        <v>0.954568147778333</v>
      </c>
      <c r="W757" s="133">
        <v>0.939971414959505</v>
      </c>
      <c r="X757" s="133">
        <v>0.940216580650935</v>
      </c>
      <c r="Y757" s="135">
        <v>0.92</v>
      </c>
      <c r="Z757" s="135">
        <v>0.878472222222222</v>
      </c>
      <c r="AA757" s="135">
        <v>0.878661087866109</v>
      </c>
      <c r="AB757" s="135">
        <v>0.914489311163896</v>
      </c>
      <c r="AC757" s="135">
        <v>0.921022510492179</v>
      </c>
      <c r="AD757" s="135">
        <v>0.92</v>
      </c>
      <c r="AE757" s="133">
        <v>1</v>
      </c>
      <c r="AF757" s="133">
        <v>0.996376811594203</v>
      </c>
      <c r="AG757" s="133">
        <v>0.997361477572559</v>
      </c>
      <c r="AH757" s="133">
        <v>0.997314985735862</v>
      </c>
      <c r="AI757" s="135">
        <v>0.92</v>
      </c>
      <c r="AJ757" s="133">
        <v>0.940217391304348</v>
      </c>
      <c r="AK757" s="133">
        <v>0.970561998215879</v>
      </c>
      <c r="AL757" s="133">
        <v>0.971428571428571</v>
      </c>
      <c r="AM757" s="133">
        <v>0.971033049864708</v>
      </c>
      <c r="AN757" s="132">
        <v>0.99</v>
      </c>
      <c r="AO757" s="137">
        <v>1</v>
      </c>
      <c r="AP757" s="137">
        <v>1</v>
      </c>
      <c r="AQ757" s="137">
        <v>1</v>
      </c>
      <c r="AR757" s="137">
        <v>1</v>
      </c>
      <c r="AS757" s="158">
        <v>0.0810595228934205</v>
      </c>
      <c r="AT757" s="141">
        <v>0.166666666666667</v>
      </c>
      <c r="AU757" s="141">
        <v>0</v>
      </c>
      <c r="AV757" s="141">
        <v>0.0909090909090909</v>
      </c>
      <c r="AW757" s="141">
        <v>0.0840336134453782</v>
      </c>
      <c r="AX757" s="95"/>
      <c r="AY757" s="93"/>
    </row>
    <row r="758" ht="14.5" spans="1:51">
      <c r="A758" s="91"/>
      <c r="B758" s="95"/>
      <c r="C758" s="152" t="s">
        <v>668</v>
      </c>
      <c r="D758" s="153" t="s">
        <v>25</v>
      </c>
      <c r="E758" s="130" t="s">
        <v>669</v>
      </c>
      <c r="F758" s="179" t="s">
        <v>785</v>
      </c>
      <c r="G758" s="179" t="s">
        <v>785</v>
      </c>
      <c r="H758" s="179" t="s">
        <v>785</v>
      </c>
      <c r="I758" s="179" t="s">
        <v>785</v>
      </c>
      <c r="J758" s="132">
        <v>0.9</v>
      </c>
      <c r="K758" s="133">
        <v>0.888888888888889</v>
      </c>
      <c r="L758" s="133">
        <v>1</v>
      </c>
      <c r="M758" s="134">
        <v>0.9</v>
      </c>
      <c r="N758" s="133">
        <v>0.876923076923077</v>
      </c>
      <c r="O758" s="135">
        <v>0.9</v>
      </c>
      <c r="P758" s="133">
        <v>0.952380952380952</v>
      </c>
      <c r="Q758" s="133">
        <v>0.985133795837463</v>
      </c>
      <c r="R758" s="133">
        <v>0.953982300884956</v>
      </c>
      <c r="S758" s="133">
        <v>0.960999890602779</v>
      </c>
      <c r="T758" s="135">
        <v>0.9</v>
      </c>
      <c r="U758" s="133">
        <v>0.963809523809524</v>
      </c>
      <c r="V758" s="133">
        <v>0.943508424182359</v>
      </c>
      <c r="W758" s="133">
        <v>0.950442477876106</v>
      </c>
      <c r="X758" s="133">
        <v>0.953724975385625</v>
      </c>
      <c r="Y758" s="135">
        <v>0.92</v>
      </c>
      <c r="Z758" s="135">
        <v>0.89171974522293</v>
      </c>
      <c r="AA758" s="135">
        <v>0.913793103448276</v>
      </c>
      <c r="AB758" s="135">
        <v>0.951754385964912</v>
      </c>
      <c r="AC758" s="135">
        <v>0.929395790902919</v>
      </c>
      <c r="AD758" s="135">
        <v>0.92</v>
      </c>
      <c r="AE758" s="133">
        <v>1</v>
      </c>
      <c r="AF758" s="133">
        <v>1</v>
      </c>
      <c r="AG758" s="133">
        <v>1</v>
      </c>
      <c r="AH758" s="133">
        <v>0.987421383647799</v>
      </c>
      <c r="AI758" s="135">
        <v>0.92</v>
      </c>
      <c r="AJ758" s="133">
        <v>0.960410557184751</v>
      </c>
      <c r="AK758" s="133">
        <v>0.968</v>
      </c>
      <c r="AL758" s="133">
        <v>0.978645066273932</v>
      </c>
      <c r="AM758" s="133">
        <v>0.976256552574776</v>
      </c>
      <c r="AN758" s="132">
        <v>0.99</v>
      </c>
      <c r="AO758" s="137">
        <v>1</v>
      </c>
      <c r="AP758" s="137">
        <v>1</v>
      </c>
      <c r="AQ758" s="137">
        <v>1</v>
      </c>
      <c r="AR758" s="137">
        <v>1</v>
      </c>
      <c r="AS758" s="158">
        <v>0.0810595228934205</v>
      </c>
      <c r="AT758" s="141">
        <v>0</v>
      </c>
      <c r="AU758" s="141">
        <v>0</v>
      </c>
      <c r="AV758" s="141">
        <v>0</v>
      </c>
      <c r="AW758" s="141">
        <v>0.029126213592233</v>
      </c>
      <c r="AX758" s="95"/>
      <c r="AY758" s="93"/>
    </row>
    <row r="759" ht="14.5" spans="1:51">
      <c r="A759" s="91"/>
      <c r="B759" s="95"/>
      <c r="C759" s="152" t="s">
        <v>668</v>
      </c>
      <c r="D759" s="153" t="s">
        <v>25</v>
      </c>
      <c r="E759" s="130" t="s">
        <v>669</v>
      </c>
      <c r="F759" s="179" t="s">
        <v>786</v>
      </c>
      <c r="G759" s="179" t="s">
        <v>786</v>
      </c>
      <c r="H759" s="179" t="s">
        <v>786</v>
      </c>
      <c r="I759" s="179" t="s">
        <v>786</v>
      </c>
      <c r="J759" s="132">
        <v>0.9</v>
      </c>
      <c r="K759" s="133">
        <v>1</v>
      </c>
      <c r="L759" s="133">
        <v>0.9375</v>
      </c>
      <c r="M759" s="134">
        <v>0.9375</v>
      </c>
      <c r="N759" s="133">
        <v>0.992982456140351</v>
      </c>
      <c r="O759" s="135">
        <v>0.9</v>
      </c>
      <c r="P759" s="133">
        <v>0.97992700729927</v>
      </c>
      <c r="Q759" s="133">
        <v>0.998364677023712</v>
      </c>
      <c r="R759" s="133">
        <v>0.980872226472839</v>
      </c>
      <c r="S759" s="133">
        <v>0.989841882699026</v>
      </c>
      <c r="T759" s="135">
        <v>0.9</v>
      </c>
      <c r="U759" s="133">
        <v>0.937956204379562</v>
      </c>
      <c r="V759" s="133">
        <v>0.967293540474244</v>
      </c>
      <c r="W759" s="133">
        <v>0.960979342004591</v>
      </c>
      <c r="X759" s="133">
        <v>0.959413495127781</v>
      </c>
      <c r="Y759" s="135">
        <v>0.92</v>
      </c>
      <c r="Z759" s="135">
        <v>0.913294797687861</v>
      </c>
      <c r="AA759" s="135">
        <v>0.944444444444444</v>
      </c>
      <c r="AB759" s="135">
        <v>0.949832775919732</v>
      </c>
      <c r="AC759" s="135">
        <v>0.954410307234886</v>
      </c>
      <c r="AD759" s="135">
        <v>0.92</v>
      </c>
      <c r="AE759" s="133">
        <v>0.997706422018349</v>
      </c>
      <c r="AF759" s="133">
        <v>0.996197718631179</v>
      </c>
      <c r="AG759" s="133">
        <v>1</v>
      </c>
      <c r="AH759" s="133">
        <v>0.998973657201505</v>
      </c>
      <c r="AI759" s="135">
        <v>0.92</v>
      </c>
      <c r="AJ759" s="133">
        <v>0.9625520110957</v>
      </c>
      <c r="AK759" s="133">
        <v>0.986100950987564</v>
      </c>
      <c r="AL759" s="133">
        <v>0.978206724782067</v>
      </c>
      <c r="AM759" s="133">
        <v>0.983248143864493</v>
      </c>
      <c r="AN759" s="132">
        <v>0.99</v>
      </c>
      <c r="AO759" s="137">
        <v>1</v>
      </c>
      <c r="AP759" s="137">
        <v>1</v>
      </c>
      <c r="AQ759" s="137">
        <v>1</v>
      </c>
      <c r="AR759" s="137">
        <v>1</v>
      </c>
      <c r="AS759" s="158">
        <v>0.0810595228934205</v>
      </c>
      <c r="AT759" s="141">
        <v>0</v>
      </c>
      <c r="AU759" s="141">
        <v>0.333333333333333</v>
      </c>
      <c r="AV759" s="141">
        <v>0</v>
      </c>
      <c r="AW759" s="141">
        <v>0.0512820512820513</v>
      </c>
      <c r="AX759" s="95"/>
      <c r="AY759" s="93"/>
    </row>
    <row r="760" ht="14.5" spans="1:51">
      <c r="A760" s="91"/>
      <c r="B760" s="95"/>
      <c r="C760" s="152" t="s">
        <v>668</v>
      </c>
      <c r="D760" s="153" t="s">
        <v>25</v>
      </c>
      <c r="E760" s="130" t="s">
        <v>669</v>
      </c>
      <c r="F760" s="179" t="s">
        <v>787</v>
      </c>
      <c r="G760" s="179" t="s">
        <v>787</v>
      </c>
      <c r="H760" s="179" t="s">
        <v>787</v>
      </c>
      <c r="I760" s="179" t="s">
        <v>787</v>
      </c>
      <c r="J760" s="132">
        <v>0.9</v>
      </c>
      <c r="K760" s="133">
        <v>0.928571428571429</v>
      </c>
      <c r="L760" s="133">
        <v>0.821428571428571</v>
      </c>
      <c r="M760" s="134">
        <v>0.766666666666667</v>
      </c>
      <c r="N760" s="133">
        <v>0.830282861896839</v>
      </c>
      <c r="O760" s="135">
        <v>0.9</v>
      </c>
      <c r="P760" s="133">
        <v>0.940602836879433</v>
      </c>
      <c r="Q760" s="133">
        <v>0.715882626921286</v>
      </c>
      <c r="R760" s="133">
        <v>0.770745428973277</v>
      </c>
      <c r="S760" s="133">
        <v>0.88702210663199</v>
      </c>
      <c r="T760" s="135">
        <v>0.9</v>
      </c>
      <c r="U760" s="133">
        <v>0.886524822695035</v>
      </c>
      <c r="V760" s="133">
        <v>0.748952026082906</v>
      </c>
      <c r="W760" s="133">
        <v>0.849507735583685</v>
      </c>
      <c r="X760" s="133">
        <v>0.885825747724317</v>
      </c>
      <c r="Y760" s="135">
        <v>0.92</v>
      </c>
      <c r="Z760" s="135">
        <v>0.919661733615222</v>
      </c>
      <c r="AA760" s="135">
        <v>0.748427672955975</v>
      </c>
      <c r="AB760" s="135">
        <v>0.821862348178138</v>
      </c>
      <c r="AC760" s="135">
        <v>0.88602776533811</v>
      </c>
      <c r="AD760" s="135">
        <v>0.92</v>
      </c>
      <c r="AE760" s="133">
        <v>0.996844915459914</v>
      </c>
      <c r="AF760" s="133">
        <v>0.962946020128088</v>
      </c>
      <c r="AG760" s="133">
        <v>0.993220789578626</v>
      </c>
      <c r="AH760" s="133">
        <v>0.984105122741368</v>
      </c>
      <c r="AI760" s="135">
        <v>0.92</v>
      </c>
      <c r="AJ760" s="133">
        <v>0.930711610486891</v>
      </c>
      <c r="AK760" s="133">
        <v>0.791970802919708</v>
      </c>
      <c r="AL760" s="133">
        <v>0.887790034233549</v>
      </c>
      <c r="AM760" s="133">
        <v>0.931508005146919</v>
      </c>
      <c r="AN760" s="132">
        <v>0.99</v>
      </c>
      <c r="AO760" s="137">
        <v>1</v>
      </c>
      <c r="AP760" s="137">
        <v>1</v>
      </c>
      <c r="AQ760" s="137">
        <v>1</v>
      </c>
      <c r="AR760" s="137">
        <v>1</v>
      </c>
      <c r="AS760" s="158">
        <v>0.0810595228934205</v>
      </c>
      <c r="AT760" s="141">
        <v>0</v>
      </c>
      <c r="AU760" s="141">
        <v>0</v>
      </c>
      <c r="AV760" s="141">
        <v>0.1</v>
      </c>
      <c r="AW760" s="141">
        <v>0.0343007915567282</v>
      </c>
      <c r="AX760" s="95"/>
      <c r="AY760" s="93"/>
    </row>
    <row r="761" ht="14.5" spans="1:51">
      <c r="A761" s="91"/>
      <c r="B761" s="95"/>
      <c r="C761" s="152" t="s">
        <v>668</v>
      </c>
      <c r="D761" s="153" t="s">
        <v>25</v>
      </c>
      <c r="E761" s="130" t="s">
        <v>669</v>
      </c>
      <c r="F761" s="179" t="s">
        <v>788</v>
      </c>
      <c r="G761" s="179" t="s">
        <v>788</v>
      </c>
      <c r="H761" s="179" t="s">
        <v>788</v>
      </c>
      <c r="I761" s="179" t="s">
        <v>788</v>
      </c>
      <c r="J761" s="132">
        <v>0.9</v>
      </c>
      <c r="K761" s="133">
        <v>1</v>
      </c>
      <c r="L761" s="133">
        <v>0.96551724137931</v>
      </c>
      <c r="M761" s="134">
        <v>1</v>
      </c>
      <c r="N761" s="133">
        <v>0.966926070038911</v>
      </c>
      <c r="O761" s="135">
        <v>0.9</v>
      </c>
      <c r="P761" s="133">
        <v>0.977031802120141</v>
      </c>
      <c r="Q761" s="133">
        <v>0.973913043478261</v>
      </c>
      <c r="R761" s="133">
        <v>0.959835691465084</v>
      </c>
      <c r="S761" s="133">
        <v>0.965186694601498</v>
      </c>
      <c r="T761" s="135">
        <v>0.9</v>
      </c>
      <c r="U761" s="133">
        <v>0.926678445229682</v>
      </c>
      <c r="V761" s="133">
        <v>0.924154589371981</v>
      </c>
      <c r="W761" s="133">
        <v>0.947512551346417</v>
      </c>
      <c r="X761" s="133">
        <v>0.919036822317252</v>
      </c>
      <c r="Y761" s="135">
        <v>0.92</v>
      </c>
      <c r="Z761" s="135">
        <v>0.953441295546559</v>
      </c>
      <c r="AA761" s="135">
        <v>0.958677685950413</v>
      </c>
      <c r="AB761" s="135">
        <v>0.942965779467681</v>
      </c>
      <c r="AC761" s="135">
        <v>0.931779558145181</v>
      </c>
      <c r="AD761" s="135">
        <v>0.92</v>
      </c>
      <c r="AE761" s="133">
        <v>0.998350175293875</v>
      </c>
      <c r="AF761" s="133">
        <v>0.996714755034995</v>
      </c>
      <c r="AG761" s="133">
        <v>0.997825252654471</v>
      </c>
      <c r="AH761" s="133">
        <v>0.970790850190738</v>
      </c>
      <c r="AI761" s="135">
        <v>0.92</v>
      </c>
      <c r="AJ761" s="133">
        <v>0.953874538745387</v>
      </c>
      <c r="AK761" s="133">
        <v>0.971639950678175</v>
      </c>
      <c r="AL761" s="133">
        <v>0.964731814842028</v>
      </c>
      <c r="AM761" s="133">
        <v>0.964804417428426</v>
      </c>
      <c r="AN761" s="132">
        <v>0.99</v>
      </c>
      <c r="AO761" s="137">
        <v>1</v>
      </c>
      <c r="AP761" s="137">
        <v>1</v>
      </c>
      <c r="AQ761" s="137">
        <v>1</v>
      </c>
      <c r="AR761" s="137">
        <v>1</v>
      </c>
      <c r="AS761" s="158">
        <v>0.0810595228934205</v>
      </c>
      <c r="AT761" s="141">
        <v>0.25</v>
      </c>
      <c r="AU761" s="141">
        <v>0</v>
      </c>
      <c r="AV761" s="141">
        <v>0</v>
      </c>
      <c r="AW761" s="141">
        <v>0.02</v>
      </c>
      <c r="AX761" s="95"/>
      <c r="AY761" s="93"/>
    </row>
    <row r="762" ht="14.5" spans="1:51">
      <c r="A762" s="91"/>
      <c r="B762" s="95"/>
      <c r="C762" s="152" t="s">
        <v>668</v>
      </c>
      <c r="D762" s="153" t="s">
        <v>25</v>
      </c>
      <c r="E762" s="130" t="s">
        <v>669</v>
      </c>
      <c r="F762" s="179" t="s">
        <v>789</v>
      </c>
      <c r="G762" s="179" t="s">
        <v>789</v>
      </c>
      <c r="H762" s="179" t="s">
        <v>789</v>
      </c>
      <c r="I762" s="179" t="s">
        <v>789</v>
      </c>
      <c r="J762" s="132">
        <v>0.9</v>
      </c>
      <c r="K762" s="133">
        <v>0.967741935483871</v>
      </c>
      <c r="L762" s="133">
        <v>1</v>
      </c>
      <c r="M762" s="134">
        <v>0.945945945945946</v>
      </c>
      <c r="N762" s="133">
        <v>0.973314606741573</v>
      </c>
      <c r="O762" s="135">
        <v>0.9</v>
      </c>
      <c r="P762" s="133">
        <v>0.953979238754325</v>
      </c>
      <c r="Q762" s="133">
        <v>0.927894615206841</v>
      </c>
      <c r="R762" s="133">
        <v>0.92264017033357</v>
      </c>
      <c r="S762" s="133">
        <v>0.932384722370814</v>
      </c>
      <c r="T762" s="135">
        <v>0.9</v>
      </c>
      <c r="U762" s="133">
        <v>0.970242214532872</v>
      </c>
      <c r="V762" s="133">
        <v>0.970649410677143</v>
      </c>
      <c r="W762" s="133">
        <v>0.972793943695292</v>
      </c>
      <c r="X762" s="133">
        <v>0.968209815219551</v>
      </c>
      <c r="Y762" s="135">
        <v>0.92</v>
      </c>
      <c r="Z762" s="135">
        <v>0.982724252491694</v>
      </c>
      <c r="AA762" s="135">
        <v>0.981713185755534</v>
      </c>
      <c r="AB762" s="135">
        <v>0.973037272006344</v>
      </c>
      <c r="AC762" s="135">
        <v>0.974757281553398</v>
      </c>
      <c r="AD762" s="135">
        <v>0.92</v>
      </c>
      <c r="AE762" s="133">
        <v>0.971619496855346</v>
      </c>
      <c r="AF762" s="133">
        <v>0.947019867549669</v>
      </c>
      <c r="AG762" s="133">
        <v>0.978592412824115</v>
      </c>
      <c r="AH762" s="133">
        <v>0.964368963268472</v>
      </c>
      <c r="AI762" s="135">
        <v>0.92</v>
      </c>
      <c r="AJ762" s="133">
        <v>0.983181818181818</v>
      </c>
      <c r="AK762" s="133">
        <v>0.981933320916372</v>
      </c>
      <c r="AL762" s="133">
        <v>0.985625909752547</v>
      </c>
      <c r="AM762" s="133">
        <v>0.984799066755547</v>
      </c>
      <c r="AN762" s="132">
        <v>0.99</v>
      </c>
      <c r="AO762" s="137">
        <v>1</v>
      </c>
      <c r="AP762" s="137">
        <v>1</v>
      </c>
      <c r="AQ762" s="137">
        <v>1</v>
      </c>
      <c r="AR762" s="137">
        <v>1</v>
      </c>
      <c r="AS762" s="158">
        <v>0.0810595228934205</v>
      </c>
      <c r="AT762" s="141">
        <v>0</v>
      </c>
      <c r="AU762" s="141">
        <v>0</v>
      </c>
      <c r="AV762" s="141">
        <v>0.0769230769230769</v>
      </c>
      <c r="AW762" s="141">
        <v>0.0157068062827225</v>
      </c>
      <c r="AX762" s="95"/>
      <c r="AY762" s="93"/>
    </row>
    <row r="763" ht="14.5" spans="1:51">
      <c r="A763" s="91"/>
      <c r="B763" s="95"/>
      <c r="C763" s="152" t="s">
        <v>668</v>
      </c>
      <c r="D763" s="153" t="s">
        <v>25</v>
      </c>
      <c r="E763" s="130" t="s">
        <v>669</v>
      </c>
      <c r="F763" s="179" t="s">
        <v>790</v>
      </c>
      <c r="G763" s="179" t="s">
        <v>790</v>
      </c>
      <c r="H763" s="179" t="s">
        <v>790</v>
      </c>
      <c r="I763" s="179" t="s">
        <v>790</v>
      </c>
      <c r="J763" s="132">
        <v>0.9</v>
      </c>
      <c r="K763" s="133">
        <v>1</v>
      </c>
      <c r="L763" s="133">
        <v>1</v>
      </c>
      <c r="M763" s="134">
        <v>1</v>
      </c>
      <c r="N763" s="133">
        <v>0.962328767123288</v>
      </c>
      <c r="O763" s="135">
        <v>0.9</v>
      </c>
      <c r="P763" s="133">
        <v>0.986138613861386</v>
      </c>
      <c r="Q763" s="133">
        <v>0.972063492063492</v>
      </c>
      <c r="R763" s="133">
        <v>0.971594577146546</v>
      </c>
      <c r="S763" s="133">
        <v>0.970969834576711</v>
      </c>
      <c r="T763" s="135">
        <v>0.9</v>
      </c>
      <c r="U763" s="133">
        <v>0.971287128712871</v>
      </c>
      <c r="V763" s="133">
        <v>0.955555555555556</v>
      </c>
      <c r="W763" s="133">
        <v>0.96901226597805</v>
      </c>
      <c r="X763" s="133">
        <v>0.962941939669153</v>
      </c>
      <c r="Y763" s="135">
        <v>0.92</v>
      </c>
      <c r="Z763" s="135">
        <v>0.987740805604203</v>
      </c>
      <c r="AA763" s="135">
        <v>0.954314720812183</v>
      </c>
      <c r="AB763" s="135">
        <v>0.973509933774834</v>
      </c>
      <c r="AC763" s="135">
        <v>0.97137216189536</v>
      </c>
      <c r="AD763" s="135">
        <v>0.92</v>
      </c>
      <c r="AE763" s="133">
        <v>0.998383675118699</v>
      </c>
      <c r="AF763" s="133">
        <v>0.998871037776813</v>
      </c>
      <c r="AG763" s="133">
        <v>0.997850874574652</v>
      </c>
      <c r="AH763" s="133">
        <v>0.99710147415648</v>
      </c>
      <c r="AI763" s="135">
        <v>0.92</v>
      </c>
      <c r="AJ763" s="133">
        <v>0.984819734345351</v>
      </c>
      <c r="AK763" s="133">
        <v>0.981716607414931</v>
      </c>
      <c r="AL763" s="133">
        <v>0.983516483516483</v>
      </c>
      <c r="AM763" s="133">
        <v>0.984136476661106</v>
      </c>
      <c r="AN763" s="132">
        <v>0.99</v>
      </c>
      <c r="AO763" s="137">
        <v>1</v>
      </c>
      <c r="AP763" s="137">
        <v>1</v>
      </c>
      <c r="AQ763" s="137">
        <v>1</v>
      </c>
      <c r="AR763" s="137">
        <v>1</v>
      </c>
      <c r="AS763" s="158">
        <v>0.0810595228934205</v>
      </c>
      <c r="AT763" s="141">
        <v>0</v>
      </c>
      <c r="AU763" s="141">
        <v>0</v>
      </c>
      <c r="AV763" s="141">
        <v>0.25</v>
      </c>
      <c r="AW763" s="141">
        <v>0.140350877192982</v>
      </c>
      <c r="AX763" s="95"/>
      <c r="AY763" s="93"/>
    </row>
    <row r="764" ht="14.5" spans="1:51">
      <c r="A764" s="91"/>
      <c r="B764" s="95"/>
      <c r="C764" s="152" t="s">
        <v>668</v>
      </c>
      <c r="D764" s="153" t="s">
        <v>25</v>
      </c>
      <c r="E764" s="130" t="s">
        <v>669</v>
      </c>
      <c r="F764" s="179" t="s">
        <v>791</v>
      </c>
      <c r="G764" s="179" t="s">
        <v>791</v>
      </c>
      <c r="H764" s="179" t="s">
        <v>791</v>
      </c>
      <c r="I764" s="179" t="s">
        <v>791</v>
      </c>
      <c r="J764" s="132">
        <v>0.9</v>
      </c>
      <c r="K764" s="133">
        <v>1</v>
      </c>
      <c r="L764" s="133">
        <v>1</v>
      </c>
      <c r="M764" s="134">
        <v>0.973684210526316</v>
      </c>
      <c r="N764" s="133">
        <v>0.987823439878234</v>
      </c>
      <c r="O764" s="135">
        <v>0.9</v>
      </c>
      <c r="P764" s="133">
        <v>0.976555455365194</v>
      </c>
      <c r="Q764" s="133">
        <v>0.973229706390328</v>
      </c>
      <c r="R764" s="133">
        <v>0.949937421777222</v>
      </c>
      <c r="S764" s="133">
        <v>0.970726528135902</v>
      </c>
      <c r="T764" s="135">
        <v>0.9</v>
      </c>
      <c r="U764" s="133">
        <v>0.930568079350766</v>
      </c>
      <c r="V764" s="133">
        <v>0.906735751295337</v>
      </c>
      <c r="W764" s="133">
        <v>0.904463913224864</v>
      </c>
      <c r="X764" s="133">
        <v>0.929672885383488</v>
      </c>
      <c r="Y764" s="135">
        <v>0.92</v>
      </c>
      <c r="Z764" s="135">
        <v>0.955602536997886</v>
      </c>
      <c r="AA764" s="135">
        <v>0.935374149659864</v>
      </c>
      <c r="AB764" s="135">
        <v>0.91015625</v>
      </c>
      <c r="AC764" s="135">
        <v>0.941376480243874</v>
      </c>
      <c r="AD764" s="135">
        <v>0.92</v>
      </c>
      <c r="AE764" s="133">
        <v>1</v>
      </c>
      <c r="AF764" s="133">
        <v>0.998786702256734</v>
      </c>
      <c r="AG764" s="133">
        <v>0.999589743589744</v>
      </c>
      <c r="AH764" s="133">
        <v>0.997781491872103</v>
      </c>
      <c r="AI764" s="135">
        <v>0.92</v>
      </c>
      <c r="AJ764" s="133">
        <v>0.967782691092862</v>
      </c>
      <c r="AK764" s="133">
        <v>0.970892378399081</v>
      </c>
      <c r="AL764" s="133">
        <v>0.951529735304228</v>
      </c>
      <c r="AM764" s="133">
        <v>0.973375179265479</v>
      </c>
      <c r="AN764" s="132">
        <v>0.99</v>
      </c>
      <c r="AO764" s="137">
        <v>1</v>
      </c>
      <c r="AP764" s="137">
        <v>1</v>
      </c>
      <c r="AQ764" s="137">
        <v>1</v>
      </c>
      <c r="AR764" s="137">
        <v>1</v>
      </c>
      <c r="AS764" s="158">
        <v>0.0810595228934205</v>
      </c>
      <c r="AT764" s="141">
        <v>0.166666666666667</v>
      </c>
      <c r="AU764" s="141">
        <v>0.166666666666667</v>
      </c>
      <c r="AV764" s="141">
        <v>0</v>
      </c>
      <c r="AW764" s="141">
        <v>0.0568720379146919</v>
      </c>
      <c r="AX764" s="95"/>
      <c r="AY764" s="93"/>
    </row>
    <row r="765" ht="14.5" spans="1:51">
      <c r="A765" s="91"/>
      <c r="B765" s="95"/>
      <c r="C765" s="152" t="s">
        <v>668</v>
      </c>
      <c r="D765" s="153" t="s">
        <v>25</v>
      </c>
      <c r="E765" s="130" t="s">
        <v>669</v>
      </c>
      <c r="F765" s="179" t="s">
        <v>792</v>
      </c>
      <c r="G765" s="179" t="s">
        <v>792</v>
      </c>
      <c r="H765" s="179" t="s">
        <v>792</v>
      </c>
      <c r="I765" s="179" t="s">
        <v>792</v>
      </c>
      <c r="J765" s="132">
        <v>0.9</v>
      </c>
      <c r="K765" s="133">
        <v>1</v>
      </c>
      <c r="L765" s="133">
        <v>0.923076923076923</v>
      </c>
      <c r="M765" s="134">
        <v>1</v>
      </c>
      <c r="N765" s="133">
        <v>0.95190380761523</v>
      </c>
      <c r="O765" s="135">
        <v>0.9</v>
      </c>
      <c r="P765" s="133">
        <v>0.962923728813559</v>
      </c>
      <c r="Q765" s="133">
        <v>0.857700892857143</v>
      </c>
      <c r="R765" s="133">
        <v>0.811073059360731</v>
      </c>
      <c r="S765" s="133">
        <v>0.906521601218042</v>
      </c>
      <c r="T765" s="135">
        <v>0.9</v>
      </c>
      <c r="U765" s="133">
        <v>0.927966101694915</v>
      </c>
      <c r="V765" s="133">
        <v>0.884486607142857</v>
      </c>
      <c r="W765" s="133">
        <v>0.916095890410959</v>
      </c>
      <c r="X765" s="133">
        <v>0.908900589989215</v>
      </c>
      <c r="Y765" s="135">
        <v>0.92</v>
      </c>
      <c r="Z765" s="135">
        <v>0.927113702623907</v>
      </c>
      <c r="AA765" s="135">
        <v>0.927966101694915</v>
      </c>
      <c r="AB765" s="135">
        <v>0.934725848563969</v>
      </c>
      <c r="AC765" s="135">
        <v>0.9269711958103</v>
      </c>
      <c r="AD765" s="135">
        <v>0.92</v>
      </c>
      <c r="AE765" s="133">
        <v>0.999764650506001</v>
      </c>
      <c r="AF765" s="133">
        <v>0.998440424204616</v>
      </c>
      <c r="AG765" s="133">
        <v>0.999779881135813</v>
      </c>
      <c r="AH765" s="133">
        <v>0.998389226547794</v>
      </c>
      <c r="AI765" s="135">
        <v>0.92</v>
      </c>
      <c r="AJ765" s="133">
        <v>0.955710955710956</v>
      </c>
      <c r="AK765" s="133">
        <v>0.94723865877712</v>
      </c>
      <c r="AL765" s="133">
        <v>0.954119850187266</v>
      </c>
      <c r="AM765" s="133">
        <v>0.960238516821164</v>
      </c>
      <c r="AN765" s="132">
        <v>0.99</v>
      </c>
      <c r="AO765" s="137">
        <v>1</v>
      </c>
      <c r="AP765" s="137">
        <v>1</v>
      </c>
      <c r="AQ765" s="137">
        <v>1</v>
      </c>
      <c r="AR765" s="137">
        <v>1</v>
      </c>
      <c r="AS765" s="158">
        <v>0.0810595228934205</v>
      </c>
      <c r="AT765" s="141">
        <v>0.125</v>
      </c>
      <c r="AU765" s="141">
        <v>0</v>
      </c>
      <c r="AV765" s="141">
        <v>0</v>
      </c>
      <c r="AW765" s="141">
        <v>0.0714285714285714</v>
      </c>
      <c r="AX765" s="95"/>
      <c r="AY765" s="93"/>
    </row>
    <row r="766" ht="14.5" spans="1:51">
      <c r="A766" s="91"/>
      <c r="B766" s="95"/>
      <c r="C766" s="152" t="s">
        <v>668</v>
      </c>
      <c r="D766" s="153" t="s">
        <v>25</v>
      </c>
      <c r="E766" s="130" t="s">
        <v>669</v>
      </c>
      <c r="F766" s="179" t="s">
        <v>793</v>
      </c>
      <c r="G766" s="179" t="s">
        <v>793</v>
      </c>
      <c r="H766" s="179" t="s">
        <v>793</v>
      </c>
      <c r="I766" s="179" t="s">
        <v>793</v>
      </c>
      <c r="J766" s="132">
        <v>0.9</v>
      </c>
      <c r="K766" s="133">
        <v>0.9375</v>
      </c>
      <c r="L766" s="133">
        <v>0.95</v>
      </c>
      <c r="M766" s="134">
        <v>1</v>
      </c>
      <c r="N766" s="133">
        <v>0.98355754857997</v>
      </c>
      <c r="O766" s="135">
        <v>0.9</v>
      </c>
      <c r="P766" s="133">
        <v>0.968684759916493</v>
      </c>
      <c r="Q766" s="133">
        <v>0.962953091684435</v>
      </c>
      <c r="R766" s="133">
        <v>0.973377703826955</v>
      </c>
      <c r="S766" s="133">
        <v>0.967596390484003</v>
      </c>
      <c r="T766" s="135">
        <v>0.9</v>
      </c>
      <c r="U766" s="133">
        <v>0.963256784968685</v>
      </c>
      <c r="V766" s="133">
        <v>0.943763326226013</v>
      </c>
      <c r="W766" s="133">
        <v>0.948973932334997</v>
      </c>
      <c r="X766" s="133">
        <v>0.94915504511895</v>
      </c>
      <c r="Y766" s="135">
        <v>0.92</v>
      </c>
      <c r="Z766" s="135">
        <v>0.979498861047836</v>
      </c>
      <c r="AA766" s="135">
        <v>0.974867724867725</v>
      </c>
      <c r="AB766" s="135">
        <v>0.970754716981132</v>
      </c>
      <c r="AC766" s="135">
        <v>0.971834333590825</v>
      </c>
      <c r="AD766" s="135">
        <v>0.92</v>
      </c>
      <c r="AE766" s="133">
        <v>0.987721395197218</v>
      </c>
      <c r="AF766" s="133">
        <v>0.996797153024911</v>
      </c>
      <c r="AG766" s="133">
        <v>0.997624869018512</v>
      </c>
      <c r="AH766" s="133">
        <v>0.989951609810387</v>
      </c>
      <c r="AI766" s="135">
        <v>0.92</v>
      </c>
      <c r="AJ766" s="133">
        <v>0.977658142664872</v>
      </c>
      <c r="AK766" s="133">
        <v>0.972943002883123</v>
      </c>
      <c r="AL766" s="133">
        <v>0.975808178120317</v>
      </c>
      <c r="AM766" s="133">
        <v>0.978268412733091</v>
      </c>
      <c r="AN766" s="132">
        <v>0.99</v>
      </c>
      <c r="AO766" s="137">
        <v>1</v>
      </c>
      <c r="AP766" s="137">
        <v>1</v>
      </c>
      <c r="AQ766" s="137">
        <v>1</v>
      </c>
      <c r="AR766" s="137">
        <v>1</v>
      </c>
      <c r="AS766" s="158">
        <v>0.0810595228934205</v>
      </c>
      <c r="AT766" s="141">
        <v>0</v>
      </c>
      <c r="AU766" s="141">
        <v>0</v>
      </c>
      <c r="AV766" s="141">
        <v>0</v>
      </c>
      <c r="AW766" s="141">
        <v>0.0393700787401575</v>
      </c>
      <c r="AX766" s="95"/>
      <c r="AY766" s="93"/>
    </row>
    <row r="767" ht="14.5" spans="1:51">
      <c r="A767" s="91"/>
      <c r="B767" s="95"/>
      <c r="C767" s="152" t="s">
        <v>668</v>
      </c>
      <c r="D767" s="153" t="s">
        <v>25</v>
      </c>
      <c r="E767" s="130" t="s">
        <v>669</v>
      </c>
      <c r="F767" s="179" t="s">
        <v>794</v>
      </c>
      <c r="G767" s="179" t="s">
        <v>794</v>
      </c>
      <c r="H767" s="179" t="s">
        <v>794</v>
      </c>
      <c r="I767" s="179" t="s">
        <v>794</v>
      </c>
      <c r="J767" s="132">
        <v>0.9</v>
      </c>
      <c r="K767" s="133" t="s">
        <v>35</v>
      </c>
      <c r="L767" s="133" t="s">
        <v>35</v>
      </c>
      <c r="M767" s="134" t="s">
        <v>35</v>
      </c>
      <c r="N767" s="133" t="s">
        <v>35</v>
      </c>
      <c r="O767" s="135">
        <v>0.9</v>
      </c>
      <c r="P767" s="133" t="s">
        <v>35</v>
      </c>
      <c r="Q767" s="133" t="s">
        <v>35</v>
      </c>
      <c r="R767" s="133" t="s">
        <v>35</v>
      </c>
      <c r="S767" s="133" t="s">
        <v>35</v>
      </c>
      <c r="T767" s="135">
        <v>0.9</v>
      </c>
      <c r="U767" s="133" t="s">
        <v>35</v>
      </c>
      <c r="V767" s="133" t="s">
        <v>35</v>
      </c>
      <c r="W767" s="133" t="s">
        <v>35</v>
      </c>
      <c r="X767" s="133" t="s">
        <v>35</v>
      </c>
      <c r="Y767" s="135">
        <v>0.92</v>
      </c>
      <c r="Z767" s="135" t="s">
        <v>35</v>
      </c>
      <c r="AA767" s="135" t="s">
        <v>35</v>
      </c>
      <c r="AB767" s="135" t="s">
        <v>35</v>
      </c>
      <c r="AC767" s="135" t="s">
        <v>35</v>
      </c>
      <c r="AD767" s="135">
        <v>0.92</v>
      </c>
      <c r="AE767" s="133" t="s">
        <v>35</v>
      </c>
      <c r="AF767" s="133" t="s">
        <v>35</v>
      </c>
      <c r="AG767" s="133" t="s">
        <v>35</v>
      </c>
      <c r="AH767" s="133" t="s">
        <v>35</v>
      </c>
      <c r="AI767" s="135">
        <v>0.92</v>
      </c>
      <c r="AJ767" s="133" t="s">
        <v>35</v>
      </c>
      <c r="AK767" s="133" t="s">
        <v>35</v>
      </c>
      <c r="AL767" s="133" t="s">
        <v>35</v>
      </c>
      <c r="AM767" s="133" t="s">
        <v>35</v>
      </c>
      <c r="AN767" s="132">
        <v>0.99</v>
      </c>
      <c r="AO767" s="137" t="s">
        <v>35</v>
      </c>
      <c r="AP767" s="137" t="s">
        <v>35</v>
      </c>
      <c r="AQ767" s="137" t="s">
        <v>35</v>
      </c>
      <c r="AR767" s="137" t="s">
        <v>35</v>
      </c>
      <c r="AS767" s="158">
        <v>0.0810595228934205</v>
      </c>
      <c r="AT767" s="141" t="s">
        <v>35</v>
      </c>
      <c r="AU767" s="141" t="s">
        <v>35</v>
      </c>
      <c r="AV767" s="141" t="s">
        <v>35</v>
      </c>
      <c r="AW767" s="141" t="s">
        <v>35</v>
      </c>
      <c r="AX767" s="95"/>
      <c r="AY767" s="93"/>
    </row>
    <row r="768" ht="14.5" spans="1:51">
      <c r="A768" s="91"/>
      <c r="B768" s="95"/>
      <c r="C768" s="152" t="s">
        <v>668</v>
      </c>
      <c r="D768" s="153" t="s">
        <v>25</v>
      </c>
      <c r="E768" s="130" t="s">
        <v>669</v>
      </c>
      <c r="F768" s="179" t="s">
        <v>795</v>
      </c>
      <c r="G768" s="179" t="s">
        <v>795</v>
      </c>
      <c r="H768" s="179" t="s">
        <v>795</v>
      </c>
      <c r="I768" s="179" t="s">
        <v>795</v>
      </c>
      <c r="J768" s="132">
        <v>0.9</v>
      </c>
      <c r="K768" s="133">
        <v>1</v>
      </c>
      <c r="L768" s="133">
        <v>1</v>
      </c>
      <c r="M768" s="134">
        <v>0.947368421052632</v>
      </c>
      <c r="N768" s="133">
        <v>0.937869822485207</v>
      </c>
      <c r="O768" s="135">
        <v>0.9</v>
      </c>
      <c r="P768" s="133">
        <v>0.953410981697171</v>
      </c>
      <c r="Q768" s="133">
        <v>0.964782964782965</v>
      </c>
      <c r="R768" s="133">
        <v>0.980132450331126</v>
      </c>
      <c r="S768" s="133">
        <v>0.968747044917258</v>
      </c>
      <c r="T768" s="135">
        <v>0.9</v>
      </c>
      <c r="U768" s="133">
        <v>0.916805324459235</v>
      </c>
      <c r="V768" s="133">
        <v>0.954135954135954</v>
      </c>
      <c r="W768" s="133">
        <v>0.961092715231788</v>
      </c>
      <c r="X768" s="133">
        <v>0.950591016548463</v>
      </c>
      <c r="Y768" s="135">
        <v>0.92</v>
      </c>
      <c r="Z768" s="135">
        <v>0.957446808510638</v>
      </c>
      <c r="AA768" s="135">
        <v>0.969879518072289</v>
      </c>
      <c r="AB768" s="135">
        <v>0.982404692082111</v>
      </c>
      <c r="AC768" s="135">
        <v>0.959587274290628</v>
      </c>
      <c r="AD768" s="135">
        <v>0.92</v>
      </c>
      <c r="AE768" s="133">
        <v>1</v>
      </c>
      <c r="AF768" s="133">
        <v>1</v>
      </c>
      <c r="AG768" s="133">
        <v>0.999436143219622</v>
      </c>
      <c r="AH768" s="133">
        <v>0.998463525732545</v>
      </c>
      <c r="AI768" s="135">
        <v>0.92</v>
      </c>
      <c r="AJ768" s="133">
        <v>0.978468899521531</v>
      </c>
      <c r="AK768" s="133">
        <v>0.973323720259553</v>
      </c>
      <c r="AL768" s="133">
        <v>0.987105093488072</v>
      </c>
      <c r="AM768" s="133">
        <v>0.980950168428389</v>
      </c>
      <c r="AN768" s="132">
        <v>0.99</v>
      </c>
      <c r="AO768" s="137">
        <v>1</v>
      </c>
      <c r="AP768" s="137">
        <v>1</v>
      </c>
      <c r="AQ768" s="137">
        <v>1</v>
      </c>
      <c r="AR768" s="137">
        <v>1</v>
      </c>
      <c r="AS768" s="158">
        <v>0.0810595228934205</v>
      </c>
      <c r="AT768" s="141">
        <v>0</v>
      </c>
      <c r="AU768" s="141">
        <v>0</v>
      </c>
      <c r="AV768" s="141">
        <v>0</v>
      </c>
      <c r="AW768" s="141">
        <v>0</v>
      </c>
      <c r="AX768" s="95"/>
      <c r="AY768" s="93"/>
    </row>
    <row r="769" ht="14.5" spans="1:51">
      <c r="A769" s="91"/>
      <c r="B769" s="95"/>
      <c r="C769" s="152" t="s">
        <v>668</v>
      </c>
      <c r="D769" s="153" t="s">
        <v>25</v>
      </c>
      <c r="E769" s="130" t="s">
        <v>669</v>
      </c>
      <c r="F769" s="179" t="s">
        <v>796</v>
      </c>
      <c r="G769" s="179" t="s">
        <v>796</v>
      </c>
      <c r="H769" s="179" t="s">
        <v>796</v>
      </c>
      <c r="I769" s="179" t="s">
        <v>796</v>
      </c>
      <c r="J769" s="132">
        <v>0.9</v>
      </c>
      <c r="K769" s="133">
        <v>0.578947368421053</v>
      </c>
      <c r="L769" s="133">
        <v>0.555555555555556</v>
      </c>
      <c r="M769" s="134">
        <v>0.466666666666667</v>
      </c>
      <c r="N769" s="133">
        <v>0.490740740740741</v>
      </c>
      <c r="O769" s="135">
        <v>0.9</v>
      </c>
      <c r="P769" s="133">
        <v>0.95221843003413</v>
      </c>
      <c r="Q769" s="133">
        <v>0.933597621407334</v>
      </c>
      <c r="R769" s="133">
        <v>0.944719471947195</v>
      </c>
      <c r="S769" s="133">
        <v>0.945686900958466</v>
      </c>
      <c r="T769" s="135">
        <v>0.9</v>
      </c>
      <c r="U769" s="133">
        <v>0.878839590443686</v>
      </c>
      <c r="V769" s="133">
        <v>0.887016848364718</v>
      </c>
      <c r="W769" s="133">
        <v>0.889438943894389</v>
      </c>
      <c r="X769" s="133">
        <v>0.912969628341489</v>
      </c>
      <c r="Y769" s="135">
        <v>0.92</v>
      </c>
      <c r="Z769" s="135">
        <v>0.883190883190883</v>
      </c>
      <c r="AA769" s="135">
        <v>0.879828326180258</v>
      </c>
      <c r="AB769" s="135">
        <v>0.870317002881844</v>
      </c>
      <c r="AC769" s="135">
        <v>0.902543626146111</v>
      </c>
      <c r="AD769" s="135">
        <v>0.92</v>
      </c>
      <c r="AE769" s="133">
        <v>0.997760358342665</v>
      </c>
      <c r="AF769" s="133">
        <v>0.99203187250996</v>
      </c>
      <c r="AG769" s="133">
        <v>0.994174757281553</v>
      </c>
      <c r="AH769" s="133">
        <v>0.995990262065015</v>
      </c>
      <c r="AI769" s="135">
        <v>0.92</v>
      </c>
      <c r="AJ769" s="133">
        <v>0.903948772678762</v>
      </c>
      <c r="AK769" s="133">
        <v>0.924315619967794</v>
      </c>
      <c r="AL769" s="133">
        <v>0.900577293136626</v>
      </c>
      <c r="AM769" s="133">
        <v>0.940330720157425</v>
      </c>
      <c r="AN769" s="132">
        <v>0.99</v>
      </c>
      <c r="AO769" s="137">
        <v>1</v>
      </c>
      <c r="AP769" s="137">
        <v>1</v>
      </c>
      <c r="AQ769" s="137">
        <v>1</v>
      </c>
      <c r="AR769" s="137">
        <v>1</v>
      </c>
      <c r="AS769" s="158">
        <v>0.0810595228934205</v>
      </c>
      <c r="AT769" s="141">
        <v>0</v>
      </c>
      <c r="AU769" s="141">
        <v>0</v>
      </c>
      <c r="AV769" s="141">
        <v>0.222222222222222</v>
      </c>
      <c r="AW769" s="141">
        <v>0.0392156862745098</v>
      </c>
      <c r="AX769" s="95"/>
      <c r="AY769" s="93"/>
    </row>
    <row r="770" ht="14.5" spans="1:51">
      <c r="A770" s="91"/>
      <c r="B770" s="95"/>
      <c r="C770" s="152" t="s">
        <v>668</v>
      </c>
      <c r="D770" s="153" t="s">
        <v>25</v>
      </c>
      <c r="E770" s="130" t="s">
        <v>669</v>
      </c>
      <c r="F770" s="179" t="s">
        <v>797</v>
      </c>
      <c r="G770" s="179" t="s">
        <v>797</v>
      </c>
      <c r="H770" s="179" t="s">
        <v>797</v>
      </c>
      <c r="I770" s="179" t="s">
        <v>797</v>
      </c>
      <c r="J770" s="132">
        <v>0.9</v>
      </c>
      <c r="K770" s="133">
        <v>0.846153846153846</v>
      </c>
      <c r="L770" s="133">
        <v>0.785714285714286</v>
      </c>
      <c r="M770" s="134">
        <v>0.75</v>
      </c>
      <c r="N770" s="133">
        <v>0.848837209302326</v>
      </c>
      <c r="O770" s="135">
        <v>0.9</v>
      </c>
      <c r="P770" s="133">
        <v>0.874476987447699</v>
      </c>
      <c r="Q770" s="133">
        <v>0.934237995824635</v>
      </c>
      <c r="R770" s="133">
        <v>0.777027027027027</v>
      </c>
      <c r="S770" s="133">
        <v>0.873402389107009</v>
      </c>
      <c r="T770" s="135">
        <v>0.9</v>
      </c>
      <c r="U770" s="133">
        <v>0.702928870292887</v>
      </c>
      <c r="V770" s="133">
        <v>0.68580375782881</v>
      </c>
      <c r="W770" s="133">
        <v>0.683277027027027</v>
      </c>
      <c r="X770" s="133">
        <v>0.782641383343079</v>
      </c>
      <c r="Y770" s="135">
        <v>0.92</v>
      </c>
      <c r="Z770" s="135">
        <v>0.766037735849057</v>
      </c>
      <c r="AA770" s="135">
        <v>0.710382513661202</v>
      </c>
      <c r="AB770" s="135">
        <v>0.699324324324324</v>
      </c>
      <c r="AC770" s="135">
        <v>0.829823889739663</v>
      </c>
      <c r="AD770" s="135">
        <v>0.92</v>
      </c>
      <c r="AE770" s="133">
        <v>0.999174236168456</v>
      </c>
      <c r="AF770" s="133">
        <v>1</v>
      </c>
      <c r="AG770" s="133">
        <v>0.996124031007752</v>
      </c>
      <c r="AH770" s="133">
        <v>0.962427538824877</v>
      </c>
      <c r="AI770" s="135">
        <v>0.92</v>
      </c>
      <c r="AJ770" s="133">
        <v>0.810228802153432</v>
      </c>
      <c r="AK770" s="133">
        <v>0.80806310254163</v>
      </c>
      <c r="AL770" s="133">
        <v>0.773648648648649</v>
      </c>
      <c r="AM770" s="133">
        <v>0.893722787891254</v>
      </c>
      <c r="AN770" s="132">
        <v>0.99</v>
      </c>
      <c r="AO770" s="137">
        <v>1</v>
      </c>
      <c r="AP770" s="137">
        <v>1</v>
      </c>
      <c r="AQ770" s="137">
        <v>1</v>
      </c>
      <c r="AR770" s="137">
        <v>1</v>
      </c>
      <c r="AS770" s="158">
        <v>0.0810595228934205</v>
      </c>
      <c r="AT770" s="141">
        <v>0.166666666666667</v>
      </c>
      <c r="AU770" s="141">
        <v>0</v>
      </c>
      <c r="AV770" s="141">
        <v>0</v>
      </c>
      <c r="AW770" s="141">
        <v>0.0552147239263804</v>
      </c>
      <c r="AX770" s="95"/>
      <c r="AY770" s="93"/>
    </row>
    <row r="771" ht="14.5" spans="1:51">
      <c r="A771" s="91"/>
      <c r="B771" s="95"/>
      <c r="C771" s="152" t="s">
        <v>668</v>
      </c>
      <c r="D771" s="153" t="s">
        <v>25</v>
      </c>
      <c r="E771" s="130" t="s">
        <v>669</v>
      </c>
      <c r="F771" s="179" t="s">
        <v>798</v>
      </c>
      <c r="G771" s="179" t="s">
        <v>798</v>
      </c>
      <c r="H771" s="179" t="s">
        <v>798</v>
      </c>
      <c r="I771" s="179" t="s">
        <v>798</v>
      </c>
      <c r="J771" s="132">
        <v>0.9</v>
      </c>
      <c r="K771" s="133">
        <v>0.935483870967742</v>
      </c>
      <c r="L771" s="133">
        <v>0.774193548387097</v>
      </c>
      <c r="M771" s="134">
        <v>0.78125</v>
      </c>
      <c r="N771" s="133">
        <v>0.773071104387292</v>
      </c>
      <c r="O771" s="135">
        <v>0.9</v>
      </c>
      <c r="P771" s="133">
        <v>0.863883847549909</v>
      </c>
      <c r="Q771" s="133">
        <v>0.921787709497207</v>
      </c>
      <c r="R771" s="133">
        <v>0.924013434089001</v>
      </c>
      <c r="S771" s="133">
        <v>0.942598542433979</v>
      </c>
      <c r="T771" s="135">
        <v>0.9</v>
      </c>
      <c r="U771" s="133">
        <v>0.895644283121597</v>
      </c>
      <c r="V771" s="133">
        <v>0.855214152700186</v>
      </c>
      <c r="W771" s="133">
        <v>0.883711167086482</v>
      </c>
      <c r="X771" s="133">
        <v>0.909313533422146</v>
      </c>
      <c r="Y771" s="135">
        <v>0.92</v>
      </c>
      <c r="Z771" s="135">
        <v>0.850088183421517</v>
      </c>
      <c r="AA771" s="135">
        <v>0.849872773536896</v>
      </c>
      <c r="AB771" s="135">
        <v>0.822289156626506</v>
      </c>
      <c r="AC771" s="135">
        <v>0.893730510421796</v>
      </c>
      <c r="AD771" s="135">
        <v>0.92</v>
      </c>
      <c r="AE771" s="133">
        <v>0.997368421052632</v>
      </c>
      <c r="AF771" s="133">
        <v>0.99496475327291</v>
      </c>
      <c r="AG771" s="133">
        <v>0.997835497835498</v>
      </c>
      <c r="AH771" s="133">
        <v>0.992516738873572</v>
      </c>
      <c r="AI771" s="135">
        <v>0.92</v>
      </c>
      <c r="AJ771" s="133">
        <v>0.907130017974835</v>
      </c>
      <c r="AK771" s="133">
        <v>0.892561983471074</v>
      </c>
      <c r="AL771" s="133">
        <v>0.895600787918582</v>
      </c>
      <c r="AM771" s="133">
        <v>0.94163134923145</v>
      </c>
      <c r="AN771" s="132">
        <v>0.99</v>
      </c>
      <c r="AO771" s="137">
        <v>1</v>
      </c>
      <c r="AP771" s="137">
        <v>1</v>
      </c>
      <c r="AQ771" s="137">
        <v>1</v>
      </c>
      <c r="AR771" s="137">
        <v>1</v>
      </c>
      <c r="AS771" s="158">
        <v>0.0810595228934205</v>
      </c>
      <c r="AT771" s="141">
        <v>0</v>
      </c>
      <c r="AU771" s="141">
        <v>0.117647058823529</v>
      </c>
      <c r="AV771" s="141">
        <v>0</v>
      </c>
      <c r="AW771" s="141">
        <v>0.0298507462686567</v>
      </c>
      <c r="AX771" s="95"/>
      <c r="AY771" s="93"/>
    </row>
    <row r="772" ht="14.5" spans="1:51">
      <c r="A772" s="91"/>
      <c r="B772" s="95"/>
      <c r="C772" s="152" t="s">
        <v>668</v>
      </c>
      <c r="D772" s="153" t="s">
        <v>25</v>
      </c>
      <c r="E772" s="130" t="s">
        <v>669</v>
      </c>
      <c r="F772" s="179" t="s">
        <v>799</v>
      </c>
      <c r="G772" s="179" t="s">
        <v>799</v>
      </c>
      <c r="H772" s="179" t="s">
        <v>799</v>
      </c>
      <c r="I772" s="179" t="s">
        <v>799</v>
      </c>
      <c r="J772" s="132">
        <v>0.9</v>
      </c>
      <c r="K772" s="133">
        <v>0.888888888888889</v>
      </c>
      <c r="L772" s="133">
        <v>0.758620689655172</v>
      </c>
      <c r="M772" s="134">
        <v>0.84375</v>
      </c>
      <c r="N772" s="133">
        <v>0.824347826086957</v>
      </c>
      <c r="O772" s="135">
        <v>0.9</v>
      </c>
      <c r="P772" s="133">
        <v>0.942216981132076</v>
      </c>
      <c r="Q772" s="133">
        <v>0.951083591331269</v>
      </c>
      <c r="R772" s="133">
        <v>0.943080357142857</v>
      </c>
      <c r="S772" s="133">
        <v>0.954401694122824</v>
      </c>
      <c r="T772" s="135">
        <v>0.9</v>
      </c>
      <c r="U772" s="133">
        <v>0.892688679245283</v>
      </c>
      <c r="V772" s="133">
        <v>0.895975232198142</v>
      </c>
      <c r="W772" s="133">
        <v>0.910714285714286</v>
      </c>
      <c r="X772" s="133">
        <v>0.915403866780342</v>
      </c>
      <c r="Y772" s="135">
        <v>0.92</v>
      </c>
      <c r="Z772" s="135">
        <v>0.872727272727273</v>
      </c>
      <c r="AA772" s="135">
        <v>0.926282051282051</v>
      </c>
      <c r="AB772" s="135">
        <v>0.894934333958724</v>
      </c>
      <c r="AC772" s="135">
        <v>0.888866519025569</v>
      </c>
      <c r="AD772" s="135">
        <v>0.92</v>
      </c>
      <c r="AE772" s="133">
        <v>0.999182115594329</v>
      </c>
      <c r="AF772" s="133">
        <v>0.999338624338624</v>
      </c>
      <c r="AG772" s="133">
        <v>0.989758595464521</v>
      </c>
      <c r="AH772" s="133">
        <v>0.997008694155118</v>
      </c>
      <c r="AI772" s="135">
        <v>0.92</v>
      </c>
      <c r="AJ772" s="133">
        <v>0.906994047619048</v>
      </c>
      <c r="AK772" s="133">
        <v>0.934094447327452</v>
      </c>
      <c r="AL772" s="133">
        <v>0.928632846087704</v>
      </c>
      <c r="AM772" s="133">
        <v>0.940184413396964</v>
      </c>
      <c r="AN772" s="132">
        <v>0.99</v>
      </c>
      <c r="AO772" s="137">
        <v>1</v>
      </c>
      <c r="AP772" s="137">
        <v>1</v>
      </c>
      <c r="AQ772" s="137">
        <v>1</v>
      </c>
      <c r="AR772" s="137">
        <v>1</v>
      </c>
      <c r="AS772" s="158">
        <v>0.0810595228934205</v>
      </c>
      <c r="AT772" s="141">
        <v>0</v>
      </c>
      <c r="AU772" s="141">
        <v>0</v>
      </c>
      <c r="AV772" s="141">
        <v>0.235294117647059</v>
      </c>
      <c r="AW772" s="141">
        <v>0.0384615384615385</v>
      </c>
      <c r="AX772" s="95"/>
      <c r="AY772" s="93"/>
    </row>
    <row r="773" ht="14.5" spans="1:51">
      <c r="A773" s="91"/>
      <c r="B773" s="95"/>
      <c r="C773" s="152" t="s">
        <v>668</v>
      </c>
      <c r="D773" s="153" t="s">
        <v>25</v>
      </c>
      <c r="E773" s="130" t="s">
        <v>669</v>
      </c>
      <c r="F773" s="179" t="s">
        <v>800</v>
      </c>
      <c r="G773" s="179" t="s">
        <v>800</v>
      </c>
      <c r="H773" s="179" t="s">
        <v>800</v>
      </c>
      <c r="I773" s="179" t="s">
        <v>800</v>
      </c>
      <c r="J773" s="132">
        <v>0.9</v>
      </c>
      <c r="K773" s="133">
        <v>0.827586206896552</v>
      </c>
      <c r="L773" s="133">
        <v>0.833333333333333</v>
      </c>
      <c r="M773" s="134">
        <v>0.740740740740741</v>
      </c>
      <c r="N773" s="133">
        <v>0.798922800718133</v>
      </c>
      <c r="O773" s="135">
        <v>0.9</v>
      </c>
      <c r="P773" s="133">
        <v>0.91887417218543</v>
      </c>
      <c r="Q773" s="133">
        <v>0.861111111111111</v>
      </c>
      <c r="R773" s="133">
        <v>0.881306865177833</v>
      </c>
      <c r="S773" s="133">
        <v>0.92532262339198</v>
      </c>
      <c r="T773" s="135">
        <v>0.9</v>
      </c>
      <c r="U773" s="133">
        <v>0.84023178807947</v>
      </c>
      <c r="V773" s="133">
        <v>0.83804143126177</v>
      </c>
      <c r="W773" s="133">
        <v>0.773366418527709</v>
      </c>
      <c r="X773" s="133">
        <v>0.851542272328801</v>
      </c>
      <c r="Y773" s="135">
        <v>0.92</v>
      </c>
      <c r="Z773" s="135">
        <v>0.871747211895911</v>
      </c>
      <c r="AA773" s="135">
        <v>0.814009661835749</v>
      </c>
      <c r="AB773" s="135">
        <v>0.654761904761905</v>
      </c>
      <c r="AC773" s="135">
        <v>0.839534131349078</v>
      </c>
      <c r="AD773" s="135">
        <v>0.92</v>
      </c>
      <c r="AE773" s="133">
        <v>0.999476987447699</v>
      </c>
      <c r="AF773" s="133">
        <v>0.948132780082988</v>
      </c>
      <c r="AG773" s="133">
        <v>0.983333333333333</v>
      </c>
      <c r="AH773" s="133">
        <v>0.994378513429107</v>
      </c>
      <c r="AI773" s="135">
        <v>0.92</v>
      </c>
      <c r="AJ773" s="133">
        <v>0.899313501144165</v>
      </c>
      <c r="AK773" s="133">
        <v>0.874704491725768</v>
      </c>
      <c r="AL773" s="133">
        <v>0.808476221287609</v>
      </c>
      <c r="AM773" s="133">
        <v>0.912021359729096</v>
      </c>
      <c r="AN773" s="132">
        <v>0.99</v>
      </c>
      <c r="AO773" s="137">
        <v>1</v>
      </c>
      <c r="AP773" s="137">
        <v>1</v>
      </c>
      <c r="AQ773" s="137">
        <v>1</v>
      </c>
      <c r="AR773" s="137">
        <v>1</v>
      </c>
      <c r="AS773" s="158">
        <v>0.0810595228934205</v>
      </c>
      <c r="AT773" s="141">
        <v>0</v>
      </c>
      <c r="AU773" s="141">
        <v>0.0555555555555556</v>
      </c>
      <c r="AV773" s="141">
        <v>0.157894736842105</v>
      </c>
      <c r="AW773" s="141">
        <v>0.0517647058823529</v>
      </c>
      <c r="AX773" s="95"/>
      <c r="AY773" s="93"/>
    </row>
    <row r="774" ht="14.5" spans="1:51">
      <c r="A774" s="91"/>
      <c r="B774" s="95"/>
      <c r="C774" s="152" t="s">
        <v>668</v>
      </c>
      <c r="D774" s="153" t="s">
        <v>25</v>
      </c>
      <c r="E774" s="130" t="s">
        <v>669</v>
      </c>
      <c r="F774" s="179" t="s">
        <v>801</v>
      </c>
      <c r="G774" s="179" t="s">
        <v>801</v>
      </c>
      <c r="H774" s="179" t="s">
        <v>801</v>
      </c>
      <c r="I774" s="179" t="s">
        <v>801</v>
      </c>
      <c r="J774" s="132">
        <v>0.9</v>
      </c>
      <c r="K774" s="133">
        <v>0.740740740740741</v>
      </c>
      <c r="L774" s="133">
        <v>0.62962962962963</v>
      </c>
      <c r="M774" s="134">
        <v>0.592592592592593</v>
      </c>
      <c r="N774" s="133">
        <v>0.694716242661448</v>
      </c>
      <c r="O774" s="135">
        <v>0.9</v>
      </c>
      <c r="P774" s="133">
        <v>0.919583727530747</v>
      </c>
      <c r="Q774" s="133">
        <v>0.909220532319392</v>
      </c>
      <c r="R774" s="133">
        <v>0.878111587982833</v>
      </c>
      <c r="S774" s="133">
        <v>0.918866904530219</v>
      </c>
      <c r="T774" s="135">
        <v>0.9</v>
      </c>
      <c r="U774" s="133">
        <v>0.855250709555345</v>
      </c>
      <c r="V774" s="133">
        <v>0.874524714828897</v>
      </c>
      <c r="W774" s="133">
        <v>0.867811158798283</v>
      </c>
      <c r="X774" s="133">
        <v>0.874408044112877</v>
      </c>
      <c r="Y774" s="135">
        <v>0.92</v>
      </c>
      <c r="Z774" s="135">
        <v>0.853356890459364</v>
      </c>
      <c r="AA774" s="135">
        <v>0.790816326530612</v>
      </c>
      <c r="AB774" s="135">
        <v>0.818611987381703</v>
      </c>
      <c r="AC774" s="135">
        <v>0.845908699397071</v>
      </c>
      <c r="AD774" s="135">
        <v>0.92</v>
      </c>
      <c r="AE774" s="133">
        <v>1</v>
      </c>
      <c r="AF774" s="133">
        <v>0.998618784530387</v>
      </c>
      <c r="AG774" s="133">
        <v>1</v>
      </c>
      <c r="AH774" s="133">
        <v>0.997271705986198</v>
      </c>
      <c r="AI774" s="135">
        <v>0.92</v>
      </c>
      <c r="AJ774" s="133">
        <v>0.889710412815773</v>
      </c>
      <c r="AK774" s="133">
        <v>0.891426282051282</v>
      </c>
      <c r="AL774" s="133">
        <v>0.897773279352227</v>
      </c>
      <c r="AM774" s="133">
        <v>0.925477321814255</v>
      </c>
      <c r="AN774" s="132">
        <v>0.99</v>
      </c>
      <c r="AO774" s="137">
        <v>1</v>
      </c>
      <c r="AP774" s="137">
        <v>1</v>
      </c>
      <c r="AQ774" s="137">
        <v>1</v>
      </c>
      <c r="AR774" s="137">
        <v>1</v>
      </c>
      <c r="AS774" s="158">
        <v>0.0810595228934205</v>
      </c>
      <c r="AT774" s="141">
        <v>0</v>
      </c>
      <c r="AU774" s="141">
        <v>0.133333333333333</v>
      </c>
      <c r="AV774" s="141">
        <v>0.0357142857142857</v>
      </c>
      <c r="AW774" s="141">
        <v>0.0401002506265664</v>
      </c>
      <c r="AX774" s="95"/>
      <c r="AY774" s="93"/>
    </row>
    <row r="775" ht="14.5" spans="1:51">
      <c r="A775" s="91"/>
      <c r="B775" s="95"/>
      <c r="C775" s="152" t="s">
        <v>668</v>
      </c>
      <c r="D775" s="153" t="s">
        <v>25</v>
      </c>
      <c r="E775" s="130" t="s">
        <v>669</v>
      </c>
      <c r="F775" s="179" t="s">
        <v>802</v>
      </c>
      <c r="G775" s="179" t="s">
        <v>802</v>
      </c>
      <c r="H775" s="179" t="s">
        <v>802</v>
      </c>
      <c r="I775" s="179" t="s">
        <v>802</v>
      </c>
      <c r="J775" s="132">
        <v>0.9</v>
      </c>
      <c r="K775" s="133">
        <v>1</v>
      </c>
      <c r="L775" s="133">
        <v>1</v>
      </c>
      <c r="M775" s="134">
        <v>0.958333333333333</v>
      </c>
      <c r="N775" s="133">
        <v>0.950226244343891</v>
      </c>
      <c r="O775" s="135">
        <v>0.9</v>
      </c>
      <c r="P775" s="133">
        <v>0.985951468710089</v>
      </c>
      <c r="Q775" s="133">
        <v>0.981226533166458</v>
      </c>
      <c r="R775" s="133">
        <v>0.967073818374934</v>
      </c>
      <c r="S775" s="133">
        <v>0.979416853903567</v>
      </c>
      <c r="T775" s="135">
        <v>0.9</v>
      </c>
      <c r="U775" s="133">
        <v>0.960408684546616</v>
      </c>
      <c r="V775" s="133">
        <v>0.882352941176471</v>
      </c>
      <c r="W775" s="133">
        <v>0.901752522570366</v>
      </c>
      <c r="X775" s="133">
        <v>0.946928023553111</v>
      </c>
      <c r="Y775" s="135">
        <v>0.92</v>
      </c>
      <c r="Z775" s="135">
        <v>0.958974358974359</v>
      </c>
      <c r="AA775" s="135">
        <v>0.919463087248322</v>
      </c>
      <c r="AB775" s="135">
        <v>0.868312757201646</v>
      </c>
      <c r="AC775" s="135">
        <v>0.942427385892116</v>
      </c>
      <c r="AD775" s="135">
        <v>0.92</v>
      </c>
      <c r="AE775" s="133">
        <v>0.998145285935085</v>
      </c>
      <c r="AF775" s="133">
        <v>0.99832655988525</v>
      </c>
      <c r="AG775" s="133">
        <v>0.992438563327032</v>
      </c>
      <c r="AH775" s="133">
        <v>0.996419230836742</v>
      </c>
      <c r="AI775" s="135">
        <v>0.92</v>
      </c>
      <c r="AJ775" s="133">
        <v>0.968617472434266</v>
      </c>
      <c r="AK775" s="133">
        <v>0.908039936941671</v>
      </c>
      <c r="AL775" s="133">
        <v>0.91599831152385</v>
      </c>
      <c r="AM775" s="133">
        <v>0.966485525962353</v>
      </c>
      <c r="AN775" s="132">
        <v>0.99</v>
      </c>
      <c r="AO775" s="137">
        <v>1</v>
      </c>
      <c r="AP775" s="137">
        <v>1</v>
      </c>
      <c r="AQ775" s="137">
        <v>1</v>
      </c>
      <c r="AR775" s="137">
        <v>1</v>
      </c>
      <c r="AS775" s="158">
        <v>0.0810595228934205</v>
      </c>
      <c r="AT775" s="141">
        <v>0.0769230769230769</v>
      </c>
      <c r="AU775" s="141">
        <v>0.0526315789473684</v>
      </c>
      <c r="AV775" s="141">
        <v>0</v>
      </c>
      <c r="AW775" s="141">
        <v>0.0401785714285714</v>
      </c>
      <c r="AX775" s="95"/>
      <c r="AY775" s="93"/>
    </row>
    <row r="776" ht="14.5" spans="1:51">
      <c r="A776" s="91"/>
      <c r="B776" s="95"/>
      <c r="C776" s="152" t="s">
        <v>668</v>
      </c>
      <c r="D776" s="153" t="s">
        <v>25</v>
      </c>
      <c r="E776" s="130" t="s">
        <v>669</v>
      </c>
      <c r="F776" s="179" t="s">
        <v>803</v>
      </c>
      <c r="G776" s="179" t="s">
        <v>803</v>
      </c>
      <c r="H776" s="179" t="s">
        <v>803</v>
      </c>
      <c r="I776" s="179" t="s">
        <v>803</v>
      </c>
      <c r="J776" s="132">
        <v>0.9</v>
      </c>
      <c r="K776" s="133">
        <v>1</v>
      </c>
      <c r="L776" s="133">
        <v>0.9</v>
      </c>
      <c r="M776" s="134">
        <v>0.961538461538462</v>
      </c>
      <c r="N776" s="133">
        <v>0.966850828729282</v>
      </c>
      <c r="O776" s="135">
        <v>0.9</v>
      </c>
      <c r="P776" s="133">
        <v>0.974509803921569</v>
      </c>
      <c r="Q776" s="133">
        <v>0.96777392166584</v>
      </c>
      <c r="R776" s="133">
        <v>0.973140495867769</v>
      </c>
      <c r="S776" s="133">
        <v>0.977291018641376</v>
      </c>
      <c r="T776" s="135">
        <v>0.9</v>
      </c>
      <c r="U776" s="133">
        <v>0.930392156862745</v>
      </c>
      <c r="V776" s="133">
        <v>0.933068914229053</v>
      </c>
      <c r="W776" s="133">
        <v>0.911157024793388</v>
      </c>
      <c r="X776" s="133">
        <v>0.948556761577448</v>
      </c>
      <c r="Y776" s="135">
        <v>0.92</v>
      </c>
      <c r="Z776" s="135">
        <v>0.936210131332083</v>
      </c>
      <c r="AA776" s="135">
        <v>0.922305764411028</v>
      </c>
      <c r="AB776" s="135">
        <v>0.903785488958991</v>
      </c>
      <c r="AC776" s="135">
        <v>0.956170212765957</v>
      </c>
      <c r="AD776" s="135">
        <v>0.92</v>
      </c>
      <c r="AE776" s="133">
        <v>0.998730158730159</v>
      </c>
      <c r="AF776" s="133">
        <v>0.997435897435897</v>
      </c>
      <c r="AG776" s="133">
        <v>0.992831541218638</v>
      </c>
      <c r="AH776" s="133">
        <v>0.997582553235264</v>
      </c>
      <c r="AI776" s="135">
        <v>0.92</v>
      </c>
      <c r="AJ776" s="133">
        <v>0.958145524790728</v>
      </c>
      <c r="AK776" s="133">
        <v>0.957385188249897</v>
      </c>
      <c r="AL776" s="133">
        <v>0.93713163064833</v>
      </c>
      <c r="AM776" s="133">
        <v>0.973966362392393</v>
      </c>
      <c r="AN776" s="132">
        <v>0.99</v>
      </c>
      <c r="AO776" s="137">
        <v>1</v>
      </c>
      <c r="AP776" s="137">
        <v>1</v>
      </c>
      <c r="AQ776" s="137">
        <v>1</v>
      </c>
      <c r="AR776" s="137">
        <v>1</v>
      </c>
      <c r="AS776" s="158">
        <v>0.0810595228934205</v>
      </c>
      <c r="AT776" s="141">
        <v>0.136363636363636</v>
      </c>
      <c r="AU776" s="141">
        <v>0.0769230769230769</v>
      </c>
      <c r="AV776" s="141">
        <v>0</v>
      </c>
      <c r="AW776" s="141">
        <v>0.035230352303523</v>
      </c>
      <c r="AX776" s="95"/>
      <c r="AY776" s="93"/>
    </row>
    <row r="777" ht="14.5" spans="1:51">
      <c r="A777" s="91"/>
      <c r="B777" s="95"/>
      <c r="C777" s="152" t="s">
        <v>668</v>
      </c>
      <c r="D777" s="153" t="s">
        <v>25</v>
      </c>
      <c r="E777" s="130" t="s">
        <v>669</v>
      </c>
      <c r="F777" s="179" t="s">
        <v>804</v>
      </c>
      <c r="G777" s="179" t="s">
        <v>804</v>
      </c>
      <c r="H777" s="179" t="s">
        <v>804</v>
      </c>
      <c r="I777" s="179" t="s">
        <v>804</v>
      </c>
      <c r="J777" s="132">
        <v>0.9</v>
      </c>
      <c r="K777" s="133">
        <v>0.523809523809524</v>
      </c>
      <c r="L777" s="133">
        <v>0.578947368421053</v>
      </c>
      <c r="M777" s="134">
        <v>0.333333333333333</v>
      </c>
      <c r="N777" s="133">
        <v>0.463483146067416</v>
      </c>
      <c r="O777" s="135">
        <v>0.9</v>
      </c>
      <c r="P777" s="133">
        <v>0.775297619047619</v>
      </c>
      <c r="Q777" s="133">
        <v>0.738823529411765</v>
      </c>
      <c r="R777" s="133">
        <v>0.694736842105263</v>
      </c>
      <c r="S777" s="133">
        <v>0.830523666701141</v>
      </c>
      <c r="T777" s="135">
        <v>0.9</v>
      </c>
      <c r="U777" s="133">
        <v>0.738095238095238</v>
      </c>
      <c r="V777" s="133">
        <v>0.68078431372549</v>
      </c>
      <c r="W777" s="133">
        <v>0.463815789473684</v>
      </c>
      <c r="X777" s="133">
        <v>0.723963181301065</v>
      </c>
      <c r="Y777" s="135">
        <v>0.92</v>
      </c>
      <c r="Z777" s="135">
        <v>0.884735202492212</v>
      </c>
      <c r="AA777" s="135">
        <v>0.720524017467249</v>
      </c>
      <c r="AB777" s="135">
        <v>0.712158808933002</v>
      </c>
      <c r="AC777" s="135">
        <v>0.824059941723325</v>
      </c>
      <c r="AD777" s="135">
        <v>0.92</v>
      </c>
      <c r="AE777" s="133">
        <v>0.997338065661047</v>
      </c>
      <c r="AF777" s="133">
        <v>0.983783783783784</v>
      </c>
      <c r="AG777" s="133">
        <v>0.910216718266254</v>
      </c>
      <c r="AH777" s="133">
        <v>0.979885343142128</v>
      </c>
      <c r="AI777" s="135">
        <v>0.92</v>
      </c>
      <c r="AJ777" s="133">
        <v>0.898390342052314</v>
      </c>
      <c r="AK777" s="133">
        <v>0.778590425531915</v>
      </c>
      <c r="AL777" s="133">
        <v>0.71985446985447</v>
      </c>
      <c r="AM777" s="133">
        <v>0.879002871024735</v>
      </c>
      <c r="AN777" s="132">
        <v>0.99</v>
      </c>
      <c r="AO777" s="137">
        <v>1</v>
      </c>
      <c r="AP777" s="137">
        <v>1</v>
      </c>
      <c r="AQ777" s="137">
        <v>1</v>
      </c>
      <c r="AR777" s="137">
        <v>1</v>
      </c>
      <c r="AS777" s="158">
        <v>0.0810595228934205</v>
      </c>
      <c r="AT777" s="141">
        <v>0</v>
      </c>
      <c r="AU777" s="141">
        <v>0.117647058823529</v>
      </c>
      <c r="AV777" s="141">
        <v>0</v>
      </c>
      <c r="AW777" s="141">
        <v>0.0305343511450382</v>
      </c>
      <c r="AX777" s="95"/>
      <c r="AY777" s="93"/>
    </row>
    <row r="778" ht="14.5" spans="1:51">
      <c r="A778" s="91"/>
      <c r="B778" s="95"/>
      <c r="C778" s="152" t="s">
        <v>668</v>
      </c>
      <c r="D778" s="153" t="s">
        <v>25</v>
      </c>
      <c r="E778" s="130" t="s">
        <v>669</v>
      </c>
      <c r="F778" s="179" t="s">
        <v>805</v>
      </c>
      <c r="G778" s="179" t="s">
        <v>805</v>
      </c>
      <c r="H778" s="179" t="s">
        <v>805</v>
      </c>
      <c r="I778" s="179" t="s">
        <v>805</v>
      </c>
      <c r="J778" s="132">
        <v>0.9</v>
      </c>
      <c r="K778" s="133">
        <v>0.733333333333333</v>
      </c>
      <c r="L778" s="133">
        <v>0.8</v>
      </c>
      <c r="M778" s="134">
        <v>0.793103448275862</v>
      </c>
      <c r="N778" s="133">
        <v>0.872029250457038</v>
      </c>
      <c r="O778" s="135">
        <v>0.9</v>
      </c>
      <c r="P778" s="133">
        <v>0.979775280898876</v>
      </c>
      <c r="Q778" s="133">
        <v>0.965025906735751</v>
      </c>
      <c r="R778" s="133">
        <v>0.921313183949974</v>
      </c>
      <c r="S778" s="133">
        <v>0.954625917634196</v>
      </c>
      <c r="T778" s="135">
        <v>0.9</v>
      </c>
      <c r="U778" s="133">
        <v>0.930337078651685</v>
      </c>
      <c r="V778" s="133">
        <v>0.906088082901554</v>
      </c>
      <c r="W778" s="133">
        <v>0.920792079207921</v>
      </c>
      <c r="X778" s="133">
        <v>0.92739626177956</v>
      </c>
      <c r="Y778" s="135">
        <v>0.92</v>
      </c>
      <c r="Z778" s="135">
        <v>0.883950617283951</v>
      </c>
      <c r="AA778" s="135">
        <v>0.811764705882353</v>
      </c>
      <c r="AB778" s="135">
        <v>0.914163090128755</v>
      </c>
      <c r="AC778" s="135">
        <v>0.908110394416834</v>
      </c>
      <c r="AD778" s="135">
        <v>0.92</v>
      </c>
      <c r="AE778" s="133">
        <v>0.999333333333333</v>
      </c>
      <c r="AF778" s="133">
        <v>0.990049751243781</v>
      </c>
      <c r="AG778" s="133">
        <v>0.996007984031936</v>
      </c>
      <c r="AH778" s="133">
        <v>0.992355204536249</v>
      </c>
      <c r="AI778" s="135">
        <v>0.92</v>
      </c>
      <c r="AJ778" s="133">
        <v>0.930501930501931</v>
      </c>
      <c r="AK778" s="133">
        <v>0.912951167728238</v>
      </c>
      <c r="AL778" s="133">
        <v>0.936687631027254</v>
      </c>
      <c r="AM778" s="133">
        <v>0.949494527529451</v>
      </c>
      <c r="AN778" s="132">
        <v>0.99</v>
      </c>
      <c r="AO778" s="137">
        <v>1</v>
      </c>
      <c r="AP778" s="137">
        <v>1</v>
      </c>
      <c r="AQ778" s="137">
        <v>1</v>
      </c>
      <c r="AR778" s="137">
        <v>1</v>
      </c>
      <c r="AS778" s="158">
        <v>0.0810595228934205</v>
      </c>
      <c r="AT778" s="141">
        <v>0.117647058823529</v>
      </c>
      <c r="AU778" s="141">
        <v>0</v>
      </c>
      <c r="AV778" s="141">
        <v>0</v>
      </c>
      <c r="AW778" s="141">
        <v>0.0373831775700935</v>
      </c>
      <c r="AX778" s="95"/>
      <c r="AY778" s="93"/>
    </row>
    <row r="779" ht="14.5" spans="1:51">
      <c r="A779" s="91"/>
      <c r="B779" s="95"/>
      <c r="C779" s="152" t="s">
        <v>668</v>
      </c>
      <c r="D779" s="153" t="s">
        <v>25</v>
      </c>
      <c r="E779" s="130" t="s">
        <v>669</v>
      </c>
      <c r="F779" s="179" t="s">
        <v>806</v>
      </c>
      <c r="G779" s="179" t="s">
        <v>806</v>
      </c>
      <c r="H779" s="179" t="s">
        <v>806</v>
      </c>
      <c r="I779" s="179" t="s">
        <v>806</v>
      </c>
      <c r="J779" s="132">
        <v>0.9</v>
      </c>
      <c r="K779" s="133">
        <v>0.541666666666667</v>
      </c>
      <c r="L779" s="133">
        <v>0.545454545454545</v>
      </c>
      <c r="M779" s="134">
        <v>0.363636363636364</v>
      </c>
      <c r="N779" s="133">
        <v>0.569343065693431</v>
      </c>
      <c r="O779" s="135">
        <v>0.9</v>
      </c>
      <c r="P779" s="133">
        <v>0.8</v>
      </c>
      <c r="Q779" s="133">
        <v>0.955357142857143</v>
      </c>
      <c r="R779" s="133">
        <v>0.969178082191781</v>
      </c>
      <c r="S779" s="133">
        <v>0.923607728527358</v>
      </c>
      <c r="T779" s="135">
        <v>0.9</v>
      </c>
      <c r="U779" s="133">
        <v>0.78695652173913</v>
      </c>
      <c r="V779" s="133">
        <v>0.845238095238095</v>
      </c>
      <c r="W779" s="133">
        <v>0.871575342465753</v>
      </c>
      <c r="X779" s="133">
        <v>0.875710342588082</v>
      </c>
      <c r="Y779" s="135">
        <v>0.92</v>
      </c>
      <c r="Z779" s="135">
        <v>0.885897435897436</v>
      </c>
      <c r="AA779" s="135">
        <v>0.934131736526946</v>
      </c>
      <c r="AB779" s="135">
        <v>0.926809210526316</v>
      </c>
      <c r="AC779" s="135">
        <v>0.936909031626997</v>
      </c>
      <c r="AD779" s="135">
        <v>0.92</v>
      </c>
      <c r="AE779" s="133">
        <v>0.998259355961706</v>
      </c>
      <c r="AF779" s="133">
        <v>0.801152737752161</v>
      </c>
      <c r="AG779" s="133">
        <v>0.959537572254335</v>
      </c>
      <c r="AH779" s="133">
        <v>0.976280834914611</v>
      </c>
      <c r="AI779" s="135">
        <v>0.92</v>
      </c>
      <c r="AJ779" s="133">
        <v>0.874381800197824</v>
      </c>
      <c r="AK779" s="133">
        <v>0.930325149303251</v>
      </c>
      <c r="AL779" s="133">
        <v>0.931666666666667</v>
      </c>
      <c r="AM779" s="133">
        <v>0.938880147577451</v>
      </c>
      <c r="AN779" s="132">
        <v>0.99</v>
      </c>
      <c r="AO779" s="137">
        <v>1</v>
      </c>
      <c r="AP779" s="137">
        <v>1</v>
      </c>
      <c r="AQ779" s="137">
        <v>1</v>
      </c>
      <c r="AR779" s="137">
        <v>1</v>
      </c>
      <c r="AS779" s="158">
        <v>0.0810595228934205</v>
      </c>
      <c r="AT779" s="141">
        <v>0</v>
      </c>
      <c r="AU779" s="141">
        <v>0.117647058823529</v>
      </c>
      <c r="AV779" s="141">
        <v>0.142857142857143</v>
      </c>
      <c r="AW779" s="141">
        <v>0.0542372881355932</v>
      </c>
      <c r="AX779" s="95"/>
      <c r="AY779" s="93"/>
    </row>
    <row r="780" ht="14.5" spans="1:51">
      <c r="A780" s="91"/>
      <c r="B780" s="95"/>
      <c r="C780" s="152" t="s">
        <v>668</v>
      </c>
      <c r="D780" s="153" t="s">
        <v>25</v>
      </c>
      <c r="E780" s="130" t="s">
        <v>669</v>
      </c>
      <c r="F780" s="179" t="s">
        <v>807</v>
      </c>
      <c r="G780" s="179" t="s">
        <v>807</v>
      </c>
      <c r="H780" s="179" t="s">
        <v>807</v>
      </c>
      <c r="I780" s="179" t="s">
        <v>807</v>
      </c>
      <c r="J780" s="132">
        <v>0.9</v>
      </c>
      <c r="K780" s="133">
        <v>1</v>
      </c>
      <c r="L780" s="133">
        <v>1</v>
      </c>
      <c r="M780" s="134">
        <v>0.916666666666667</v>
      </c>
      <c r="N780" s="133">
        <v>0.748858447488584</v>
      </c>
      <c r="O780" s="135">
        <v>0.9</v>
      </c>
      <c r="P780" s="133">
        <v>0.963829787234043</v>
      </c>
      <c r="Q780" s="133">
        <v>0.971074380165289</v>
      </c>
      <c r="R780" s="133">
        <v>0.941117764471058</v>
      </c>
      <c r="S780" s="133">
        <v>0.94789977506931</v>
      </c>
      <c r="T780" s="135">
        <v>0.9</v>
      </c>
      <c r="U780" s="133">
        <v>0.806382978723404</v>
      </c>
      <c r="V780" s="133">
        <v>0.805785123966942</v>
      </c>
      <c r="W780" s="133">
        <v>0.849301397205589</v>
      </c>
      <c r="X780" s="133">
        <v>0.822984777946331</v>
      </c>
      <c r="Y780" s="135">
        <v>0.92</v>
      </c>
      <c r="Z780" s="135">
        <v>0.828326180257511</v>
      </c>
      <c r="AA780" s="135">
        <v>0.877551020408163</v>
      </c>
      <c r="AB780" s="135">
        <v>0.841509433962264</v>
      </c>
      <c r="AC780" s="135">
        <v>0.898559799624296</v>
      </c>
      <c r="AD780" s="135">
        <v>0.92</v>
      </c>
      <c r="AE780" s="133">
        <v>1</v>
      </c>
      <c r="AF780" s="133">
        <v>1</v>
      </c>
      <c r="AG780" s="133">
        <v>1</v>
      </c>
      <c r="AH780" s="133">
        <v>0.998143652720263</v>
      </c>
      <c r="AI780" s="135">
        <v>0.92</v>
      </c>
      <c r="AJ780" s="133">
        <v>0.890469416785206</v>
      </c>
      <c r="AK780" s="133">
        <v>0.924398625429553</v>
      </c>
      <c r="AL780" s="133">
        <v>0.910812943962115</v>
      </c>
      <c r="AM780" s="133">
        <v>0.936305466103467</v>
      </c>
      <c r="AN780" s="132">
        <v>0.99</v>
      </c>
      <c r="AO780" s="137">
        <v>1</v>
      </c>
      <c r="AP780" s="137">
        <v>1</v>
      </c>
      <c r="AQ780" s="137">
        <v>1</v>
      </c>
      <c r="AR780" s="137">
        <v>1</v>
      </c>
      <c r="AS780" s="158">
        <v>0.0810595228934205</v>
      </c>
      <c r="AT780" s="141">
        <v>0</v>
      </c>
      <c r="AU780" s="141">
        <v>0.0588235294117647</v>
      </c>
      <c r="AV780" s="141">
        <v>0</v>
      </c>
      <c r="AW780" s="141">
        <v>0.0257510729613734</v>
      </c>
      <c r="AX780" s="95"/>
      <c r="AY780" s="93"/>
    </row>
    <row r="781" ht="14.5" spans="1:51">
      <c r="A781" s="91"/>
      <c r="B781" s="95"/>
      <c r="C781" s="152" t="s">
        <v>668</v>
      </c>
      <c r="D781" s="153" t="s">
        <v>25</v>
      </c>
      <c r="E781" s="130" t="s">
        <v>669</v>
      </c>
      <c r="F781" s="179" t="s">
        <v>808</v>
      </c>
      <c r="G781" s="179" t="s">
        <v>808</v>
      </c>
      <c r="H781" s="179" t="s">
        <v>808</v>
      </c>
      <c r="I781" s="179" t="s">
        <v>808</v>
      </c>
      <c r="J781" s="132">
        <v>0.9</v>
      </c>
      <c r="K781" s="133">
        <v>0.934782608695652</v>
      </c>
      <c r="L781" s="133">
        <v>0.941176470588235</v>
      </c>
      <c r="M781" s="134">
        <v>0.897959183673469</v>
      </c>
      <c r="N781" s="133">
        <v>0.903157894736842</v>
      </c>
      <c r="O781" s="135">
        <v>0.9</v>
      </c>
      <c r="P781" s="133">
        <v>0.938356164383562</v>
      </c>
      <c r="Q781" s="133">
        <v>0.949103784023014</v>
      </c>
      <c r="R781" s="133">
        <v>0.956457719814893</v>
      </c>
      <c r="S781" s="133">
        <v>0.950256457649831</v>
      </c>
      <c r="T781" s="135">
        <v>0.9</v>
      </c>
      <c r="U781" s="133">
        <v>0.915981735159817</v>
      </c>
      <c r="V781" s="133">
        <v>0.917017039167958</v>
      </c>
      <c r="W781" s="133">
        <v>0.919225915018931</v>
      </c>
      <c r="X781" s="133">
        <v>0.915137932627882</v>
      </c>
      <c r="Y781" s="135">
        <v>0.92</v>
      </c>
      <c r="Z781" s="135">
        <v>0.916492693110647</v>
      </c>
      <c r="AA781" s="135">
        <v>0.933333333333333</v>
      </c>
      <c r="AB781" s="135">
        <v>0.915750915750916</v>
      </c>
      <c r="AC781" s="135">
        <v>0.921971501231179</v>
      </c>
      <c r="AD781" s="135">
        <v>0.92</v>
      </c>
      <c r="AE781" s="133">
        <v>0.997797356828194</v>
      </c>
      <c r="AF781" s="133">
        <v>0.934760448521916</v>
      </c>
      <c r="AG781" s="133">
        <v>0.998940116587175</v>
      </c>
      <c r="AH781" s="133">
        <v>0.990387459331559</v>
      </c>
      <c r="AI781" s="135">
        <v>0.92</v>
      </c>
      <c r="AJ781" s="133">
        <v>0.938393140679581</v>
      </c>
      <c r="AK781" s="133">
        <v>0.952496727136712</v>
      </c>
      <c r="AL781" s="133">
        <v>0.94301110385369</v>
      </c>
      <c r="AM781" s="133">
        <v>0.950414632395175</v>
      </c>
      <c r="AN781" s="132">
        <v>0.99</v>
      </c>
      <c r="AO781" s="137">
        <v>1</v>
      </c>
      <c r="AP781" s="137">
        <v>1</v>
      </c>
      <c r="AQ781" s="137">
        <v>1</v>
      </c>
      <c r="AR781" s="137">
        <v>1</v>
      </c>
      <c r="AS781" s="158">
        <v>0.0810595228934205</v>
      </c>
      <c r="AT781" s="141">
        <v>0.0476190476190476</v>
      </c>
      <c r="AU781" s="141">
        <v>0.032258064516129</v>
      </c>
      <c r="AV781" s="141">
        <v>0.0416666666666667</v>
      </c>
      <c r="AW781" s="141">
        <v>0.0466417910447761</v>
      </c>
      <c r="AX781" s="95"/>
      <c r="AY781" s="93"/>
    </row>
    <row r="782" ht="14.5" spans="1:51">
      <c r="A782" s="91"/>
      <c r="B782" s="95"/>
      <c r="C782" s="152" t="s">
        <v>668</v>
      </c>
      <c r="D782" s="153" t="s">
        <v>25</v>
      </c>
      <c r="E782" s="130" t="s">
        <v>669</v>
      </c>
      <c r="F782" s="179" t="s">
        <v>809</v>
      </c>
      <c r="G782" s="179" t="s">
        <v>809</v>
      </c>
      <c r="H782" s="179" t="s">
        <v>809</v>
      </c>
      <c r="I782" s="179" t="s">
        <v>809</v>
      </c>
      <c r="J782" s="132">
        <v>0.9</v>
      </c>
      <c r="K782" s="133">
        <v>0.916666666666667</v>
      </c>
      <c r="L782" s="133">
        <v>0.9</v>
      </c>
      <c r="M782" s="134">
        <v>0.821428571428571</v>
      </c>
      <c r="N782" s="133">
        <v>0.861423220973783</v>
      </c>
      <c r="O782" s="135">
        <v>0.9</v>
      </c>
      <c r="P782" s="133">
        <v>0.95114006514658</v>
      </c>
      <c r="Q782" s="133">
        <v>0.920176494183714</v>
      </c>
      <c r="R782" s="133">
        <v>0.948469585432003</v>
      </c>
      <c r="S782" s="133">
        <v>0.951039449250419</v>
      </c>
      <c r="T782" s="135">
        <v>0.9</v>
      </c>
      <c r="U782" s="133">
        <v>0.912866449511401</v>
      </c>
      <c r="V782" s="133">
        <v>0.895707982350582</v>
      </c>
      <c r="W782" s="133">
        <v>0.891514916698954</v>
      </c>
      <c r="X782" s="133">
        <v>0.926332714343947</v>
      </c>
      <c r="Y782" s="135">
        <v>0.92</v>
      </c>
      <c r="Z782" s="135">
        <v>0.85025817555938</v>
      </c>
      <c r="AA782" s="135">
        <v>0.932203389830508</v>
      </c>
      <c r="AB782" s="135">
        <v>0.900510204081633</v>
      </c>
      <c r="AC782" s="135">
        <v>0.921188214458219</v>
      </c>
      <c r="AD782" s="135">
        <v>0.92</v>
      </c>
      <c r="AE782" s="133">
        <v>0.991400769404843</v>
      </c>
      <c r="AF782" s="133">
        <v>0.994984326018809</v>
      </c>
      <c r="AG782" s="133">
        <v>0.992364170337739</v>
      </c>
      <c r="AH782" s="133">
        <v>0.993313016978668</v>
      </c>
      <c r="AI782" s="135">
        <v>0.92</v>
      </c>
      <c r="AJ782" s="133">
        <v>0.914411927112093</v>
      </c>
      <c r="AK782" s="133">
        <v>0.954131534569983</v>
      </c>
      <c r="AL782" s="133">
        <v>0.911249628970021</v>
      </c>
      <c r="AM782" s="133">
        <v>0.949904748465392</v>
      </c>
      <c r="AN782" s="132">
        <v>0.99</v>
      </c>
      <c r="AO782" s="137">
        <v>1</v>
      </c>
      <c r="AP782" s="137">
        <v>1</v>
      </c>
      <c r="AQ782" s="137">
        <v>1</v>
      </c>
      <c r="AR782" s="137">
        <v>1</v>
      </c>
      <c r="AS782" s="158">
        <v>0.0810595228934205</v>
      </c>
      <c r="AT782" s="141">
        <v>0.222222222222222</v>
      </c>
      <c r="AU782" s="141">
        <v>0</v>
      </c>
      <c r="AV782" s="141">
        <v>0</v>
      </c>
      <c r="AW782" s="141">
        <v>0.0431372549019608</v>
      </c>
      <c r="AX782" s="95"/>
      <c r="AY782" s="93"/>
    </row>
    <row r="783" ht="14.5" spans="1:51">
      <c r="A783" s="91"/>
      <c r="B783" s="95"/>
      <c r="C783" s="152" t="s">
        <v>668</v>
      </c>
      <c r="D783" s="153" t="s">
        <v>25</v>
      </c>
      <c r="E783" s="130" t="s">
        <v>669</v>
      </c>
      <c r="F783" s="179" t="s">
        <v>810</v>
      </c>
      <c r="G783" s="179" t="s">
        <v>810</v>
      </c>
      <c r="H783" s="179" t="s">
        <v>810</v>
      </c>
      <c r="I783" s="179" t="s">
        <v>810</v>
      </c>
      <c r="J783" s="132">
        <v>0.9</v>
      </c>
      <c r="K783" s="133">
        <v>0.882352941176471</v>
      </c>
      <c r="L783" s="133">
        <v>0.958333333333333</v>
      </c>
      <c r="M783" s="134">
        <v>0.708333333333333</v>
      </c>
      <c r="N783" s="133">
        <v>0.79</v>
      </c>
      <c r="O783" s="135">
        <v>0.9</v>
      </c>
      <c r="P783" s="133">
        <v>0.89589905362776</v>
      </c>
      <c r="Q783" s="133">
        <v>0.911261027503892</v>
      </c>
      <c r="R783" s="133">
        <v>0.904566444330426</v>
      </c>
      <c r="S783" s="133">
        <v>0.91288090681584</v>
      </c>
      <c r="T783" s="135">
        <v>0.9</v>
      </c>
      <c r="U783" s="133">
        <v>0.920084121976867</v>
      </c>
      <c r="V783" s="133">
        <v>0.938764919564089</v>
      </c>
      <c r="W783" s="133">
        <v>0.931759876859928</v>
      </c>
      <c r="X783" s="133">
        <v>0.926218165758869</v>
      </c>
      <c r="Y783" s="135">
        <v>0.92</v>
      </c>
      <c r="Z783" s="135">
        <v>0.925659472422062</v>
      </c>
      <c r="AA783" s="135">
        <v>0.930722891566265</v>
      </c>
      <c r="AB783" s="135">
        <v>0.939965694682676</v>
      </c>
      <c r="AC783" s="135">
        <v>0.94437099562697</v>
      </c>
      <c r="AD783" s="135">
        <v>0.92</v>
      </c>
      <c r="AE783" s="133">
        <v>0.993095044679123</v>
      </c>
      <c r="AF783" s="133">
        <v>0.996007984031936</v>
      </c>
      <c r="AG783" s="133">
        <v>0.998931623931624</v>
      </c>
      <c r="AH783" s="133">
        <v>0.977007439712673</v>
      </c>
      <c r="AI783" s="135">
        <v>0.92</v>
      </c>
      <c r="AJ783" s="133">
        <v>0.959795321637427</v>
      </c>
      <c r="AK783" s="133">
        <v>0.972148541114058</v>
      </c>
      <c r="AL783" s="133">
        <v>0.955029585798817</v>
      </c>
      <c r="AM783" s="133">
        <v>0.968248175182482</v>
      </c>
      <c r="AN783" s="132">
        <v>0.99</v>
      </c>
      <c r="AO783" s="137">
        <v>1</v>
      </c>
      <c r="AP783" s="137">
        <v>1</v>
      </c>
      <c r="AQ783" s="137">
        <v>1</v>
      </c>
      <c r="AR783" s="137">
        <v>1</v>
      </c>
      <c r="AS783" s="158">
        <v>0.0810595228934205</v>
      </c>
      <c r="AT783" s="141">
        <v>0.2</v>
      </c>
      <c r="AU783" s="141">
        <v>0</v>
      </c>
      <c r="AV783" s="141">
        <v>0</v>
      </c>
      <c r="AW783" s="141">
        <v>0.0945945945945946</v>
      </c>
      <c r="AX783" s="95"/>
      <c r="AY783" s="93"/>
    </row>
    <row r="784" ht="14.5" spans="1:51">
      <c r="A784" s="91"/>
      <c r="B784" s="95"/>
      <c r="C784" s="152" t="s">
        <v>668</v>
      </c>
      <c r="D784" s="153" t="s">
        <v>25</v>
      </c>
      <c r="E784" s="130" t="s">
        <v>669</v>
      </c>
      <c r="F784" s="179" t="s">
        <v>811</v>
      </c>
      <c r="G784" s="179" t="s">
        <v>811</v>
      </c>
      <c r="H784" s="179" t="s">
        <v>811</v>
      </c>
      <c r="I784" s="179" t="s">
        <v>811</v>
      </c>
      <c r="J784" s="132">
        <v>0.9</v>
      </c>
      <c r="K784" s="133">
        <v>0.878787878787879</v>
      </c>
      <c r="L784" s="133">
        <v>0.813953488372093</v>
      </c>
      <c r="M784" s="134">
        <v>0.743589743589744</v>
      </c>
      <c r="N784" s="133">
        <v>0.852785145888594</v>
      </c>
      <c r="O784" s="135">
        <v>0.9</v>
      </c>
      <c r="P784" s="133">
        <v>0.950242718446602</v>
      </c>
      <c r="Q784" s="133">
        <v>0.951765447667087</v>
      </c>
      <c r="R784" s="133">
        <v>0.914540059347181</v>
      </c>
      <c r="S784" s="133">
        <v>0.939480397422127</v>
      </c>
      <c r="T784" s="135">
        <v>0.9</v>
      </c>
      <c r="U784" s="133">
        <v>0.91747572815534</v>
      </c>
      <c r="V784" s="133">
        <v>0.942622950819672</v>
      </c>
      <c r="W784" s="133">
        <v>0.914836795252225</v>
      </c>
      <c r="X784" s="133">
        <v>0.921640037593985</v>
      </c>
      <c r="Y784" s="135">
        <v>0.92</v>
      </c>
      <c r="Z784" s="135">
        <v>0.903775883069428</v>
      </c>
      <c r="AA784" s="135">
        <v>0.935587761674718</v>
      </c>
      <c r="AB784" s="135">
        <v>0.917857142857143</v>
      </c>
      <c r="AC784" s="135">
        <v>0.927848533090744</v>
      </c>
      <c r="AD784" s="135">
        <v>0.92</v>
      </c>
      <c r="AE784" s="133">
        <v>1</v>
      </c>
      <c r="AF784" s="133">
        <v>1</v>
      </c>
      <c r="AG784" s="133">
        <v>0.998663101604278</v>
      </c>
      <c r="AH784" s="133">
        <v>0.99859921340445</v>
      </c>
      <c r="AI784" s="135">
        <v>0.92</v>
      </c>
      <c r="AJ784" s="133">
        <v>0.939676113360324</v>
      </c>
      <c r="AK784" s="133">
        <v>0.968898260411176</v>
      </c>
      <c r="AL784" s="133">
        <v>0.954171301446051</v>
      </c>
      <c r="AM784" s="133">
        <v>0.962768712768713</v>
      </c>
      <c r="AN784" s="132">
        <v>0.99</v>
      </c>
      <c r="AO784" s="137">
        <v>1</v>
      </c>
      <c r="AP784" s="137">
        <v>1</v>
      </c>
      <c r="AQ784" s="137">
        <v>1</v>
      </c>
      <c r="AR784" s="137">
        <v>1</v>
      </c>
      <c r="AS784" s="158">
        <v>0.0810595228934205</v>
      </c>
      <c r="AT784" s="141">
        <v>0.125</v>
      </c>
      <c r="AU784" s="141">
        <v>0.0666666666666667</v>
      </c>
      <c r="AV784" s="141">
        <v>0</v>
      </c>
      <c r="AW784" s="141">
        <v>0.0376712328767123</v>
      </c>
      <c r="AX784" s="95"/>
      <c r="AY784" s="93"/>
    </row>
    <row r="785" ht="14.5" spans="1:51">
      <c r="A785" s="91"/>
      <c r="B785" s="95"/>
      <c r="C785" s="152" t="s">
        <v>668</v>
      </c>
      <c r="D785" s="153" t="s">
        <v>25</v>
      </c>
      <c r="E785" s="130" t="s">
        <v>669</v>
      </c>
      <c r="F785" s="179" t="s">
        <v>812</v>
      </c>
      <c r="G785" s="179" t="s">
        <v>812</v>
      </c>
      <c r="H785" s="179" t="s">
        <v>812</v>
      </c>
      <c r="I785" s="179" t="s">
        <v>812</v>
      </c>
      <c r="J785" s="132">
        <v>0.9</v>
      </c>
      <c r="K785" s="133">
        <v>0.91304347826087</v>
      </c>
      <c r="L785" s="133">
        <v>0.708333333333333</v>
      </c>
      <c r="M785" s="134">
        <v>0.826086956521739</v>
      </c>
      <c r="N785" s="133">
        <v>0.764705882352941</v>
      </c>
      <c r="O785" s="135">
        <v>0.9</v>
      </c>
      <c r="P785" s="133">
        <v>0.899809160305344</v>
      </c>
      <c r="Q785" s="133">
        <v>0.941679235796883</v>
      </c>
      <c r="R785" s="133">
        <v>0.939775910364146</v>
      </c>
      <c r="S785" s="133">
        <v>0.949652916300965</v>
      </c>
      <c r="T785" s="135">
        <v>0.9</v>
      </c>
      <c r="U785" s="133">
        <v>0.886450381679389</v>
      </c>
      <c r="V785" s="133">
        <v>0.916540975364505</v>
      </c>
      <c r="W785" s="133">
        <v>0.905695611577965</v>
      </c>
      <c r="X785" s="133">
        <v>0.911327428920982</v>
      </c>
      <c r="Y785" s="135">
        <v>0.92</v>
      </c>
      <c r="Z785" s="135">
        <v>0.856832971800434</v>
      </c>
      <c r="AA785" s="135">
        <v>0.902313624678663</v>
      </c>
      <c r="AB785" s="135">
        <v>0.893819334389857</v>
      </c>
      <c r="AC785" s="135">
        <v>0.903411163808829</v>
      </c>
      <c r="AD785" s="135">
        <v>0.92</v>
      </c>
      <c r="AE785" s="133">
        <v>0.997118155619596</v>
      </c>
      <c r="AF785" s="133">
        <v>0.99496475327291</v>
      </c>
      <c r="AG785" s="133">
        <v>0.995374653098982</v>
      </c>
      <c r="AH785" s="133">
        <v>0.98743167046873</v>
      </c>
      <c r="AI785" s="135">
        <v>0.92</v>
      </c>
      <c r="AJ785" s="133">
        <v>0.920529801324503</v>
      </c>
      <c r="AK785" s="133">
        <v>0.951219512195122</v>
      </c>
      <c r="AL785" s="133">
        <v>0.943423423423423</v>
      </c>
      <c r="AM785" s="133">
        <v>0.951178866806567</v>
      </c>
      <c r="AN785" s="132">
        <v>0.99</v>
      </c>
      <c r="AO785" s="137">
        <v>1</v>
      </c>
      <c r="AP785" s="137">
        <v>1</v>
      </c>
      <c r="AQ785" s="137">
        <v>1</v>
      </c>
      <c r="AR785" s="137">
        <v>1</v>
      </c>
      <c r="AS785" s="158">
        <v>0.0810595228934205</v>
      </c>
      <c r="AT785" s="141">
        <v>0</v>
      </c>
      <c r="AU785" s="141">
        <v>0</v>
      </c>
      <c r="AV785" s="141">
        <v>0.0909090909090909</v>
      </c>
      <c r="AW785" s="141">
        <v>0.0368663594470046</v>
      </c>
      <c r="AX785" s="95"/>
      <c r="AY785" s="93"/>
    </row>
    <row r="786" ht="14.5" spans="1:51">
      <c r="A786" s="91"/>
      <c r="B786" s="95"/>
      <c r="C786" s="152" t="s">
        <v>668</v>
      </c>
      <c r="D786" s="153" t="s">
        <v>25</v>
      </c>
      <c r="E786" s="130" t="s">
        <v>669</v>
      </c>
      <c r="F786" s="179" t="s">
        <v>813</v>
      </c>
      <c r="G786" s="179" t="s">
        <v>813</v>
      </c>
      <c r="H786" s="179" t="s">
        <v>813</v>
      </c>
      <c r="I786" s="179" t="s">
        <v>813</v>
      </c>
      <c r="J786" s="132">
        <v>0.9</v>
      </c>
      <c r="K786" s="133">
        <v>0.925925925925926</v>
      </c>
      <c r="L786" s="133">
        <v>0.875</v>
      </c>
      <c r="M786" s="134">
        <v>0.928571428571429</v>
      </c>
      <c r="N786" s="133">
        <v>0.916058394160584</v>
      </c>
      <c r="O786" s="135">
        <v>0.9</v>
      </c>
      <c r="P786" s="133">
        <v>0.94448030987734</v>
      </c>
      <c r="Q786" s="133">
        <v>0.947152958689989</v>
      </c>
      <c r="R786" s="133">
        <v>0.921175684702739</v>
      </c>
      <c r="S786" s="133">
        <v>0.94610130400071</v>
      </c>
      <c r="T786" s="135">
        <v>0.9</v>
      </c>
      <c r="U786" s="133">
        <v>0.916074887023886</v>
      </c>
      <c r="V786" s="133">
        <v>0.926311871976182</v>
      </c>
      <c r="W786" s="133">
        <v>0.887107548430194</v>
      </c>
      <c r="X786" s="133">
        <v>0.924793754989799</v>
      </c>
      <c r="Y786" s="135">
        <v>0.92</v>
      </c>
      <c r="Z786" s="135">
        <v>0.923880597014925</v>
      </c>
      <c r="AA786" s="135">
        <v>0.90715667311412</v>
      </c>
      <c r="AB786" s="135">
        <v>0.937724550898204</v>
      </c>
      <c r="AC786" s="135">
        <v>0.925325338965729</v>
      </c>
      <c r="AD786" s="135">
        <v>0.92</v>
      </c>
      <c r="AE786" s="133">
        <v>0.990765171503958</v>
      </c>
      <c r="AF786" s="133">
        <v>0.987261146496815</v>
      </c>
      <c r="AG786" s="133">
        <v>0.993392070484581</v>
      </c>
      <c r="AH786" s="133">
        <v>0.992885691446843</v>
      </c>
      <c r="AI786" s="135">
        <v>0.92</v>
      </c>
      <c r="AJ786" s="133">
        <v>0.951801801801802</v>
      </c>
      <c r="AK786" s="133">
        <v>0.957553058676654</v>
      </c>
      <c r="AL786" s="133">
        <v>0.958507306889353</v>
      </c>
      <c r="AM786" s="133">
        <v>0.961868338910604</v>
      </c>
      <c r="AN786" s="132">
        <v>0.99</v>
      </c>
      <c r="AO786" s="137">
        <v>1</v>
      </c>
      <c r="AP786" s="137">
        <v>1</v>
      </c>
      <c r="AQ786" s="137">
        <v>1</v>
      </c>
      <c r="AR786" s="137">
        <v>1</v>
      </c>
      <c r="AS786" s="158">
        <v>0.0810595228934205</v>
      </c>
      <c r="AT786" s="141">
        <v>0.166666666666667</v>
      </c>
      <c r="AU786" s="141">
        <v>0</v>
      </c>
      <c r="AV786" s="141">
        <v>0.111111111111111</v>
      </c>
      <c r="AW786" s="141">
        <v>0.0636363636363636</v>
      </c>
      <c r="AX786" s="95"/>
      <c r="AY786" s="93"/>
    </row>
    <row r="787" ht="14.5" spans="1:51">
      <c r="A787" s="91"/>
      <c r="B787" s="95"/>
      <c r="C787" s="152" t="s">
        <v>668</v>
      </c>
      <c r="D787" s="153" t="s">
        <v>25</v>
      </c>
      <c r="E787" s="130" t="s">
        <v>669</v>
      </c>
      <c r="F787" s="179" t="s">
        <v>814</v>
      </c>
      <c r="G787" s="179" t="s">
        <v>814</v>
      </c>
      <c r="H787" s="179" t="s">
        <v>814</v>
      </c>
      <c r="I787" s="179" t="s">
        <v>814</v>
      </c>
      <c r="J787" s="132">
        <v>0.9</v>
      </c>
      <c r="K787" s="133">
        <v>0.821428571428571</v>
      </c>
      <c r="L787" s="133">
        <v>0.862068965517241</v>
      </c>
      <c r="M787" s="134">
        <v>0.8</v>
      </c>
      <c r="N787" s="133">
        <v>0.808550185873606</v>
      </c>
      <c r="O787" s="135">
        <v>0.9</v>
      </c>
      <c r="P787" s="133">
        <v>0.941060903732809</v>
      </c>
      <c r="Q787" s="133">
        <v>0.94283201407212</v>
      </c>
      <c r="R787" s="133">
        <v>0.934272300469484</v>
      </c>
      <c r="S787" s="133">
        <v>0.947279069767442</v>
      </c>
      <c r="T787" s="135">
        <v>0.9</v>
      </c>
      <c r="U787" s="133">
        <v>0.925343811394892</v>
      </c>
      <c r="V787" s="133">
        <v>0.927000879507476</v>
      </c>
      <c r="W787" s="133">
        <v>0.928012519561815</v>
      </c>
      <c r="X787" s="133">
        <v>0.935139534883721</v>
      </c>
      <c r="Y787" s="135">
        <v>0.92</v>
      </c>
      <c r="Z787" s="135">
        <v>0.948770491803279</v>
      </c>
      <c r="AA787" s="135">
        <v>0.947867298578199</v>
      </c>
      <c r="AB787" s="135">
        <v>0.939947780678851</v>
      </c>
      <c r="AC787" s="135">
        <v>0.944054288645151</v>
      </c>
      <c r="AD787" s="135">
        <v>0.92</v>
      </c>
      <c r="AE787" s="133">
        <v>1</v>
      </c>
      <c r="AF787" s="133">
        <v>0.975155279503106</v>
      </c>
      <c r="AG787" s="133">
        <v>0.99203187250996</v>
      </c>
      <c r="AH787" s="133">
        <v>0.991418247515809</v>
      </c>
      <c r="AI787" s="135">
        <v>0.92</v>
      </c>
      <c r="AJ787" s="133">
        <v>0.950232249502323</v>
      </c>
      <c r="AK787" s="133">
        <v>0.958117123795404</v>
      </c>
      <c r="AL787" s="133">
        <v>0.955187969924812</v>
      </c>
      <c r="AM787" s="133">
        <v>0.959652679356309</v>
      </c>
      <c r="AN787" s="132">
        <v>0.99</v>
      </c>
      <c r="AO787" s="137">
        <v>1</v>
      </c>
      <c r="AP787" s="137">
        <v>1</v>
      </c>
      <c r="AQ787" s="137">
        <v>1</v>
      </c>
      <c r="AR787" s="137">
        <v>1</v>
      </c>
      <c r="AS787" s="158">
        <v>0.0810595228934205</v>
      </c>
      <c r="AT787" s="141">
        <v>0.0769230769230769</v>
      </c>
      <c r="AU787" s="141">
        <v>0</v>
      </c>
      <c r="AV787" s="141">
        <v>0.0625</v>
      </c>
      <c r="AW787" s="141">
        <v>0.0505836575875486</v>
      </c>
      <c r="AX787" s="95"/>
      <c r="AY787" s="93"/>
    </row>
    <row r="788" ht="14.5" spans="1:51">
      <c r="A788" s="91"/>
      <c r="B788" s="95"/>
      <c r="C788" s="152" t="s">
        <v>668</v>
      </c>
      <c r="D788" s="153" t="s">
        <v>25</v>
      </c>
      <c r="E788" s="130" t="s">
        <v>669</v>
      </c>
      <c r="F788" s="179" t="s">
        <v>815</v>
      </c>
      <c r="G788" s="179" t="s">
        <v>815</v>
      </c>
      <c r="H788" s="179" t="s">
        <v>815</v>
      </c>
      <c r="I788" s="179" t="s">
        <v>815</v>
      </c>
      <c r="J788" s="132">
        <v>0.9</v>
      </c>
      <c r="K788" s="133">
        <v>0.903225806451613</v>
      </c>
      <c r="L788" s="133">
        <v>0.96875</v>
      </c>
      <c r="M788" s="134">
        <v>0.896551724137931</v>
      </c>
      <c r="N788" s="133">
        <v>0.927911275415896</v>
      </c>
      <c r="O788" s="135">
        <v>0.9</v>
      </c>
      <c r="P788" s="133">
        <v>0.909747292418773</v>
      </c>
      <c r="Q788" s="133">
        <v>0.943687018375815</v>
      </c>
      <c r="R788" s="133">
        <v>0.903781979977753</v>
      </c>
      <c r="S788" s="133">
        <v>0.932036389964429</v>
      </c>
      <c r="T788" s="135">
        <v>0.9</v>
      </c>
      <c r="U788" s="133">
        <v>0.906137184115523</v>
      </c>
      <c r="V788" s="133">
        <v>0.923532898636633</v>
      </c>
      <c r="W788" s="133">
        <v>0.889321468298109</v>
      </c>
      <c r="X788" s="133">
        <v>0.885730475021248</v>
      </c>
      <c r="Y788" s="135">
        <v>0.92</v>
      </c>
      <c r="Z788" s="135">
        <v>0.866096866096866</v>
      </c>
      <c r="AA788" s="135">
        <v>0.953125</v>
      </c>
      <c r="AB788" s="135">
        <v>0.918518518518519</v>
      </c>
      <c r="AC788" s="135">
        <v>0.921404682274248</v>
      </c>
      <c r="AD788" s="135">
        <v>0.92</v>
      </c>
      <c r="AE788" s="133">
        <v>0.993455497382199</v>
      </c>
      <c r="AF788" s="133">
        <v>0.988118811881188</v>
      </c>
      <c r="AG788" s="133">
        <v>0.995475113122172</v>
      </c>
      <c r="AH788" s="133">
        <v>0.994466866293451</v>
      </c>
      <c r="AI788" s="135">
        <v>0.92</v>
      </c>
      <c r="AJ788" s="133">
        <v>0.925549915397631</v>
      </c>
      <c r="AK788" s="133">
        <v>0.965637450199203</v>
      </c>
      <c r="AL788" s="133">
        <v>0.954234388366125</v>
      </c>
      <c r="AM788" s="133">
        <v>0.958432391362957</v>
      </c>
      <c r="AN788" s="132">
        <v>0.99</v>
      </c>
      <c r="AO788" s="137">
        <v>1</v>
      </c>
      <c r="AP788" s="137">
        <v>1</v>
      </c>
      <c r="AQ788" s="137">
        <v>1</v>
      </c>
      <c r="AR788" s="137">
        <v>1</v>
      </c>
      <c r="AS788" s="158">
        <v>0.0810595228934205</v>
      </c>
      <c r="AT788" s="141">
        <v>0</v>
      </c>
      <c r="AU788" s="141">
        <v>0</v>
      </c>
      <c r="AV788" s="141">
        <v>0.142857142857143</v>
      </c>
      <c r="AW788" s="141">
        <v>0.050561797752809</v>
      </c>
      <c r="AX788" s="95"/>
      <c r="AY788" s="93"/>
    </row>
    <row r="789" ht="14.5" spans="1:51">
      <c r="A789" s="91"/>
      <c r="B789" s="95"/>
      <c r="C789" s="152" t="s">
        <v>668</v>
      </c>
      <c r="D789" s="153" t="s">
        <v>25</v>
      </c>
      <c r="E789" s="130" t="s">
        <v>669</v>
      </c>
      <c r="F789" s="179" t="s">
        <v>816</v>
      </c>
      <c r="G789" s="179" t="s">
        <v>816</v>
      </c>
      <c r="H789" s="179" t="s">
        <v>816</v>
      </c>
      <c r="I789" s="179" t="s">
        <v>816</v>
      </c>
      <c r="J789" s="132">
        <v>0.9</v>
      </c>
      <c r="K789" s="133">
        <v>0.925925925925926</v>
      </c>
      <c r="L789" s="133">
        <v>0.806451612903226</v>
      </c>
      <c r="M789" s="134">
        <v>0.9</v>
      </c>
      <c r="N789" s="133">
        <v>0.885714285714286</v>
      </c>
      <c r="O789" s="135">
        <v>0.9</v>
      </c>
      <c r="P789" s="133">
        <v>0.950579929399899</v>
      </c>
      <c r="Q789" s="133">
        <v>0.960672268907563</v>
      </c>
      <c r="R789" s="133">
        <v>0.9666919000757</v>
      </c>
      <c r="S789" s="133">
        <v>0.951743714517437</v>
      </c>
      <c r="T789" s="135">
        <v>0.9</v>
      </c>
      <c r="U789" s="133">
        <v>0.938477054967221</v>
      </c>
      <c r="V789" s="133">
        <v>0.950252100840336</v>
      </c>
      <c r="W789" s="133">
        <v>0.926570779712339</v>
      </c>
      <c r="X789" s="133">
        <v>0.940149671901497</v>
      </c>
      <c r="Y789" s="135">
        <v>0.92</v>
      </c>
      <c r="Z789" s="135">
        <v>0.925547445255474</v>
      </c>
      <c r="AA789" s="135">
        <v>0.939759036144578</v>
      </c>
      <c r="AB789" s="135">
        <v>0.887077997671711</v>
      </c>
      <c r="AC789" s="135">
        <v>0.935862311204777</v>
      </c>
      <c r="AD789" s="135">
        <v>0.92</v>
      </c>
      <c r="AE789" s="133">
        <v>0.99375</v>
      </c>
      <c r="AF789" s="133">
        <v>0.989150090415913</v>
      </c>
      <c r="AG789" s="133">
        <v>0.994878361075544</v>
      </c>
      <c r="AH789" s="133">
        <v>0.995430856000571</v>
      </c>
      <c r="AI789" s="135">
        <v>0.92</v>
      </c>
      <c r="AJ789" s="133">
        <v>0.962935230250842</v>
      </c>
      <c r="AK789" s="133">
        <v>0.976704055220017</v>
      </c>
      <c r="AL789" s="133">
        <v>0.948372382334646</v>
      </c>
      <c r="AM789" s="133">
        <v>0.971732531667737</v>
      </c>
      <c r="AN789" s="132">
        <v>0.99</v>
      </c>
      <c r="AO789" s="137">
        <v>1</v>
      </c>
      <c r="AP789" s="137">
        <v>1</v>
      </c>
      <c r="AQ789" s="137">
        <v>1</v>
      </c>
      <c r="AR789" s="137">
        <v>1</v>
      </c>
      <c r="AS789" s="158">
        <v>0.0810595228934205</v>
      </c>
      <c r="AT789" s="141">
        <v>0</v>
      </c>
      <c r="AU789" s="141">
        <v>0</v>
      </c>
      <c r="AV789" s="141">
        <v>0</v>
      </c>
      <c r="AW789" s="141">
        <v>0.0213523131672598</v>
      </c>
      <c r="AX789" s="95"/>
      <c r="AY789" s="93"/>
    </row>
    <row r="790" ht="14.5" spans="1:51">
      <c r="A790" s="91"/>
      <c r="B790" s="95"/>
      <c r="C790" s="152" t="s">
        <v>668</v>
      </c>
      <c r="D790" s="153" t="s">
        <v>25</v>
      </c>
      <c r="E790" s="130" t="s">
        <v>669</v>
      </c>
      <c r="F790" s="179" t="s">
        <v>817</v>
      </c>
      <c r="G790" s="179" t="s">
        <v>817</v>
      </c>
      <c r="H790" s="179" t="s">
        <v>817</v>
      </c>
      <c r="I790" s="179" t="s">
        <v>817</v>
      </c>
      <c r="J790" s="132">
        <v>0.9</v>
      </c>
      <c r="K790" s="133">
        <v>0.884615384615385</v>
      </c>
      <c r="L790" s="133">
        <v>0.67741935483871</v>
      </c>
      <c r="M790" s="134">
        <v>0.692307692307692</v>
      </c>
      <c r="N790" s="133">
        <v>0.733449477351916</v>
      </c>
      <c r="O790" s="135">
        <v>0.9</v>
      </c>
      <c r="P790" s="133">
        <v>0.942546583850932</v>
      </c>
      <c r="Q790" s="133">
        <v>0.951283004834511</v>
      </c>
      <c r="R790" s="133">
        <v>0.946478873239437</v>
      </c>
      <c r="S790" s="133">
        <v>0.938664885990926</v>
      </c>
      <c r="T790" s="135">
        <v>0.9</v>
      </c>
      <c r="U790" s="133">
        <v>0.891304347826087</v>
      </c>
      <c r="V790" s="133">
        <v>0.909259947936036</v>
      </c>
      <c r="W790" s="133">
        <v>0.847887323943662</v>
      </c>
      <c r="X790" s="133">
        <v>0.898030127462341</v>
      </c>
      <c r="Y790" s="135">
        <v>0.92</v>
      </c>
      <c r="Z790" s="135">
        <v>0.923339011925043</v>
      </c>
      <c r="AA790" s="135">
        <v>0.918811881188119</v>
      </c>
      <c r="AB790" s="135">
        <v>0.867370892018779</v>
      </c>
      <c r="AC790" s="135">
        <v>0.909103151090762</v>
      </c>
      <c r="AD790" s="135">
        <v>0.92</v>
      </c>
      <c r="AE790" s="133">
        <v>0.993548387096774</v>
      </c>
      <c r="AF790" s="133">
        <v>0.993726474278545</v>
      </c>
      <c r="AG790" s="133">
        <v>0.983623336745138</v>
      </c>
      <c r="AH790" s="133">
        <v>0.980469644902635</v>
      </c>
      <c r="AI790" s="135">
        <v>0.92</v>
      </c>
      <c r="AJ790" s="133">
        <v>0.932266666666667</v>
      </c>
      <c r="AK790" s="133">
        <v>0.960250391236307</v>
      </c>
      <c r="AL790" s="133">
        <v>0.91738894907909</v>
      </c>
      <c r="AM790" s="133">
        <v>0.949501550057747</v>
      </c>
      <c r="AN790" s="132">
        <v>0.99</v>
      </c>
      <c r="AO790" s="137">
        <v>1</v>
      </c>
      <c r="AP790" s="137">
        <v>1</v>
      </c>
      <c r="AQ790" s="137">
        <v>1</v>
      </c>
      <c r="AR790" s="137">
        <v>1</v>
      </c>
      <c r="AS790" s="158">
        <v>0.0810595228934205</v>
      </c>
      <c r="AT790" s="141">
        <v>0.0588235294117647</v>
      </c>
      <c r="AU790" s="141">
        <v>0.111111111111111</v>
      </c>
      <c r="AV790" s="141">
        <v>0.117647058823529</v>
      </c>
      <c r="AW790" s="141">
        <v>0.0441176470588235</v>
      </c>
      <c r="AX790" s="95"/>
      <c r="AY790" s="93"/>
    </row>
    <row r="791" ht="14.5" spans="1:51">
      <c r="A791" s="91"/>
      <c r="B791" s="95"/>
      <c r="C791" s="152" t="s">
        <v>668</v>
      </c>
      <c r="D791" s="153" t="s">
        <v>25</v>
      </c>
      <c r="E791" s="130" t="s">
        <v>669</v>
      </c>
      <c r="F791" s="179" t="s">
        <v>818</v>
      </c>
      <c r="G791" s="179" t="s">
        <v>818</v>
      </c>
      <c r="H791" s="179" t="s">
        <v>818</v>
      </c>
      <c r="I791" s="179" t="s">
        <v>818</v>
      </c>
      <c r="J791" s="132">
        <v>0.9</v>
      </c>
      <c r="K791" s="133">
        <v>0.736842105263158</v>
      </c>
      <c r="L791" s="133">
        <v>0.65</v>
      </c>
      <c r="M791" s="134">
        <v>0.75</v>
      </c>
      <c r="N791" s="133">
        <v>0.72554347826087</v>
      </c>
      <c r="O791" s="135">
        <v>0.9</v>
      </c>
      <c r="P791" s="133">
        <v>0.926327193932828</v>
      </c>
      <c r="Q791" s="133">
        <v>0.924840085287846</v>
      </c>
      <c r="R791" s="133">
        <v>0.9315</v>
      </c>
      <c r="S791" s="133">
        <v>0.937158771300943</v>
      </c>
      <c r="T791" s="135">
        <v>0.9</v>
      </c>
      <c r="U791" s="133">
        <v>0.925243770314193</v>
      </c>
      <c r="V791" s="133">
        <v>0.936567164179104</v>
      </c>
      <c r="W791" s="133">
        <v>0.934</v>
      </c>
      <c r="X791" s="133">
        <v>0.930678872773397</v>
      </c>
      <c r="Y791" s="135">
        <v>0.92</v>
      </c>
      <c r="Z791" s="135">
        <v>0.918279569892473</v>
      </c>
      <c r="AA791" s="135">
        <v>0.931547619047619</v>
      </c>
      <c r="AB791" s="135">
        <v>0.938566552901024</v>
      </c>
      <c r="AC791" s="135">
        <v>0.93202718912435</v>
      </c>
      <c r="AD791" s="135">
        <v>0.92</v>
      </c>
      <c r="AE791" s="133">
        <v>0.996883348174533</v>
      </c>
      <c r="AF791" s="133">
        <v>0.988950276243094</v>
      </c>
      <c r="AG791" s="133">
        <v>0.998508575689784</v>
      </c>
      <c r="AH791" s="133">
        <v>0.997857204079883</v>
      </c>
      <c r="AI791" s="135">
        <v>0.92</v>
      </c>
      <c r="AJ791" s="133">
        <v>0.946043165467626</v>
      </c>
      <c r="AK791" s="133">
        <v>0.974683544303797</v>
      </c>
      <c r="AL791" s="133">
        <v>0.967904098994586</v>
      </c>
      <c r="AM791" s="133">
        <v>0.96644411313498</v>
      </c>
      <c r="AN791" s="132">
        <v>0.99</v>
      </c>
      <c r="AO791" s="137">
        <v>1</v>
      </c>
      <c r="AP791" s="137">
        <v>1</v>
      </c>
      <c r="AQ791" s="137">
        <v>1</v>
      </c>
      <c r="AR791" s="137">
        <v>1</v>
      </c>
      <c r="AS791" s="158">
        <v>0.0810595228934205</v>
      </c>
      <c r="AT791" s="141">
        <v>0</v>
      </c>
      <c r="AU791" s="141">
        <v>0.166666666666667</v>
      </c>
      <c r="AV791" s="141">
        <v>0.111111111111111</v>
      </c>
      <c r="AW791" s="141">
        <v>0.0258620689655172</v>
      </c>
      <c r="AX791" s="95"/>
      <c r="AY791" s="93"/>
    </row>
    <row r="792" ht="14.5" spans="1:51">
      <c r="A792" s="91"/>
      <c r="B792" s="95"/>
      <c r="C792" s="152" t="s">
        <v>668</v>
      </c>
      <c r="D792" s="153" t="s">
        <v>25</v>
      </c>
      <c r="E792" s="130" t="s">
        <v>669</v>
      </c>
      <c r="F792" s="179" t="s">
        <v>819</v>
      </c>
      <c r="G792" s="179" t="s">
        <v>819</v>
      </c>
      <c r="H792" s="179" t="s">
        <v>819</v>
      </c>
      <c r="I792" s="179" t="s">
        <v>819</v>
      </c>
      <c r="J792" s="132">
        <v>0.9</v>
      </c>
      <c r="K792" s="133">
        <v>0.944444444444444</v>
      </c>
      <c r="L792" s="133">
        <v>0.8</v>
      </c>
      <c r="M792" s="134">
        <v>0.947368421052632</v>
      </c>
      <c r="N792" s="133">
        <v>0.875</v>
      </c>
      <c r="O792" s="135">
        <v>0.9</v>
      </c>
      <c r="P792" s="133">
        <v>0.955275229357798</v>
      </c>
      <c r="Q792" s="133">
        <v>0.924079320113314</v>
      </c>
      <c r="R792" s="133">
        <v>0.915178571428571</v>
      </c>
      <c r="S792" s="133">
        <v>0.94737855973288</v>
      </c>
      <c r="T792" s="135">
        <v>0.9</v>
      </c>
      <c r="U792" s="133">
        <v>0.934633027522936</v>
      </c>
      <c r="V792" s="133">
        <v>0.942776203966006</v>
      </c>
      <c r="W792" s="133">
        <v>0.938058035714286</v>
      </c>
      <c r="X792" s="133">
        <v>0.940315279160112</v>
      </c>
      <c r="Y792" s="135">
        <v>0.92</v>
      </c>
      <c r="Z792" s="135">
        <v>0.903940886699507</v>
      </c>
      <c r="AA792" s="135">
        <v>0.904624277456647</v>
      </c>
      <c r="AB792" s="135">
        <v>0.903460837887067</v>
      </c>
      <c r="AC792" s="135">
        <v>0.906828265339249</v>
      </c>
      <c r="AD792" s="135">
        <v>0.92</v>
      </c>
      <c r="AE792" s="133">
        <v>1</v>
      </c>
      <c r="AF792" s="133">
        <v>0.997942386831276</v>
      </c>
      <c r="AG792" s="133">
        <v>0.990888382687927</v>
      </c>
      <c r="AH792" s="133">
        <v>0.996680080482897</v>
      </c>
      <c r="AI792" s="135">
        <v>0.92</v>
      </c>
      <c r="AJ792" s="133">
        <v>0.94453125</v>
      </c>
      <c r="AK792" s="133">
        <v>0.96257697773567</v>
      </c>
      <c r="AL792" s="133">
        <v>0.952157197778727</v>
      </c>
      <c r="AM792" s="133">
        <v>0.956067618741183</v>
      </c>
      <c r="AN792" s="132">
        <v>0.99</v>
      </c>
      <c r="AO792" s="137">
        <v>1</v>
      </c>
      <c r="AP792" s="137">
        <v>1</v>
      </c>
      <c r="AQ792" s="137">
        <v>1</v>
      </c>
      <c r="AR792" s="137">
        <v>1</v>
      </c>
      <c r="AS792" s="158">
        <v>0.0810595228934205</v>
      </c>
      <c r="AT792" s="141">
        <v>0</v>
      </c>
      <c r="AU792" s="141">
        <v>0</v>
      </c>
      <c r="AV792" s="141">
        <v>0.0833333333333333</v>
      </c>
      <c r="AW792" s="141">
        <v>0.029940119760479</v>
      </c>
      <c r="AX792" s="95"/>
      <c r="AY792" s="93"/>
    </row>
    <row r="793" ht="14.5" spans="1:51">
      <c r="A793" s="91"/>
      <c r="B793" s="95"/>
      <c r="C793" s="152" t="s">
        <v>668</v>
      </c>
      <c r="D793" s="153" t="s">
        <v>25</v>
      </c>
      <c r="E793" s="130" t="s">
        <v>669</v>
      </c>
      <c r="F793" s="179" t="s">
        <v>820</v>
      </c>
      <c r="G793" s="179" t="s">
        <v>820</v>
      </c>
      <c r="H793" s="179" t="s">
        <v>820</v>
      </c>
      <c r="I793" s="179" t="s">
        <v>820</v>
      </c>
      <c r="J793" s="132">
        <v>0.9</v>
      </c>
      <c r="K793" s="133">
        <v>0.833333333333333</v>
      </c>
      <c r="L793" s="133">
        <v>0.909090909090909</v>
      </c>
      <c r="M793" s="134">
        <v>0.863636363636364</v>
      </c>
      <c r="N793" s="133">
        <v>0.904411764705882</v>
      </c>
      <c r="O793" s="135">
        <v>0.9</v>
      </c>
      <c r="P793" s="133">
        <v>0.946188340807175</v>
      </c>
      <c r="Q793" s="133">
        <v>0.948928121059269</v>
      </c>
      <c r="R793" s="133">
        <v>0.910798122065728</v>
      </c>
      <c r="S793" s="133">
        <v>0.935469668857511</v>
      </c>
      <c r="T793" s="135">
        <v>0.9</v>
      </c>
      <c r="U793" s="133">
        <v>0.912556053811659</v>
      </c>
      <c r="V793" s="133">
        <v>0.921185372005044</v>
      </c>
      <c r="W793" s="133">
        <v>0.886737089201878</v>
      </c>
      <c r="X793" s="133">
        <v>0.920060379257209</v>
      </c>
      <c r="Y793" s="135">
        <v>0.92</v>
      </c>
      <c r="Z793" s="135">
        <v>0.885786802030457</v>
      </c>
      <c r="AA793" s="135">
        <v>0.923780487804878</v>
      </c>
      <c r="AB793" s="135">
        <v>0.92814371257485</v>
      </c>
      <c r="AC793" s="135">
        <v>0.916387598574052</v>
      </c>
      <c r="AD793" s="135">
        <v>0.92</v>
      </c>
      <c r="AE793" s="133">
        <v>0.998425196850394</v>
      </c>
      <c r="AF793" s="133">
        <v>0.996527777777778</v>
      </c>
      <c r="AG793" s="133">
        <v>0.995934959349594</v>
      </c>
      <c r="AH793" s="133">
        <v>0.994060612213818</v>
      </c>
      <c r="AI793" s="135">
        <v>0.92</v>
      </c>
      <c r="AJ793" s="133">
        <v>0.926127527216174</v>
      </c>
      <c r="AK793" s="133">
        <v>0.941022964509395</v>
      </c>
      <c r="AL793" s="133">
        <v>0.932518115942029</v>
      </c>
      <c r="AM793" s="133">
        <v>0.946729585755637</v>
      </c>
      <c r="AN793" s="132">
        <v>0.99</v>
      </c>
      <c r="AO793" s="137">
        <v>1</v>
      </c>
      <c r="AP793" s="137">
        <v>1</v>
      </c>
      <c r="AQ793" s="137">
        <v>1</v>
      </c>
      <c r="AR793" s="137">
        <v>1</v>
      </c>
      <c r="AS793" s="158">
        <v>0.0810595228934205</v>
      </c>
      <c r="AT793" s="141">
        <v>0.05</v>
      </c>
      <c r="AU793" s="141">
        <v>0</v>
      </c>
      <c r="AV793" s="141">
        <v>0</v>
      </c>
      <c r="AW793" s="141">
        <v>0.0284090909090909</v>
      </c>
      <c r="AX793" s="95"/>
      <c r="AY793" s="93"/>
    </row>
    <row r="794" ht="14.5" spans="1:51">
      <c r="A794" s="91"/>
      <c r="B794" s="95"/>
      <c r="C794" s="152" t="s">
        <v>668</v>
      </c>
      <c r="D794" s="153" t="s">
        <v>25</v>
      </c>
      <c r="E794" s="130" t="s">
        <v>669</v>
      </c>
      <c r="F794" s="179" t="s">
        <v>821</v>
      </c>
      <c r="G794" s="179" t="s">
        <v>821</v>
      </c>
      <c r="H794" s="179" t="s">
        <v>821</v>
      </c>
      <c r="I794" s="179" t="s">
        <v>821</v>
      </c>
      <c r="J794" s="132">
        <v>0.9</v>
      </c>
      <c r="K794" s="133">
        <v>0.863636363636364</v>
      </c>
      <c r="L794" s="133">
        <v>0.896551724137931</v>
      </c>
      <c r="M794" s="134">
        <v>0.758620689655172</v>
      </c>
      <c r="N794" s="133">
        <v>0.809160305343511</v>
      </c>
      <c r="O794" s="135">
        <v>0.9</v>
      </c>
      <c r="P794" s="133">
        <v>0.903697334479794</v>
      </c>
      <c r="Q794" s="133">
        <v>0.94401101422671</v>
      </c>
      <c r="R794" s="133">
        <v>0.950432730133753</v>
      </c>
      <c r="S794" s="133">
        <v>0.951695486189086</v>
      </c>
      <c r="T794" s="135">
        <v>0.9</v>
      </c>
      <c r="U794" s="133">
        <v>0.896818572656922</v>
      </c>
      <c r="V794" s="133">
        <v>0.918770078017439</v>
      </c>
      <c r="W794" s="133">
        <v>0.928009441384736</v>
      </c>
      <c r="X794" s="133">
        <v>0.919829328542556</v>
      </c>
      <c r="Y794" s="135">
        <v>0.92</v>
      </c>
      <c r="Z794" s="135">
        <v>0.913120567375887</v>
      </c>
      <c r="AA794" s="135">
        <v>0.902597402597403</v>
      </c>
      <c r="AB794" s="135">
        <v>0.888275862068965</v>
      </c>
      <c r="AC794" s="135">
        <v>0.902173913043478</v>
      </c>
      <c r="AD794" s="135">
        <v>0.92</v>
      </c>
      <c r="AE794" s="133">
        <v>0.991228070175439</v>
      </c>
      <c r="AF794" s="133">
        <v>0.993311036789298</v>
      </c>
      <c r="AG794" s="133">
        <v>0.992217898832685</v>
      </c>
      <c r="AH794" s="133">
        <v>0.994499449944995</v>
      </c>
      <c r="AI794" s="135">
        <v>0.92</v>
      </c>
      <c r="AJ794" s="133">
        <v>0.938114517061886</v>
      </c>
      <c r="AK794" s="133">
        <v>0.961014383043149</v>
      </c>
      <c r="AL794" s="133">
        <v>0.957479351483634</v>
      </c>
      <c r="AM794" s="133">
        <v>0.959580006942034</v>
      </c>
      <c r="AN794" s="132">
        <v>0.99</v>
      </c>
      <c r="AO794" s="137">
        <v>1</v>
      </c>
      <c r="AP794" s="137">
        <v>1</v>
      </c>
      <c r="AQ794" s="137">
        <v>1</v>
      </c>
      <c r="AR794" s="137">
        <v>1</v>
      </c>
      <c r="AS794" s="158">
        <v>0.0810595228934205</v>
      </c>
      <c r="AT794" s="141">
        <v>0.125</v>
      </c>
      <c r="AU794" s="141">
        <v>0</v>
      </c>
      <c r="AV794" s="141">
        <v>0.1</v>
      </c>
      <c r="AW794" s="141">
        <v>0.08</v>
      </c>
      <c r="AX794" s="95"/>
      <c r="AY794" s="93"/>
    </row>
    <row r="795" ht="14.5" spans="1:51">
      <c r="A795" s="91"/>
      <c r="B795" s="95"/>
      <c r="C795" s="152" t="s">
        <v>668</v>
      </c>
      <c r="D795" s="153" t="s">
        <v>25</v>
      </c>
      <c r="E795" s="130" t="s">
        <v>669</v>
      </c>
      <c r="F795" s="179" t="s">
        <v>822</v>
      </c>
      <c r="G795" s="179" t="s">
        <v>822</v>
      </c>
      <c r="H795" s="179" t="s">
        <v>822</v>
      </c>
      <c r="I795" s="179" t="s">
        <v>822</v>
      </c>
      <c r="J795" s="132">
        <v>0.9</v>
      </c>
      <c r="K795" s="133">
        <v>0.888888888888889</v>
      </c>
      <c r="L795" s="133">
        <v>0.91304347826087</v>
      </c>
      <c r="M795" s="134">
        <v>0.909090909090909</v>
      </c>
      <c r="N795" s="133">
        <v>0.881612090680101</v>
      </c>
      <c r="O795" s="135">
        <v>0.9</v>
      </c>
      <c r="P795" s="133">
        <v>0.922110552763819</v>
      </c>
      <c r="Q795" s="133">
        <v>0.932386363636364</v>
      </c>
      <c r="R795" s="133">
        <v>0.809373354397051</v>
      </c>
      <c r="S795" s="133">
        <v>0.916437757522787</v>
      </c>
      <c r="T795" s="135">
        <v>0.9</v>
      </c>
      <c r="U795" s="133">
        <v>0.912060301507538</v>
      </c>
      <c r="V795" s="133">
        <v>0.931818181818182</v>
      </c>
      <c r="W795" s="133">
        <v>0.801474460242233</v>
      </c>
      <c r="X795" s="133">
        <v>0.908415532525908</v>
      </c>
      <c r="Y795" s="135">
        <v>0.92</v>
      </c>
      <c r="Z795" s="135">
        <v>0.847619047619048</v>
      </c>
      <c r="AA795" s="135">
        <v>0.894578313253012</v>
      </c>
      <c r="AB795" s="135">
        <v>0.915936952714536</v>
      </c>
      <c r="AC795" s="135">
        <v>0.894035532994924</v>
      </c>
      <c r="AD795" s="135">
        <v>0.92</v>
      </c>
      <c r="AE795" s="133">
        <v>0.998422712933754</v>
      </c>
      <c r="AF795" s="133">
        <v>0.99406528189911</v>
      </c>
      <c r="AG795" s="133">
        <v>0.997518610421836</v>
      </c>
      <c r="AH795" s="133">
        <v>0.995117773019272</v>
      </c>
      <c r="AI795" s="135">
        <v>0.92</v>
      </c>
      <c r="AJ795" s="133">
        <v>0.918585526315789</v>
      </c>
      <c r="AK795" s="133">
        <v>0.957934990439771</v>
      </c>
      <c r="AL795" s="133">
        <v>0.946580331849454</v>
      </c>
      <c r="AM795" s="133">
        <v>0.950549185856056</v>
      </c>
      <c r="AN795" s="132">
        <v>0.99</v>
      </c>
      <c r="AO795" s="137">
        <v>1</v>
      </c>
      <c r="AP795" s="137">
        <v>1</v>
      </c>
      <c r="AQ795" s="137">
        <v>1</v>
      </c>
      <c r="AR795" s="137">
        <v>1</v>
      </c>
      <c r="AS795" s="158">
        <v>0.0810595228934205</v>
      </c>
      <c r="AT795" s="141">
        <v>0</v>
      </c>
      <c r="AU795" s="141">
        <v>0</v>
      </c>
      <c r="AV795" s="141">
        <v>0.117647058823529</v>
      </c>
      <c r="AW795" s="141">
        <v>0.0398009950248756</v>
      </c>
      <c r="AX795" s="95"/>
      <c r="AY795" s="93"/>
    </row>
    <row r="796" ht="14.5" spans="1:51">
      <c r="A796" s="91"/>
      <c r="B796" s="95"/>
      <c r="C796" s="152" t="s">
        <v>668</v>
      </c>
      <c r="D796" s="153" t="s">
        <v>25</v>
      </c>
      <c r="E796" s="130" t="s">
        <v>669</v>
      </c>
      <c r="F796" s="179" t="s">
        <v>823</v>
      </c>
      <c r="G796" s="179" t="s">
        <v>823</v>
      </c>
      <c r="H796" s="179" t="s">
        <v>823</v>
      </c>
      <c r="I796" s="179" t="s">
        <v>823</v>
      </c>
      <c r="J796" s="132">
        <v>0.9</v>
      </c>
      <c r="K796" s="133">
        <v>0.888888888888889</v>
      </c>
      <c r="L796" s="133">
        <v>0.80952380952381</v>
      </c>
      <c r="M796" s="134">
        <v>0.619047619047619</v>
      </c>
      <c r="N796" s="133">
        <v>0.762942779291553</v>
      </c>
      <c r="O796" s="135">
        <v>0.9</v>
      </c>
      <c r="P796" s="133">
        <v>0.885898815931109</v>
      </c>
      <c r="Q796" s="133">
        <v>0.937853107344633</v>
      </c>
      <c r="R796" s="133">
        <v>0.92578125</v>
      </c>
      <c r="S796" s="133">
        <v>0.927388967817654</v>
      </c>
      <c r="T796" s="135">
        <v>0.9</v>
      </c>
      <c r="U796" s="133">
        <v>0.890204520990312</v>
      </c>
      <c r="V796" s="133">
        <v>0.931073446327684</v>
      </c>
      <c r="W796" s="133">
        <v>0.931361607142857</v>
      </c>
      <c r="X796" s="133">
        <v>0.924146025078757</v>
      </c>
      <c r="Y796" s="135">
        <v>0.92</v>
      </c>
      <c r="Z796" s="135">
        <v>0.912359550561798</v>
      </c>
      <c r="AA796" s="135">
        <v>0.928327645051195</v>
      </c>
      <c r="AB796" s="135">
        <v>0.899814471243043</v>
      </c>
      <c r="AC796" s="135">
        <v>0.923043619439333</v>
      </c>
      <c r="AD796" s="135">
        <v>0.92</v>
      </c>
      <c r="AE796" s="133">
        <v>0.996943453897096</v>
      </c>
      <c r="AF796" s="133">
        <v>0.996655518394649</v>
      </c>
      <c r="AG796" s="133">
        <v>0.998567335243553</v>
      </c>
      <c r="AH796" s="133">
        <v>0.995106514859883</v>
      </c>
      <c r="AI796" s="135">
        <v>0.92</v>
      </c>
      <c r="AJ796" s="133">
        <v>0.927325581395349</v>
      </c>
      <c r="AK796" s="133">
        <v>0.96703829374697</v>
      </c>
      <c r="AL796" s="133">
        <v>0.957155098543273</v>
      </c>
      <c r="AM796" s="133">
        <v>0.961985495413285</v>
      </c>
      <c r="AN796" s="132">
        <v>0.99</v>
      </c>
      <c r="AO796" s="137">
        <v>1</v>
      </c>
      <c r="AP796" s="137">
        <v>1</v>
      </c>
      <c r="AQ796" s="137">
        <v>1</v>
      </c>
      <c r="AR796" s="137">
        <v>1</v>
      </c>
      <c r="AS796" s="158">
        <v>0.0810595228934205</v>
      </c>
      <c r="AT796" s="141">
        <v>0</v>
      </c>
      <c r="AU796" s="141">
        <v>0</v>
      </c>
      <c r="AV796" s="141">
        <v>0</v>
      </c>
      <c r="AW796" s="141">
        <v>0.0307692307692308</v>
      </c>
      <c r="AX796" s="95"/>
      <c r="AY796" s="93"/>
    </row>
    <row r="797" ht="14.5" spans="1:51">
      <c r="A797" s="91"/>
      <c r="B797" s="95"/>
      <c r="C797" s="152" t="s">
        <v>668</v>
      </c>
      <c r="D797" s="153" t="s">
        <v>25</v>
      </c>
      <c r="E797" s="130" t="s">
        <v>669</v>
      </c>
      <c r="F797" s="179" t="s">
        <v>824</v>
      </c>
      <c r="G797" s="179" t="s">
        <v>824</v>
      </c>
      <c r="H797" s="179" t="s">
        <v>824</v>
      </c>
      <c r="I797" s="179" t="s">
        <v>824</v>
      </c>
      <c r="J797" s="132">
        <v>0.9</v>
      </c>
      <c r="K797" s="133">
        <v>0.818181818181818</v>
      </c>
      <c r="L797" s="133">
        <v>0.846153846153846</v>
      </c>
      <c r="M797" s="134">
        <v>0.714285714285714</v>
      </c>
      <c r="N797" s="133">
        <v>0.860655737704918</v>
      </c>
      <c r="O797" s="135">
        <v>0.9</v>
      </c>
      <c r="P797" s="133">
        <v>0.831058020477816</v>
      </c>
      <c r="Q797" s="133">
        <v>0.955329153605016</v>
      </c>
      <c r="R797" s="133">
        <v>0.953161592505855</v>
      </c>
      <c r="S797" s="133">
        <v>0.94026268115942</v>
      </c>
      <c r="T797" s="135">
        <v>0.9</v>
      </c>
      <c r="U797" s="133">
        <v>0.911262798634812</v>
      </c>
      <c r="V797" s="133">
        <v>0.933385579937304</v>
      </c>
      <c r="W797" s="133">
        <v>0.932864949258392</v>
      </c>
      <c r="X797" s="133">
        <v>0.926132246376812</v>
      </c>
      <c r="Y797" s="135">
        <v>0.92</v>
      </c>
      <c r="Z797" s="135">
        <v>0.895238095238095</v>
      </c>
      <c r="AA797" s="135">
        <v>0.931506849315068</v>
      </c>
      <c r="AB797" s="135">
        <v>0.904639175257732</v>
      </c>
      <c r="AC797" s="135">
        <v>0.922817764165391</v>
      </c>
      <c r="AD797" s="135">
        <v>0.92</v>
      </c>
      <c r="AE797" s="133">
        <v>1</v>
      </c>
      <c r="AF797" s="133">
        <v>0.995555555555556</v>
      </c>
      <c r="AG797" s="133">
        <v>1</v>
      </c>
      <c r="AH797" s="133">
        <v>0.997449521785335</v>
      </c>
      <c r="AI797" s="135">
        <v>0.92</v>
      </c>
      <c r="AJ797" s="133">
        <v>0.932297447280799</v>
      </c>
      <c r="AK797" s="133">
        <v>0.963647959183674</v>
      </c>
      <c r="AL797" s="133">
        <v>0.95633971291866</v>
      </c>
      <c r="AM797" s="133">
        <v>0.958531302403577</v>
      </c>
      <c r="AN797" s="132">
        <v>0.99</v>
      </c>
      <c r="AO797" s="137">
        <v>1</v>
      </c>
      <c r="AP797" s="137">
        <v>1</v>
      </c>
      <c r="AQ797" s="137">
        <v>1</v>
      </c>
      <c r="AR797" s="137">
        <v>1</v>
      </c>
      <c r="AS797" s="158">
        <v>0.0810595228934205</v>
      </c>
      <c r="AT797" s="141">
        <v>0</v>
      </c>
      <c r="AU797" s="141">
        <v>0.166666666666667</v>
      </c>
      <c r="AV797" s="141">
        <v>0</v>
      </c>
      <c r="AW797" s="141">
        <v>0.0918367346938776</v>
      </c>
      <c r="AX797" s="95"/>
      <c r="AY797" s="93"/>
    </row>
    <row r="798" ht="14.5" spans="1:51">
      <c r="A798" s="91"/>
      <c r="B798" s="95"/>
      <c r="C798" s="152" t="s">
        <v>668</v>
      </c>
      <c r="D798" s="153" t="s">
        <v>25</v>
      </c>
      <c r="E798" s="130" t="s">
        <v>669</v>
      </c>
      <c r="F798" s="179" t="s">
        <v>825</v>
      </c>
      <c r="G798" s="179" t="s">
        <v>825</v>
      </c>
      <c r="H798" s="179" t="s">
        <v>825</v>
      </c>
      <c r="I798" s="179" t="s">
        <v>825</v>
      </c>
      <c r="J798" s="132">
        <v>0.9</v>
      </c>
      <c r="K798" s="133">
        <v>1</v>
      </c>
      <c r="L798" s="133">
        <v>0.833333333333333</v>
      </c>
      <c r="M798" s="134">
        <v>0.888888888888889</v>
      </c>
      <c r="N798" s="133">
        <v>0.884012539184953</v>
      </c>
      <c r="O798" s="135">
        <v>0.9</v>
      </c>
      <c r="P798" s="133">
        <v>0.960507757404795</v>
      </c>
      <c r="Q798" s="133">
        <v>0.973821989528796</v>
      </c>
      <c r="R798" s="133">
        <v>0.96043956043956</v>
      </c>
      <c r="S798" s="133">
        <v>0.957905146837511</v>
      </c>
      <c r="T798" s="135">
        <v>0.9</v>
      </c>
      <c r="U798" s="133">
        <v>0.947813822284908</v>
      </c>
      <c r="V798" s="133">
        <v>0.961854899027674</v>
      </c>
      <c r="W798" s="133">
        <v>0.955311355311355</v>
      </c>
      <c r="X798" s="133">
        <v>0.949047598572473</v>
      </c>
      <c r="Y798" s="135">
        <v>0.92</v>
      </c>
      <c r="Z798" s="135">
        <v>0.936026936026936</v>
      </c>
      <c r="AA798" s="135">
        <v>0.962121212121212</v>
      </c>
      <c r="AB798" s="135">
        <v>0.956298200514139</v>
      </c>
      <c r="AC798" s="135">
        <v>0.950440863484342</v>
      </c>
      <c r="AD798" s="135">
        <v>0.92</v>
      </c>
      <c r="AE798" s="133">
        <v>0.999010227647641</v>
      </c>
      <c r="AF798" s="133">
        <v>0.998468606431853</v>
      </c>
      <c r="AG798" s="133">
        <v>0.997111218103033</v>
      </c>
      <c r="AH798" s="133">
        <v>0.996025317002571</v>
      </c>
      <c r="AI798" s="135">
        <v>0.92</v>
      </c>
      <c r="AJ798" s="133">
        <v>0.962226640159046</v>
      </c>
      <c r="AK798" s="133">
        <v>0.981886321049344</v>
      </c>
      <c r="AL798" s="133">
        <v>0.964672364672365</v>
      </c>
      <c r="AM798" s="133">
        <v>0.970188249480807</v>
      </c>
      <c r="AN798" s="132">
        <v>0.99</v>
      </c>
      <c r="AO798" s="137">
        <v>1</v>
      </c>
      <c r="AP798" s="137">
        <v>1</v>
      </c>
      <c r="AQ798" s="137">
        <v>1</v>
      </c>
      <c r="AR798" s="137">
        <v>1</v>
      </c>
      <c r="AS798" s="158">
        <v>0.0810595228934205</v>
      </c>
      <c r="AT798" s="141">
        <v>1</v>
      </c>
      <c r="AU798" s="141">
        <v>0</v>
      </c>
      <c r="AV798" s="141">
        <v>0</v>
      </c>
      <c r="AW798" s="141">
        <v>0.0408163265306122</v>
      </c>
      <c r="AX798" s="95"/>
      <c r="AY798" s="93"/>
    </row>
    <row r="799" ht="14.5" spans="1:51">
      <c r="A799" s="91"/>
      <c r="B799" s="95"/>
      <c r="C799" s="152" t="s">
        <v>668</v>
      </c>
      <c r="D799" s="153" t="s">
        <v>25</v>
      </c>
      <c r="E799" s="130" t="s">
        <v>669</v>
      </c>
      <c r="F799" s="179" t="s">
        <v>826</v>
      </c>
      <c r="G799" s="179" t="s">
        <v>826</v>
      </c>
      <c r="H799" s="179" t="s">
        <v>826</v>
      </c>
      <c r="I799" s="179" t="s">
        <v>826</v>
      </c>
      <c r="J799" s="132">
        <v>0.9</v>
      </c>
      <c r="K799" s="133">
        <v>0.82</v>
      </c>
      <c r="L799" s="133">
        <v>0.841269841269841</v>
      </c>
      <c r="M799" s="134">
        <v>0.792452830188679</v>
      </c>
      <c r="N799" s="133">
        <v>0.839449541284404</v>
      </c>
      <c r="O799" s="135">
        <v>0.9</v>
      </c>
      <c r="P799" s="133">
        <v>0.948738812042311</v>
      </c>
      <c r="Q799" s="133">
        <v>0.900371057513915</v>
      </c>
      <c r="R799" s="133">
        <v>0.88083286856293</v>
      </c>
      <c r="S799" s="133">
        <v>0.920808165380858</v>
      </c>
      <c r="T799" s="135">
        <v>0.9</v>
      </c>
      <c r="U799" s="133">
        <v>0.901139137510171</v>
      </c>
      <c r="V799" s="133">
        <v>0.936734693877551</v>
      </c>
      <c r="W799" s="133">
        <v>0.879159695110615</v>
      </c>
      <c r="X799" s="133">
        <v>0.916571975360325</v>
      </c>
      <c r="Y799" s="135">
        <v>0.92</v>
      </c>
      <c r="Z799" s="135">
        <v>0.915080527086384</v>
      </c>
      <c r="AA799" s="135">
        <v>0.922023182297155</v>
      </c>
      <c r="AB799" s="135">
        <v>0.910234419668382</v>
      </c>
      <c r="AC799" s="135">
        <v>0.93360982300307</v>
      </c>
      <c r="AD799" s="135">
        <v>0.92</v>
      </c>
      <c r="AE799" s="133">
        <v>0.993736951983299</v>
      </c>
      <c r="AF799" s="133">
        <v>0.981327800829875</v>
      </c>
      <c r="AG799" s="133">
        <v>0.984709480122324</v>
      </c>
      <c r="AH799" s="133">
        <v>0.978414144701161</v>
      </c>
      <c r="AI799" s="135">
        <v>0.92</v>
      </c>
      <c r="AJ799" s="133">
        <v>0.937761506276151</v>
      </c>
      <c r="AK799" s="133">
        <v>0.956302255876321</v>
      </c>
      <c r="AL799" s="133">
        <v>0.948246844319776</v>
      </c>
      <c r="AM799" s="133">
        <v>0.959482883694648</v>
      </c>
      <c r="AN799" s="132">
        <v>0.99</v>
      </c>
      <c r="AO799" s="137">
        <v>1</v>
      </c>
      <c r="AP799" s="137">
        <v>1</v>
      </c>
      <c r="AQ799" s="137">
        <v>1</v>
      </c>
      <c r="AR799" s="137">
        <v>1</v>
      </c>
      <c r="AS799" s="158">
        <v>0.0810595228934205</v>
      </c>
      <c r="AT799" s="141">
        <v>0.133333333333333</v>
      </c>
      <c r="AU799" s="141">
        <v>0.0232558139534884</v>
      </c>
      <c r="AV799" s="141">
        <v>0</v>
      </c>
      <c r="AW799" s="141">
        <v>0.0315091210613599</v>
      </c>
      <c r="AX799" s="95"/>
      <c r="AY799" s="93"/>
    </row>
    <row r="800" ht="14.5" spans="1:51">
      <c r="A800" s="91"/>
      <c r="B800" s="95"/>
      <c r="C800" s="152" t="s">
        <v>668</v>
      </c>
      <c r="D800" s="153" t="s">
        <v>25</v>
      </c>
      <c r="E800" s="130" t="s">
        <v>669</v>
      </c>
      <c r="F800" s="179" t="s">
        <v>827</v>
      </c>
      <c r="G800" s="179" t="s">
        <v>827</v>
      </c>
      <c r="H800" s="179" t="s">
        <v>827</v>
      </c>
      <c r="I800" s="179" t="s">
        <v>827</v>
      </c>
      <c r="J800" s="132">
        <v>0.9</v>
      </c>
      <c r="K800" s="133">
        <v>0.882352941176471</v>
      </c>
      <c r="L800" s="133">
        <v>0.736842105263158</v>
      </c>
      <c r="M800" s="134">
        <v>0.736842105263158</v>
      </c>
      <c r="N800" s="133">
        <v>0.874285714285714</v>
      </c>
      <c r="O800" s="135">
        <v>0.9</v>
      </c>
      <c r="P800" s="133">
        <v>0.965653896961691</v>
      </c>
      <c r="Q800" s="133">
        <v>0.94484412470024</v>
      </c>
      <c r="R800" s="133">
        <v>0.954908675799087</v>
      </c>
      <c r="S800" s="133">
        <v>0.92687261681639</v>
      </c>
      <c r="T800" s="135">
        <v>0.9</v>
      </c>
      <c r="U800" s="133">
        <v>0.907529722589168</v>
      </c>
      <c r="V800" s="133">
        <v>0.934052757793765</v>
      </c>
      <c r="W800" s="133">
        <v>0.928082191780822</v>
      </c>
      <c r="X800" s="133">
        <v>0.914883991469011</v>
      </c>
      <c r="Y800" s="135">
        <v>0.92</v>
      </c>
      <c r="Z800" s="135">
        <v>0.910628019323672</v>
      </c>
      <c r="AA800" s="135">
        <v>0.925531914893617</v>
      </c>
      <c r="AB800" s="135">
        <v>0.942339373970346</v>
      </c>
      <c r="AC800" s="135">
        <v>0.929511677282378</v>
      </c>
      <c r="AD800" s="135">
        <v>0.92</v>
      </c>
      <c r="AE800" s="133">
        <v>1</v>
      </c>
      <c r="AF800" s="133">
        <v>0.974619289340102</v>
      </c>
      <c r="AG800" s="133">
        <v>1</v>
      </c>
      <c r="AH800" s="133">
        <v>0.99320652173913</v>
      </c>
      <c r="AI800" s="135">
        <v>0.92</v>
      </c>
      <c r="AJ800" s="133">
        <v>0.940222032450897</v>
      </c>
      <c r="AK800" s="133">
        <v>0.96974358974359</v>
      </c>
      <c r="AL800" s="133">
        <v>0.960576515472658</v>
      </c>
      <c r="AM800" s="133">
        <v>0.959648253653703</v>
      </c>
      <c r="AN800" s="132">
        <v>0.99</v>
      </c>
      <c r="AO800" s="137">
        <v>1</v>
      </c>
      <c r="AP800" s="137">
        <v>1</v>
      </c>
      <c r="AQ800" s="137">
        <v>1</v>
      </c>
      <c r="AR800" s="137">
        <v>1</v>
      </c>
      <c r="AS800" s="158">
        <v>0.0810595228934205</v>
      </c>
      <c r="AT800" s="141">
        <v>0</v>
      </c>
      <c r="AU800" s="141">
        <v>0</v>
      </c>
      <c r="AV800" s="141">
        <v>0</v>
      </c>
      <c r="AW800" s="141">
        <v>0.0227272727272727</v>
      </c>
      <c r="AX800" s="95"/>
      <c r="AY800" s="93"/>
    </row>
    <row r="801" ht="14.5" spans="1:51">
      <c r="A801" s="91"/>
      <c r="B801" s="95"/>
      <c r="C801" s="152" t="s">
        <v>668</v>
      </c>
      <c r="D801" s="153" t="s">
        <v>25</v>
      </c>
      <c r="E801" s="130" t="s">
        <v>669</v>
      </c>
      <c r="F801" s="179" t="s">
        <v>828</v>
      </c>
      <c r="G801" s="179" t="s">
        <v>828</v>
      </c>
      <c r="H801" s="179" t="s">
        <v>828</v>
      </c>
      <c r="I801" s="179" t="s">
        <v>828</v>
      </c>
      <c r="J801" s="132">
        <v>0.9</v>
      </c>
      <c r="K801" s="133">
        <v>0.857142857142857</v>
      </c>
      <c r="L801" s="133">
        <v>0.941176470588235</v>
      </c>
      <c r="M801" s="134">
        <v>0.944444444444444</v>
      </c>
      <c r="N801" s="133">
        <v>0.941935483870968</v>
      </c>
      <c r="O801" s="135">
        <v>0.9</v>
      </c>
      <c r="P801" s="133">
        <v>0.820075757575758</v>
      </c>
      <c r="Q801" s="133">
        <v>0.924022837066315</v>
      </c>
      <c r="R801" s="133">
        <v>0.921720430107527</v>
      </c>
      <c r="S801" s="133">
        <v>0.919789383653178</v>
      </c>
      <c r="T801" s="135">
        <v>0.9</v>
      </c>
      <c r="U801" s="133">
        <v>0.869318181818182</v>
      </c>
      <c r="V801" s="133">
        <v>0.908212560386473</v>
      </c>
      <c r="W801" s="133">
        <v>0.915268817204301</v>
      </c>
      <c r="X801" s="133">
        <v>0.915352541829262</v>
      </c>
      <c r="Y801" s="135">
        <v>0.92</v>
      </c>
      <c r="Z801" s="135">
        <v>0.849122807017544</v>
      </c>
      <c r="AA801" s="135">
        <v>0.89261744966443</v>
      </c>
      <c r="AB801" s="135">
        <v>0.883994126284875</v>
      </c>
      <c r="AC801" s="135">
        <v>0.897162794968323</v>
      </c>
      <c r="AD801" s="135">
        <v>0.92</v>
      </c>
      <c r="AE801" s="133">
        <v>1</v>
      </c>
      <c r="AF801" s="133">
        <v>0.992704989786986</v>
      </c>
      <c r="AG801" s="133">
        <v>0.958162668227033</v>
      </c>
      <c r="AH801" s="133">
        <v>0.965723365617433</v>
      </c>
      <c r="AI801" s="135">
        <v>0.92</v>
      </c>
      <c r="AJ801" s="133">
        <v>0.894218942189422</v>
      </c>
      <c r="AK801" s="133">
        <v>0.938693098384728</v>
      </c>
      <c r="AL801" s="133">
        <v>0.94311377245509</v>
      </c>
      <c r="AM801" s="133">
        <v>0.944543346857663</v>
      </c>
      <c r="AN801" s="132">
        <v>0.99</v>
      </c>
      <c r="AO801" s="137">
        <v>1</v>
      </c>
      <c r="AP801" s="137">
        <v>1</v>
      </c>
      <c r="AQ801" s="137">
        <v>1</v>
      </c>
      <c r="AR801" s="137">
        <v>1</v>
      </c>
      <c r="AS801" s="158">
        <v>0.0810595228934205</v>
      </c>
      <c r="AT801" s="141">
        <v>0</v>
      </c>
      <c r="AU801" s="141">
        <v>0</v>
      </c>
      <c r="AV801" s="141">
        <v>0.0909090909090909</v>
      </c>
      <c r="AW801" s="141">
        <v>0.0377358490566038</v>
      </c>
      <c r="AX801" s="95"/>
      <c r="AY801" s="93"/>
    </row>
    <row r="802" ht="14.5" spans="1:51">
      <c r="A802" s="91"/>
      <c r="B802" s="95"/>
      <c r="C802" s="152" t="s">
        <v>668</v>
      </c>
      <c r="D802" s="153" t="s">
        <v>25</v>
      </c>
      <c r="E802" s="130" t="s">
        <v>669</v>
      </c>
      <c r="F802" s="179" t="s">
        <v>829</v>
      </c>
      <c r="G802" s="179" t="s">
        <v>829</v>
      </c>
      <c r="H802" s="179" t="s">
        <v>829</v>
      </c>
      <c r="I802" s="179" t="s">
        <v>829</v>
      </c>
      <c r="J802" s="132">
        <v>0.9</v>
      </c>
      <c r="K802" s="133">
        <v>0.875</v>
      </c>
      <c r="L802" s="133">
        <v>0.863636363636364</v>
      </c>
      <c r="M802" s="134">
        <v>0.91304347826087</v>
      </c>
      <c r="N802" s="133">
        <v>0.859259259259259</v>
      </c>
      <c r="O802" s="135">
        <v>0.9</v>
      </c>
      <c r="P802" s="133">
        <v>0.821792260692464</v>
      </c>
      <c r="Q802" s="133">
        <v>0.860794157918759</v>
      </c>
      <c r="R802" s="133">
        <v>0.933649289099526</v>
      </c>
      <c r="S802" s="133">
        <v>0.898872583640692</v>
      </c>
      <c r="T802" s="135">
        <v>0.9</v>
      </c>
      <c r="U802" s="133">
        <v>0.821792260692464</v>
      </c>
      <c r="V802" s="133">
        <v>0.863076220903697</v>
      </c>
      <c r="W802" s="133">
        <v>0.875915553640672</v>
      </c>
      <c r="X802" s="133">
        <v>0.872034319495671</v>
      </c>
      <c r="Y802" s="135">
        <v>0.92</v>
      </c>
      <c r="Z802" s="135">
        <v>0.856649395509499</v>
      </c>
      <c r="AA802" s="135">
        <v>0.902869757174393</v>
      </c>
      <c r="AB802" s="135">
        <v>0.869565217391304</v>
      </c>
      <c r="AC802" s="135">
        <v>0.909067535138841</v>
      </c>
      <c r="AD802" s="135">
        <v>0.92</v>
      </c>
      <c r="AE802" s="133">
        <v>0.997402597402597</v>
      </c>
      <c r="AF802" s="133">
        <v>1</v>
      </c>
      <c r="AG802" s="133">
        <v>0.990719257540603</v>
      </c>
      <c r="AH802" s="133">
        <v>0.981095625776183</v>
      </c>
      <c r="AI802" s="135">
        <v>0.92</v>
      </c>
      <c r="AJ802" s="133">
        <v>0.87572069186419</v>
      </c>
      <c r="AK802" s="133">
        <v>0.925491679273828</v>
      </c>
      <c r="AL802" s="133">
        <v>0.915958142576848</v>
      </c>
      <c r="AM802" s="133">
        <v>0.931768099683481</v>
      </c>
      <c r="AN802" s="132">
        <v>0.99</v>
      </c>
      <c r="AO802" s="137">
        <v>1</v>
      </c>
      <c r="AP802" s="137">
        <v>1</v>
      </c>
      <c r="AQ802" s="137">
        <v>1</v>
      </c>
      <c r="AR802" s="137">
        <v>1</v>
      </c>
      <c r="AS802" s="158">
        <v>0.0810595228934205</v>
      </c>
      <c r="AT802" s="141">
        <v>0.2</v>
      </c>
      <c r="AU802" s="141">
        <v>0</v>
      </c>
      <c r="AV802" s="141">
        <v>0</v>
      </c>
      <c r="AW802" s="141">
        <v>0.0386740331491713</v>
      </c>
      <c r="AX802" s="95"/>
      <c r="AY802" s="93"/>
    </row>
    <row r="803" ht="14.5" spans="1:51">
      <c r="A803" s="91"/>
      <c r="B803" s="95"/>
      <c r="C803" s="152" t="s">
        <v>668</v>
      </c>
      <c r="D803" s="153" t="s">
        <v>25</v>
      </c>
      <c r="E803" s="130" t="s">
        <v>669</v>
      </c>
      <c r="F803" s="179" t="s">
        <v>830</v>
      </c>
      <c r="G803" s="179" t="s">
        <v>830</v>
      </c>
      <c r="H803" s="179" t="s">
        <v>830</v>
      </c>
      <c r="I803" s="179" t="s">
        <v>830</v>
      </c>
      <c r="J803" s="132">
        <v>0.9</v>
      </c>
      <c r="K803" s="133">
        <v>1</v>
      </c>
      <c r="L803" s="133">
        <v>0.846153846153846</v>
      </c>
      <c r="M803" s="134">
        <v>0.923076923076923</v>
      </c>
      <c r="N803" s="133">
        <v>0.940789473684211</v>
      </c>
      <c r="O803" s="135">
        <v>0.9</v>
      </c>
      <c r="P803" s="133">
        <v>0.951836734693878</v>
      </c>
      <c r="Q803" s="133">
        <v>0.953531598513011</v>
      </c>
      <c r="R803" s="133">
        <v>0.95418257549462</v>
      </c>
      <c r="S803" s="133">
        <v>0.946877005110959</v>
      </c>
      <c r="T803" s="135">
        <v>0.9</v>
      </c>
      <c r="U803" s="133">
        <v>0.929795918367347</v>
      </c>
      <c r="V803" s="133">
        <v>0.943122676579926</v>
      </c>
      <c r="W803" s="133">
        <v>0.938910100659493</v>
      </c>
      <c r="X803" s="133">
        <v>0.936544460915547</v>
      </c>
      <c r="Y803" s="135">
        <v>0.92</v>
      </c>
      <c r="Z803" s="135">
        <v>0.886262924667651</v>
      </c>
      <c r="AA803" s="135">
        <v>0.926</v>
      </c>
      <c r="AB803" s="135">
        <v>0.907117008443908</v>
      </c>
      <c r="AC803" s="135">
        <v>0.919360777671404</v>
      </c>
      <c r="AD803" s="135">
        <v>0.92</v>
      </c>
      <c r="AE803" s="133">
        <v>0.998865784499055</v>
      </c>
      <c r="AF803" s="133">
        <v>0.966308774527953</v>
      </c>
      <c r="AG803" s="133">
        <v>0.982697426796806</v>
      </c>
      <c r="AH803" s="133">
        <v>0.988666001841056</v>
      </c>
      <c r="AI803" s="135">
        <v>0.92</v>
      </c>
      <c r="AJ803" s="133">
        <v>0.942752100840336</v>
      </c>
      <c r="AK803" s="133">
        <v>0.966457680250784</v>
      </c>
      <c r="AL803" s="133">
        <v>0.957693344112099</v>
      </c>
      <c r="AM803" s="133">
        <v>0.963619355387363</v>
      </c>
      <c r="AN803" s="132">
        <v>0.99</v>
      </c>
      <c r="AO803" s="137">
        <v>1</v>
      </c>
      <c r="AP803" s="137">
        <v>1</v>
      </c>
      <c r="AQ803" s="137">
        <v>1</v>
      </c>
      <c r="AR803" s="137">
        <v>1</v>
      </c>
      <c r="AS803" s="158">
        <v>0.0810595228934205</v>
      </c>
      <c r="AT803" s="141">
        <v>0</v>
      </c>
      <c r="AU803" s="141">
        <v>0</v>
      </c>
      <c r="AV803" s="141">
        <v>0</v>
      </c>
      <c r="AW803" s="141">
        <v>0.0364583333333333</v>
      </c>
      <c r="AX803" s="95"/>
      <c r="AY803" s="93"/>
    </row>
    <row r="804" ht="14.5" spans="1:51">
      <c r="A804" s="91"/>
      <c r="B804" s="95"/>
      <c r="C804" s="152" t="s">
        <v>668</v>
      </c>
      <c r="D804" s="153" t="s">
        <v>25</v>
      </c>
      <c r="E804" s="130" t="s">
        <v>669</v>
      </c>
      <c r="F804" s="179" t="s">
        <v>831</v>
      </c>
      <c r="G804" s="179" t="s">
        <v>831</v>
      </c>
      <c r="H804" s="179" t="s">
        <v>831</v>
      </c>
      <c r="I804" s="179" t="s">
        <v>831</v>
      </c>
      <c r="J804" s="132">
        <v>0.9</v>
      </c>
      <c r="K804" s="133">
        <v>0.882352941176471</v>
      </c>
      <c r="L804" s="133">
        <v>0.684210526315789</v>
      </c>
      <c r="M804" s="134">
        <v>0.75</v>
      </c>
      <c r="N804" s="133">
        <v>0.705234159779614</v>
      </c>
      <c r="O804" s="135">
        <v>0.9</v>
      </c>
      <c r="P804" s="133">
        <v>0.880559085133418</v>
      </c>
      <c r="Q804" s="133">
        <v>0.889719626168224</v>
      </c>
      <c r="R804" s="133">
        <v>0.848209209778283</v>
      </c>
      <c r="S804" s="133">
        <v>0.887235812947246</v>
      </c>
      <c r="T804" s="135">
        <v>0.9</v>
      </c>
      <c r="U804" s="133">
        <v>0.90851334180432</v>
      </c>
      <c r="V804" s="133">
        <v>0.899065420560748</v>
      </c>
      <c r="W804" s="133">
        <v>0.884593519044912</v>
      </c>
      <c r="X804" s="133">
        <v>0.896122482942253</v>
      </c>
      <c r="Y804" s="135">
        <v>0.92</v>
      </c>
      <c r="Z804" s="135">
        <v>0.822269807280514</v>
      </c>
      <c r="AA804" s="135">
        <v>0.791304347826087</v>
      </c>
      <c r="AB804" s="135">
        <v>0.777573529411765</v>
      </c>
      <c r="AC804" s="135">
        <v>0.868898186889819</v>
      </c>
      <c r="AD804" s="135">
        <v>0.92</v>
      </c>
      <c r="AE804" s="133">
        <v>1</v>
      </c>
      <c r="AF804" s="133">
        <v>1</v>
      </c>
      <c r="AG804" s="133">
        <v>0.909090909090909</v>
      </c>
      <c r="AH804" s="133">
        <v>0.97696335078534</v>
      </c>
      <c r="AI804" s="135">
        <v>0.92</v>
      </c>
      <c r="AJ804" s="133">
        <v>0.90829346092504</v>
      </c>
      <c r="AK804" s="133">
        <v>0.912307692307692</v>
      </c>
      <c r="AL804" s="133">
        <v>0.90273556231003</v>
      </c>
      <c r="AM804" s="133">
        <v>0.925300347971857</v>
      </c>
      <c r="AN804" s="132">
        <v>0.99</v>
      </c>
      <c r="AO804" s="137">
        <v>1</v>
      </c>
      <c r="AP804" s="137">
        <v>1</v>
      </c>
      <c r="AQ804" s="137">
        <v>1</v>
      </c>
      <c r="AR804" s="137">
        <v>1</v>
      </c>
      <c r="AS804" s="158">
        <v>0.0810595228934205</v>
      </c>
      <c r="AT804" s="141">
        <v>0.1</v>
      </c>
      <c r="AU804" s="141">
        <v>0.333333333333333</v>
      </c>
      <c r="AV804" s="141">
        <v>0.125</v>
      </c>
      <c r="AW804" s="141">
        <v>0.0833333333333333</v>
      </c>
      <c r="AX804" s="95"/>
      <c r="AY804" s="93"/>
    </row>
    <row r="805" ht="14.5" spans="1:51">
      <c r="A805" s="91"/>
      <c r="B805" s="95"/>
      <c r="C805" s="152" t="s">
        <v>668</v>
      </c>
      <c r="D805" s="153" t="s">
        <v>25</v>
      </c>
      <c r="E805" s="130" t="s">
        <v>669</v>
      </c>
      <c r="F805" s="179" t="s">
        <v>832</v>
      </c>
      <c r="G805" s="179" t="s">
        <v>832</v>
      </c>
      <c r="H805" s="179" t="s">
        <v>832</v>
      </c>
      <c r="I805" s="179" t="s">
        <v>832</v>
      </c>
      <c r="J805" s="132">
        <v>0.9</v>
      </c>
      <c r="K805" s="133">
        <v>0.777777777777778</v>
      </c>
      <c r="L805" s="133">
        <v>0.777777777777778</v>
      </c>
      <c r="M805" s="134">
        <v>0.888888888888889</v>
      </c>
      <c r="N805" s="133">
        <v>0.834355828220859</v>
      </c>
      <c r="O805" s="135">
        <v>0.9</v>
      </c>
      <c r="P805" s="133">
        <v>0.963855421686747</v>
      </c>
      <c r="Q805" s="133">
        <v>0.966442953020134</v>
      </c>
      <c r="R805" s="133">
        <v>0.974054054054054</v>
      </c>
      <c r="S805" s="133">
        <v>0.965453970262575</v>
      </c>
      <c r="T805" s="135">
        <v>0.9</v>
      </c>
      <c r="U805" s="133">
        <v>0.949397590361446</v>
      </c>
      <c r="V805" s="133">
        <v>0.930648769574944</v>
      </c>
      <c r="W805" s="133">
        <v>0.934054054054054</v>
      </c>
      <c r="X805" s="133">
        <v>0.926542233470421</v>
      </c>
      <c r="Y805" s="135">
        <v>0.92</v>
      </c>
      <c r="Z805" s="135">
        <v>0.932584269662921</v>
      </c>
      <c r="AA805" s="135">
        <v>0.921052631578947</v>
      </c>
      <c r="AB805" s="135">
        <v>0.96039603960396</v>
      </c>
      <c r="AC805" s="135">
        <v>0.940833333333333</v>
      </c>
      <c r="AD805" s="135">
        <v>0.92</v>
      </c>
      <c r="AE805" s="133">
        <v>1</v>
      </c>
      <c r="AF805" s="133">
        <v>0.992</v>
      </c>
      <c r="AG805" s="133">
        <v>0.994565217391304</v>
      </c>
      <c r="AH805" s="133">
        <v>0.979975354282194</v>
      </c>
      <c r="AI805" s="135">
        <v>0.92</v>
      </c>
      <c r="AJ805" s="133">
        <v>0.95900439238653</v>
      </c>
      <c r="AK805" s="133">
        <v>0.959923664122137</v>
      </c>
      <c r="AL805" s="133">
        <v>0.973127035830619</v>
      </c>
      <c r="AM805" s="133">
        <v>0.967740370621907</v>
      </c>
      <c r="AN805" s="132">
        <v>0.99</v>
      </c>
      <c r="AO805" s="137">
        <v>1</v>
      </c>
      <c r="AP805" s="137">
        <v>1</v>
      </c>
      <c r="AQ805" s="137">
        <v>1</v>
      </c>
      <c r="AR805" s="137">
        <v>1</v>
      </c>
      <c r="AS805" s="158">
        <v>0.0810595228934205</v>
      </c>
      <c r="AT805" s="141">
        <v>0</v>
      </c>
      <c r="AU805" s="141">
        <v>0</v>
      </c>
      <c r="AV805" s="141">
        <v>0</v>
      </c>
      <c r="AW805" s="141">
        <v>0.0222222222222222</v>
      </c>
      <c r="AX805" s="95"/>
      <c r="AY805" s="93"/>
    </row>
    <row r="806" ht="14.5" spans="1:51">
      <c r="A806" s="91"/>
      <c r="B806" s="95"/>
      <c r="C806" s="152" t="s">
        <v>668</v>
      </c>
      <c r="D806" s="153" t="s">
        <v>25</v>
      </c>
      <c r="E806" s="130" t="s">
        <v>669</v>
      </c>
      <c r="F806" s="179" t="s">
        <v>833</v>
      </c>
      <c r="G806" s="179" t="s">
        <v>833</v>
      </c>
      <c r="H806" s="179" t="s">
        <v>833</v>
      </c>
      <c r="I806" s="179" t="s">
        <v>833</v>
      </c>
      <c r="J806" s="132">
        <v>0.9</v>
      </c>
      <c r="K806" s="133">
        <v>0.8125</v>
      </c>
      <c r="L806" s="133">
        <v>0.85</v>
      </c>
      <c r="M806" s="134">
        <v>0.80952380952381</v>
      </c>
      <c r="N806" s="133">
        <v>0.802197802197802</v>
      </c>
      <c r="O806" s="135">
        <v>0.9</v>
      </c>
      <c r="P806" s="133">
        <v>0.936467598475222</v>
      </c>
      <c r="Q806" s="133">
        <v>0.962519521082769</v>
      </c>
      <c r="R806" s="133">
        <v>0.934721440630276</v>
      </c>
      <c r="S806" s="133">
        <v>0.953017820826583</v>
      </c>
      <c r="T806" s="135">
        <v>0.9</v>
      </c>
      <c r="U806" s="133">
        <v>0.869123252858958</v>
      </c>
      <c r="V806" s="133">
        <v>0.918792295679334</v>
      </c>
      <c r="W806" s="133">
        <v>0.907146876758582</v>
      </c>
      <c r="X806" s="133">
        <v>0.919030712488366</v>
      </c>
      <c r="Y806" s="135">
        <v>0.92</v>
      </c>
      <c r="Z806" s="135">
        <v>0.839643652561247</v>
      </c>
      <c r="AA806" s="135">
        <v>0.908108108108108</v>
      </c>
      <c r="AB806" s="135">
        <v>0.8984375</v>
      </c>
      <c r="AC806" s="135">
        <v>0.902863559797866</v>
      </c>
      <c r="AD806" s="135">
        <v>0.92</v>
      </c>
      <c r="AE806" s="133">
        <v>0.99009900990099</v>
      </c>
      <c r="AF806" s="133">
        <v>1</v>
      </c>
      <c r="AG806" s="133">
        <v>0.994186046511628</v>
      </c>
      <c r="AH806" s="133">
        <v>0.979856115107914</v>
      </c>
      <c r="AI806" s="135">
        <v>0.92</v>
      </c>
      <c r="AJ806" s="133">
        <v>0.892568659127625</v>
      </c>
      <c r="AK806" s="133">
        <v>0.945875163683981</v>
      </c>
      <c r="AL806" s="133">
        <v>0.929664873810509</v>
      </c>
      <c r="AM806" s="133">
        <v>0.945531241761139</v>
      </c>
      <c r="AN806" s="132">
        <v>0.99</v>
      </c>
      <c r="AO806" s="137">
        <v>1</v>
      </c>
      <c r="AP806" s="137">
        <v>1</v>
      </c>
      <c r="AQ806" s="137">
        <v>1</v>
      </c>
      <c r="AR806" s="137">
        <v>1</v>
      </c>
      <c r="AS806" s="158">
        <v>0.0810595228934205</v>
      </c>
      <c r="AT806" s="141">
        <v>0</v>
      </c>
      <c r="AU806" s="141">
        <v>0</v>
      </c>
      <c r="AV806" s="141">
        <v>0</v>
      </c>
      <c r="AW806" s="141">
        <v>0.0261437908496732</v>
      </c>
      <c r="AX806" s="95"/>
      <c r="AY806" s="93"/>
    </row>
    <row r="807" ht="14.5" spans="1:51">
      <c r="A807" s="91"/>
      <c r="B807" s="95"/>
      <c r="C807" s="152" t="s">
        <v>668</v>
      </c>
      <c r="D807" s="153" t="s">
        <v>25</v>
      </c>
      <c r="E807" s="130" t="s">
        <v>669</v>
      </c>
      <c r="F807" s="179" t="s">
        <v>834</v>
      </c>
      <c r="G807" s="179" t="s">
        <v>834</v>
      </c>
      <c r="H807" s="179" t="s">
        <v>834</v>
      </c>
      <c r="I807" s="179" t="s">
        <v>834</v>
      </c>
      <c r="J807" s="132">
        <v>0.9</v>
      </c>
      <c r="K807" s="133">
        <v>1</v>
      </c>
      <c r="L807" s="133">
        <v>1</v>
      </c>
      <c r="M807" s="134">
        <v>1</v>
      </c>
      <c r="N807" s="133">
        <v>0.981927710843373</v>
      </c>
      <c r="O807" s="135">
        <v>0.9</v>
      </c>
      <c r="P807" s="133">
        <v>0.902714932126697</v>
      </c>
      <c r="Q807" s="133">
        <v>0.964730290456432</v>
      </c>
      <c r="R807" s="133">
        <v>0.975657254138267</v>
      </c>
      <c r="S807" s="133">
        <v>0.945075757575758</v>
      </c>
      <c r="T807" s="135">
        <v>0.9</v>
      </c>
      <c r="U807" s="133">
        <v>0.927601809954751</v>
      </c>
      <c r="V807" s="133">
        <v>0.963692946058091</v>
      </c>
      <c r="W807" s="133">
        <v>0.962999026290166</v>
      </c>
      <c r="X807" s="133">
        <v>0.951216712580349</v>
      </c>
      <c r="Y807" s="135">
        <v>0.92</v>
      </c>
      <c r="Z807" s="135">
        <v>0.971311475409836</v>
      </c>
      <c r="AA807" s="135">
        <v>0.990147783251232</v>
      </c>
      <c r="AB807" s="135">
        <v>0.968454258675079</v>
      </c>
      <c r="AC807" s="135">
        <v>0.973921200750469</v>
      </c>
      <c r="AD807" s="135">
        <v>0.92</v>
      </c>
      <c r="AE807" s="133">
        <v>1</v>
      </c>
      <c r="AF807" s="133">
        <v>1</v>
      </c>
      <c r="AG807" s="133">
        <v>1</v>
      </c>
      <c r="AH807" s="133">
        <v>0.962386511024643</v>
      </c>
      <c r="AI807" s="135">
        <v>0.92</v>
      </c>
      <c r="AJ807" s="133">
        <v>0.96064139941691</v>
      </c>
      <c r="AK807" s="133">
        <v>0.984575835475578</v>
      </c>
      <c r="AL807" s="133">
        <v>0.976951672862454</v>
      </c>
      <c r="AM807" s="133">
        <v>0.978211210683535</v>
      </c>
      <c r="AN807" s="132">
        <v>0.99</v>
      </c>
      <c r="AO807" s="137">
        <v>1</v>
      </c>
      <c r="AP807" s="137" t="s">
        <v>35</v>
      </c>
      <c r="AQ807" s="137">
        <v>1</v>
      </c>
      <c r="AR807" s="137">
        <v>1</v>
      </c>
      <c r="AS807" s="158">
        <v>0.0810595228934205</v>
      </c>
      <c r="AT807" s="141" t="s">
        <v>35</v>
      </c>
      <c r="AU807" s="141">
        <v>0</v>
      </c>
      <c r="AV807" s="141">
        <v>0</v>
      </c>
      <c r="AW807" s="141">
        <v>0.0128205128205128</v>
      </c>
      <c r="AX807" s="95"/>
      <c r="AY807" s="93"/>
    </row>
    <row r="808" ht="14.5" spans="1:51">
      <c r="A808" s="91"/>
      <c r="B808" s="95"/>
      <c r="C808" s="152" t="s">
        <v>668</v>
      </c>
      <c r="D808" s="153" t="s">
        <v>25</v>
      </c>
      <c r="E808" s="130" t="s">
        <v>669</v>
      </c>
      <c r="F808" s="179" t="s">
        <v>835</v>
      </c>
      <c r="G808" s="179" t="s">
        <v>835</v>
      </c>
      <c r="H808" s="179" t="s">
        <v>835</v>
      </c>
      <c r="I808" s="179" t="s">
        <v>835</v>
      </c>
      <c r="J808" s="132">
        <v>0.9</v>
      </c>
      <c r="K808" s="133">
        <v>0.91304347826087</v>
      </c>
      <c r="L808" s="133">
        <v>0.92</v>
      </c>
      <c r="M808" s="134">
        <v>0.981132075471698</v>
      </c>
      <c r="N808" s="133">
        <v>0.954</v>
      </c>
      <c r="O808" s="135">
        <v>0.9</v>
      </c>
      <c r="P808" s="133">
        <v>0.975301866081229</v>
      </c>
      <c r="Q808" s="133">
        <v>0.964026506784475</v>
      </c>
      <c r="R808" s="133">
        <v>0.968527640941434</v>
      </c>
      <c r="S808" s="133">
        <v>0.96906070204926</v>
      </c>
      <c r="T808" s="135">
        <v>0.9</v>
      </c>
      <c r="U808" s="133">
        <v>0.95609220636663</v>
      </c>
      <c r="V808" s="133">
        <v>0.946039760176712</v>
      </c>
      <c r="W808" s="133">
        <v>0.945265462506842</v>
      </c>
      <c r="X808" s="133">
        <v>0.953274290516517</v>
      </c>
      <c r="Y808" s="135">
        <v>0.92</v>
      </c>
      <c r="Z808" s="135">
        <v>0.919213973799127</v>
      </c>
      <c r="AA808" s="135">
        <v>0.933641975308642</v>
      </c>
      <c r="AB808" s="135">
        <v>0.929589270746018</v>
      </c>
      <c r="AC808" s="135">
        <v>0.951276221969619</v>
      </c>
      <c r="AD808" s="135">
        <v>0.92</v>
      </c>
      <c r="AE808" s="133">
        <v>0.999677938808374</v>
      </c>
      <c r="AF808" s="133">
        <v>0.993957703927492</v>
      </c>
      <c r="AG808" s="133">
        <v>0.997709049255441</v>
      </c>
      <c r="AH808" s="133">
        <v>0.99926487220086</v>
      </c>
      <c r="AI808" s="135">
        <v>0.92</v>
      </c>
      <c r="AJ808" s="133">
        <v>0.95618838992333</v>
      </c>
      <c r="AK808" s="133">
        <v>0.959130206968824</v>
      </c>
      <c r="AL808" s="133">
        <v>0.957499484217041</v>
      </c>
      <c r="AM808" s="133">
        <v>0.976382023866151</v>
      </c>
      <c r="AN808" s="132">
        <v>0.99</v>
      </c>
      <c r="AO808" s="137">
        <v>1</v>
      </c>
      <c r="AP808" s="137">
        <v>1</v>
      </c>
      <c r="AQ808" s="137">
        <v>1</v>
      </c>
      <c r="AR808" s="137">
        <v>1</v>
      </c>
      <c r="AS808" s="158">
        <v>0.0810595228934205</v>
      </c>
      <c r="AT808" s="141">
        <v>0.0217391304347826</v>
      </c>
      <c r="AU808" s="141">
        <v>0.128205128205128</v>
      </c>
      <c r="AV808" s="141">
        <v>0</v>
      </c>
      <c r="AW808" s="141">
        <v>0.0295275590551181</v>
      </c>
      <c r="AX808" s="95"/>
      <c r="AY808" s="93"/>
    </row>
    <row r="809" ht="14.5" spans="1:51">
      <c r="A809" s="91"/>
      <c r="B809" s="95"/>
      <c r="C809" s="152" t="s">
        <v>668</v>
      </c>
      <c r="D809" s="153" t="s">
        <v>25</v>
      </c>
      <c r="E809" s="130" t="s">
        <v>669</v>
      </c>
      <c r="F809" s="179" t="s">
        <v>836</v>
      </c>
      <c r="G809" s="179" t="s">
        <v>836</v>
      </c>
      <c r="H809" s="179" t="s">
        <v>836</v>
      </c>
      <c r="I809" s="179" t="s">
        <v>836</v>
      </c>
      <c r="J809" s="132">
        <v>0.9</v>
      </c>
      <c r="K809" s="133">
        <v>0.956521739130435</v>
      </c>
      <c r="L809" s="133">
        <v>0.958333333333333</v>
      </c>
      <c r="M809" s="134">
        <v>0.909090909090909</v>
      </c>
      <c r="N809" s="133">
        <v>0.963203463203463</v>
      </c>
      <c r="O809" s="135">
        <v>0.9</v>
      </c>
      <c r="P809" s="133">
        <v>0.976031957390146</v>
      </c>
      <c r="Q809" s="133">
        <v>0.977044476327116</v>
      </c>
      <c r="R809" s="133">
        <v>0.954090641553855</v>
      </c>
      <c r="S809" s="133">
        <v>0.979466923958271</v>
      </c>
      <c r="T809" s="135">
        <v>0.9</v>
      </c>
      <c r="U809" s="133">
        <v>0.929427430093209</v>
      </c>
      <c r="V809" s="133">
        <v>0.873027259684362</v>
      </c>
      <c r="W809" s="133">
        <v>0.850500294290759</v>
      </c>
      <c r="X809" s="133">
        <v>0.923656756919737</v>
      </c>
      <c r="Y809" s="135">
        <v>0.92</v>
      </c>
      <c r="Z809" s="135">
        <v>0.9296875</v>
      </c>
      <c r="AA809" s="135">
        <v>0.871527777777778</v>
      </c>
      <c r="AB809" s="135">
        <v>0.908482142857143</v>
      </c>
      <c r="AC809" s="135">
        <v>0.93632183908046</v>
      </c>
      <c r="AD809" s="135">
        <v>0.92</v>
      </c>
      <c r="AE809" s="133">
        <v>0.999076638965836</v>
      </c>
      <c r="AF809" s="133">
        <v>0.998027613412229</v>
      </c>
      <c r="AG809" s="133">
        <v>1</v>
      </c>
      <c r="AH809" s="133">
        <v>0.999164985039315</v>
      </c>
      <c r="AI809" s="135">
        <v>0.92</v>
      </c>
      <c r="AJ809" s="133">
        <v>0.94806338028169</v>
      </c>
      <c r="AK809" s="133">
        <v>0.910820451843044</v>
      </c>
      <c r="AL809" s="133">
        <v>0.926874708896134</v>
      </c>
      <c r="AM809" s="133">
        <v>0.958782089552239</v>
      </c>
      <c r="AN809" s="132">
        <v>0.99</v>
      </c>
      <c r="AO809" s="137">
        <v>1</v>
      </c>
      <c r="AP809" s="137">
        <v>1</v>
      </c>
      <c r="AQ809" s="137">
        <v>1</v>
      </c>
      <c r="AR809" s="137">
        <v>1</v>
      </c>
      <c r="AS809" s="158">
        <v>0.0810595228934205</v>
      </c>
      <c r="AT809" s="141">
        <v>0</v>
      </c>
      <c r="AU809" s="141">
        <v>0</v>
      </c>
      <c r="AV809" s="141">
        <v>0.0303030303030303</v>
      </c>
      <c r="AW809" s="141">
        <v>0.0224948875255624</v>
      </c>
      <c r="AX809" s="95"/>
      <c r="AY809" s="93"/>
    </row>
    <row r="810" ht="14.5" spans="1:51">
      <c r="A810" s="91"/>
      <c r="B810" s="95"/>
      <c r="C810" s="152" t="s">
        <v>668</v>
      </c>
      <c r="D810" s="153" t="s">
        <v>25</v>
      </c>
      <c r="E810" s="130" t="s">
        <v>669</v>
      </c>
      <c r="F810" s="179" t="s">
        <v>837</v>
      </c>
      <c r="G810" s="179" t="s">
        <v>837</v>
      </c>
      <c r="H810" s="179" t="s">
        <v>837</v>
      </c>
      <c r="I810" s="179" t="s">
        <v>837</v>
      </c>
      <c r="J810" s="132">
        <v>0.9</v>
      </c>
      <c r="K810" s="133">
        <v>1</v>
      </c>
      <c r="L810" s="133">
        <v>0.851851851851852</v>
      </c>
      <c r="M810" s="134">
        <v>0.961538461538462</v>
      </c>
      <c r="N810" s="133">
        <v>0.963782696177062</v>
      </c>
      <c r="O810" s="135">
        <v>0.9</v>
      </c>
      <c r="P810" s="133">
        <v>0.950326797385621</v>
      </c>
      <c r="Q810" s="133">
        <v>0.936260623229462</v>
      </c>
      <c r="R810" s="133">
        <v>0.957231288688801</v>
      </c>
      <c r="S810" s="133">
        <v>0.958718404711233</v>
      </c>
      <c r="T810" s="135">
        <v>0.9</v>
      </c>
      <c r="U810" s="133">
        <v>0.909803921568627</v>
      </c>
      <c r="V810" s="133">
        <v>0.917847025495751</v>
      </c>
      <c r="W810" s="133">
        <v>0.891389983117614</v>
      </c>
      <c r="X810" s="133">
        <v>0.92612460278126</v>
      </c>
      <c r="Y810" s="135">
        <v>0.92</v>
      </c>
      <c r="Z810" s="135">
        <v>0.925257731958763</v>
      </c>
      <c r="AA810" s="135">
        <v>0.944852941176471</v>
      </c>
      <c r="AB810" s="135">
        <v>0.916309012875536</v>
      </c>
      <c r="AC810" s="135">
        <v>0.938343834383438</v>
      </c>
      <c r="AD810" s="135">
        <v>0.92</v>
      </c>
      <c r="AE810" s="133">
        <v>0.996732026143791</v>
      </c>
      <c r="AF810" s="133">
        <v>0.993055555555556</v>
      </c>
      <c r="AG810" s="133">
        <v>0.990990990990991</v>
      </c>
      <c r="AH810" s="133">
        <v>0.990611664295875</v>
      </c>
      <c r="AI810" s="135">
        <v>0.92</v>
      </c>
      <c r="AJ810" s="133">
        <v>0.927209705372617</v>
      </c>
      <c r="AK810" s="133">
        <v>0.957244655581948</v>
      </c>
      <c r="AL810" s="133">
        <v>0.947391885867142</v>
      </c>
      <c r="AM810" s="133">
        <v>0.965086935383048</v>
      </c>
      <c r="AN810" s="132">
        <v>0.99</v>
      </c>
      <c r="AO810" s="137">
        <v>1</v>
      </c>
      <c r="AP810" s="137">
        <v>1</v>
      </c>
      <c r="AQ810" s="137">
        <v>1</v>
      </c>
      <c r="AR810" s="137">
        <v>1</v>
      </c>
      <c r="AS810" s="158">
        <v>0.0810595228934205</v>
      </c>
      <c r="AT810" s="141">
        <v>0</v>
      </c>
      <c r="AU810" s="141">
        <v>0</v>
      </c>
      <c r="AV810" s="141">
        <v>0.0714285714285714</v>
      </c>
      <c r="AW810" s="141">
        <v>0.0437956204379562</v>
      </c>
      <c r="AX810" s="95"/>
      <c r="AY810" s="93"/>
    </row>
    <row r="811" ht="14.5" spans="1:51">
      <c r="A811" s="91"/>
      <c r="B811" s="95"/>
      <c r="C811" s="152" t="s">
        <v>668</v>
      </c>
      <c r="D811" s="153" t="s">
        <v>25</v>
      </c>
      <c r="E811" s="130" t="s">
        <v>669</v>
      </c>
      <c r="F811" s="179" t="s">
        <v>838</v>
      </c>
      <c r="G811" s="179" t="s">
        <v>838</v>
      </c>
      <c r="H811" s="179" t="s">
        <v>838</v>
      </c>
      <c r="I811" s="179" t="s">
        <v>838</v>
      </c>
      <c r="J811" s="132">
        <v>0.9</v>
      </c>
      <c r="K811" s="133">
        <v>0.976744186046512</v>
      </c>
      <c r="L811" s="133">
        <v>0.956521739130435</v>
      </c>
      <c r="M811" s="134">
        <v>1</v>
      </c>
      <c r="N811" s="133">
        <v>0.976415094339623</v>
      </c>
      <c r="O811" s="135">
        <v>0.9</v>
      </c>
      <c r="P811" s="133">
        <v>0.95380923815237</v>
      </c>
      <c r="Q811" s="133">
        <v>0.974742439348621</v>
      </c>
      <c r="R811" s="133">
        <v>0.969461077844311</v>
      </c>
      <c r="S811" s="133">
        <v>0.97103341480818</v>
      </c>
      <c r="T811" s="135">
        <v>0.9</v>
      </c>
      <c r="U811" s="133">
        <v>0.932213557288542</v>
      </c>
      <c r="V811" s="133">
        <v>0.956131605184447</v>
      </c>
      <c r="W811" s="133">
        <v>0.931437125748503</v>
      </c>
      <c r="X811" s="133">
        <v>0.953999605277141</v>
      </c>
      <c r="Y811" s="135">
        <v>0.92</v>
      </c>
      <c r="Z811" s="135">
        <v>0.940715883668904</v>
      </c>
      <c r="AA811" s="135">
        <v>0.932565789473684</v>
      </c>
      <c r="AB811" s="135">
        <v>0.943352601156069</v>
      </c>
      <c r="AC811" s="135">
        <v>0.963908652742713</v>
      </c>
      <c r="AD811" s="135">
        <v>0.92</v>
      </c>
      <c r="AE811" s="133">
        <v>0.999715180860154</v>
      </c>
      <c r="AF811" s="133">
        <v>0.998913043478261</v>
      </c>
      <c r="AG811" s="133">
        <v>0.994094488188976</v>
      </c>
      <c r="AH811" s="133">
        <v>0.99902400936951</v>
      </c>
      <c r="AI811" s="135">
        <v>0.92</v>
      </c>
      <c r="AJ811" s="133">
        <v>0.955113192818111</v>
      </c>
      <c r="AK811" s="133">
        <v>0.972636815920398</v>
      </c>
      <c r="AL811" s="133">
        <v>0.967189728958631</v>
      </c>
      <c r="AM811" s="133">
        <v>0.980338022758919</v>
      </c>
      <c r="AN811" s="132">
        <v>0.99</v>
      </c>
      <c r="AO811" s="137">
        <v>1</v>
      </c>
      <c r="AP811" s="137">
        <v>1</v>
      </c>
      <c r="AQ811" s="137">
        <v>1</v>
      </c>
      <c r="AR811" s="137">
        <v>1</v>
      </c>
      <c r="AS811" s="158">
        <v>0.0810595228934205</v>
      </c>
      <c r="AT811" s="141">
        <v>0.0555555555555556</v>
      </c>
      <c r="AU811" s="141">
        <v>0</v>
      </c>
      <c r="AV811" s="141">
        <v>0.0333333333333333</v>
      </c>
      <c r="AW811" s="141">
        <v>0.00924214417744917</v>
      </c>
      <c r="AX811" s="95"/>
      <c r="AY811" s="93"/>
    </row>
    <row r="812" ht="14.5" spans="1:51">
      <c r="A812" s="91"/>
      <c r="B812" s="95"/>
      <c r="C812" s="152" t="s">
        <v>668</v>
      </c>
      <c r="D812" s="153" t="s">
        <v>25</v>
      </c>
      <c r="E812" s="130" t="s">
        <v>669</v>
      </c>
      <c r="F812" s="179" t="s">
        <v>839</v>
      </c>
      <c r="G812" s="179" t="s">
        <v>839</v>
      </c>
      <c r="H812" s="179" t="s">
        <v>839</v>
      </c>
      <c r="I812" s="179" t="s">
        <v>839</v>
      </c>
      <c r="J812" s="132">
        <v>0.9</v>
      </c>
      <c r="K812" s="133">
        <v>1</v>
      </c>
      <c r="L812" s="133">
        <v>0.954545454545455</v>
      </c>
      <c r="M812" s="134">
        <v>1</v>
      </c>
      <c r="N812" s="133">
        <v>0.99348109517601</v>
      </c>
      <c r="O812" s="135">
        <v>0.9</v>
      </c>
      <c r="P812" s="133">
        <v>0.975506756756757</v>
      </c>
      <c r="Q812" s="133">
        <v>0.98568608094768</v>
      </c>
      <c r="R812" s="133">
        <v>0.981201471189211</v>
      </c>
      <c r="S812" s="133">
        <v>0.980648292317958</v>
      </c>
      <c r="T812" s="135">
        <v>0.9</v>
      </c>
      <c r="U812" s="133">
        <v>0.921452702702703</v>
      </c>
      <c r="V812" s="133">
        <v>0.923988153998026</v>
      </c>
      <c r="W812" s="133">
        <v>0.912137310993053</v>
      </c>
      <c r="X812" s="133">
        <v>0.938952136371909</v>
      </c>
      <c r="Y812" s="135">
        <v>0.92</v>
      </c>
      <c r="Z812" s="135">
        <v>0.912087912087912</v>
      </c>
      <c r="AA812" s="135">
        <v>0.9375</v>
      </c>
      <c r="AB812" s="135">
        <v>0.910906298003072</v>
      </c>
      <c r="AC812" s="135">
        <v>0.936007640878701</v>
      </c>
      <c r="AD812" s="135">
        <v>0.92</v>
      </c>
      <c r="AE812" s="133">
        <v>1</v>
      </c>
      <c r="AF812" s="133">
        <v>1</v>
      </c>
      <c r="AG812" s="133">
        <v>0.995423340961098</v>
      </c>
      <c r="AH812" s="133">
        <v>0.996802238433097</v>
      </c>
      <c r="AI812" s="135">
        <v>0.92</v>
      </c>
      <c r="AJ812" s="133">
        <v>0.93757225433526</v>
      </c>
      <c r="AK812" s="133">
        <v>0.945558739255014</v>
      </c>
      <c r="AL812" s="133">
        <v>0.932558889964505</v>
      </c>
      <c r="AM812" s="133">
        <v>0.961979821422815</v>
      </c>
      <c r="AN812" s="132">
        <v>0.99</v>
      </c>
      <c r="AO812" s="137">
        <v>1</v>
      </c>
      <c r="AP812" s="137">
        <v>1</v>
      </c>
      <c r="AQ812" s="137">
        <v>1</v>
      </c>
      <c r="AR812" s="137">
        <v>1</v>
      </c>
      <c r="AS812" s="158">
        <v>0.0810595228934205</v>
      </c>
      <c r="AT812" s="141">
        <v>0</v>
      </c>
      <c r="AU812" s="141">
        <v>0</v>
      </c>
      <c r="AV812" s="141">
        <v>0.037037037037037</v>
      </c>
      <c r="AW812" s="141">
        <v>0.0298245614035088</v>
      </c>
      <c r="AX812" s="95"/>
      <c r="AY812" s="93"/>
    </row>
    <row r="813" ht="14.5" spans="1:51">
      <c r="A813" s="91"/>
      <c r="B813" s="95"/>
      <c r="C813" s="152" t="s">
        <v>668</v>
      </c>
      <c r="D813" s="153" t="s">
        <v>25</v>
      </c>
      <c r="E813" s="130" t="s">
        <v>669</v>
      </c>
      <c r="F813" s="179" t="s">
        <v>840</v>
      </c>
      <c r="G813" s="179" t="s">
        <v>840</v>
      </c>
      <c r="H813" s="179" t="s">
        <v>840</v>
      </c>
      <c r="I813" s="179" t="s">
        <v>840</v>
      </c>
      <c r="J813" s="132">
        <v>0.9</v>
      </c>
      <c r="K813" s="133">
        <v>0.9</v>
      </c>
      <c r="L813" s="133">
        <v>0.774193548387097</v>
      </c>
      <c r="M813" s="134">
        <v>0.903225806451613</v>
      </c>
      <c r="N813" s="133">
        <v>0.902120717781403</v>
      </c>
      <c r="O813" s="135">
        <v>0.9</v>
      </c>
      <c r="P813" s="133">
        <v>0.950354609929078</v>
      </c>
      <c r="Q813" s="133">
        <v>0.941688424717145</v>
      </c>
      <c r="R813" s="133">
        <v>0.901607963246554</v>
      </c>
      <c r="S813" s="133">
        <v>0.947202104064849</v>
      </c>
      <c r="T813" s="135">
        <v>0.9</v>
      </c>
      <c r="U813" s="133">
        <v>0.9225768321513</v>
      </c>
      <c r="V813" s="133">
        <v>0.897302001740644</v>
      </c>
      <c r="W813" s="133">
        <v>0.897779479326187</v>
      </c>
      <c r="X813" s="133">
        <v>0.913913913913914</v>
      </c>
      <c r="Y813" s="135">
        <v>0.92</v>
      </c>
      <c r="Z813" s="135">
        <v>0.913597733711048</v>
      </c>
      <c r="AA813" s="135">
        <v>0.817757009345794</v>
      </c>
      <c r="AB813" s="135">
        <v>0.893129770992366</v>
      </c>
      <c r="AC813" s="135">
        <v>0.933292533659731</v>
      </c>
      <c r="AD813" s="135">
        <v>0.92</v>
      </c>
      <c r="AE813" s="133">
        <v>0.996738034517526</v>
      </c>
      <c r="AF813" s="133">
        <v>0.999852724594993</v>
      </c>
      <c r="AG813" s="133">
        <v>0.997610513739546</v>
      </c>
      <c r="AH813" s="133">
        <v>0.990818230177342</v>
      </c>
      <c r="AI813" s="135">
        <v>0.92</v>
      </c>
      <c r="AJ813" s="133">
        <v>0.942107455226989</v>
      </c>
      <c r="AK813" s="133">
        <v>0.911786237188873</v>
      </c>
      <c r="AL813" s="133">
        <v>0.928277483833039</v>
      </c>
      <c r="AM813" s="133">
        <v>0.9548623567028</v>
      </c>
      <c r="AN813" s="132">
        <v>0.99</v>
      </c>
      <c r="AO813" s="137">
        <v>1</v>
      </c>
      <c r="AP813" s="137">
        <v>1</v>
      </c>
      <c r="AQ813" s="137">
        <v>1</v>
      </c>
      <c r="AR813" s="137">
        <v>1</v>
      </c>
      <c r="AS813" s="158">
        <v>0.0810595228934205</v>
      </c>
      <c r="AT813" s="141">
        <v>0.0714285714285714</v>
      </c>
      <c r="AU813" s="141">
        <v>0.0740740740740741</v>
      </c>
      <c r="AV813" s="141">
        <v>0</v>
      </c>
      <c r="AW813" s="141">
        <v>0.0339892665474061</v>
      </c>
      <c r="AX813" s="95"/>
      <c r="AY813" s="93"/>
    </row>
    <row r="814" ht="14.5" spans="1:51">
      <c r="A814" s="91"/>
      <c r="B814" s="95"/>
      <c r="C814" s="152" t="s">
        <v>668</v>
      </c>
      <c r="D814" s="153" t="s">
        <v>25</v>
      </c>
      <c r="E814" s="130" t="s">
        <v>669</v>
      </c>
      <c r="F814" s="179" t="s">
        <v>841</v>
      </c>
      <c r="G814" s="179" t="s">
        <v>841</v>
      </c>
      <c r="H814" s="179" t="s">
        <v>841</v>
      </c>
      <c r="I814" s="179" t="s">
        <v>841</v>
      </c>
      <c r="J814" s="132">
        <v>0.9</v>
      </c>
      <c r="K814" s="133">
        <v>0.956521739130435</v>
      </c>
      <c r="L814" s="133">
        <v>0.869565217391304</v>
      </c>
      <c r="M814" s="134">
        <v>0.904761904761905</v>
      </c>
      <c r="N814" s="133">
        <v>0.905829596412556</v>
      </c>
      <c r="O814" s="135">
        <v>0.9</v>
      </c>
      <c r="P814" s="133">
        <v>0.951566951566952</v>
      </c>
      <c r="Q814" s="133">
        <v>0.972623574144487</v>
      </c>
      <c r="R814" s="133">
        <v>0.917525773195876</v>
      </c>
      <c r="S814" s="133">
        <v>0.974847358640828</v>
      </c>
      <c r="T814" s="135">
        <v>0.9</v>
      </c>
      <c r="U814" s="133">
        <v>0.941595441595442</v>
      </c>
      <c r="V814" s="133">
        <v>0.92319391634981</v>
      </c>
      <c r="W814" s="133">
        <v>0.916237113402062</v>
      </c>
      <c r="X814" s="133">
        <v>0.940204406689674</v>
      </c>
      <c r="Y814" s="135">
        <v>0.92</v>
      </c>
      <c r="Z814" s="135">
        <v>0.86908077994429</v>
      </c>
      <c r="AA814" s="135">
        <v>0.90188679245283</v>
      </c>
      <c r="AB814" s="135">
        <v>0.868613138686131</v>
      </c>
      <c r="AC814" s="135">
        <v>0.944586072722394</v>
      </c>
      <c r="AD814" s="135">
        <v>0.92</v>
      </c>
      <c r="AE814" s="133">
        <v>1</v>
      </c>
      <c r="AF814" s="133">
        <v>0.997229916897507</v>
      </c>
      <c r="AG814" s="133">
        <v>1</v>
      </c>
      <c r="AH814" s="133">
        <v>0.996616089946512</v>
      </c>
      <c r="AI814" s="135">
        <v>0.92</v>
      </c>
      <c r="AJ814" s="133">
        <v>0.938737040527804</v>
      </c>
      <c r="AK814" s="133">
        <v>0.93864642631246</v>
      </c>
      <c r="AL814" s="133">
        <v>0.925624044829343</v>
      </c>
      <c r="AM814" s="133">
        <v>0.965820832003405</v>
      </c>
      <c r="AN814" s="132">
        <v>0.99</v>
      </c>
      <c r="AO814" s="137">
        <v>1</v>
      </c>
      <c r="AP814" s="137">
        <v>1</v>
      </c>
      <c r="AQ814" s="137">
        <v>1</v>
      </c>
      <c r="AR814" s="137">
        <v>1</v>
      </c>
      <c r="AS814" s="158">
        <v>0.0810595228934205</v>
      </c>
      <c r="AT814" s="141">
        <v>0.0769230769230769</v>
      </c>
      <c r="AU814" s="141">
        <v>0.0526315789473684</v>
      </c>
      <c r="AV814" s="141">
        <v>0.125</v>
      </c>
      <c r="AW814" s="141">
        <v>0.0306122448979592</v>
      </c>
      <c r="AX814" s="95"/>
      <c r="AY814" s="93"/>
    </row>
    <row r="815" ht="14.5" spans="1:51">
      <c r="A815" s="91"/>
      <c r="B815" s="95"/>
      <c r="C815" s="152" t="s">
        <v>668</v>
      </c>
      <c r="D815" s="153" t="s">
        <v>25</v>
      </c>
      <c r="E815" s="130" t="s">
        <v>669</v>
      </c>
      <c r="F815" s="179" t="s">
        <v>842</v>
      </c>
      <c r="G815" s="179" t="s">
        <v>842</v>
      </c>
      <c r="H815" s="179" t="s">
        <v>842</v>
      </c>
      <c r="I815" s="179" t="s">
        <v>842</v>
      </c>
      <c r="J815" s="132">
        <v>0.9</v>
      </c>
      <c r="K815" s="133">
        <v>0.909090909090909</v>
      </c>
      <c r="L815" s="133">
        <v>1</v>
      </c>
      <c r="M815" s="134">
        <v>0.909090909090909</v>
      </c>
      <c r="N815" s="133">
        <v>0.925581395348837</v>
      </c>
      <c r="O815" s="135">
        <v>0.9</v>
      </c>
      <c r="P815" s="133">
        <v>0.970588235294118</v>
      </c>
      <c r="Q815" s="133">
        <v>0.96356783919598</v>
      </c>
      <c r="R815" s="133">
        <v>0.967471143756558</v>
      </c>
      <c r="S815" s="133">
        <v>0.945621507993583</v>
      </c>
      <c r="T815" s="135">
        <v>0.9</v>
      </c>
      <c r="U815" s="133">
        <v>0.898190045248869</v>
      </c>
      <c r="V815" s="133">
        <v>0.9321608040201</v>
      </c>
      <c r="W815" s="133">
        <v>0.902413431269675</v>
      </c>
      <c r="X815" s="133">
        <v>0.929357747413841</v>
      </c>
      <c r="Y815" s="135">
        <v>0.92</v>
      </c>
      <c r="Z815" s="135">
        <v>0.865116279069767</v>
      </c>
      <c r="AA815" s="135">
        <v>0.876811594202899</v>
      </c>
      <c r="AB815" s="135">
        <v>0.936073059360731</v>
      </c>
      <c r="AC815" s="135">
        <v>0.927347498286498</v>
      </c>
      <c r="AD815" s="135">
        <v>0.92</v>
      </c>
      <c r="AE815" s="133">
        <v>1</v>
      </c>
      <c r="AF815" s="133">
        <v>0.52605459057072</v>
      </c>
      <c r="AG815" s="133">
        <v>0.994557823129252</v>
      </c>
      <c r="AH815" s="133">
        <v>0.969721289946009</v>
      </c>
      <c r="AI815" s="135">
        <v>0.92</v>
      </c>
      <c r="AJ815" s="133">
        <v>0.899696048632219</v>
      </c>
      <c r="AK815" s="133">
        <v>0.931477516059957</v>
      </c>
      <c r="AL815" s="133">
        <v>0.943686006825939</v>
      </c>
      <c r="AM815" s="133">
        <v>0.95382837843843</v>
      </c>
      <c r="AN815" s="132">
        <v>0.99</v>
      </c>
      <c r="AO815" s="137">
        <v>1</v>
      </c>
      <c r="AP815" s="137">
        <v>1</v>
      </c>
      <c r="AQ815" s="137">
        <v>1</v>
      </c>
      <c r="AR815" s="137">
        <v>1</v>
      </c>
      <c r="AS815" s="158">
        <v>0.0810595228934205</v>
      </c>
      <c r="AT815" s="141">
        <v>0.111111111111111</v>
      </c>
      <c r="AU815" s="141">
        <v>0</v>
      </c>
      <c r="AV815" s="141">
        <v>0</v>
      </c>
      <c r="AW815" s="141">
        <v>0.0390243902439024</v>
      </c>
      <c r="AX815" s="95"/>
      <c r="AY815" s="93"/>
    </row>
    <row r="816" ht="14.5" spans="1:51">
      <c r="A816" s="91"/>
      <c r="B816" s="95"/>
      <c r="C816" s="152" t="s">
        <v>668</v>
      </c>
      <c r="D816" s="153" t="s">
        <v>25</v>
      </c>
      <c r="E816" s="130" t="s">
        <v>669</v>
      </c>
      <c r="F816" s="179" t="s">
        <v>843</v>
      </c>
      <c r="G816" s="179" t="s">
        <v>843</v>
      </c>
      <c r="H816" s="179" t="s">
        <v>843</v>
      </c>
      <c r="I816" s="179" t="s">
        <v>843</v>
      </c>
      <c r="J816" s="132">
        <v>0.9</v>
      </c>
      <c r="K816" s="133">
        <v>0.958333333333333</v>
      </c>
      <c r="L816" s="133">
        <v>1</v>
      </c>
      <c r="M816" s="134">
        <v>0.955555555555556</v>
      </c>
      <c r="N816" s="133">
        <v>0.960300429184549</v>
      </c>
      <c r="O816" s="135">
        <v>0.9</v>
      </c>
      <c r="P816" s="133">
        <v>0.982529699510832</v>
      </c>
      <c r="Q816" s="133">
        <v>0.970822281167109</v>
      </c>
      <c r="R816" s="133">
        <v>0.972049689440994</v>
      </c>
      <c r="S816" s="133">
        <v>0.979232812803732</v>
      </c>
      <c r="T816" s="135">
        <v>0.9</v>
      </c>
      <c r="U816" s="133">
        <v>0.953179594689029</v>
      </c>
      <c r="V816" s="133">
        <v>0.907919666540356</v>
      </c>
      <c r="W816" s="133">
        <v>0.88416149068323</v>
      </c>
      <c r="X816" s="133">
        <v>0.934572020993974</v>
      </c>
      <c r="Y816" s="135">
        <v>0.92</v>
      </c>
      <c r="Z816" s="135">
        <v>0.937845303867403</v>
      </c>
      <c r="AA816" s="135">
        <v>0.873822975517891</v>
      </c>
      <c r="AB816" s="135">
        <v>0.902352941176471</v>
      </c>
      <c r="AC816" s="135">
        <v>0.940549252991135</v>
      </c>
      <c r="AD816" s="135">
        <v>0.92</v>
      </c>
      <c r="AE816" s="133">
        <v>1</v>
      </c>
      <c r="AF816" s="133">
        <v>1</v>
      </c>
      <c r="AG816" s="133">
        <v>1</v>
      </c>
      <c r="AH816" s="133">
        <v>0.99840074891758</v>
      </c>
      <c r="AI816" s="135">
        <v>0.92</v>
      </c>
      <c r="AJ816" s="133">
        <v>0.957772621809745</v>
      </c>
      <c r="AK816" s="133">
        <v>0.920264733690514</v>
      </c>
      <c r="AL816" s="133">
        <v>0.924078624078624</v>
      </c>
      <c r="AM816" s="133">
        <v>0.965263509348675</v>
      </c>
      <c r="AN816" s="132">
        <v>0.99</v>
      </c>
      <c r="AO816" s="137">
        <v>1</v>
      </c>
      <c r="AP816" s="137">
        <v>1</v>
      </c>
      <c r="AQ816" s="137">
        <v>1</v>
      </c>
      <c r="AR816" s="137">
        <v>1</v>
      </c>
      <c r="AS816" s="158">
        <v>0.0810595228934205</v>
      </c>
      <c r="AT816" s="141">
        <v>0.0869565217391304</v>
      </c>
      <c r="AU816" s="141">
        <v>0.03125</v>
      </c>
      <c r="AV816" s="141">
        <v>0.0232558139534884</v>
      </c>
      <c r="AW816" s="141">
        <v>0.0476190476190476</v>
      </c>
      <c r="AX816" s="95"/>
      <c r="AY816" s="93"/>
    </row>
    <row r="817" ht="14.5" spans="1:51">
      <c r="A817" s="91"/>
      <c r="B817" s="95"/>
      <c r="C817" s="152" t="s">
        <v>668</v>
      </c>
      <c r="D817" s="153" t="s">
        <v>25</v>
      </c>
      <c r="E817" s="130" t="s">
        <v>669</v>
      </c>
      <c r="F817" s="179" t="s">
        <v>844</v>
      </c>
      <c r="G817" s="179" t="s">
        <v>844</v>
      </c>
      <c r="H817" s="179" t="s">
        <v>844</v>
      </c>
      <c r="I817" s="179" t="s">
        <v>844</v>
      </c>
      <c r="J817" s="132">
        <v>0.9</v>
      </c>
      <c r="K817" s="133">
        <v>0.966666666666667</v>
      </c>
      <c r="L817" s="133">
        <v>0.915254237288136</v>
      </c>
      <c r="M817" s="134">
        <v>0.964912280701754</v>
      </c>
      <c r="N817" s="133">
        <v>0.954504906333631</v>
      </c>
      <c r="O817" s="135">
        <v>0.9</v>
      </c>
      <c r="P817" s="133">
        <v>0.955848623853211</v>
      </c>
      <c r="Q817" s="133">
        <v>0.969003912127596</v>
      </c>
      <c r="R817" s="133">
        <v>0.973132856790732</v>
      </c>
      <c r="S817" s="133">
        <v>0.973008832290542</v>
      </c>
      <c r="T817" s="135">
        <v>0.9</v>
      </c>
      <c r="U817" s="133">
        <v>0.930045871559633</v>
      </c>
      <c r="V817" s="133">
        <v>0.910021065302438</v>
      </c>
      <c r="W817" s="133">
        <v>0.879221099334484</v>
      </c>
      <c r="X817" s="133">
        <v>0.939721893414155</v>
      </c>
      <c r="Y817" s="135">
        <v>0.92</v>
      </c>
      <c r="Z817" s="135">
        <v>0.905034324942792</v>
      </c>
      <c r="AA817" s="135">
        <v>0.846666666666667</v>
      </c>
      <c r="AB817" s="135">
        <v>0.869978858350951</v>
      </c>
      <c r="AC817" s="135">
        <v>0.905958098052668</v>
      </c>
      <c r="AD817" s="135">
        <v>0.92</v>
      </c>
      <c r="AE817" s="133">
        <v>0.999486125385406</v>
      </c>
      <c r="AF817" s="133">
        <v>0.998800959232614</v>
      </c>
      <c r="AG817" s="133">
        <v>0.992844364937388</v>
      </c>
      <c r="AH817" s="133">
        <v>0.997360519977564</v>
      </c>
      <c r="AI817" s="135">
        <v>0.92</v>
      </c>
      <c r="AJ817" s="133">
        <v>0.942748091603053</v>
      </c>
      <c r="AK817" s="133">
        <v>0.923018098394086</v>
      </c>
      <c r="AL817" s="133">
        <v>0.913851688986608</v>
      </c>
      <c r="AM817" s="133">
        <v>0.953902818209326</v>
      </c>
      <c r="AN817" s="132">
        <v>0.99</v>
      </c>
      <c r="AO817" s="137">
        <v>1</v>
      </c>
      <c r="AP817" s="137">
        <v>1</v>
      </c>
      <c r="AQ817" s="137">
        <v>1</v>
      </c>
      <c r="AR817" s="137">
        <v>1</v>
      </c>
      <c r="AS817" s="158">
        <v>0.0810595228934205</v>
      </c>
      <c r="AT817" s="141">
        <v>0.105263157894737</v>
      </c>
      <c r="AU817" s="141">
        <v>0</v>
      </c>
      <c r="AV817" s="141">
        <v>0.032258064516129</v>
      </c>
      <c r="AW817" s="141">
        <v>0.0343642611683849</v>
      </c>
      <c r="AX817" s="95"/>
      <c r="AY817" s="93"/>
    </row>
    <row r="818" ht="14.5" spans="1:51">
      <c r="A818" s="91"/>
      <c r="B818" s="95"/>
      <c r="C818" s="152" t="s">
        <v>668</v>
      </c>
      <c r="D818" s="153" t="s">
        <v>25</v>
      </c>
      <c r="E818" s="130" t="s">
        <v>669</v>
      </c>
      <c r="F818" s="179" t="s">
        <v>845</v>
      </c>
      <c r="G818" s="179" t="s">
        <v>845</v>
      </c>
      <c r="H818" s="179" t="s">
        <v>845</v>
      </c>
      <c r="I818" s="179" t="s">
        <v>845</v>
      </c>
      <c r="J818" s="132">
        <v>0.9</v>
      </c>
      <c r="K818" s="133">
        <v>0.833333333333333</v>
      </c>
      <c r="L818" s="133">
        <v>0.96</v>
      </c>
      <c r="M818" s="134">
        <v>0.84</v>
      </c>
      <c r="N818" s="133">
        <v>0.914285714285714</v>
      </c>
      <c r="O818" s="135">
        <v>0.9</v>
      </c>
      <c r="P818" s="133">
        <v>0.991588785046729</v>
      </c>
      <c r="Q818" s="133">
        <v>0.986769099445156</v>
      </c>
      <c r="R818" s="133">
        <v>0.98943810730883</v>
      </c>
      <c r="S818" s="133">
        <v>0.990152011383913</v>
      </c>
      <c r="T818" s="135">
        <v>0.9</v>
      </c>
      <c r="U818" s="133">
        <v>0.955140186915888</v>
      </c>
      <c r="V818" s="133">
        <v>0.963721724285105</v>
      </c>
      <c r="W818" s="133">
        <v>0.962822137727081</v>
      </c>
      <c r="X818" s="133">
        <v>0.966503286427394</v>
      </c>
      <c r="Y818" s="135">
        <v>0.92</v>
      </c>
      <c r="Z818" s="135">
        <v>0.929906542056075</v>
      </c>
      <c r="AA818" s="135">
        <v>0.932343234323432</v>
      </c>
      <c r="AB818" s="135">
        <v>0.942726231386025</v>
      </c>
      <c r="AC818" s="135">
        <v>0.949121497863103</v>
      </c>
      <c r="AD818" s="135">
        <v>0.92</v>
      </c>
      <c r="AE818" s="133">
        <v>0.999887564650326</v>
      </c>
      <c r="AF818" s="133">
        <v>0.994986807387863</v>
      </c>
      <c r="AG818" s="133">
        <v>0.992543496271748</v>
      </c>
      <c r="AH818" s="133">
        <v>0.994983277591973</v>
      </c>
      <c r="AI818" s="135">
        <v>0.92</v>
      </c>
      <c r="AJ818" s="133">
        <v>0.960303561004086</v>
      </c>
      <c r="AK818" s="133">
        <v>0.969820278060359</v>
      </c>
      <c r="AL818" s="133">
        <v>0.96821968528232</v>
      </c>
      <c r="AM818" s="133">
        <v>0.977757449475699</v>
      </c>
      <c r="AN818" s="132">
        <v>0.99</v>
      </c>
      <c r="AO818" s="137">
        <v>1</v>
      </c>
      <c r="AP818" s="137">
        <v>1</v>
      </c>
      <c r="AQ818" s="137">
        <v>1</v>
      </c>
      <c r="AR818" s="137">
        <v>1</v>
      </c>
      <c r="AS818" s="158">
        <v>0.0810595228934205</v>
      </c>
      <c r="AT818" s="141">
        <v>0.666666666666667</v>
      </c>
      <c r="AU818" s="141">
        <v>0</v>
      </c>
      <c r="AV818" s="141">
        <v>0.0666666666666667</v>
      </c>
      <c r="AW818" s="141">
        <v>0.0575916230366492</v>
      </c>
      <c r="AX818" s="95"/>
      <c r="AY818" s="93"/>
    </row>
    <row r="819" ht="14.5" spans="1:51">
      <c r="A819" s="91"/>
      <c r="B819" s="95"/>
      <c r="C819" s="152" t="s">
        <v>668</v>
      </c>
      <c r="D819" s="153" t="s">
        <v>25</v>
      </c>
      <c r="E819" s="130" t="s">
        <v>669</v>
      </c>
      <c r="F819" s="179" t="s">
        <v>846</v>
      </c>
      <c r="G819" s="179" t="s">
        <v>846</v>
      </c>
      <c r="H819" s="179" t="s">
        <v>846</v>
      </c>
      <c r="I819" s="179" t="s">
        <v>846</v>
      </c>
      <c r="J819" s="132">
        <v>0.9</v>
      </c>
      <c r="K819" s="133">
        <v>0.923076923076923</v>
      </c>
      <c r="L819" s="133">
        <v>0.925925925925926</v>
      </c>
      <c r="M819" s="134">
        <v>1</v>
      </c>
      <c r="N819" s="133">
        <v>0.95643153526971</v>
      </c>
      <c r="O819" s="135">
        <v>0.9</v>
      </c>
      <c r="P819" s="133">
        <v>0.946018893387314</v>
      </c>
      <c r="Q819" s="133">
        <v>0.957907396271798</v>
      </c>
      <c r="R819" s="133">
        <v>0.959493670886076</v>
      </c>
      <c r="S819" s="133">
        <v>0.964098702898799</v>
      </c>
      <c r="T819" s="135">
        <v>0.9</v>
      </c>
      <c r="U819" s="133">
        <v>0.93387314439946</v>
      </c>
      <c r="V819" s="133">
        <v>0.95009019843656</v>
      </c>
      <c r="W819" s="133">
        <v>0.95</v>
      </c>
      <c r="X819" s="133">
        <v>0.950785447825045</v>
      </c>
      <c r="Y819" s="135">
        <v>0.92</v>
      </c>
      <c r="Z819" s="135">
        <v>0.910326086956522</v>
      </c>
      <c r="AA819" s="135">
        <v>0.922594142259414</v>
      </c>
      <c r="AB819" s="135">
        <v>0.93205574912892</v>
      </c>
      <c r="AC819" s="135">
        <v>0.928660346643685</v>
      </c>
      <c r="AD819" s="135">
        <v>0.92</v>
      </c>
      <c r="AE819" s="133">
        <v>1</v>
      </c>
      <c r="AF819" s="133">
        <v>0.994277539341917</v>
      </c>
      <c r="AG819" s="133">
        <v>0.998447204968944</v>
      </c>
      <c r="AH819" s="133">
        <v>0.995964351774004</v>
      </c>
      <c r="AI819" s="135">
        <v>0.92</v>
      </c>
      <c r="AJ819" s="133">
        <v>0.950405770964833</v>
      </c>
      <c r="AK819" s="133">
        <v>0.961233068659505</v>
      </c>
      <c r="AL819" s="133">
        <v>0.965645311049211</v>
      </c>
      <c r="AM819" s="133">
        <v>0.963567142352882</v>
      </c>
      <c r="AN819" s="132">
        <v>0.99</v>
      </c>
      <c r="AO819" s="137">
        <v>1</v>
      </c>
      <c r="AP819" s="137">
        <v>1</v>
      </c>
      <c r="AQ819" s="137">
        <v>1</v>
      </c>
      <c r="AR819" s="137">
        <v>1</v>
      </c>
      <c r="AS819" s="158">
        <v>0.0810595228934205</v>
      </c>
      <c r="AT819" s="141">
        <v>0</v>
      </c>
      <c r="AU819" s="141">
        <v>0</v>
      </c>
      <c r="AV819" s="141">
        <v>0</v>
      </c>
      <c r="AW819" s="141">
        <v>0.0397727272727273</v>
      </c>
      <c r="AX819" s="95"/>
      <c r="AY819" s="93"/>
    </row>
    <row r="820" ht="14.5" spans="1:51">
      <c r="A820" s="91"/>
      <c r="B820" s="95"/>
      <c r="C820" s="152" t="s">
        <v>668</v>
      </c>
      <c r="D820" s="153" t="s">
        <v>25</v>
      </c>
      <c r="E820" s="130" t="s">
        <v>669</v>
      </c>
      <c r="F820" s="179" t="s">
        <v>847</v>
      </c>
      <c r="G820" s="179" t="s">
        <v>847</v>
      </c>
      <c r="H820" s="179" t="s">
        <v>847</v>
      </c>
      <c r="I820" s="179" t="s">
        <v>847</v>
      </c>
      <c r="J820" s="132">
        <v>0.9</v>
      </c>
      <c r="K820" s="133">
        <v>0.903225806451613</v>
      </c>
      <c r="L820" s="133">
        <v>1</v>
      </c>
      <c r="M820" s="134">
        <v>1</v>
      </c>
      <c r="N820" s="133">
        <v>0.979259259259259</v>
      </c>
      <c r="O820" s="135">
        <v>0.9</v>
      </c>
      <c r="P820" s="133">
        <v>0.938392186326071</v>
      </c>
      <c r="Q820" s="133">
        <v>0.957789979409746</v>
      </c>
      <c r="R820" s="133">
        <v>0.954861111111111</v>
      </c>
      <c r="S820" s="133">
        <v>0.958322996774994</v>
      </c>
      <c r="T820" s="135">
        <v>0.9</v>
      </c>
      <c r="U820" s="133">
        <v>0.902329075882795</v>
      </c>
      <c r="V820" s="133">
        <v>0.920041180507893</v>
      </c>
      <c r="W820" s="133">
        <v>0.938888888888889</v>
      </c>
      <c r="X820" s="133">
        <v>0.93406866019121</v>
      </c>
      <c r="Y820" s="135">
        <v>0.92</v>
      </c>
      <c r="Z820" s="135">
        <v>0.883940620782726</v>
      </c>
      <c r="AA820" s="135">
        <v>0.88681592039801</v>
      </c>
      <c r="AB820" s="135">
        <v>0.916666666666667</v>
      </c>
      <c r="AC820" s="135">
        <v>0.91480424363186</v>
      </c>
      <c r="AD820" s="135">
        <v>0.92</v>
      </c>
      <c r="AE820" s="133">
        <v>0.999030303030303</v>
      </c>
      <c r="AF820" s="133">
        <v>0.992019154030327</v>
      </c>
      <c r="AG820" s="133">
        <v>0.988269794721408</v>
      </c>
      <c r="AH820" s="133">
        <v>0.986749508654029</v>
      </c>
      <c r="AI820" s="135">
        <v>0.92</v>
      </c>
      <c r="AJ820" s="133">
        <v>0.924710424710425</v>
      </c>
      <c r="AK820" s="133">
        <v>0.949435180204411</v>
      </c>
      <c r="AL820" s="133">
        <v>0.956948640483384</v>
      </c>
      <c r="AM820" s="133">
        <v>0.961099526600541</v>
      </c>
      <c r="AN820" s="132">
        <v>0.99</v>
      </c>
      <c r="AO820" s="137">
        <v>1</v>
      </c>
      <c r="AP820" s="137">
        <v>1</v>
      </c>
      <c r="AQ820" s="137">
        <v>1</v>
      </c>
      <c r="AR820" s="137">
        <v>1</v>
      </c>
      <c r="AS820" s="158">
        <v>0.0810595228934205</v>
      </c>
      <c r="AT820" s="141">
        <v>0</v>
      </c>
      <c r="AU820" s="141">
        <v>0.0833333333333333</v>
      </c>
      <c r="AV820" s="141">
        <v>0</v>
      </c>
      <c r="AW820" s="141">
        <v>0.0672268907563025</v>
      </c>
      <c r="AX820" s="95"/>
      <c r="AY820" s="93"/>
    </row>
    <row r="821" ht="14.5" spans="1:51">
      <c r="A821" s="91"/>
      <c r="B821" s="95"/>
      <c r="C821" s="152" t="s">
        <v>668</v>
      </c>
      <c r="D821" s="153" t="s">
        <v>25</v>
      </c>
      <c r="E821" s="130" t="s">
        <v>669</v>
      </c>
      <c r="F821" s="179" t="s">
        <v>848</v>
      </c>
      <c r="G821" s="179" t="s">
        <v>848</v>
      </c>
      <c r="H821" s="179" t="s">
        <v>848</v>
      </c>
      <c r="I821" s="179" t="s">
        <v>848</v>
      </c>
      <c r="J821" s="132">
        <v>0.9</v>
      </c>
      <c r="K821" s="133">
        <v>0.966666666666667</v>
      </c>
      <c r="L821" s="133">
        <v>1</v>
      </c>
      <c r="M821" s="134">
        <v>1</v>
      </c>
      <c r="N821" s="133">
        <v>0.967984934086629</v>
      </c>
      <c r="O821" s="135">
        <v>0.9</v>
      </c>
      <c r="P821" s="133">
        <v>0.994462025316456</v>
      </c>
      <c r="Q821" s="133">
        <v>0.994219653179191</v>
      </c>
      <c r="R821" s="133">
        <v>0.991248097412481</v>
      </c>
      <c r="S821" s="133">
        <v>0.993877160533197</v>
      </c>
      <c r="T821" s="135">
        <v>0.9</v>
      </c>
      <c r="U821" s="133">
        <v>0.963607594936709</v>
      </c>
      <c r="V821" s="133">
        <v>0.966401734104046</v>
      </c>
      <c r="W821" s="133">
        <v>0.96765601217656</v>
      </c>
      <c r="X821" s="133">
        <v>0.967918872377065</v>
      </c>
      <c r="Y821" s="135">
        <v>0.92</v>
      </c>
      <c r="Z821" s="135">
        <v>0.944360902255639</v>
      </c>
      <c r="AA821" s="135">
        <v>0.941256830601093</v>
      </c>
      <c r="AB821" s="135">
        <v>0.944507361268403</v>
      </c>
      <c r="AC821" s="135">
        <v>0.944979283451133</v>
      </c>
      <c r="AD821" s="135">
        <v>0.92</v>
      </c>
      <c r="AE821" s="133">
        <v>0.999698659032696</v>
      </c>
      <c r="AF821" s="133">
        <v>0.971287940935193</v>
      </c>
      <c r="AG821" s="133">
        <v>0.982843137254902</v>
      </c>
      <c r="AH821" s="133">
        <v>0.994474751713526</v>
      </c>
      <c r="AI821" s="135">
        <v>0.92</v>
      </c>
      <c r="AJ821" s="133">
        <v>0.964748574390876</v>
      </c>
      <c r="AK821" s="133">
        <v>0.972</v>
      </c>
      <c r="AL821" s="133">
        <v>0.972942181714611</v>
      </c>
      <c r="AM821" s="133">
        <v>0.975543264154809</v>
      </c>
      <c r="AN821" s="132">
        <v>0.99</v>
      </c>
      <c r="AO821" s="137">
        <v>1</v>
      </c>
      <c r="AP821" s="137">
        <v>1</v>
      </c>
      <c r="AQ821" s="137">
        <v>1</v>
      </c>
      <c r="AR821" s="137">
        <v>1</v>
      </c>
      <c r="AS821" s="158">
        <v>0.0810595228934205</v>
      </c>
      <c r="AT821" s="141">
        <v>0</v>
      </c>
      <c r="AU821" s="141">
        <v>0</v>
      </c>
      <c r="AV821" s="141">
        <v>0</v>
      </c>
      <c r="AW821" s="141">
        <v>0.036734693877551</v>
      </c>
      <c r="AX821" s="95"/>
      <c r="AY821" s="93"/>
    </row>
    <row r="822" ht="14.5" spans="1:51">
      <c r="A822" s="91"/>
      <c r="B822" s="95"/>
      <c r="C822" s="152" t="s">
        <v>668</v>
      </c>
      <c r="D822" s="153" t="s">
        <v>25</v>
      </c>
      <c r="E822" s="130" t="s">
        <v>669</v>
      </c>
      <c r="F822" s="179" t="s">
        <v>849</v>
      </c>
      <c r="G822" s="179" t="s">
        <v>849</v>
      </c>
      <c r="H822" s="179" t="s">
        <v>849</v>
      </c>
      <c r="I822" s="179" t="s">
        <v>849</v>
      </c>
      <c r="J822" s="132">
        <v>0.9</v>
      </c>
      <c r="K822" s="133">
        <v>0.96875</v>
      </c>
      <c r="L822" s="133">
        <v>1</v>
      </c>
      <c r="M822" s="134">
        <v>1</v>
      </c>
      <c r="N822" s="133">
        <v>0.998563218390805</v>
      </c>
      <c r="O822" s="135">
        <v>0.9</v>
      </c>
      <c r="P822" s="133">
        <v>0.992287917737789</v>
      </c>
      <c r="Q822" s="133">
        <v>0.991440267956829</v>
      </c>
      <c r="R822" s="133">
        <v>0.993527508090615</v>
      </c>
      <c r="S822" s="133">
        <v>0.99396617831053</v>
      </c>
      <c r="T822" s="135">
        <v>0.9</v>
      </c>
      <c r="U822" s="133">
        <v>0.966580976863753</v>
      </c>
      <c r="V822" s="133">
        <v>0.97618161518422</v>
      </c>
      <c r="W822" s="133">
        <v>0.977705861201007</v>
      </c>
      <c r="X822" s="133">
        <v>0.979295314202688</v>
      </c>
      <c r="Y822" s="135">
        <v>0.92</v>
      </c>
      <c r="Z822" s="135">
        <v>0.926940639269406</v>
      </c>
      <c r="AA822" s="135">
        <v>0.931168831168831</v>
      </c>
      <c r="AB822" s="135">
        <v>0.945365853658537</v>
      </c>
      <c r="AC822" s="135">
        <v>0.937958452320959</v>
      </c>
      <c r="AD822" s="135">
        <v>0.92</v>
      </c>
      <c r="AE822" s="133">
        <v>0.997896213183731</v>
      </c>
      <c r="AF822" s="133">
        <v>0.998422712933754</v>
      </c>
      <c r="AG822" s="133">
        <v>0.998355263157895</v>
      </c>
      <c r="AH822" s="133">
        <v>0.996804567338418</v>
      </c>
      <c r="AI822" s="135">
        <v>0.92</v>
      </c>
      <c r="AJ822" s="133">
        <v>0.963267543859649</v>
      </c>
      <c r="AK822" s="133">
        <v>0.978594156783338</v>
      </c>
      <c r="AL822" s="133">
        <v>0.980294272201787</v>
      </c>
      <c r="AM822" s="133">
        <v>0.979485277757176</v>
      </c>
      <c r="AN822" s="132">
        <v>0.99</v>
      </c>
      <c r="AO822" s="137">
        <v>1</v>
      </c>
      <c r="AP822" s="137">
        <v>1</v>
      </c>
      <c r="AQ822" s="137">
        <v>1</v>
      </c>
      <c r="AR822" s="137">
        <v>1</v>
      </c>
      <c r="AS822" s="158">
        <v>0.0810595228934205</v>
      </c>
      <c r="AT822" s="141">
        <v>0</v>
      </c>
      <c r="AU822" s="141">
        <v>0</v>
      </c>
      <c r="AV822" s="141">
        <v>0</v>
      </c>
      <c r="AW822" s="141">
        <v>0.0171428571428571</v>
      </c>
      <c r="AX822" s="95"/>
      <c r="AY822" s="93"/>
    </row>
    <row r="823" ht="14.5" spans="1:51">
      <c r="A823" s="91"/>
      <c r="B823" s="95"/>
      <c r="C823" s="152" t="s">
        <v>668</v>
      </c>
      <c r="D823" s="153" t="s">
        <v>25</v>
      </c>
      <c r="E823" s="130" t="s">
        <v>669</v>
      </c>
      <c r="F823" s="179" t="s">
        <v>850</v>
      </c>
      <c r="G823" s="179" t="s">
        <v>850</v>
      </c>
      <c r="H823" s="179" t="s">
        <v>850</v>
      </c>
      <c r="I823" s="179" t="s">
        <v>850</v>
      </c>
      <c r="J823" s="132">
        <v>0.9</v>
      </c>
      <c r="K823" s="133">
        <v>0.96551724137931</v>
      </c>
      <c r="L823" s="133">
        <v>0.875</v>
      </c>
      <c r="M823" s="134">
        <v>0.970588235294118</v>
      </c>
      <c r="N823" s="133">
        <v>0.922734026745914</v>
      </c>
      <c r="O823" s="135">
        <v>0.9</v>
      </c>
      <c r="P823" s="133">
        <v>0.977700348432056</v>
      </c>
      <c r="Q823" s="133">
        <v>0.974949899799599</v>
      </c>
      <c r="R823" s="133">
        <v>0.977933801404213</v>
      </c>
      <c r="S823" s="133">
        <v>0.977869909710706</v>
      </c>
      <c r="T823" s="135">
        <v>0.9</v>
      </c>
      <c r="U823" s="133">
        <v>0.927526132404181</v>
      </c>
      <c r="V823" s="133">
        <v>0.93253173012692</v>
      </c>
      <c r="W823" s="133">
        <v>0.898361751922434</v>
      </c>
      <c r="X823" s="133">
        <v>0.922719734660033</v>
      </c>
      <c r="Y823" s="135">
        <v>0.92</v>
      </c>
      <c r="Z823" s="135">
        <v>0.935441370223979</v>
      </c>
      <c r="AA823" s="135">
        <v>0.919127086007702</v>
      </c>
      <c r="AB823" s="135">
        <v>0.93007662835249</v>
      </c>
      <c r="AC823" s="135">
        <v>0.944910695072089</v>
      </c>
      <c r="AD823" s="135">
        <v>0.92</v>
      </c>
      <c r="AE823" s="133">
        <v>1</v>
      </c>
      <c r="AF823" s="133">
        <v>0.996671105193076</v>
      </c>
      <c r="AG823" s="133">
        <v>0.994531784005468</v>
      </c>
      <c r="AH823" s="133">
        <v>0.995220529270249</v>
      </c>
      <c r="AI823" s="135">
        <v>0.92</v>
      </c>
      <c r="AJ823" s="133">
        <v>0.955353075170843</v>
      </c>
      <c r="AK823" s="133">
        <v>0.95364238410596</v>
      </c>
      <c r="AL823" s="133">
        <v>0.948946716232962</v>
      </c>
      <c r="AM823" s="133">
        <v>0.966349650733528</v>
      </c>
      <c r="AN823" s="132">
        <v>0.99</v>
      </c>
      <c r="AO823" s="137">
        <v>1</v>
      </c>
      <c r="AP823" s="137">
        <v>1</v>
      </c>
      <c r="AQ823" s="137">
        <v>1</v>
      </c>
      <c r="AR823" s="137">
        <v>1</v>
      </c>
      <c r="AS823" s="158">
        <v>0.0810595228934205</v>
      </c>
      <c r="AT823" s="141">
        <v>0</v>
      </c>
      <c r="AU823" s="141">
        <v>0.0909090909090909</v>
      </c>
      <c r="AV823" s="141">
        <v>0.0357142857142857</v>
      </c>
      <c r="AW823" s="141">
        <v>0.0369609856262834</v>
      </c>
      <c r="AX823" s="95"/>
      <c r="AY823" s="93"/>
    </row>
    <row r="824" ht="14.5" spans="1:51">
      <c r="A824" s="91"/>
      <c r="B824" s="95"/>
      <c r="C824" s="152" t="s">
        <v>668</v>
      </c>
      <c r="D824" s="153" t="s">
        <v>25</v>
      </c>
      <c r="E824" s="130" t="s">
        <v>669</v>
      </c>
      <c r="F824" s="179" t="s">
        <v>851</v>
      </c>
      <c r="G824" s="179" t="s">
        <v>851</v>
      </c>
      <c r="H824" s="179" t="s">
        <v>851</v>
      </c>
      <c r="I824" s="179" t="s">
        <v>851</v>
      </c>
      <c r="J824" s="132">
        <v>0.9</v>
      </c>
      <c r="K824" s="133">
        <v>0.96551724137931</v>
      </c>
      <c r="L824" s="133">
        <v>1</v>
      </c>
      <c r="M824" s="134">
        <v>0.96551724137931</v>
      </c>
      <c r="N824" s="133">
        <v>0.981718464351006</v>
      </c>
      <c r="O824" s="135">
        <v>0.9</v>
      </c>
      <c r="P824" s="133">
        <v>0.909090909090909</v>
      </c>
      <c r="Q824" s="133">
        <v>0.955771305285868</v>
      </c>
      <c r="R824" s="133">
        <v>0.941287878787879</v>
      </c>
      <c r="S824" s="133">
        <v>0.94118498604074</v>
      </c>
      <c r="T824" s="135">
        <v>0.9</v>
      </c>
      <c r="U824" s="133">
        <v>0.935537190082645</v>
      </c>
      <c r="V824" s="133">
        <v>0.951096727795757</v>
      </c>
      <c r="W824" s="133">
        <v>0.94469696969697</v>
      </c>
      <c r="X824" s="133">
        <v>0.939633957191604</v>
      </c>
      <c r="Y824" s="135">
        <v>0.92</v>
      </c>
      <c r="Z824" s="135">
        <v>0.870738636363636</v>
      </c>
      <c r="AA824" s="135">
        <v>0.847527472527473</v>
      </c>
      <c r="AB824" s="135">
        <v>0.832823649337411</v>
      </c>
      <c r="AC824" s="135">
        <v>0.873559840112861</v>
      </c>
      <c r="AD824" s="135">
        <v>0.92</v>
      </c>
      <c r="AE824" s="133">
        <v>0.99739921976593</v>
      </c>
      <c r="AF824" s="133">
        <v>0.971289537712895</v>
      </c>
      <c r="AG824" s="133">
        <v>0.936651583710407</v>
      </c>
      <c r="AH824" s="133">
        <v>0.989982476635514</v>
      </c>
      <c r="AI824" s="135">
        <v>0.92</v>
      </c>
      <c r="AJ824" s="133">
        <v>0.928422152560084</v>
      </c>
      <c r="AK824" s="133">
        <v>0.948133371330864</v>
      </c>
      <c r="AL824" s="133">
        <v>0.940071803369235</v>
      </c>
      <c r="AM824" s="133">
        <v>0.947589034389916</v>
      </c>
      <c r="AN824" s="132">
        <v>0.99</v>
      </c>
      <c r="AO824" s="137">
        <v>1</v>
      </c>
      <c r="AP824" s="137">
        <v>1</v>
      </c>
      <c r="AQ824" s="137">
        <v>1</v>
      </c>
      <c r="AR824" s="137">
        <v>1</v>
      </c>
      <c r="AS824" s="158">
        <v>0.0810595228934205</v>
      </c>
      <c r="AT824" s="141">
        <v>0</v>
      </c>
      <c r="AU824" s="141">
        <v>0</v>
      </c>
      <c r="AV824" s="141">
        <v>0</v>
      </c>
      <c r="AW824" s="141">
        <v>0.0416666666666667</v>
      </c>
      <c r="AX824" s="95"/>
      <c r="AY824" s="93"/>
    </row>
    <row r="825" ht="14.5" spans="1:51">
      <c r="A825" s="91"/>
      <c r="B825" s="95"/>
      <c r="C825" s="152" t="s">
        <v>668</v>
      </c>
      <c r="D825" s="153" t="s">
        <v>25</v>
      </c>
      <c r="E825" s="130" t="s">
        <v>669</v>
      </c>
      <c r="F825" s="179" t="s">
        <v>852</v>
      </c>
      <c r="G825" s="179" t="s">
        <v>852</v>
      </c>
      <c r="H825" s="179" t="s">
        <v>852</v>
      </c>
      <c r="I825" s="179" t="s">
        <v>852</v>
      </c>
      <c r="J825" s="132">
        <v>0.9</v>
      </c>
      <c r="K825" s="133">
        <v>0.823529411764706</v>
      </c>
      <c r="L825" s="133">
        <v>1</v>
      </c>
      <c r="M825" s="134">
        <v>0.909090909090909</v>
      </c>
      <c r="N825" s="133">
        <v>0.875331564986737</v>
      </c>
      <c r="O825" s="135">
        <v>0.9</v>
      </c>
      <c r="P825" s="133">
        <v>0.973950795947902</v>
      </c>
      <c r="Q825" s="133">
        <v>0.95031847133758</v>
      </c>
      <c r="R825" s="133">
        <v>0.966688438928805</v>
      </c>
      <c r="S825" s="133">
        <v>0.943052808906467</v>
      </c>
      <c r="T825" s="135">
        <v>0.9</v>
      </c>
      <c r="U825" s="133">
        <v>0.936324167872648</v>
      </c>
      <c r="V825" s="133">
        <v>0.928662420382166</v>
      </c>
      <c r="W825" s="133">
        <v>0.928151534944481</v>
      </c>
      <c r="X825" s="133">
        <v>0.93799897458434</v>
      </c>
      <c r="Y825" s="135">
        <v>0.92</v>
      </c>
      <c r="Z825" s="135">
        <v>0.900523560209424</v>
      </c>
      <c r="AA825" s="135">
        <v>0.866834170854271</v>
      </c>
      <c r="AB825" s="135">
        <v>0.914965986394558</v>
      </c>
      <c r="AC825" s="135">
        <v>0.926226978084165</v>
      </c>
      <c r="AD825" s="135">
        <v>0.92</v>
      </c>
      <c r="AE825" s="133">
        <v>0.994082840236686</v>
      </c>
      <c r="AF825" s="133">
        <v>1</v>
      </c>
      <c r="AG825" s="133">
        <v>0.991869918699187</v>
      </c>
      <c r="AH825" s="133">
        <v>0.989821882951654</v>
      </c>
      <c r="AI825" s="135">
        <v>0.92</v>
      </c>
      <c r="AJ825" s="133">
        <v>0.945945945945946</v>
      </c>
      <c r="AK825" s="133">
        <v>0.944105691056911</v>
      </c>
      <c r="AL825" s="133">
        <v>0.952336007550731</v>
      </c>
      <c r="AM825" s="133">
        <v>0.963079000675219</v>
      </c>
      <c r="AN825" s="132">
        <v>0.99</v>
      </c>
      <c r="AO825" s="137">
        <v>1</v>
      </c>
      <c r="AP825" s="137">
        <v>1</v>
      </c>
      <c r="AQ825" s="137">
        <v>1</v>
      </c>
      <c r="AR825" s="137">
        <v>1</v>
      </c>
      <c r="AS825" s="158">
        <v>0.0810595228934205</v>
      </c>
      <c r="AT825" s="141">
        <v>0</v>
      </c>
      <c r="AU825" s="141">
        <v>0</v>
      </c>
      <c r="AV825" s="141">
        <v>0</v>
      </c>
      <c r="AW825" s="141">
        <v>0.0431654676258993</v>
      </c>
      <c r="AX825" s="95"/>
      <c r="AY825" s="93"/>
    </row>
    <row r="826" ht="14.5" spans="1:51">
      <c r="A826" s="91"/>
      <c r="B826" s="95"/>
      <c r="C826" s="152" t="s">
        <v>668</v>
      </c>
      <c r="D826" s="153" t="s">
        <v>25</v>
      </c>
      <c r="E826" s="130" t="s">
        <v>669</v>
      </c>
      <c r="F826" s="179" t="s">
        <v>853</v>
      </c>
      <c r="G826" s="179" t="s">
        <v>853</v>
      </c>
      <c r="H826" s="179" t="s">
        <v>853</v>
      </c>
      <c r="I826" s="179" t="s">
        <v>853</v>
      </c>
      <c r="J826" s="132">
        <v>0.9</v>
      </c>
      <c r="K826" s="133">
        <v>0.923076923076923</v>
      </c>
      <c r="L826" s="133">
        <v>0.862068965517241</v>
      </c>
      <c r="M826" s="134">
        <v>0.888888888888889</v>
      </c>
      <c r="N826" s="133">
        <v>0.918918918918919</v>
      </c>
      <c r="O826" s="135">
        <v>0.9</v>
      </c>
      <c r="P826" s="133">
        <v>0.924886877828054</v>
      </c>
      <c r="Q826" s="133">
        <v>0.91893057352307</v>
      </c>
      <c r="R826" s="133">
        <v>0.905624404194471</v>
      </c>
      <c r="S826" s="133">
        <v>0.909121421010508</v>
      </c>
      <c r="T826" s="135">
        <v>0.9</v>
      </c>
      <c r="U826" s="133">
        <v>0.910407239819005</v>
      </c>
      <c r="V826" s="133">
        <v>0.924105217766279</v>
      </c>
      <c r="W826" s="133">
        <v>0.907530981887512</v>
      </c>
      <c r="X826" s="133">
        <v>0.919861616709266</v>
      </c>
      <c r="Y826" s="135">
        <v>0.92</v>
      </c>
      <c r="Z826" s="135">
        <v>0.897654584221748</v>
      </c>
      <c r="AA826" s="135">
        <v>0.924963924963925</v>
      </c>
      <c r="AB826" s="135">
        <v>0.869891576313595</v>
      </c>
      <c r="AC826" s="135">
        <v>0.914969855534069</v>
      </c>
      <c r="AD826" s="135">
        <v>0.92</v>
      </c>
      <c r="AE826" s="133">
        <v>0.994708994708995</v>
      </c>
      <c r="AF826" s="133">
        <v>0.98088813940416</v>
      </c>
      <c r="AG826" s="133">
        <v>0.985036119711042</v>
      </c>
      <c r="AH826" s="133">
        <v>0.986778458561754</v>
      </c>
      <c r="AI826" s="135">
        <v>0.92</v>
      </c>
      <c r="AJ826" s="133">
        <v>0.940355329949239</v>
      </c>
      <c r="AK826" s="133">
        <v>0.958926796952633</v>
      </c>
      <c r="AL826" s="133">
        <v>0.926925409338993</v>
      </c>
      <c r="AM826" s="133">
        <v>0.957178573328369</v>
      </c>
      <c r="AN826" s="132">
        <v>0.99</v>
      </c>
      <c r="AO826" s="137">
        <v>1</v>
      </c>
      <c r="AP826" s="137">
        <v>1</v>
      </c>
      <c r="AQ826" s="137">
        <v>1</v>
      </c>
      <c r="AR826" s="137">
        <v>1</v>
      </c>
      <c r="AS826" s="158">
        <v>0.0810595228934205</v>
      </c>
      <c r="AT826" s="141">
        <v>0.111111111111111</v>
      </c>
      <c r="AU826" s="141">
        <v>0.153846153846154</v>
      </c>
      <c r="AV826" s="141">
        <v>0</v>
      </c>
      <c r="AW826" s="141">
        <v>0.0480349344978166</v>
      </c>
      <c r="AX826" s="95"/>
      <c r="AY826" s="93"/>
    </row>
    <row r="827" ht="14.5" spans="1:51">
      <c r="A827" s="91"/>
      <c r="B827" s="95"/>
      <c r="C827" s="152" t="s">
        <v>668</v>
      </c>
      <c r="D827" s="153" t="s">
        <v>25</v>
      </c>
      <c r="E827" s="130" t="s">
        <v>669</v>
      </c>
      <c r="F827" s="179" t="s">
        <v>854</v>
      </c>
      <c r="G827" s="179" t="s">
        <v>854</v>
      </c>
      <c r="H827" s="179" t="s">
        <v>854</v>
      </c>
      <c r="I827" s="179" t="s">
        <v>854</v>
      </c>
      <c r="J827" s="132">
        <v>0.9</v>
      </c>
      <c r="K827" s="133">
        <v>0.842105263157895</v>
      </c>
      <c r="L827" s="133">
        <v>0.769230769230769</v>
      </c>
      <c r="M827" s="134">
        <v>0.91304347826087</v>
      </c>
      <c r="N827" s="133">
        <v>0.853006681514477</v>
      </c>
      <c r="O827" s="135">
        <v>0.9</v>
      </c>
      <c r="P827" s="133">
        <v>0.968011126564673</v>
      </c>
      <c r="Q827" s="133">
        <v>0.934495192307692</v>
      </c>
      <c r="R827" s="133">
        <v>0.887832699619772</v>
      </c>
      <c r="S827" s="133">
        <v>0.907670972921685</v>
      </c>
      <c r="T827" s="135">
        <v>0.9</v>
      </c>
      <c r="U827" s="133">
        <v>0.931849791376912</v>
      </c>
      <c r="V827" s="133">
        <v>0.890625</v>
      </c>
      <c r="W827" s="133">
        <v>0.766793409378961</v>
      </c>
      <c r="X827" s="133">
        <v>0.91186774687979</v>
      </c>
      <c r="Y827" s="135">
        <v>0.92</v>
      </c>
      <c r="Z827" s="135">
        <v>0.853932584269663</v>
      </c>
      <c r="AA827" s="135">
        <v>0.83596837944664</v>
      </c>
      <c r="AB827" s="135">
        <v>0.685069008782936</v>
      </c>
      <c r="AC827" s="135">
        <v>0.898257221236082</v>
      </c>
      <c r="AD827" s="135">
        <v>0.92</v>
      </c>
      <c r="AE827" s="133">
        <v>0.98694942903752</v>
      </c>
      <c r="AF827" s="133">
        <v>0.975206611570248</v>
      </c>
      <c r="AG827" s="133">
        <v>0.985928705440901</v>
      </c>
      <c r="AH827" s="133">
        <v>0.983673469387755</v>
      </c>
      <c r="AI827" s="135">
        <v>0.92</v>
      </c>
      <c r="AJ827" s="133">
        <v>0.924651162790698</v>
      </c>
      <c r="AK827" s="133">
        <v>0.917972350230415</v>
      </c>
      <c r="AL827" s="133">
        <v>0.845959595959596</v>
      </c>
      <c r="AM827" s="133">
        <v>0.949497739829232</v>
      </c>
      <c r="AN827" s="132">
        <v>0.99</v>
      </c>
      <c r="AO827" s="137">
        <v>1</v>
      </c>
      <c r="AP827" s="137">
        <v>1</v>
      </c>
      <c r="AQ827" s="137">
        <v>1</v>
      </c>
      <c r="AR827" s="137">
        <v>1</v>
      </c>
      <c r="AS827" s="158">
        <v>0.0810595228934205</v>
      </c>
      <c r="AT827" s="141">
        <v>0</v>
      </c>
      <c r="AU827" s="141">
        <v>0</v>
      </c>
      <c r="AV827" s="141">
        <v>0</v>
      </c>
      <c r="AW827" s="141">
        <v>0.0493827160493827</v>
      </c>
      <c r="AX827" s="95"/>
      <c r="AY827" s="93"/>
    </row>
    <row r="828" ht="14.5" spans="1:51">
      <c r="A828" s="91"/>
      <c r="B828" s="95"/>
      <c r="C828" s="152" t="s">
        <v>668</v>
      </c>
      <c r="D828" s="153" t="s">
        <v>25</v>
      </c>
      <c r="E828" s="130" t="s">
        <v>669</v>
      </c>
      <c r="F828" s="179" t="s">
        <v>855</v>
      </c>
      <c r="G828" s="179" t="s">
        <v>855</v>
      </c>
      <c r="H828" s="179" t="s">
        <v>855</v>
      </c>
      <c r="I828" s="179" t="s">
        <v>855</v>
      </c>
      <c r="J828" s="132">
        <v>0.9</v>
      </c>
      <c r="K828" s="133">
        <v>1</v>
      </c>
      <c r="L828" s="133">
        <v>1</v>
      </c>
      <c r="M828" s="134">
        <v>0.925925925925926</v>
      </c>
      <c r="N828" s="133">
        <v>0.969407265774379</v>
      </c>
      <c r="O828" s="135">
        <v>0.9</v>
      </c>
      <c r="P828" s="133">
        <v>0.939300411522634</v>
      </c>
      <c r="Q828" s="133">
        <v>0.84506273867976</v>
      </c>
      <c r="R828" s="133">
        <v>0.903335217637083</v>
      </c>
      <c r="S828" s="133">
        <v>0.92414714411391</v>
      </c>
      <c r="T828" s="135">
        <v>0.9</v>
      </c>
      <c r="U828" s="133">
        <v>0.89917695473251</v>
      </c>
      <c r="V828" s="133">
        <v>0.905619203491544</v>
      </c>
      <c r="W828" s="133">
        <v>0.908988128886376</v>
      </c>
      <c r="X828" s="133">
        <v>0.912677983773745</v>
      </c>
      <c r="Y828" s="135">
        <v>0.92</v>
      </c>
      <c r="Z828" s="135">
        <v>0.702702702702703</v>
      </c>
      <c r="AA828" s="135">
        <v>0.834170854271357</v>
      </c>
      <c r="AB828" s="135">
        <v>0.811610076670318</v>
      </c>
      <c r="AC828" s="135">
        <v>0.824874191229331</v>
      </c>
      <c r="AD828" s="135">
        <v>0.92</v>
      </c>
      <c r="AE828" s="133">
        <v>0.986928104575163</v>
      </c>
      <c r="AF828" s="133">
        <v>0.969899665551839</v>
      </c>
      <c r="AG828" s="133">
        <v>0.964664310954064</v>
      </c>
      <c r="AH828" s="133">
        <v>0.965420358763778</v>
      </c>
      <c r="AI828" s="135">
        <v>0.92</v>
      </c>
      <c r="AJ828" s="133">
        <v>0.879284649776453</v>
      </c>
      <c r="AK828" s="133">
        <v>0.929860541427399</v>
      </c>
      <c r="AL828" s="133">
        <v>0.910887397464579</v>
      </c>
      <c r="AM828" s="133">
        <v>0.91949313811091</v>
      </c>
      <c r="AN828" s="132">
        <v>0.99</v>
      </c>
      <c r="AO828" s="137">
        <v>1</v>
      </c>
      <c r="AP828" s="137">
        <v>1</v>
      </c>
      <c r="AQ828" s="137">
        <v>1</v>
      </c>
      <c r="AR828" s="137">
        <v>1</v>
      </c>
      <c r="AS828" s="158">
        <v>0.0810595228934205</v>
      </c>
      <c r="AT828" s="141">
        <v>0.2</v>
      </c>
      <c r="AU828" s="141">
        <v>0</v>
      </c>
      <c r="AV828" s="141">
        <v>0.0666666666666667</v>
      </c>
      <c r="AW828" s="141">
        <v>0.0822784810126582</v>
      </c>
      <c r="AX828" s="95"/>
      <c r="AY828" s="93"/>
    </row>
    <row r="829" ht="14.5" spans="1:51">
      <c r="A829" s="91"/>
      <c r="B829" s="95"/>
      <c r="C829" s="152" t="s">
        <v>668</v>
      </c>
      <c r="D829" s="153" t="s">
        <v>25</v>
      </c>
      <c r="E829" s="130" t="s">
        <v>669</v>
      </c>
      <c r="F829" s="179" t="s">
        <v>856</v>
      </c>
      <c r="G829" s="179" t="s">
        <v>856</v>
      </c>
      <c r="H829" s="179" t="s">
        <v>856</v>
      </c>
      <c r="I829" s="179" t="s">
        <v>856</v>
      </c>
      <c r="J829" s="132">
        <v>0.9</v>
      </c>
      <c r="K829" s="133">
        <v>0.861111111111111</v>
      </c>
      <c r="L829" s="133">
        <v>0.976190476190476</v>
      </c>
      <c r="M829" s="134">
        <v>0.902439024390244</v>
      </c>
      <c r="N829" s="133">
        <v>0.925641025641026</v>
      </c>
      <c r="O829" s="135">
        <v>0.9</v>
      </c>
      <c r="P829" s="133">
        <v>0.908713692946058</v>
      </c>
      <c r="Q829" s="133">
        <v>0.764726631393298</v>
      </c>
      <c r="R829" s="133">
        <v>0.802510151347361</v>
      </c>
      <c r="S829" s="133">
        <v>0.843101393284288</v>
      </c>
      <c r="T829" s="135">
        <v>0.9</v>
      </c>
      <c r="U829" s="133">
        <v>0.89073305670816</v>
      </c>
      <c r="V829" s="133">
        <v>0.858553791887125</v>
      </c>
      <c r="W829" s="133">
        <v>0.869324473975637</v>
      </c>
      <c r="X829" s="133">
        <v>0.897538120093708</v>
      </c>
      <c r="Y829" s="135">
        <v>0.92</v>
      </c>
      <c r="Z829" s="135">
        <v>0.794336810730253</v>
      </c>
      <c r="AA829" s="135">
        <v>0.80715059588299</v>
      </c>
      <c r="AB829" s="135">
        <v>0.835044490075291</v>
      </c>
      <c r="AC829" s="135">
        <v>0.838537805782061</v>
      </c>
      <c r="AD829" s="135">
        <v>0.92</v>
      </c>
      <c r="AE829" s="133">
        <v>0.987839101964453</v>
      </c>
      <c r="AF829" s="133">
        <v>0.973801916932907</v>
      </c>
      <c r="AG829" s="133">
        <v>0.921520033044197</v>
      </c>
      <c r="AH829" s="133">
        <v>0.969131528116914</v>
      </c>
      <c r="AI829" s="135">
        <v>0.92</v>
      </c>
      <c r="AJ829" s="133">
        <v>0.893867924528302</v>
      </c>
      <c r="AK829" s="133">
        <v>0.896221394358701</v>
      </c>
      <c r="AL829" s="133">
        <v>0.894509709901702</v>
      </c>
      <c r="AM829" s="133">
        <v>0.917600546106149</v>
      </c>
      <c r="AN829" s="132">
        <v>0.99</v>
      </c>
      <c r="AO829" s="137">
        <v>1</v>
      </c>
      <c r="AP829" s="137">
        <v>1</v>
      </c>
      <c r="AQ829" s="137">
        <v>1</v>
      </c>
      <c r="AR829" s="137">
        <v>1</v>
      </c>
      <c r="AS829" s="158">
        <v>0.0810595228934205</v>
      </c>
      <c r="AT829" s="141">
        <v>0.0454545454545455</v>
      </c>
      <c r="AU829" s="141">
        <v>0</v>
      </c>
      <c r="AV829" s="141">
        <v>0.0357142857142857</v>
      </c>
      <c r="AW829" s="141">
        <v>0.0726872246696035</v>
      </c>
      <c r="AX829" s="95"/>
      <c r="AY829" s="93"/>
    </row>
    <row r="830" ht="14.5" spans="1:51">
      <c r="A830" s="91"/>
      <c r="B830" s="95"/>
      <c r="C830" s="152" t="s">
        <v>668</v>
      </c>
      <c r="D830" s="153" t="s">
        <v>25</v>
      </c>
      <c r="E830" s="130" t="s">
        <v>669</v>
      </c>
      <c r="F830" s="179" t="s">
        <v>857</v>
      </c>
      <c r="G830" s="179" t="s">
        <v>857</v>
      </c>
      <c r="H830" s="179" t="s">
        <v>857</v>
      </c>
      <c r="I830" s="179" t="s">
        <v>857</v>
      </c>
      <c r="J830" s="132">
        <v>0.9</v>
      </c>
      <c r="K830" s="133">
        <v>1</v>
      </c>
      <c r="L830" s="133">
        <v>0.962962962962963</v>
      </c>
      <c r="M830" s="134">
        <v>1</v>
      </c>
      <c r="N830" s="133">
        <v>0.981781376518219</v>
      </c>
      <c r="O830" s="135">
        <v>0.9</v>
      </c>
      <c r="P830" s="133">
        <v>0.946088794926004</v>
      </c>
      <c r="Q830" s="133">
        <v>0.939805825242718</v>
      </c>
      <c r="R830" s="133">
        <v>0.933129147524247</v>
      </c>
      <c r="S830" s="133">
        <v>0.952705469435507</v>
      </c>
      <c r="T830" s="135">
        <v>0.9</v>
      </c>
      <c r="U830" s="133">
        <v>0.919661733615222</v>
      </c>
      <c r="V830" s="133">
        <v>0.914077669902913</v>
      </c>
      <c r="W830" s="133">
        <v>0.911179173047473</v>
      </c>
      <c r="X830" s="133">
        <v>0.930593740859901</v>
      </c>
      <c r="Y830" s="135">
        <v>0.92</v>
      </c>
      <c r="Z830" s="135">
        <v>0.874730021598272</v>
      </c>
      <c r="AA830" s="135">
        <v>0.872699386503067</v>
      </c>
      <c r="AB830" s="135">
        <v>0.854477611940298</v>
      </c>
      <c r="AC830" s="135">
        <v>0.891195418754474</v>
      </c>
      <c r="AD830" s="135">
        <v>0.92</v>
      </c>
      <c r="AE830" s="133">
        <v>0.962459194776931</v>
      </c>
      <c r="AF830" s="133">
        <v>0.981029810298103</v>
      </c>
      <c r="AG830" s="133">
        <v>0.983516483516483</v>
      </c>
      <c r="AH830" s="133">
        <v>0.953796924998049</v>
      </c>
      <c r="AI830" s="135">
        <v>0.92</v>
      </c>
      <c r="AJ830" s="133">
        <v>0.922804532577904</v>
      </c>
      <c r="AK830" s="133">
        <v>0.934806629834254</v>
      </c>
      <c r="AL830" s="133">
        <v>0.921911037891268</v>
      </c>
      <c r="AM830" s="133">
        <v>0.945776577738374</v>
      </c>
      <c r="AN830" s="132">
        <v>0.99</v>
      </c>
      <c r="AO830" s="137">
        <v>1</v>
      </c>
      <c r="AP830" s="137">
        <v>1</v>
      </c>
      <c r="AQ830" s="137">
        <v>1</v>
      </c>
      <c r="AR830" s="137">
        <v>1</v>
      </c>
      <c r="AS830" s="158">
        <v>0.0810595228934205</v>
      </c>
      <c r="AT830" s="141">
        <v>0</v>
      </c>
      <c r="AU830" s="141">
        <v>0.0588235294117647</v>
      </c>
      <c r="AV830" s="141">
        <v>0.25</v>
      </c>
      <c r="AW830" s="141">
        <v>0.0676156583629893</v>
      </c>
      <c r="AX830" s="95"/>
      <c r="AY830" s="93"/>
    </row>
    <row r="831" ht="14.5" spans="1:51">
      <c r="A831" s="91"/>
      <c r="B831" s="95"/>
      <c r="C831" s="152" t="s">
        <v>668</v>
      </c>
      <c r="D831" s="153" t="s">
        <v>25</v>
      </c>
      <c r="E831" s="130" t="s">
        <v>669</v>
      </c>
      <c r="F831" s="179" t="s">
        <v>858</v>
      </c>
      <c r="G831" s="179" t="s">
        <v>858</v>
      </c>
      <c r="H831" s="179" t="s">
        <v>858</v>
      </c>
      <c r="I831" s="179" t="s">
        <v>858</v>
      </c>
      <c r="J831" s="132">
        <v>0.9</v>
      </c>
      <c r="K831" s="133">
        <v>0.921052631578947</v>
      </c>
      <c r="L831" s="133">
        <v>0.931818181818182</v>
      </c>
      <c r="M831" s="134">
        <v>0.973684210526316</v>
      </c>
      <c r="N831" s="133">
        <v>0.94489247311828</v>
      </c>
      <c r="O831" s="135">
        <v>0.9</v>
      </c>
      <c r="P831" s="133">
        <v>0.964585274930102</v>
      </c>
      <c r="Q831" s="133">
        <v>0.973255328040117</v>
      </c>
      <c r="R831" s="133">
        <v>0.952466367713005</v>
      </c>
      <c r="S831" s="133">
        <v>0.931812600616661</v>
      </c>
      <c r="T831" s="135">
        <v>0.9</v>
      </c>
      <c r="U831" s="133">
        <v>0.913327120223672</v>
      </c>
      <c r="V831" s="133">
        <v>0.928959465106561</v>
      </c>
      <c r="W831" s="133">
        <v>0.923318385650224</v>
      </c>
      <c r="X831" s="133">
        <v>0.928647439220715</v>
      </c>
      <c r="Y831" s="135">
        <v>0.92</v>
      </c>
      <c r="Z831" s="135">
        <v>0.883299798792757</v>
      </c>
      <c r="AA831" s="135">
        <v>0.895196506550218</v>
      </c>
      <c r="AB831" s="135">
        <v>0.907112970711297</v>
      </c>
      <c r="AC831" s="135">
        <v>0.904632152588556</v>
      </c>
      <c r="AD831" s="135">
        <v>0.92</v>
      </c>
      <c r="AE831" s="133">
        <v>0.993258426966292</v>
      </c>
      <c r="AF831" s="133">
        <v>0.982570806100218</v>
      </c>
      <c r="AG831" s="133">
        <v>0.972222222222222</v>
      </c>
      <c r="AH831" s="133">
        <v>0.975230441975892</v>
      </c>
      <c r="AI831" s="135">
        <v>0.92</v>
      </c>
      <c r="AJ831" s="133">
        <v>0.930617441120306</v>
      </c>
      <c r="AK831" s="133">
        <v>0.948085658663206</v>
      </c>
      <c r="AL831" s="133">
        <v>0.950685730960023</v>
      </c>
      <c r="AM831" s="133">
        <v>0.950429424943988</v>
      </c>
      <c r="AN831" s="132">
        <v>0.99</v>
      </c>
      <c r="AO831" s="137">
        <v>1</v>
      </c>
      <c r="AP831" s="137">
        <v>1</v>
      </c>
      <c r="AQ831" s="137">
        <v>1</v>
      </c>
      <c r="AR831" s="137">
        <v>1</v>
      </c>
      <c r="AS831" s="158">
        <v>0.0810595228934205</v>
      </c>
      <c r="AT831" s="141">
        <v>0.3</v>
      </c>
      <c r="AU831" s="141">
        <v>0</v>
      </c>
      <c r="AV831" s="141">
        <v>0.0666666666666667</v>
      </c>
      <c r="AW831" s="141">
        <v>0.0763052208835341</v>
      </c>
      <c r="AX831" s="95"/>
      <c r="AY831" s="93"/>
    </row>
    <row r="832" ht="14.5" spans="1:51">
      <c r="A832" s="91"/>
      <c r="B832" s="95"/>
      <c r="C832" s="152" t="s">
        <v>668</v>
      </c>
      <c r="D832" s="153" t="s">
        <v>25</v>
      </c>
      <c r="E832" s="130" t="s">
        <v>669</v>
      </c>
      <c r="F832" s="179" t="s">
        <v>859</v>
      </c>
      <c r="G832" s="179" t="s">
        <v>859</v>
      </c>
      <c r="H832" s="179" t="s">
        <v>859</v>
      </c>
      <c r="I832" s="179" t="s">
        <v>859</v>
      </c>
      <c r="J832" s="132">
        <v>0.9</v>
      </c>
      <c r="K832" s="133">
        <v>0.947368421052632</v>
      </c>
      <c r="L832" s="133">
        <v>0.954545454545455</v>
      </c>
      <c r="M832" s="134">
        <v>0.878048780487805</v>
      </c>
      <c r="N832" s="133">
        <v>0.920739762219287</v>
      </c>
      <c r="O832" s="135">
        <v>0.9</v>
      </c>
      <c r="P832" s="133">
        <v>0.967665615141956</v>
      </c>
      <c r="Q832" s="133">
        <v>0.926263778031167</v>
      </c>
      <c r="R832" s="133">
        <v>0.899828767123288</v>
      </c>
      <c r="S832" s="133">
        <v>0.91556191076319</v>
      </c>
      <c r="T832" s="135">
        <v>0.9</v>
      </c>
      <c r="U832" s="133">
        <v>0.909305993690852</v>
      </c>
      <c r="V832" s="133">
        <v>0.902698593690612</v>
      </c>
      <c r="W832" s="133">
        <v>0.913099315068493</v>
      </c>
      <c r="X832" s="133">
        <v>0.908024526792855</v>
      </c>
      <c r="Y832" s="135">
        <v>0.92</v>
      </c>
      <c r="Z832" s="135">
        <v>0.889779559118236</v>
      </c>
      <c r="AA832" s="135">
        <v>0.894673123486683</v>
      </c>
      <c r="AB832" s="135">
        <v>0.8879173290938</v>
      </c>
      <c r="AC832" s="135">
        <v>0.885185775793334</v>
      </c>
      <c r="AD832" s="135">
        <v>0.92</v>
      </c>
      <c r="AE832" s="133">
        <v>0.987951807228916</v>
      </c>
      <c r="AF832" s="133">
        <v>0.971904266389178</v>
      </c>
      <c r="AG832" s="133">
        <v>0.989373601789709</v>
      </c>
      <c r="AH832" s="133">
        <v>0.977581158096917</v>
      </c>
      <c r="AI832" s="135">
        <v>0.92</v>
      </c>
      <c r="AJ832" s="133">
        <v>0.937252685132843</v>
      </c>
      <c r="AK832" s="133">
        <v>0.943336224342295</v>
      </c>
      <c r="AL832" s="133">
        <v>0.938628158844765</v>
      </c>
      <c r="AM832" s="133">
        <v>0.941235125972213</v>
      </c>
      <c r="AN832" s="132">
        <v>0.99</v>
      </c>
      <c r="AO832" s="137">
        <v>1</v>
      </c>
      <c r="AP832" s="137">
        <v>1</v>
      </c>
      <c r="AQ832" s="137">
        <v>1</v>
      </c>
      <c r="AR832" s="137">
        <v>1</v>
      </c>
      <c r="AS832" s="158">
        <v>0.0810595228934205</v>
      </c>
      <c r="AT832" s="141">
        <v>0</v>
      </c>
      <c r="AU832" s="141">
        <v>0.125</v>
      </c>
      <c r="AV832" s="141">
        <v>0</v>
      </c>
      <c r="AW832" s="141">
        <v>0.0194174757281553</v>
      </c>
      <c r="AX832" s="95"/>
      <c r="AY832" s="93"/>
    </row>
    <row r="833" ht="14.5" spans="1:51">
      <c r="A833" s="91"/>
      <c r="B833" s="95"/>
      <c r="C833" s="152" t="s">
        <v>668</v>
      </c>
      <c r="D833" s="153" t="s">
        <v>25</v>
      </c>
      <c r="E833" s="130" t="s">
        <v>669</v>
      </c>
      <c r="F833" s="179" t="s">
        <v>860</v>
      </c>
      <c r="G833" s="179" t="s">
        <v>860</v>
      </c>
      <c r="H833" s="179" t="s">
        <v>860</v>
      </c>
      <c r="I833" s="179" t="s">
        <v>860</v>
      </c>
      <c r="J833" s="132">
        <v>0.9</v>
      </c>
      <c r="K833" s="133">
        <v>0.971428571428571</v>
      </c>
      <c r="L833" s="133">
        <v>0.928571428571429</v>
      </c>
      <c r="M833" s="134">
        <v>0.922077922077922</v>
      </c>
      <c r="N833" s="133">
        <v>0.943742098609355</v>
      </c>
      <c r="O833" s="135">
        <v>0.9</v>
      </c>
      <c r="P833" s="133">
        <v>0.955166374781086</v>
      </c>
      <c r="Q833" s="133">
        <v>0.952801297063592</v>
      </c>
      <c r="R833" s="133">
        <v>0.866555589215389</v>
      </c>
      <c r="S833" s="133">
        <v>0.929417992266214</v>
      </c>
      <c r="T833" s="135">
        <v>0.9</v>
      </c>
      <c r="U833" s="133">
        <v>0.921891418563923</v>
      </c>
      <c r="V833" s="133">
        <v>0.928481354710863</v>
      </c>
      <c r="W833" s="133">
        <v>0.898364132081187</v>
      </c>
      <c r="X833" s="133">
        <v>0.920921594487659</v>
      </c>
      <c r="Y833" s="135">
        <v>0.92</v>
      </c>
      <c r="Z833" s="135">
        <v>0.910144927536232</v>
      </c>
      <c r="AA833" s="135">
        <v>0.884386174016687</v>
      </c>
      <c r="AB833" s="135">
        <v>0.892744479495268</v>
      </c>
      <c r="AC833" s="135">
        <v>0.923397254639864</v>
      </c>
      <c r="AD833" s="135">
        <v>0.92</v>
      </c>
      <c r="AE833" s="133">
        <v>0.990649456245553</v>
      </c>
      <c r="AF833" s="133">
        <v>0.990022805017104</v>
      </c>
      <c r="AG833" s="133">
        <v>0.996354867653656</v>
      </c>
      <c r="AH833" s="133">
        <v>0.989349755801932</v>
      </c>
      <c r="AI833" s="135">
        <v>0.92</v>
      </c>
      <c r="AJ833" s="133">
        <v>0.945772295039836</v>
      </c>
      <c r="AK833" s="133">
        <v>0.953677621283255</v>
      </c>
      <c r="AL833" s="133">
        <v>0.955908513341804</v>
      </c>
      <c r="AM833" s="133">
        <v>0.966713767424098</v>
      </c>
      <c r="AN833" s="132">
        <v>0.99</v>
      </c>
      <c r="AO833" s="137">
        <v>1</v>
      </c>
      <c r="AP833" s="137">
        <v>1</v>
      </c>
      <c r="AQ833" s="137">
        <v>1</v>
      </c>
      <c r="AR833" s="137">
        <v>1</v>
      </c>
      <c r="AS833" s="158">
        <v>0.0810595228934205</v>
      </c>
      <c r="AT833" s="141">
        <v>0.0833333333333333</v>
      </c>
      <c r="AU833" s="141">
        <v>0.08</v>
      </c>
      <c r="AV833" s="141">
        <v>0</v>
      </c>
      <c r="AW833" s="141">
        <v>0.0594594594594595</v>
      </c>
      <c r="AX833" s="95"/>
      <c r="AY833" s="93"/>
    </row>
    <row r="834" ht="14.5" spans="1:51">
      <c r="A834" s="91"/>
      <c r="B834" s="95"/>
      <c r="C834" s="152" t="s">
        <v>668</v>
      </c>
      <c r="D834" s="153" t="s">
        <v>25</v>
      </c>
      <c r="E834" s="130" t="s">
        <v>669</v>
      </c>
      <c r="F834" s="179" t="s">
        <v>861</v>
      </c>
      <c r="G834" s="179" t="s">
        <v>861</v>
      </c>
      <c r="H834" s="179" t="s">
        <v>861</v>
      </c>
      <c r="I834" s="179" t="s">
        <v>861</v>
      </c>
      <c r="J834" s="132">
        <v>0.9</v>
      </c>
      <c r="K834" s="133">
        <v>0.973684210526316</v>
      </c>
      <c r="L834" s="133">
        <v>0.958333333333333</v>
      </c>
      <c r="M834" s="134">
        <v>0.98</v>
      </c>
      <c r="N834" s="133">
        <v>0.969107551487414</v>
      </c>
      <c r="O834" s="135">
        <v>0.9</v>
      </c>
      <c r="P834" s="133">
        <v>0.900847035376183</v>
      </c>
      <c r="Q834" s="133">
        <v>0.914603679309562</v>
      </c>
      <c r="R834" s="133">
        <v>0.925338409475465</v>
      </c>
      <c r="S834" s="133">
        <v>0.914166111936095</v>
      </c>
      <c r="T834" s="135">
        <v>0.9</v>
      </c>
      <c r="U834" s="133">
        <v>0.878923766816143</v>
      </c>
      <c r="V834" s="133">
        <v>0.888485123779241</v>
      </c>
      <c r="W834" s="133">
        <v>0.916455160744501</v>
      </c>
      <c r="X834" s="133">
        <v>0.876504173280762</v>
      </c>
      <c r="Y834" s="135">
        <v>0.92</v>
      </c>
      <c r="Z834" s="135">
        <v>0.879456706281834</v>
      </c>
      <c r="AA834" s="135">
        <v>0.880199667221298</v>
      </c>
      <c r="AB834" s="135">
        <v>0.926857142857143</v>
      </c>
      <c r="AC834" s="135">
        <v>0.920280907547461</v>
      </c>
      <c r="AD834" s="135">
        <v>0.92</v>
      </c>
      <c r="AE834" s="133">
        <v>0.990697674418605</v>
      </c>
      <c r="AF834" s="133">
        <v>0.989051094890511</v>
      </c>
      <c r="AG834" s="133">
        <v>0.989384288747346</v>
      </c>
      <c r="AH834" s="133">
        <v>0.992771655409409</v>
      </c>
      <c r="AI834" s="135">
        <v>0.92</v>
      </c>
      <c r="AJ834" s="133">
        <v>0.937981510015408</v>
      </c>
      <c r="AK834" s="133">
        <v>0.955435651478817</v>
      </c>
      <c r="AL834" s="133">
        <v>0.968409780474746</v>
      </c>
      <c r="AM834" s="133">
        <v>0.967598844933408</v>
      </c>
      <c r="AN834" s="132">
        <v>0.99</v>
      </c>
      <c r="AO834" s="137">
        <v>1</v>
      </c>
      <c r="AP834" s="137">
        <v>1</v>
      </c>
      <c r="AQ834" s="137">
        <v>1</v>
      </c>
      <c r="AR834" s="137">
        <v>1</v>
      </c>
      <c r="AS834" s="158">
        <v>0.0810595228934205</v>
      </c>
      <c r="AT834" s="141">
        <v>0.214285714285714</v>
      </c>
      <c r="AU834" s="141">
        <v>0</v>
      </c>
      <c r="AV834" s="141">
        <v>0.1</v>
      </c>
      <c r="AW834" s="141">
        <v>0.0873493975903614</v>
      </c>
      <c r="AX834" s="95"/>
      <c r="AY834" s="93"/>
    </row>
    <row r="835" ht="14.5" spans="1:51">
      <c r="A835" s="91"/>
      <c r="B835" s="95"/>
      <c r="C835" s="152" t="s">
        <v>668</v>
      </c>
      <c r="D835" s="153" t="s">
        <v>25</v>
      </c>
      <c r="E835" s="130" t="s">
        <v>669</v>
      </c>
      <c r="F835" s="179" t="s">
        <v>862</v>
      </c>
      <c r="G835" s="179" t="s">
        <v>862</v>
      </c>
      <c r="H835" s="179" t="s">
        <v>862</v>
      </c>
      <c r="I835" s="179" t="s">
        <v>862</v>
      </c>
      <c r="J835" s="132">
        <v>0.9</v>
      </c>
      <c r="K835" s="133">
        <v>0.888888888888889</v>
      </c>
      <c r="L835" s="133">
        <v>0.958333333333333</v>
      </c>
      <c r="M835" s="134">
        <v>0.956521739130435</v>
      </c>
      <c r="N835" s="133">
        <v>0.95049504950495</v>
      </c>
      <c r="O835" s="135">
        <v>0.9</v>
      </c>
      <c r="P835" s="133">
        <v>0.99383477188656</v>
      </c>
      <c r="Q835" s="133">
        <v>0.989904655075715</v>
      </c>
      <c r="R835" s="133">
        <v>0.988450433108758</v>
      </c>
      <c r="S835" s="133">
        <v>0.992009530450953</v>
      </c>
      <c r="T835" s="135">
        <v>0.9</v>
      </c>
      <c r="U835" s="133">
        <v>0.955610357583231</v>
      </c>
      <c r="V835" s="133">
        <v>0.957375210319686</v>
      </c>
      <c r="W835" s="133">
        <v>0.956689124157844</v>
      </c>
      <c r="X835" s="133">
        <v>0.957200139470014</v>
      </c>
      <c r="Y835" s="135">
        <v>0.92</v>
      </c>
      <c r="Z835" s="135">
        <v>0.925233644859813</v>
      </c>
      <c r="AA835" s="135">
        <v>0.934959349593496</v>
      </c>
      <c r="AB835" s="135">
        <v>0.988980716253444</v>
      </c>
      <c r="AC835" s="135">
        <v>0.956103754761473</v>
      </c>
      <c r="AD835" s="135">
        <v>0.92</v>
      </c>
      <c r="AE835" s="133">
        <v>1</v>
      </c>
      <c r="AF835" s="133">
        <v>0.951612903225806</v>
      </c>
      <c r="AG835" s="133">
        <v>0.989130434782609</v>
      </c>
      <c r="AH835" s="133">
        <v>0.988069876438006</v>
      </c>
      <c r="AI835" s="135">
        <v>0.92</v>
      </c>
      <c r="AJ835" s="133">
        <v>0.962926829268293</v>
      </c>
      <c r="AK835" s="133">
        <v>0.97732873336619</v>
      </c>
      <c r="AL835" s="133">
        <v>0.988529291274068</v>
      </c>
      <c r="AM835" s="133">
        <v>0.983520749330061</v>
      </c>
      <c r="AN835" s="132">
        <v>0.99</v>
      </c>
      <c r="AO835" s="137">
        <v>1</v>
      </c>
      <c r="AP835" s="137">
        <v>1</v>
      </c>
      <c r="AQ835" s="137">
        <v>1</v>
      </c>
      <c r="AR835" s="137">
        <v>1</v>
      </c>
      <c r="AS835" s="158">
        <v>0.0810595228934205</v>
      </c>
      <c r="AT835" s="141">
        <v>0</v>
      </c>
      <c r="AU835" s="141">
        <v>0</v>
      </c>
      <c r="AV835" s="141">
        <v>0.166666666666667</v>
      </c>
      <c r="AW835" s="141">
        <v>0.0495049504950495</v>
      </c>
      <c r="AX835" s="95"/>
      <c r="AY835" s="93"/>
    </row>
    <row r="836" ht="14.5" spans="1:51">
      <c r="A836" s="91"/>
      <c r="B836" s="95"/>
      <c r="C836" s="152" t="s">
        <v>668</v>
      </c>
      <c r="D836" s="153" t="s">
        <v>25</v>
      </c>
      <c r="E836" s="130" t="s">
        <v>669</v>
      </c>
      <c r="F836" s="179" t="s">
        <v>863</v>
      </c>
      <c r="G836" s="179" t="s">
        <v>863</v>
      </c>
      <c r="H836" s="179" t="s">
        <v>863</v>
      </c>
      <c r="I836" s="179" t="s">
        <v>863</v>
      </c>
      <c r="J836" s="132">
        <v>0.9</v>
      </c>
      <c r="K836" s="133">
        <v>1</v>
      </c>
      <c r="L836" s="133">
        <v>0.977272727272727</v>
      </c>
      <c r="M836" s="134">
        <v>0.925</v>
      </c>
      <c r="N836" s="133">
        <v>0.951188986232791</v>
      </c>
      <c r="O836" s="135">
        <v>0.9</v>
      </c>
      <c r="P836" s="133">
        <v>0.977748691099476</v>
      </c>
      <c r="Q836" s="133">
        <v>0.976531545260591</v>
      </c>
      <c r="R836" s="133">
        <v>0.976641934597417</v>
      </c>
      <c r="S836" s="133">
        <v>0.975976553115841</v>
      </c>
      <c r="T836" s="135">
        <v>0.9</v>
      </c>
      <c r="U836" s="133">
        <v>0.965314136125654</v>
      </c>
      <c r="V836" s="133">
        <v>0.961597074062786</v>
      </c>
      <c r="W836" s="133">
        <v>0.935971420719978</v>
      </c>
      <c r="X836" s="133">
        <v>0.939653101426993</v>
      </c>
      <c r="Y836" s="135">
        <v>0.92</v>
      </c>
      <c r="Z836" s="135">
        <v>0.933497536945813</v>
      </c>
      <c r="AA836" s="135">
        <v>0.93681917211329</v>
      </c>
      <c r="AB836" s="135">
        <v>0.936046511627907</v>
      </c>
      <c r="AC836" s="135">
        <v>0.942062130741376</v>
      </c>
      <c r="AD836" s="135">
        <v>0.92</v>
      </c>
      <c r="AE836" s="133">
        <v>0.9981301421092</v>
      </c>
      <c r="AF836" s="133">
        <v>0.98811544991511</v>
      </c>
      <c r="AG836" s="133">
        <v>0.996112311015119</v>
      </c>
      <c r="AH836" s="133">
        <v>0.995433573879096</v>
      </c>
      <c r="AI836" s="135">
        <v>0.92</v>
      </c>
      <c r="AJ836" s="133">
        <v>0.97052740434333</v>
      </c>
      <c r="AK836" s="133">
        <v>0.978609625668449</v>
      </c>
      <c r="AL836" s="133">
        <v>0.97665819274324</v>
      </c>
      <c r="AM836" s="133">
        <v>0.979214368958662</v>
      </c>
      <c r="AN836" s="132">
        <v>0.99</v>
      </c>
      <c r="AO836" s="137">
        <v>1</v>
      </c>
      <c r="AP836" s="137">
        <v>1</v>
      </c>
      <c r="AQ836" s="137">
        <v>1</v>
      </c>
      <c r="AR836" s="137">
        <v>1</v>
      </c>
      <c r="AS836" s="158">
        <v>0.0810595228934205</v>
      </c>
      <c r="AT836" s="141">
        <v>0.333333333333333</v>
      </c>
      <c r="AU836" s="141">
        <v>0.0666666666666667</v>
      </c>
      <c r="AV836" s="141">
        <v>0.1</v>
      </c>
      <c r="AW836" s="141">
        <v>0.0539568345323741</v>
      </c>
      <c r="AX836" s="95"/>
      <c r="AY836" s="93"/>
    </row>
    <row r="837" ht="14.5" spans="1:51">
      <c r="A837" s="91"/>
      <c r="B837" s="95"/>
      <c r="C837" s="152" t="s">
        <v>668</v>
      </c>
      <c r="D837" s="153" t="s">
        <v>25</v>
      </c>
      <c r="E837" s="130" t="s">
        <v>669</v>
      </c>
      <c r="F837" s="179" t="s">
        <v>864</v>
      </c>
      <c r="G837" s="179" t="s">
        <v>864</v>
      </c>
      <c r="H837" s="179" t="s">
        <v>864</v>
      </c>
      <c r="I837" s="179" t="s">
        <v>864</v>
      </c>
      <c r="J837" s="132">
        <v>0.9</v>
      </c>
      <c r="K837" s="133">
        <v>0.888888888888889</v>
      </c>
      <c r="L837" s="133">
        <v>0.826923076923077</v>
      </c>
      <c r="M837" s="134">
        <v>0.865384615384615</v>
      </c>
      <c r="N837" s="133">
        <v>0.867507886435331</v>
      </c>
      <c r="O837" s="135">
        <v>0.9</v>
      </c>
      <c r="P837" s="133">
        <v>0.918543363679923</v>
      </c>
      <c r="Q837" s="133">
        <v>0.908568803124282</v>
      </c>
      <c r="R837" s="133">
        <v>0.922314049586777</v>
      </c>
      <c r="S837" s="133">
        <v>0.903364632237872</v>
      </c>
      <c r="T837" s="135">
        <v>0.9</v>
      </c>
      <c r="U837" s="133">
        <v>0.89075227599425</v>
      </c>
      <c r="V837" s="133">
        <v>0.885596140592695</v>
      </c>
      <c r="W837" s="133">
        <v>0.866528925619835</v>
      </c>
      <c r="X837" s="133">
        <v>0.871724973496895</v>
      </c>
      <c r="Y837" s="135">
        <v>0.92</v>
      </c>
      <c r="Z837" s="135">
        <v>0.525590551181102</v>
      </c>
      <c r="AA837" s="135">
        <v>0.837164750957854</v>
      </c>
      <c r="AB837" s="135">
        <v>0.86195652173913</v>
      </c>
      <c r="AC837" s="135">
        <v>0.873108690885169</v>
      </c>
      <c r="AD837" s="135">
        <v>0.92</v>
      </c>
      <c r="AE837" s="133">
        <v>0.991624365482234</v>
      </c>
      <c r="AF837" s="133">
        <v>0.989002654531665</v>
      </c>
      <c r="AG837" s="133">
        <v>0.974269819193324</v>
      </c>
      <c r="AH837" s="133">
        <v>0.988719563456277</v>
      </c>
      <c r="AI837" s="135">
        <v>0.92</v>
      </c>
      <c r="AJ837" s="133">
        <v>0.85009633911368</v>
      </c>
      <c r="AK837" s="133">
        <v>0.947282051282051</v>
      </c>
      <c r="AL837" s="133">
        <v>0.957638888888889</v>
      </c>
      <c r="AM837" s="133">
        <v>0.961644425312096</v>
      </c>
      <c r="AN837" s="132">
        <v>0.99</v>
      </c>
      <c r="AO837" s="137">
        <v>1</v>
      </c>
      <c r="AP837" s="137">
        <v>1</v>
      </c>
      <c r="AQ837" s="137">
        <v>1</v>
      </c>
      <c r="AR837" s="137">
        <v>1</v>
      </c>
      <c r="AS837" s="158">
        <v>0.0810595228934205</v>
      </c>
      <c r="AT837" s="141">
        <v>0</v>
      </c>
      <c r="AU837" s="141">
        <v>0.142857142857143</v>
      </c>
      <c r="AV837" s="141">
        <v>0</v>
      </c>
      <c r="AW837" s="141">
        <v>0.0478260869565217</v>
      </c>
      <c r="AX837" s="95"/>
      <c r="AY837" s="93"/>
    </row>
    <row r="838" ht="14.5" spans="1:51">
      <c r="A838" s="91"/>
      <c r="B838" s="95"/>
      <c r="C838" s="152" t="s">
        <v>668</v>
      </c>
      <c r="D838" s="153" t="s">
        <v>25</v>
      </c>
      <c r="E838" s="130" t="s">
        <v>669</v>
      </c>
      <c r="F838" s="179" t="s">
        <v>865</v>
      </c>
      <c r="G838" s="179" t="s">
        <v>865</v>
      </c>
      <c r="H838" s="179" t="s">
        <v>865</v>
      </c>
      <c r="I838" s="179" t="s">
        <v>865</v>
      </c>
      <c r="J838" s="132">
        <v>0.9</v>
      </c>
      <c r="K838" s="133">
        <v>0.818181818181818</v>
      </c>
      <c r="L838" s="133">
        <v>0.775510204081633</v>
      </c>
      <c r="M838" s="134">
        <v>0.729166666666667</v>
      </c>
      <c r="N838" s="133">
        <v>0.797085201793722</v>
      </c>
      <c r="O838" s="135">
        <v>0.9</v>
      </c>
      <c r="P838" s="133">
        <v>0.957117331745086</v>
      </c>
      <c r="Q838" s="133">
        <v>0.968778417702334</v>
      </c>
      <c r="R838" s="133">
        <v>0.94229289561426</v>
      </c>
      <c r="S838" s="133">
        <v>0.958849971339789</v>
      </c>
      <c r="T838" s="135">
        <v>0.9</v>
      </c>
      <c r="U838" s="133">
        <v>0.929720071471114</v>
      </c>
      <c r="V838" s="133">
        <v>0.928160048499545</v>
      </c>
      <c r="W838" s="133">
        <v>0.937676327263401</v>
      </c>
      <c r="X838" s="133">
        <v>0.922617431441759</v>
      </c>
      <c r="Y838" s="135">
        <v>0.92</v>
      </c>
      <c r="Z838" s="135">
        <v>0.916859122401848</v>
      </c>
      <c r="AA838" s="135">
        <v>0.872727272727273</v>
      </c>
      <c r="AB838" s="135">
        <v>0.928378378378378</v>
      </c>
      <c r="AC838" s="135">
        <v>0.921158487530169</v>
      </c>
      <c r="AD838" s="135">
        <v>0.92</v>
      </c>
      <c r="AE838" s="133">
        <v>0.997950819672131</v>
      </c>
      <c r="AF838" s="133">
        <v>1</v>
      </c>
      <c r="AG838" s="133">
        <v>0.996023856858847</v>
      </c>
      <c r="AH838" s="133">
        <v>0.997281187911743</v>
      </c>
      <c r="AI838" s="135">
        <v>0.92</v>
      </c>
      <c r="AJ838" s="133">
        <v>0.947443181818182</v>
      </c>
      <c r="AK838" s="133">
        <v>0.946242310778283</v>
      </c>
      <c r="AL838" s="133">
        <v>0.9625</v>
      </c>
      <c r="AM838" s="133">
        <v>0.963298016492663</v>
      </c>
      <c r="AN838" s="132">
        <v>0.99</v>
      </c>
      <c r="AO838" s="137">
        <v>1</v>
      </c>
      <c r="AP838" s="137">
        <v>1</v>
      </c>
      <c r="AQ838" s="137">
        <v>1</v>
      </c>
      <c r="AR838" s="137">
        <v>1</v>
      </c>
      <c r="AS838" s="158">
        <v>0.0810595228934205</v>
      </c>
      <c r="AT838" s="141">
        <v>0</v>
      </c>
      <c r="AU838" s="141">
        <v>0.25</v>
      </c>
      <c r="AV838" s="141">
        <v>0.0952380952380952</v>
      </c>
      <c r="AW838" s="141">
        <v>0.0429042904290429</v>
      </c>
      <c r="AX838" s="95"/>
      <c r="AY838" s="93"/>
    </row>
    <row r="839" ht="14.5" spans="1:51">
      <c r="A839" s="91"/>
      <c r="B839" s="95"/>
      <c r="C839" s="152" t="s">
        <v>668</v>
      </c>
      <c r="D839" s="153" t="s">
        <v>25</v>
      </c>
      <c r="E839" s="130" t="s">
        <v>669</v>
      </c>
      <c r="F839" s="179" t="s">
        <v>866</v>
      </c>
      <c r="G839" s="179" t="s">
        <v>866</v>
      </c>
      <c r="H839" s="179" t="s">
        <v>866</v>
      </c>
      <c r="I839" s="179" t="s">
        <v>866</v>
      </c>
      <c r="J839" s="132">
        <v>0.9</v>
      </c>
      <c r="K839" s="133">
        <v>1</v>
      </c>
      <c r="L839" s="133">
        <v>0.979591836734694</v>
      </c>
      <c r="M839" s="134">
        <v>1</v>
      </c>
      <c r="N839" s="133">
        <v>0.981132075471698</v>
      </c>
      <c r="O839" s="135">
        <v>0.9</v>
      </c>
      <c r="P839" s="133">
        <v>0.980287693127331</v>
      </c>
      <c r="Q839" s="133">
        <v>0.966008497875531</v>
      </c>
      <c r="R839" s="133">
        <v>0.956041372825576</v>
      </c>
      <c r="S839" s="133">
        <v>0.940935925905866</v>
      </c>
      <c r="T839" s="135">
        <v>0.9</v>
      </c>
      <c r="U839" s="133">
        <v>0.930207778369739</v>
      </c>
      <c r="V839" s="133">
        <v>0.919770057485629</v>
      </c>
      <c r="W839" s="133">
        <v>0.910672308415609</v>
      </c>
      <c r="X839" s="133">
        <v>0.917334669338677</v>
      </c>
      <c r="Y839" s="135">
        <v>0.92</v>
      </c>
      <c r="Z839" s="135">
        <v>0.923679060665362</v>
      </c>
      <c r="AA839" s="135">
        <v>0.871024734982332</v>
      </c>
      <c r="AB839" s="135">
        <v>0.92093023255814</v>
      </c>
      <c r="AC839" s="135">
        <v>0.918708673667833</v>
      </c>
      <c r="AD839" s="135">
        <v>0.92</v>
      </c>
      <c r="AE839" s="133">
        <v>1</v>
      </c>
      <c r="AF839" s="133">
        <v>0.975757575757576</v>
      </c>
      <c r="AG839" s="133">
        <v>0.993119266055046</v>
      </c>
      <c r="AH839" s="133">
        <v>0.990869774147045</v>
      </c>
      <c r="AI839" s="135">
        <v>0.92</v>
      </c>
      <c r="AJ839" s="133">
        <v>0.952261306532663</v>
      </c>
      <c r="AK839" s="133">
        <v>0.953580030654697</v>
      </c>
      <c r="AL839" s="133">
        <v>0.969495502542041</v>
      </c>
      <c r="AM839" s="133">
        <v>0.969795871295122</v>
      </c>
      <c r="AN839" s="132">
        <v>0.99</v>
      </c>
      <c r="AO839" s="137">
        <v>1</v>
      </c>
      <c r="AP839" s="137">
        <v>1</v>
      </c>
      <c r="AQ839" s="137">
        <v>1</v>
      </c>
      <c r="AR839" s="137">
        <v>1</v>
      </c>
      <c r="AS839" s="158">
        <v>0.0810595228934205</v>
      </c>
      <c r="AT839" s="141">
        <v>0</v>
      </c>
      <c r="AU839" s="141">
        <v>0</v>
      </c>
      <c r="AV839" s="141">
        <v>0</v>
      </c>
      <c r="AW839" s="141">
        <v>0.0177935943060498</v>
      </c>
      <c r="AX839" s="95"/>
      <c r="AY839" s="93"/>
    </row>
    <row r="840" ht="14.5" spans="1:51">
      <c r="A840" s="91"/>
      <c r="B840" s="95"/>
      <c r="C840" s="152" t="s">
        <v>668</v>
      </c>
      <c r="D840" s="153" t="s">
        <v>25</v>
      </c>
      <c r="E840" s="130" t="s">
        <v>669</v>
      </c>
      <c r="F840" s="179" t="s">
        <v>867</v>
      </c>
      <c r="G840" s="179" t="s">
        <v>867</v>
      </c>
      <c r="H840" s="179" t="s">
        <v>867</v>
      </c>
      <c r="I840" s="179" t="s">
        <v>867</v>
      </c>
      <c r="J840" s="132">
        <v>0.9</v>
      </c>
      <c r="K840" s="133">
        <v>0.925925925925926</v>
      </c>
      <c r="L840" s="133">
        <v>0.882352941176471</v>
      </c>
      <c r="M840" s="134">
        <v>0.903225806451613</v>
      </c>
      <c r="N840" s="133">
        <v>0.931818181818182</v>
      </c>
      <c r="O840" s="135">
        <v>0.9</v>
      </c>
      <c r="P840" s="133">
        <v>0.979880774962742</v>
      </c>
      <c r="Q840" s="133">
        <v>0.981059141863162</v>
      </c>
      <c r="R840" s="133">
        <v>0.966011329556814</v>
      </c>
      <c r="S840" s="133">
        <v>0.962016070124178</v>
      </c>
      <c r="T840" s="135">
        <v>0.9</v>
      </c>
      <c r="U840" s="133">
        <v>0.942622950819672</v>
      </c>
      <c r="V840" s="133">
        <v>0.95863935059915</v>
      </c>
      <c r="W840" s="133">
        <v>0.943352215928024</v>
      </c>
      <c r="X840" s="133">
        <v>0.956715016174476</v>
      </c>
      <c r="Y840" s="135">
        <v>0.92</v>
      </c>
      <c r="Z840" s="135">
        <v>0.940325497287523</v>
      </c>
      <c r="AA840" s="135">
        <v>0.935309973045822</v>
      </c>
      <c r="AB840" s="135">
        <v>0.937062937062937</v>
      </c>
      <c r="AC840" s="135">
        <v>0.936523544193161</v>
      </c>
      <c r="AD840" s="135">
        <v>0.92</v>
      </c>
      <c r="AE840" s="133">
        <v>0.980082304526749</v>
      </c>
      <c r="AF840" s="133">
        <v>0.994121287128713</v>
      </c>
      <c r="AG840" s="133">
        <v>0.994933170262951</v>
      </c>
      <c r="AH840" s="133">
        <v>0.992343125798299</v>
      </c>
      <c r="AI840" s="135">
        <v>0.92</v>
      </c>
      <c r="AJ840" s="133">
        <v>0.959430979978925</v>
      </c>
      <c r="AK840" s="133">
        <v>0.972616632860041</v>
      </c>
      <c r="AL840" s="133">
        <v>0.966974531206269</v>
      </c>
      <c r="AM840" s="133">
        <v>0.977172389628591</v>
      </c>
      <c r="AN840" s="132">
        <v>0.99</v>
      </c>
      <c r="AO840" s="137">
        <v>1</v>
      </c>
      <c r="AP840" s="137">
        <v>1</v>
      </c>
      <c r="AQ840" s="137">
        <v>1</v>
      </c>
      <c r="AR840" s="137">
        <v>1</v>
      </c>
      <c r="AS840" s="158">
        <v>0.0810595228934205</v>
      </c>
      <c r="AT840" s="141">
        <v>0</v>
      </c>
      <c r="AU840" s="141">
        <v>0.111111111111111</v>
      </c>
      <c r="AV840" s="141">
        <v>0</v>
      </c>
      <c r="AW840" s="141">
        <v>0.0382978723404255</v>
      </c>
      <c r="AX840" s="95"/>
      <c r="AY840" s="93"/>
    </row>
    <row r="841" ht="14.5" spans="1:51">
      <c r="A841" s="91"/>
      <c r="B841" s="95"/>
      <c r="C841" s="152" t="s">
        <v>668</v>
      </c>
      <c r="D841" s="153" t="s">
        <v>25</v>
      </c>
      <c r="E841" s="130" t="s">
        <v>669</v>
      </c>
      <c r="F841" s="179" t="s">
        <v>868</v>
      </c>
      <c r="G841" s="179" t="s">
        <v>868</v>
      </c>
      <c r="H841" s="179" t="s">
        <v>868</v>
      </c>
      <c r="I841" s="179" t="s">
        <v>868</v>
      </c>
      <c r="J841" s="132">
        <v>0.9</v>
      </c>
      <c r="K841" s="133">
        <v>0.846153846153846</v>
      </c>
      <c r="L841" s="133">
        <v>0.925925925925926</v>
      </c>
      <c r="M841" s="134">
        <v>0.961538461538462</v>
      </c>
      <c r="N841" s="133">
        <v>0.921052631578947</v>
      </c>
      <c r="O841" s="135">
        <v>0.9</v>
      </c>
      <c r="P841" s="133">
        <v>0.959770114942529</v>
      </c>
      <c r="Q841" s="133">
        <v>0.962790697674419</v>
      </c>
      <c r="R841" s="133">
        <v>0.974433468913422</v>
      </c>
      <c r="S841" s="133">
        <v>0.96670074485176</v>
      </c>
      <c r="T841" s="135">
        <v>0.9</v>
      </c>
      <c r="U841" s="133">
        <v>0.945977011494253</v>
      </c>
      <c r="V841" s="133">
        <v>0.963307493540052</v>
      </c>
      <c r="W841" s="133">
        <v>0.964555490993608</v>
      </c>
      <c r="X841" s="133">
        <v>0.938308748356945</v>
      </c>
      <c r="Y841" s="135">
        <v>0.92</v>
      </c>
      <c r="Z841" s="135">
        <v>0.956692913385827</v>
      </c>
      <c r="AA841" s="135">
        <v>0.957854406130268</v>
      </c>
      <c r="AB841" s="135">
        <v>0.96927374301676</v>
      </c>
      <c r="AC841" s="135">
        <v>0.954034391534392</v>
      </c>
      <c r="AD841" s="135">
        <v>0.92</v>
      </c>
      <c r="AE841" s="133">
        <v>1</v>
      </c>
      <c r="AF841" s="133">
        <v>0.990909090909091</v>
      </c>
      <c r="AG841" s="133">
        <v>0.996168582375479</v>
      </c>
      <c r="AH841" s="133">
        <v>0.99503605881802</v>
      </c>
      <c r="AI841" s="135">
        <v>0.92</v>
      </c>
      <c r="AJ841" s="133">
        <v>0.977758007117438</v>
      </c>
      <c r="AK841" s="133">
        <v>0.985428051001822</v>
      </c>
      <c r="AL841" s="133">
        <v>0.984126984126984</v>
      </c>
      <c r="AM841" s="133">
        <v>0.984509979148049</v>
      </c>
      <c r="AN841" s="132">
        <v>0.99</v>
      </c>
      <c r="AO841" s="137">
        <v>1</v>
      </c>
      <c r="AP841" s="137">
        <v>1</v>
      </c>
      <c r="AQ841" s="137">
        <v>1</v>
      </c>
      <c r="AR841" s="137">
        <v>1</v>
      </c>
      <c r="AS841" s="158">
        <v>0.0810595228934205</v>
      </c>
      <c r="AT841" s="141">
        <v>0</v>
      </c>
      <c r="AU841" s="141">
        <v>0</v>
      </c>
      <c r="AV841" s="141">
        <v>0.111111111111111</v>
      </c>
      <c r="AW841" s="141">
        <v>0</v>
      </c>
      <c r="AX841" s="95"/>
      <c r="AY841" s="93"/>
    </row>
    <row r="842" ht="14.5" spans="1:51">
      <c r="A842" s="91"/>
      <c r="B842" s="95"/>
      <c r="C842" s="152" t="s">
        <v>668</v>
      </c>
      <c r="D842" s="153" t="s">
        <v>25</v>
      </c>
      <c r="E842" s="130" t="s">
        <v>669</v>
      </c>
      <c r="F842" s="179" t="s">
        <v>869</v>
      </c>
      <c r="G842" s="179" t="s">
        <v>869</v>
      </c>
      <c r="H842" s="179" t="s">
        <v>869</v>
      </c>
      <c r="I842" s="179" t="s">
        <v>869</v>
      </c>
      <c r="J842" s="132">
        <v>0.9</v>
      </c>
      <c r="K842" s="133">
        <v>1</v>
      </c>
      <c r="L842" s="133">
        <v>1</v>
      </c>
      <c r="M842" s="134">
        <v>0.941176470588235</v>
      </c>
      <c r="N842" s="133">
        <v>0.980446927374302</v>
      </c>
      <c r="O842" s="135">
        <v>0.9</v>
      </c>
      <c r="P842" s="133">
        <v>0.974358974358974</v>
      </c>
      <c r="Q842" s="133">
        <v>0.964192708333333</v>
      </c>
      <c r="R842" s="133">
        <v>0.951466666666667</v>
      </c>
      <c r="S842" s="133">
        <v>0.96144193474789</v>
      </c>
      <c r="T842" s="135">
        <v>0.9</v>
      </c>
      <c r="U842" s="133">
        <v>0.9055330634278</v>
      </c>
      <c r="V842" s="133">
        <v>0.93359375</v>
      </c>
      <c r="W842" s="133">
        <v>0.888</v>
      </c>
      <c r="X842" s="133">
        <v>0.926827678367719</v>
      </c>
      <c r="Y842" s="135">
        <v>0.92</v>
      </c>
      <c r="Z842" s="135">
        <v>0.923444976076555</v>
      </c>
      <c r="AA842" s="135">
        <v>0.932038834951456</v>
      </c>
      <c r="AB842" s="135">
        <v>0.932203389830508</v>
      </c>
      <c r="AC842" s="135">
        <v>0.945065724936237</v>
      </c>
      <c r="AD842" s="135">
        <v>0.92</v>
      </c>
      <c r="AE842" s="133">
        <v>1</v>
      </c>
      <c r="AF842" s="133">
        <v>1</v>
      </c>
      <c r="AG842" s="133">
        <v>1</v>
      </c>
      <c r="AH842" s="133">
        <v>0.998112985021819</v>
      </c>
      <c r="AI842" s="135">
        <v>0.92</v>
      </c>
      <c r="AJ842" s="133">
        <v>0.950526315789474</v>
      </c>
      <c r="AK842" s="133">
        <v>0.956371986222732</v>
      </c>
      <c r="AL842" s="133">
        <v>0.961866307761328</v>
      </c>
      <c r="AM842" s="133">
        <v>0.972049863044329</v>
      </c>
      <c r="AN842" s="132">
        <v>0.99</v>
      </c>
      <c r="AO842" s="137">
        <v>1</v>
      </c>
      <c r="AP842" s="137">
        <v>1</v>
      </c>
      <c r="AQ842" s="137">
        <v>1</v>
      </c>
      <c r="AR842" s="137">
        <v>1</v>
      </c>
      <c r="AS842" s="158">
        <v>0.0810595228934205</v>
      </c>
      <c r="AT842" s="141">
        <v>0</v>
      </c>
      <c r="AU842" s="141">
        <v>0.166666666666667</v>
      </c>
      <c r="AV842" s="141">
        <v>0.0909090909090909</v>
      </c>
      <c r="AW842" s="141">
        <v>0.0461538461538462</v>
      </c>
      <c r="AX842" s="95"/>
      <c r="AY842" s="93"/>
    </row>
    <row r="843" ht="14.5" spans="1:51">
      <c r="A843" s="91"/>
      <c r="B843" s="95"/>
      <c r="C843" s="152" t="s">
        <v>668</v>
      </c>
      <c r="D843" s="153" t="s">
        <v>25</v>
      </c>
      <c r="E843" s="130" t="s">
        <v>669</v>
      </c>
      <c r="F843" s="179" t="s">
        <v>870</v>
      </c>
      <c r="G843" s="179" t="s">
        <v>870</v>
      </c>
      <c r="H843" s="179" t="s">
        <v>870</v>
      </c>
      <c r="I843" s="179" t="s">
        <v>870</v>
      </c>
      <c r="J843" s="132">
        <v>0.9</v>
      </c>
      <c r="K843" s="133">
        <v>1</v>
      </c>
      <c r="L843" s="133">
        <v>1</v>
      </c>
      <c r="M843" s="134">
        <v>0.857142857142857</v>
      </c>
      <c r="N843" s="133">
        <v>0.879120879120879</v>
      </c>
      <c r="O843" s="135">
        <v>0.9</v>
      </c>
      <c r="P843" s="133">
        <v>0.98125</v>
      </c>
      <c r="Q843" s="133">
        <v>0.978363123236124</v>
      </c>
      <c r="R843" s="133">
        <v>0.967025089605735</v>
      </c>
      <c r="S843" s="133">
        <v>0.941224675620305</v>
      </c>
      <c r="T843" s="135">
        <v>0.9</v>
      </c>
      <c r="U843" s="133">
        <v>0.945833333333333</v>
      </c>
      <c r="V843" s="133">
        <v>0.859830667920978</v>
      </c>
      <c r="W843" s="133">
        <v>0.741935483870968</v>
      </c>
      <c r="X843" s="133">
        <v>0.72870475756886</v>
      </c>
      <c r="Y843" s="135">
        <v>0.92</v>
      </c>
      <c r="Z843" s="135">
        <v>0.652542372881356</v>
      </c>
      <c r="AA843" s="135">
        <v>0.813333333333333</v>
      </c>
      <c r="AB843" s="135">
        <v>0.748953974895398</v>
      </c>
      <c r="AC843" s="135">
        <v>0.739018824871649</v>
      </c>
      <c r="AD843" s="135">
        <v>0.92</v>
      </c>
      <c r="AE843" s="133">
        <v>1</v>
      </c>
      <c r="AF843" s="133">
        <v>1</v>
      </c>
      <c r="AG843" s="133">
        <v>0.65</v>
      </c>
      <c r="AH843" s="133">
        <v>0.942771084337349</v>
      </c>
      <c r="AI843" s="135">
        <v>0.92</v>
      </c>
      <c r="AJ843" s="133">
        <v>0.90133779264214</v>
      </c>
      <c r="AK843" s="133">
        <v>0.955482275350371</v>
      </c>
      <c r="AL843" s="133">
        <v>0.938188494492044</v>
      </c>
      <c r="AM843" s="133">
        <v>0.936754082914573</v>
      </c>
      <c r="AN843" s="132">
        <v>0.99</v>
      </c>
      <c r="AO843" s="137">
        <v>1</v>
      </c>
      <c r="AP843" s="137">
        <v>1</v>
      </c>
      <c r="AQ843" s="137">
        <v>1</v>
      </c>
      <c r="AR843" s="137">
        <v>1</v>
      </c>
      <c r="AS843" s="158">
        <v>0.0810595228934205</v>
      </c>
      <c r="AT843" s="141">
        <v>0.166666666666667</v>
      </c>
      <c r="AU843" s="141">
        <v>0</v>
      </c>
      <c r="AV843" s="141">
        <v>0</v>
      </c>
      <c r="AW843" s="141">
        <v>0.0833333333333333</v>
      </c>
      <c r="AX843" s="95"/>
      <c r="AY843" s="93"/>
    </row>
    <row r="844" ht="14.5" spans="1:51">
      <c r="A844" s="91"/>
      <c r="B844" s="95"/>
      <c r="C844" s="152" t="s">
        <v>668</v>
      </c>
      <c r="D844" s="153" t="s">
        <v>25</v>
      </c>
      <c r="E844" s="130" t="s">
        <v>669</v>
      </c>
      <c r="F844" s="179" t="s">
        <v>871</v>
      </c>
      <c r="G844" s="179" t="s">
        <v>871</v>
      </c>
      <c r="H844" s="179" t="s">
        <v>871</v>
      </c>
      <c r="I844" s="179" t="s">
        <v>871</v>
      </c>
      <c r="J844" s="132">
        <v>0.9</v>
      </c>
      <c r="K844" s="133">
        <v>0.958333333333333</v>
      </c>
      <c r="L844" s="133">
        <v>1</v>
      </c>
      <c r="M844" s="134">
        <v>0.857142857142857</v>
      </c>
      <c r="N844" s="133">
        <v>0.916334661354582</v>
      </c>
      <c r="O844" s="135">
        <v>0.9</v>
      </c>
      <c r="P844" s="133">
        <v>0.963692946058091</v>
      </c>
      <c r="Q844" s="133">
        <v>0.967299578059072</v>
      </c>
      <c r="R844" s="133">
        <v>0.951242829827916</v>
      </c>
      <c r="S844" s="133">
        <v>0.95628641719539</v>
      </c>
      <c r="T844" s="135">
        <v>0.9</v>
      </c>
      <c r="U844" s="133">
        <v>0.926348547717842</v>
      </c>
      <c r="V844" s="133">
        <v>0.957805907172996</v>
      </c>
      <c r="W844" s="133">
        <v>0.928776290630975</v>
      </c>
      <c r="X844" s="133">
        <v>0.928499287841512</v>
      </c>
      <c r="Y844" s="135">
        <v>0.92</v>
      </c>
      <c r="Z844" s="135">
        <v>0.799283154121864</v>
      </c>
      <c r="AA844" s="135">
        <v>0.813559322033898</v>
      </c>
      <c r="AB844" s="135">
        <v>0.83046683046683</v>
      </c>
      <c r="AC844" s="135">
        <v>0.827570655441972</v>
      </c>
      <c r="AD844" s="135">
        <v>0.92</v>
      </c>
      <c r="AE844" s="133">
        <v>0.992592592592593</v>
      </c>
      <c r="AF844" s="133">
        <v>0.997435897435897</v>
      </c>
      <c r="AG844" s="133">
        <v>0.99025974025974</v>
      </c>
      <c r="AH844" s="133">
        <v>0.991096774193548</v>
      </c>
      <c r="AI844" s="135">
        <v>0.92</v>
      </c>
      <c r="AJ844" s="133">
        <v>0.911504424778761</v>
      </c>
      <c r="AK844" s="133">
        <v>0.952076677316294</v>
      </c>
      <c r="AL844" s="133">
        <v>0.943977591036415</v>
      </c>
      <c r="AM844" s="133">
        <v>0.952923763447986</v>
      </c>
      <c r="AN844" s="132">
        <v>0.99</v>
      </c>
      <c r="AO844" s="137">
        <v>1</v>
      </c>
      <c r="AP844" s="137">
        <v>1</v>
      </c>
      <c r="AQ844" s="137">
        <v>1</v>
      </c>
      <c r="AR844" s="137">
        <v>1</v>
      </c>
      <c r="AS844" s="158">
        <v>0.0810595228934205</v>
      </c>
      <c r="AT844" s="141">
        <v>0</v>
      </c>
      <c r="AU844" s="141">
        <v>0</v>
      </c>
      <c r="AV844" s="141">
        <v>0</v>
      </c>
      <c r="AW844" s="141">
        <v>0.0714285714285714</v>
      </c>
      <c r="AX844" s="95"/>
      <c r="AY844" s="93"/>
    </row>
    <row r="845" ht="14.5" spans="1:51">
      <c r="A845" s="91"/>
      <c r="B845" s="95"/>
      <c r="C845" s="152" t="s">
        <v>668</v>
      </c>
      <c r="D845" s="153" t="s">
        <v>25</v>
      </c>
      <c r="E845" s="130" t="s">
        <v>669</v>
      </c>
      <c r="F845" s="179" t="s">
        <v>872</v>
      </c>
      <c r="G845" s="179" t="s">
        <v>872</v>
      </c>
      <c r="H845" s="179" t="s">
        <v>872</v>
      </c>
      <c r="I845" s="179" t="s">
        <v>872</v>
      </c>
      <c r="J845" s="132">
        <v>0.9</v>
      </c>
      <c r="K845" s="133">
        <v>0.952380952380952</v>
      </c>
      <c r="L845" s="133">
        <v>0.86046511627907</v>
      </c>
      <c r="M845" s="134">
        <v>0.952380952380952</v>
      </c>
      <c r="N845" s="133">
        <v>0.902348578491965</v>
      </c>
      <c r="O845" s="135">
        <v>0.9</v>
      </c>
      <c r="P845" s="133">
        <v>0.954289732770745</v>
      </c>
      <c r="Q845" s="133">
        <v>0.963954685890834</v>
      </c>
      <c r="R845" s="133">
        <v>0.884654300168634</v>
      </c>
      <c r="S845" s="133">
        <v>0.951133181890221</v>
      </c>
      <c r="T845" s="135">
        <v>0.9</v>
      </c>
      <c r="U845" s="133">
        <v>0.912095639943741</v>
      </c>
      <c r="V845" s="133">
        <v>0.914864400961208</v>
      </c>
      <c r="W845" s="133">
        <v>0.864080944350759</v>
      </c>
      <c r="X845" s="133">
        <v>0.919876027964147</v>
      </c>
      <c r="Y845" s="135">
        <v>0.92</v>
      </c>
      <c r="Z845" s="135">
        <v>0.93</v>
      </c>
      <c r="AA845" s="135">
        <v>0.881578947368421</v>
      </c>
      <c r="AB845" s="135">
        <v>0.887096774193548</v>
      </c>
      <c r="AC845" s="135">
        <v>0.909249238041923</v>
      </c>
      <c r="AD845" s="135">
        <v>0.92</v>
      </c>
      <c r="AE845" s="133">
        <v>0.999350227420403</v>
      </c>
      <c r="AF845" s="133">
        <v>0.990838958534233</v>
      </c>
      <c r="AG845" s="133">
        <v>0.991341991341991</v>
      </c>
      <c r="AH845" s="133">
        <v>0.992465155385959</v>
      </c>
      <c r="AI845" s="135">
        <v>0.92</v>
      </c>
      <c r="AJ845" s="133">
        <v>0.940187839841819</v>
      </c>
      <c r="AK845" s="133">
        <v>0.948087431693989</v>
      </c>
      <c r="AL845" s="133">
        <v>0.910657476139979</v>
      </c>
      <c r="AM845" s="133">
        <v>0.952343707118942</v>
      </c>
      <c r="AN845" s="132">
        <v>0.99</v>
      </c>
      <c r="AO845" s="137">
        <v>1</v>
      </c>
      <c r="AP845" s="137">
        <v>1</v>
      </c>
      <c r="AQ845" s="137">
        <v>1</v>
      </c>
      <c r="AR845" s="137">
        <v>1</v>
      </c>
      <c r="AS845" s="158">
        <v>0.0810595228934205</v>
      </c>
      <c r="AT845" s="141">
        <v>0.153846153846154</v>
      </c>
      <c r="AU845" s="141">
        <v>0.05</v>
      </c>
      <c r="AV845" s="141">
        <v>0.0357142857142857</v>
      </c>
      <c r="AW845" s="141">
        <v>0.0390946502057613</v>
      </c>
      <c r="AX845" s="95"/>
      <c r="AY845" s="93"/>
    </row>
    <row r="846" ht="14.5" spans="1:51">
      <c r="A846" s="91"/>
      <c r="B846" s="95"/>
      <c r="C846" s="152" t="s">
        <v>668</v>
      </c>
      <c r="D846" s="153" t="s">
        <v>25</v>
      </c>
      <c r="E846" s="130" t="s">
        <v>669</v>
      </c>
      <c r="F846" s="179" t="s">
        <v>873</v>
      </c>
      <c r="G846" s="179" t="s">
        <v>873</v>
      </c>
      <c r="H846" s="179" t="s">
        <v>873</v>
      </c>
      <c r="I846" s="179" t="s">
        <v>873</v>
      </c>
      <c r="J846" s="132">
        <v>0.9</v>
      </c>
      <c r="K846" s="133">
        <v>0.942857142857143</v>
      </c>
      <c r="L846" s="133">
        <v>0.871794871794872</v>
      </c>
      <c r="M846" s="134">
        <v>0.857142857142857</v>
      </c>
      <c r="N846" s="133">
        <v>0.869692532942899</v>
      </c>
      <c r="O846" s="135">
        <v>0.9</v>
      </c>
      <c r="P846" s="133">
        <v>0.888071895424837</v>
      </c>
      <c r="Q846" s="133">
        <v>0.94065757818765</v>
      </c>
      <c r="R846" s="133">
        <v>0.915201250488472</v>
      </c>
      <c r="S846" s="133">
        <v>0.937595325556916</v>
      </c>
      <c r="T846" s="135">
        <v>0.9</v>
      </c>
      <c r="U846" s="133">
        <v>0.865196078431373</v>
      </c>
      <c r="V846" s="133">
        <v>0.88532477947073</v>
      </c>
      <c r="W846" s="133">
        <v>0.796404845642829</v>
      </c>
      <c r="X846" s="133">
        <v>0.87720994178428</v>
      </c>
      <c r="Y846" s="135">
        <v>0.92</v>
      </c>
      <c r="Z846" s="135">
        <v>0.9106463878327</v>
      </c>
      <c r="AA846" s="135">
        <v>0.937888198757764</v>
      </c>
      <c r="AB846" s="135">
        <v>0.894977168949772</v>
      </c>
      <c r="AC846" s="135">
        <v>0.921537980618943</v>
      </c>
      <c r="AD846" s="135">
        <v>0.92</v>
      </c>
      <c r="AE846" s="133">
        <v>0.997666822211853</v>
      </c>
      <c r="AF846" s="133">
        <v>0.990283400809717</v>
      </c>
      <c r="AG846" s="133">
        <v>0.994363929146538</v>
      </c>
      <c r="AH846" s="133">
        <v>0.989152292746481</v>
      </c>
      <c r="AI846" s="135">
        <v>0.92</v>
      </c>
      <c r="AJ846" s="133">
        <v>0.916047972587093</v>
      </c>
      <c r="AK846" s="133">
        <v>0.93716719914803</v>
      </c>
      <c r="AL846" s="133">
        <v>0.921068986948415</v>
      </c>
      <c r="AM846" s="133">
        <v>0.943487122475449</v>
      </c>
      <c r="AN846" s="132">
        <v>0.99</v>
      </c>
      <c r="AO846" s="137">
        <v>1</v>
      </c>
      <c r="AP846" s="137">
        <v>1</v>
      </c>
      <c r="AQ846" s="137">
        <v>1</v>
      </c>
      <c r="AR846" s="137">
        <v>1</v>
      </c>
      <c r="AS846" s="158">
        <v>0.0810595228934205</v>
      </c>
      <c r="AT846" s="141">
        <v>0</v>
      </c>
      <c r="AU846" s="141">
        <v>0.0416666666666667</v>
      </c>
      <c r="AV846" s="141">
        <v>0</v>
      </c>
      <c r="AW846" s="141">
        <v>0.029126213592233</v>
      </c>
      <c r="AX846" s="95"/>
      <c r="AY846" s="93"/>
    </row>
    <row r="847" ht="14.5" spans="1:51">
      <c r="A847" s="91"/>
      <c r="B847" s="95"/>
      <c r="C847" s="152" t="s">
        <v>668</v>
      </c>
      <c r="D847" s="153" t="s">
        <v>25</v>
      </c>
      <c r="E847" s="130" t="s">
        <v>669</v>
      </c>
      <c r="F847" s="179" t="s">
        <v>874</v>
      </c>
      <c r="G847" s="179" t="s">
        <v>874</v>
      </c>
      <c r="H847" s="179" t="s">
        <v>874</v>
      </c>
      <c r="I847" s="179" t="s">
        <v>874</v>
      </c>
      <c r="J847" s="132">
        <v>0.9</v>
      </c>
      <c r="K847" s="133">
        <v>0.925</v>
      </c>
      <c r="L847" s="133">
        <v>0.902439024390244</v>
      </c>
      <c r="M847" s="134">
        <v>0.85</v>
      </c>
      <c r="N847" s="133">
        <v>0.869505494505495</v>
      </c>
      <c r="O847" s="135">
        <v>0.9</v>
      </c>
      <c r="P847" s="133">
        <v>0.937900128040973</v>
      </c>
      <c r="Q847" s="133">
        <v>0.898023219328522</v>
      </c>
      <c r="R847" s="133">
        <v>0.931868131868132</v>
      </c>
      <c r="S847" s="133">
        <v>0.915896732779708</v>
      </c>
      <c r="T847" s="135">
        <v>0.9</v>
      </c>
      <c r="U847" s="133">
        <v>0.902048655569782</v>
      </c>
      <c r="V847" s="133">
        <v>0.903043614684656</v>
      </c>
      <c r="W847" s="133">
        <v>0.903846153846154</v>
      </c>
      <c r="X847" s="133">
        <v>0.905675957808142</v>
      </c>
      <c r="Y847" s="135">
        <v>0.92</v>
      </c>
      <c r="Z847" s="135">
        <v>0.947278911564626</v>
      </c>
      <c r="AA847" s="135">
        <v>0.937984496124031</v>
      </c>
      <c r="AB847" s="135">
        <v>0.947012401352875</v>
      </c>
      <c r="AC847" s="135">
        <v>0.950332850940666</v>
      </c>
      <c r="AD847" s="135">
        <v>0.92</v>
      </c>
      <c r="AE847" s="133">
        <v>1</v>
      </c>
      <c r="AF847" s="133">
        <v>0.988215488215488</v>
      </c>
      <c r="AG847" s="133">
        <v>0.988532110091743</v>
      </c>
      <c r="AH847" s="133">
        <v>0.987388814426709</v>
      </c>
      <c r="AI847" s="135">
        <v>0.92</v>
      </c>
      <c r="AJ847" s="133">
        <v>0.934913993491399</v>
      </c>
      <c r="AK847" s="133">
        <v>0.953846153846154</v>
      </c>
      <c r="AL847" s="133">
        <v>0.954726148409894</v>
      </c>
      <c r="AM847" s="133">
        <v>0.95887855056097</v>
      </c>
      <c r="AN847" s="132">
        <v>0.99</v>
      </c>
      <c r="AO847" s="137">
        <v>1</v>
      </c>
      <c r="AP847" s="137">
        <v>1</v>
      </c>
      <c r="AQ847" s="137">
        <v>1</v>
      </c>
      <c r="AR847" s="137">
        <v>1</v>
      </c>
      <c r="AS847" s="158">
        <v>0.0810595228934205</v>
      </c>
      <c r="AT847" s="141">
        <v>0</v>
      </c>
      <c r="AU847" s="141">
        <v>0</v>
      </c>
      <c r="AV847" s="141">
        <v>0.0333333333333333</v>
      </c>
      <c r="AW847" s="141">
        <v>0.0262008733624454</v>
      </c>
      <c r="AX847" s="95"/>
      <c r="AY847" s="93"/>
    </row>
    <row r="848" ht="14.5" spans="1:51">
      <c r="A848" s="91"/>
      <c r="B848" s="95"/>
      <c r="C848" s="152" t="s">
        <v>668</v>
      </c>
      <c r="D848" s="153" t="s">
        <v>25</v>
      </c>
      <c r="E848" s="130" t="s">
        <v>669</v>
      </c>
      <c r="F848" s="179" t="s">
        <v>875</v>
      </c>
      <c r="G848" s="179" t="s">
        <v>875</v>
      </c>
      <c r="H848" s="179" t="s">
        <v>875</v>
      </c>
      <c r="I848" s="179" t="s">
        <v>875</v>
      </c>
      <c r="J848" s="132">
        <v>0.9</v>
      </c>
      <c r="K848" s="133">
        <v>0.857142857142857</v>
      </c>
      <c r="L848" s="133">
        <v>0.870967741935484</v>
      </c>
      <c r="M848" s="134">
        <v>0.933333333333333</v>
      </c>
      <c r="N848" s="133">
        <v>0.935652173913043</v>
      </c>
      <c r="O848" s="135">
        <v>0.9</v>
      </c>
      <c r="P848" s="133">
        <v>0.952646239554318</v>
      </c>
      <c r="Q848" s="133">
        <v>0.973347547974414</v>
      </c>
      <c r="R848" s="133">
        <v>0.968875502008032</v>
      </c>
      <c r="S848" s="133">
        <v>0.97407230754555</v>
      </c>
      <c r="T848" s="135">
        <v>0.9</v>
      </c>
      <c r="U848" s="133">
        <v>0.9491643454039</v>
      </c>
      <c r="V848" s="133">
        <v>0.943852167732765</v>
      </c>
      <c r="W848" s="133">
        <v>0.923694779116466</v>
      </c>
      <c r="X848" s="133">
        <v>0.942650004769627</v>
      </c>
      <c r="Y848" s="135">
        <v>0.92</v>
      </c>
      <c r="Z848" s="135">
        <v>0.961672473867596</v>
      </c>
      <c r="AA848" s="135">
        <v>0.985754985754986</v>
      </c>
      <c r="AB848" s="135">
        <v>0.984867591424968</v>
      </c>
      <c r="AC848" s="135">
        <v>0.978728086261278</v>
      </c>
      <c r="AD848" s="135">
        <v>0.92</v>
      </c>
      <c r="AE848" s="133">
        <v>1</v>
      </c>
      <c r="AF848" s="133">
        <v>0.997676219984508</v>
      </c>
      <c r="AG848" s="133">
        <v>0.997277059223962</v>
      </c>
      <c r="AH848" s="133">
        <v>0.992266974535474</v>
      </c>
      <c r="AI848" s="135">
        <v>0.92</v>
      </c>
      <c r="AJ848" s="133">
        <v>0.971144278606965</v>
      </c>
      <c r="AK848" s="133">
        <v>0.980726698262243</v>
      </c>
      <c r="AL848" s="133">
        <v>0.983875231297912</v>
      </c>
      <c r="AM848" s="133">
        <v>0.984694804408381</v>
      </c>
      <c r="AN848" s="132">
        <v>0.99</v>
      </c>
      <c r="AO848" s="137">
        <v>1</v>
      </c>
      <c r="AP848" s="137">
        <v>1</v>
      </c>
      <c r="AQ848" s="137">
        <v>1</v>
      </c>
      <c r="AR848" s="137">
        <v>1</v>
      </c>
      <c r="AS848" s="158">
        <v>0.0810595228934205</v>
      </c>
      <c r="AT848" s="141">
        <v>0</v>
      </c>
      <c r="AU848" s="141">
        <v>0.111111111111111</v>
      </c>
      <c r="AV848" s="141">
        <v>0</v>
      </c>
      <c r="AW848" s="141">
        <v>0.051063829787234</v>
      </c>
      <c r="AX848" s="95"/>
      <c r="AY848" s="93"/>
    </row>
    <row r="849" ht="14.5" spans="1:51">
      <c r="A849" s="91"/>
      <c r="B849" s="95"/>
      <c r="C849" s="152" t="s">
        <v>668</v>
      </c>
      <c r="D849" s="153" t="s">
        <v>25</v>
      </c>
      <c r="E849" s="130" t="s">
        <v>669</v>
      </c>
      <c r="F849" s="179" t="s">
        <v>876</v>
      </c>
      <c r="G849" s="179" t="s">
        <v>876</v>
      </c>
      <c r="H849" s="179" t="s">
        <v>876</v>
      </c>
      <c r="I849" s="179" t="s">
        <v>876</v>
      </c>
      <c r="J849" s="132">
        <v>0.9</v>
      </c>
      <c r="K849" s="133">
        <v>0.736842105263158</v>
      </c>
      <c r="L849" s="133">
        <v>0.727272727272727</v>
      </c>
      <c r="M849" s="134">
        <v>0.636363636363636</v>
      </c>
      <c r="N849" s="133">
        <v>0.74234693877551</v>
      </c>
      <c r="O849" s="135">
        <v>0.9</v>
      </c>
      <c r="P849" s="133">
        <v>0.967857142857143</v>
      </c>
      <c r="Q849" s="133">
        <v>0.950704225352113</v>
      </c>
      <c r="R849" s="133">
        <v>0.931901519119958</v>
      </c>
      <c r="S849" s="133">
        <v>0.955482630601962</v>
      </c>
      <c r="T849" s="135">
        <v>0.9</v>
      </c>
      <c r="U849" s="133">
        <v>0.908333333333333</v>
      </c>
      <c r="V849" s="133">
        <v>0.893192488262911</v>
      </c>
      <c r="W849" s="133">
        <v>0.868517548454688</v>
      </c>
      <c r="X849" s="133">
        <v>0.895153805356669</v>
      </c>
      <c r="Y849" s="135">
        <v>0.92</v>
      </c>
      <c r="Z849" s="135">
        <v>0.916943521594684</v>
      </c>
      <c r="AA849" s="135">
        <v>0.954314720812183</v>
      </c>
      <c r="AB849" s="135">
        <v>0.941860465116279</v>
      </c>
      <c r="AC849" s="135">
        <v>0.93458067940552</v>
      </c>
      <c r="AD849" s="135">
        <v>0.92</v>
      </c>
      <c r="AE849" s="133">
        <v>0.997971602434077</v>
      </c>
      <c r="AF849" s="133">
        <v>0.986363636363636</v>
      </c>
      <c r="AG849" s="133">
        <v>0.996932515337423</v>
      </c>
      <c r="AH849" s="133">
        <v>0.97881627936834</v>
      </c>
      <c r="AI849" s="135">
        <v>0.92</v>
      </c>
      <c r="AJ849" s="133">
        <v>0.946538124452235</v>
      </c>
      <c r="AK849" s="133">
        <v>0.960042060988433</v>
      </c>
      <c r="AL849" s="133">
        <v>0.966239316239316</v>
      </c>
      <c r="AM849" s="133">
        <v>0.962956088247773</v>
      </c>
      <c r="AN849" s="132">
        <v>0.99</v>
      </c>
      <c r="AO849" s="137">
        <v>1</v>
      </c>
      <c r="AP849" s="137">
        <v>1</v>
      </c>
      <c r="AQ849" s="137">
        <v>1</v>
      </c>
      <c r="AR849" s="137">
        <v>1</v>
      </c>
      <c r="AS849" s="158">
        <v>0.0810595228934205</v>
      </c>
      <c r="AT849" s="141">
        <v>0</v>
      </c>
      <c r="AU849" s="141">
        <v>0.272727272727273</v>
      </c>
      <c r="AV849" s="141">
        <v>0.222222222222222</v>
      </c>
      <c r="AW849" s="141">
        <v>0.0810810810810811</v>
      </c>
      <c r="AX849" s="95"/>
      <c r="AY849" s="93"/>
    </row>
    <row r="850" ht="14.5" spans="1:51">
      <c r="A850" s="91"/>
      <c r="B850" s="95"/>
      <c r="C850" s="152" t="s">
        <v>668</v>
      </c>
      <c r="D850" s="153" t="s">
        <v>25</v>
      </c>
      <c r="E850" s="130" t="s">
        <v>669</v>
      </c>
      <c r="F850" s="179" t="s">
        <v>877</v>
      </c>
      <c r="G850" s="179" t="s">
        <v>877</v>
      </c>
      <c r="H850" s="179" t="s">
        <v>877</v>
      </c>
      <c r="I850" s="179" t="s">
        <v>877</v>
      </c>
      <c r="J850" s="132">
        <v>0.9</v>
      </c>
      <c r="K850" s="133">
        <v>1</v>
      </c>
      <c r="L850" s="133">
        <v>0.961538461538462</v>
      </c>
      <c r="M850" s="134">
        <v>0.962962962962963</v>
      </c>
      <c r="N850" s="133">
        <v>0.971153846153846</v>
      </c>
      <c r="O850" s="135">
        <v>0.9</v>
      </c>
      <c r="P850" s="133">
        <v>0.923435419440746</v>
      </c>
      <c r="Q850" s="133">
        <v>0.980088495575221</v>
      </c>
      <c r="R850" s="133">
        <v>0.91945641365595</v>
      </c>
      <c r="S850" s="133">
        <v>0.963670898730381</v>
      </c>
      <c r="T850" s="135">
        <v>0.9</v>
      </c>
      <c r="U850" s="133">
        <v>0.861517976031957</v>
      </c>
      <c r="V850" s="133">
        <v>0.847713864306785</v>
      </c>
      <c r="W850" s="133">
        <v>0.870401060656281</v>
      </c>
      <c r="X850" s="133">
        <v>0.918584424672598</v>
      </c>
      <c r="Y850" s="135">
        <v>0.92</v>
      </c>
      <c r="Z850" s="135">
        <v>0.879464285714286</v>
      </c>
      <c r="AA850" s="135">
        <v>0.0482315112540193</v>
      </c>
      <c r="AB850" s="135">
        <v>0.924263674614306</v>
      </c>
      <c r="AC850" s="135">
        <v>0.910547287956412</v>
      </c>
      <c r="AD850" s="135">
        <v>0.92</v>
      </c>
      <c r="AE850" s="133">
        <v>0.999470338983051</v>
      </c>
      <c r="AF850" s="133">
        <v>0.990689013035382</v>
      </c>
      <c r="AG850" s="133">
        <v>0.98695652173913</v>
      </c>
      <c r="AH850" s="133">
        <v>0.991940072065238</v>
      </c>
      <c r="AI850" s="135">
        <v>0.92</v>
      </c>
      <c r="AJ850" s="133">
        <v>0.947179487179487</v>
      </c>
      <c r="AK850" s="133">
        <v>0.832616606020509</v>
      </c>
      <c r="AL850" s="133">
        <v>0.958188153310105</v>
      </c>
      <c r="AM850" s="133">
        <v>0.962593876372039</v>
      </c>
      <c r="AN850" s="132">
        <v>0.99</v>
      </c>
      <c r="AO850" s="137">
        <v>1</v>
      </c>
      <c r="AP850" s="137">
        <v>1</v>
      </c>
      <c r="AQ850" s="137">
        <v>1</v>
      </c>
      <c r="AR850" s="137">
        <v>1</v>
      </c>
      <c r="AS850" s="158">
        <v>0.0810595228934205</v>
      </c>
      <c r="AT850" s="141">
        <v>0</v>
      </c>
      <c r="AU850" s="141">
        <v>0</v>
      </c>
      <c r="AV850" s="141">
        <v>0</v>
      </c>
      <c r="AW850" s="141">
        <v>0.0311111111111111</v>
      </c>
      <c r="AX850" s="95"/>
      <c r="AY850" s="93"/>
    </row>
    <row r="851" ht="14.5" spans="1:51">
      <c r="A851" s="91"/>
      <c r="B851" s="95"/>
      <c r="C851" s="152" t="s">
        <v>668</v>
      </c>
      <c r="D851" s="153" t="s">
        <v>25</v>
      </c>
      <c r="E851" s="130" t="s">
        <v>669</v>
      </c>
      <c r="F851" s="179" t="s">
        <v>878</v>
      </c>
      <c r="G851" s="179" t="s">
        <v>878</v>
      </c>
      <c r="H851" s="179" t="s">
        <v>878</v>
      </c>
      <c r="I851" s="179" t="s">
        <v>878</v>
      </c>
      <c r="J851" s="132">
        <v>0.9</v>
      </c>
      <c r="K851" s="133">
        <v>0.609756097560976</v>
      </c>
      <c r="L851" s="133">
        <v>0.428571428571429</v>
      </c>
      <c r="M851" s="134">
        <v>0.617647058823529</v>
      </c>
      <c r="N851" s="133">
        <v>0.616551724137931</v>
      </c>
      <c r="O851" s="135">
        <v>0.9</v>
      </c>
      <c r="P851" s="133">
        <v>0.780277961614825</v>
      </c>
      <c r="Q851" s="133">
        <v>0.808454425363276</v>
      </c>
      <c r="R851" s="133">
        <v>0.707858048162231</v>
      </c>
      <c r="S851" s="133">
        <v>0.754584140603377</v>
      </c>
      <c r="T851" s="135">
        <v>0.9</v>
      </c>
      <c r="U851" s="133">
        <v>0.456651224354732</v>
      </c>
      <c r="V851" s="133">
        <v>0.340158520475561</v>
      </c>
      <c r="W851" s="133">
        <v>0.438212927756654</v>
      </c>
      <c r="X851" s="133">
        <v>0.480573623027955</v>
      </c>
      <c r="Y851" s="135">
        <v>0.92</v>
      </c>
      <c r="Z851" s="135">
        <v>0.467509025270758</v>
      </c>
      <c r="AA851" s="135">
        <v>0.193452380952381</v>
      </c>
      <c r="AB851" s="135">
        <v>0.198162729658793</v>
      </c>
      <c r="AC851" s="135">
        <v>0.47285501383862</v>
      </c>
      <c r="AD851" s="135">
        <v>0.92</v>
      </c>
      <c r="AE851" s="133">
        <v>0.998397435897436</v>
      </c>
      <c r="AF851" s="133">
        <v>0.989690721649485</v>
      </c>
      <c r="AG851" s="133">
        <v>0.992537313432836</v>
      </c>
      <c r="AH851" s="133">
        <v>0.965828560333948</v>
      </c>
      <c r="AI851" s="135">
        <v>0.92</v>
      </c>
      <c r="AJ851" s="133">
        <v>0.678450363196126</v>
      </c>
      <c r="AK851" s="133">
        <v>0.596731054977712</v>
      </c>
      <c r="AL851" s="133">
        <v>0.579377233282287</v>
      </c>
      <c r="AM851" s="133">
        <v>0.756470342813434</v>
      </c>
      <c r="AN851" s="132">
        <v>0.99</v>
      </c>
      <c r="AO851" s="137">
        <v>1</v>
      </c>
      <c r="AP851" s="137">
        <v>1</v>
      </c>
      <c r="AQ851" s="137">
        <v>1</v>
      </c>
      <c r="AR851" s="137">
        <v>1</v>
      </c>
      <c r="AS851" s="158">
        <v>0.0810595228934205</v>
      </c>
      <c r="AT851" s="141">
        <v>0.03125</v>
      </c>
      <c r="AU851" s="141">
        <v>0.025</v>
      </c>
      <c r="AV851" s="141">
        <v>0</v>
      </c>
      <c r="AW851" s="141">
        <v>0.0314232902033272</v>
      </c>
      <c r="AX851" s="95"/>
      <c r="AY851" s="93"/>
    </row>
    <row r="852" ht="14.5" spans="1:51">
      <c r="A852" s="91"/>
      <c r="B852" s="95"/>
      <c r="C852" s="152" t="s">
        <v>668</v>
      </c>
      <c r="D852" s="153" t="s">
        <v>25</v>
      </c>
      <c r="E852" s="130" t="s">
        <v>669</v>
      </c>
      <c r="F852" s="179" t="s">
        <v>879</v>
      </c>
      <c r="G852" s="179" t="s">
        <v>879</v>
      </c>
      <c r="H852" s="179" t="s">
        <v>879</v>
      </c>
      <c r="I852" s="179" t="s">
        <v>879</v>
      </c>
      <c r="J852" s="132">
        <v>0.9</v>
      </c>
      <c r="K852" s="133" t="s">
        <v>35</v>
      </c>
      <c r="L852" s="133" t="s">
        <v>35</v>
      </c>
      <c r="M852" s="134" t="s">
        <v>35</v>
      </c>
      <c r="N852" s="133" t="s">
        <v>35</v>
      </c>
      <c r="O852" s="135">
        <v>0.9</v>
      </c>
      <c r="P852" s="133" t="s">
        <v>35</v>
      </c>
      <c r="Q852" s="133" t="s">
        <v>35</v>
      </c>
      <c r="R852" s="133">
        <v>0</v>
      </c>
      <c r="S852" s="133">
        <v>0.00917431192660551</v>
      </c>
      <c r="T852" s="135">
        <v>0.9</v>
      </c>
      <c r="U852" s="133" t="s">
        <v>35</v>
      </c>
      <c r="V852" s="133" t="s">
        <v>35</v>
      </c>
      <c r="W852" s="133">
        <v>1</v>
      </c>
      <c r="X852" s="133">
        <v>0.697247706422018</v>
      </c>
      <c r="Y852" s="135">
        <v>0.92</v>
      </c>
      <c r="Z852" s="135">
        <v>1</v>
      </c>
      <c r="AA852" s="135" t="s">
        <v>35</v>
      </c>
      <c r="AB852" s="135" t="s">
        <v>35</v>
      </c>
      <c r="AC852" s="135">
        <v>1</v>
      </c>
      <c r="AD852" s="135">
        <v>0.92</v>
      </c>
      <c r="AE852" s="133" t="s">
        <v>35</v>
      </c>
      <c r="AF852" s="133" t="s">
        <v>35</v>
      </c>
      <c r="AG852" s="133" t="s">
        <v>35</v>
      </c>
      <c r="AH852" s="133">
        <v>0.666666666666667</v>
      </c>
      <c r="AI852" s="135">
        <v>0.92</v>
      </c>
      <c r="AJ852" s="133">
        <v>1</v>
      </c>
      <c r="AK852" s="133" t="s">
        <v>35</v>
      </c>
      <c r="AL852" s="133">
        <v>1</v>
      </c>
      <c r="AM852" s="133">
        <v>1</v>
      </c>
      <c r="AN852" s="132">
        <v>0.99</v>
      </c>
      <c r="AO852" s="137" t="s">
        <v>35</v>
      </c>
      <c r="AP852" s="137" t="s">
        <v>35</v>
      </c>
      <c r="AQ852" s="137" t="s">
        <v>35</v>
      </c>
      <c r="AR852" s="137">
        <v>1</v>
      </c>
      <c r="AS852" s="158">
        <v>0.0810595228934205</v>
      </c>
      <c r="AT852" s="141" t="s">
        <v>35</v>
      </c>
      <c r="AU852" s="141" t="s">
        <v>35</v>
      </c>
      <c r="AV852" s="141" t="s">
        <v>35</v>
      </c>
      <c r="AW852" s="141">
        <v>0</v>
      </c>
      <c r="AX852" s="95"/>
      <c r="AY852" s="93"/>
    </row>
    <row r="853" ht="14.5" spans="1:51">
      <c r="A853" s="91"/>
      <c r="B853" s="95"/>
      <c r="C853" s="152" t="s">
        <v>668</v>
      </c>
      <c r="D853" s="153" t="s">
        <v>25</v>
      </c>
      <c r="E853" s="130" t="s">
        <v>669</v>
      </c>
      <c r="F853" s="179" t="s">
        <v>880</v>
      </c>
      <c r="G853" s="179" t="s">
        <v>880</v>
      </c>
      <c r="H853" s="179" t="s">
        <v>880</v>
      </c>
      <c r="I853" s="179" t="s">
        <v>880</v>
      </c>
      <c r="J853" s="132">
        <v>0.9</v>
      </c>
      <c r="K853" s="133">
        <v>0.886363636363636</v>
      </c>
      <c r="L853" s="133">
        <v>0.977777777777778</v>
      </c>
      <c r="M853" s="134">
        <v>0.891304347826087</v>
      </c>
      <c r="N853" s="133">
        <v>0.906586826347305</v>
      </c>
      <c r="O853" s="135">
        <v>0.9</v>
      </c>
      <c r="P853" s="133">
        <v>0.956925115970842</v>
      </c>
      <c r="Q853" s="133">
        <v>0.978488014751076</v>
      </c>
      <c r="R853" s="133">
        <v>0.955434157561817</v>
      </c>
      <c r="S853" s="133">
        <v>0.959582169164338</v>
      </c>
      <c r="T853" s="135">
        <v>0.9</v>
      </c>
      <c r="U853" s="133">
        <v>0.917163684559311</v>
      </c>
      <c r="V853" s="133">
        <v>0.913644744929318</v>
      </c>
      <c r="W853" s="133">
        <v>0.892466935020127</v>
      </c>
      <c r="X853" s="133">
        <v>0.910941071882144</v>
      </c>
      <c r="Y853" s="135">
        <v>0.92</v>
      </c>
      <c r="Z853" s="135">
        <v>0.893518518518518</v>
      </c>
      <c r="AA853" s="135">
        <v>0.864450127877238</v>
      </c>
      <c r="AB853" s="135">
        <v>0.895539906103286</v>
      </c>
      <c r="AC853" s="135">
        <v>0.912498556081784</v>
      </c>
      <c r="AD853" s="135">
        <v>0.92</v>
      </c>
      <c r="AE853" s="133">
        <v>1</v>
      </c>
      <c r="AF853" s="133">
        <v>0.98932384341637</v>
      </c>
      <c r="AG853" s="133">
        <v>1</v>
      </c>
      <c r="AH853" s="133">
        <v>0.984199331510179</v>
      </c>
      <c r="AI853" s="135">
        <v>0.92</v>
      </c>
      <c r="AJ853" s="133">
        <v>0.94297635605007</v>
      </c>
      <c r="AK853" s="133">
        <v>0.949533735600658</v>
      </c>
      <c r="AL853" s="133">
        <v>0.947125375202032</v>
      </c>
      <c r="AM853" s="133">
        <v>0.95812580934356</v>
      </c>
      <c r="AN853" s="132">
        <v>0.99</v>
      </c>
      <c r="AO853" s="137">
        <v>1</v>
      </c>
      <c r="AP853" s="137">
        <v>1</v>
      </c>
      <c r="AQ853" s="137">
        <v>1</v>
      </c>
      <c r="AR853" s="137">
        <v>1</v>
      </c>
      <c r="AS853" s="158">
        <v>0.0810595228934205</v>
      </c>
      <c r="AT853" s="141">
        <v>0</v>
      </c>
      <c r="AU853" s="141">
        <v>0</v>
      </c>
      <c r="AV853" s="141">
        <v>0</v>
      </c>
      <c r="AW853" s="141">
        <v>0.0297520661157025</v>
      </c>
      <c r="AX853" s="95"/>
      <c r="AY853" s="93"/>
    </row>
    <row r="854" ht="14.5" spans="1:51">
      <c r="A854" s="91"/>
      <c r="B854" s="95"/>
      <c r="C854" s="152" t="s">
        <v>668</v>
      </c>
      <c r="D854" s="153" t="s">
        <v>25</v>
      </c>
      <c r="E854" s="130" t="s">
        <v>669</v>
      </c>
      <c r="F854" s="179" t="s">
        <v>881</v>
      </c>
      <c r="G854" s="179" t="s">
        <v>881</v>
      </c>
      <c r="H854" s="179" t="s">
        <v>881</v>
      </c>
      <c r="I854" s="179" t="s">
        <v>881</v>
      </c>
      <c r="J854" s="132">
        <v>0.9</v>
      </c>
      <c r="K854" s="133">
        <v>0.967741935483871</v>
      </c>
      <c r="L854" s="133">
        <v>0.914285714285714</v>
      </c>
      <c r="M854" s="134">
        <v>1</v>
      </c>
      <c r="N854" s="133">
        <v>0.966777408637874</v>
      </c>
      <c r="O854" s="135">
        <v>0.9</v>
      </c>
      <c r="P854" s="133">
        <v>0.95852534562212</v>
      </c>
      <c r="Q854" s="133">
        <v>0.967125721901377</v>
      </c>
      <c r="R854" s="133">
        <v>0.973140495867769</v>
      </c>
      <c r="S854" s="133">
        <v>0.957353613631441</v>
      </c>
      <c r="T854" s="135">
        <v>0.9</v>
      </c>
      <c r="U854" s="133">
        <v>0.900460829493088</v>
      </c>
      <c r="V854" s="133">
        <v>0.951132829853399</v>
      </c>
      <c r="W854" s="133">
        <v>0.937603305785124</v>
      </c>
      <c r="X854" s="133">
        <v>0.92888257803663</v>
      </c>
      <c r="Y854" s="135">
        <v>0.92</v>
      </c>
      <c r="Z854" s="135">
        <v>0.884422110552764</v>
      </c>
      <c r="AA854" s="135">
        <v>0.941176470588235</v>
      </c>
      <c r="AB854" s="135">
        <v>0.920203735144312</v>
      </c>
      <c r="AC854" s="135">
        <v>0.915247524752475</v>
      </c>
      <c r="AD854" s="135">
        <v>0.92</v>
      </c>
      <c r="AE854" s="133">
        <v>1</v>
      </c>
      <c r="AF854" s="133">
        <v>0.986486486486487</v>
      </c>
      <c r="AG854" s="133">
        <v>0.977443609022556</v>
      </c>
      <c r="AH854" s="133">
        <v>0.991787250684396</v>
      </c>
      <c r="AI854" s="135">
        <v>0.92</v>
      </c>
      <c r="AJ854" s="133">
        <v>0.925826028320971</v>
      </c>
      <c r="AK854" s="133">
        <v>0.976941747572815</v>
      </c>
      <c r="AL854" s="133">
        <v>0.966434031239614</v>
      </c>
      <c r="AM854" s="133">
        <v>0.966603422907148</v>
      </c>
      <c r="AN854" s="132">
        <v>0.99</v>
      </c>
      <c r="AO854" s="137">
        <v>1</v>
      </c>
      <c r="AP854" s="137">
        <v>1</v>
      </c>
      <c r="AQ854" s="137">
        <v>1</v>
      </c>
      <c r="AR854" s="137">
        <v>1</v>
      </c>
      <c r="AS854" s="158">
        <v>0.0810595228934205</v>
      </c>
      <c r="AT854" s="141">
        <v>0</v>
      </c>
      <c r="AU854" s="141">
        <v>0.0555555555555556</v>
      </c>
      <c r="AV854" s="141">
        <v>0</v>
      </c>
      <c r="AW854" s="141">
        <v>0.0778688524590164</v>
      </c>
      <c r="AX854" s="95"/>
      <c r="AY854" s="93"/>
    </row>
    <row r="855" ht="14.5" spans="1:51">
      <c r="A855" s="91"/>
      <c r="B855" s="95"/>
      <c r="C855" s="152" t="s">
        <v>668</v>
      </c>
      <c r="D855" s="153" t="s">
        <v>25</v>
      </c>
      <c r="E855" s="130" t="s">
        <v>669</v>
      </c>
      <c r="F855" s="179" t="s">
        <v>882</v>
      </c>
      <c r="G855" s="179" t="s">
        <v>882</v>
      </c>
      <c r="H855" s="179" t="s">
        <v>882</v>
      </c>
      <c r="I855" s="179" t="s">
        <v>882</v>
      </c>
      <c r="J855" s="132">
        <v>0.9</v>
      </c>
      <c r="K855" s="133">
        <v>0.846153846153846</v>
      </c>
      <c r="L855" s="133">
        <v>0.962962962962963</v>
      </c>
      <c r="M855" s="134">
        <v>0.925925925925926</v>
      </c>
      <c r="N855" s="133">
        <v>0.922448979591837</v>
      </c>
      <c r="O855" s="135">
        <v>0.9</v>
      </c>
      <c r="P855" s="133">
        <v>0.972602739726027</v>
      </c>
      <c r="Q855" s="133">
        <v>0.970309810671256</v>
      </c>
      <c r="R855" s="133">
        <v>0.967041800643087</v>
      </c>
      <c r="S855" s="133">
        <v>0.969514525993884</v>
      </c>
      <c r="T855" s="135">
        <v>0.9</v>
      </c>
      <c r="U855" s="133">
        <v>0.911815068493151</v>
      </c>
      <c r="V855" s="133">
        <v>0.907056798623064</v>
      </c>
      <c r="W855" s="133">
        <v>0.90112540192926</v>
      </c>
      <c r="X855" s="133">
        <v>0.916762232415902</v>
      </c>
      <c r="Y855" s="135">
        <v>0.92</v>
      </c>
      <c r="Z855" s="135">
        <v>0.93018018018018</v>
      </c>
      <c r="AA855" s="135">
        <v>0.914814814814815</v>
      </c>
      <c r="AB855" s="135">
        <v>0.926666666666667</v>
      </c>
      <c r="AC855" s="135">
        <v>0.926473467789309</v>
      </c>
      <c r="AD855" s="135">
        <v>0.92</v>
      </c>
      <c r="AE855" s="133">
        <v>0.997981836528759</v>
      </c>
      <c r="AF855" s="133">
        <v>0.991884580703336</v>
      </c>
      <c r="AG855" s="133">
        <v>0.995348837209302</v>
      </c>
      <c r="AH855" s="133">
        <v>0.993029522024367</v>
      </c>
      <c r="AI855" s="135">
        <v>0.92</v>
      </c>
      <c r="AJ855" s="133">
        <v>0.949131513647643</v>
      </c>
      <c r="AK855" s="133">
        <v>0.956052428681573</v>
      </c>
      <c r="AL855" s="133">
        <v>0.954663212435233</v>
      </c>
      <c r="AM855" s="133">
        <v>0.95890305730527</v>
      </c>
      <c r="AN855" s="132">
        <v>0.99</v>
      </c>
      <c r="AO855" s="137">
        <v>1</v>
      </c>
      <c r="AP855" s="137">
        <v>1</v>
      </c>
      <c r="AQ855" s="137">
        <v>1</v>
      </c>
      <c r="AR855" s="137">
        <v>1</v>
      </c>
      <c r="AS855" s="158">
        <v>0.0810595228934205</v>
      </c>
      <c r="AT855" s="141">
        <v>0</v>
      </c>
      <c r="AU855" s="141">
        <v>0</v>
      </c>
      <c r="AV855" s="141">
        <v>0</v>
      </c>
      <c r="AW855" s="141">
        <v>0.0284697508896797</v>
      </c>
      <c r="AX855" s="95"/>
      <c r="AY855" s="93"/>
    </row>
    <row r="856" ht="14.5" spans="1:51">
      <c r="A856" s="91"/>
      <c r="B856" s="95"/>
      <c r="C856" s="152" t="s">
        <v>668</v>
      </c>
      <c r="D856" s="153" t="s">
        <v>25</v>
      </c>
      <c r="E856" s="130" t="s">
        <v>669</v>
      </c>
      <c r="F856" s="179" t="s">
        <v>883</v>
      </c>
      <c r="G856" s="179" t="s">
        <v>883</v>
      </c>
      <c r="H856" s="179" t="s">
        <v>883</v>
      </c>
      <c r="I856" s="179" t="s">
        <v>883</v>
      </c>
      <c r="J856" s="132">
        <v>0.9</v>
      </c>
      <c r="K856" s="133">
        <v>0.979591836734694</v>
      </c>
      <c r="L856" s="133">
        <v>0.918032786885246</v>
      </c>
      <c r="M856" s="134">
        <v>0.896551724137931</v>
      </c>
      <c r="N856" s="133">
        <v>0.940520446096654</v>
      </c>
      <c r="O856" s="135">
        <v>0.9</v>
      </c>
      <c r="P856" s="133">
        <v>0.946043165467626</v>
      </c>
      <c r="Q856" s="133">
        <v>0.928571428571429</v>
      </c>
      <c r="R856" s="133">
        <v>0.807620237351655</v>
      </c>
      <c r="S856" s="133">
        <v>0.869301134284669</v>
      </c>
      <c r="T856" s="135">
        <v>0.9</v>
      </c>
      <c r="U856" s="133">
        <v>0.903776978417266</v>
      </c>
      <c r="V856" s="133">
        <v>0.928807166430929</v>
      </c>
      <c r="W856" s="133">
        <v>0.899229648136581</v>
      </c>
      <c r="X856" s="133">
        <v>0.91752652762532</v>
      </c>
      <c r="Y856" s="135">
        <v>0.92</v>
      </c>
      <c r="Z856" s="135">
        <v>0.862567811934901</v>
      </c>
      <c r="AA856" s="135">
        <v>0.859223300970874</v>
      </c>
      <c r="AB856" s="135">
        <v>0.823084200567644</v>
      </c>
      <c r="AC856" s="135">
        <v>0.883770469977367</v>
      </c>
      <c r="AD856" s="135">
        <v>0.92</v>
      </c>
      <c r="AE856" s="133">
        <v>0.995964125560538</v>
      </c>
      <c r="AF856" s="133">
        <v>0.992010652463382</v>
      </c>
      <c r="AG856" s="133">
        <v>0.984349919743178</v>
      </c>
      <c r="AH856" s="133">
        <v>0.980495611270064</v>
      </c>
      <c r="AI856" s="135">
        <v>0.92</v>
      </c>
      <c r="AJ856" s="133">
        <v>0.930500540151242</v>
      </c>
      <c r="AK856" s="133">
        <v>0.94917695473251</v>
      </c>
      <c r="AL856" s="133">
        <v>0.924744027303754</v>
      </c>
      <c r="AM856" s="133">
        <v>0.954388496624233</v>
      </c>
      <c r="AN856" s="132">
        <v>0.99</v>
      </c>
      <c r="AO856" s="137">
        <v>1</v>
      </c>
      <c r="AP856" s="137">
        <v>1</v>
      </c>
      <c r="AQ856" s="137">
        <v>1</v>
      </c>
      <c r="AR856" s="137">
        <v>1</v>
      </c>
      <c r="AS856" s="158">
        <v>0.0810595228934205</v>
      </c>
      <c r="AT856" s="141">
        <v>0.0666666666666667</v>
      </c>
      <c r="AU856" s="141">
        <v>0.129032258064516</v>
      </c>
      <c r="AV856" s="141">
        <v>0</v>
      </c>
      <c r="AW856" s="141">
        <v>0.0554414784394251</v>
      </c>
      <c r="AX856" s="95"/>
      <c r="AY856" s="93"/>
    </row>
    <row r="857" ht="14.5" spans="1:51">
      <c r="A857" s="91"/>
      <c r="B857" s="95"/>
      <c r="C857" s="152" t="s">
        <v>668</v>
      </c>
      <c r="D857" s="153" t="s">
        <v>25</v>
      </c>
      <c r="E857" s="130" t="s">
        <v>669</v>
      </c>
      <c r="F857" s="179" t="s">
        <v>884</v>
      </c>
      <c r="G857" s="179" t="s">
        <v>884</v>
      </c>
      <c r="H857" s="179" t="s">
        <v>884</v>
      </c>
      <c r="I857" s="179" t="s">
        <v>884</v>
      </c>
      <c r="J857" s="132">
        <v>0.9</v>
      </c>
      <c r="K857" s="133">
        <v>0.8</v>
      </c>
      <c r="L857" s="133">
        <v>0.9</v>
      </c>
      <c r="M857" s="134">
        <v>0.933333333333333</v>
      </c>
      <c r="N857" s="133">
        <v>0.910499139414802</v>
      </c>
      <c r="O857" s="135">
        <v>0.9</v>
      </c>
      <c r="P857" s="133">
        <v>0.979816513761468</v>
      </c>
      <c r="Q857" s="133">
        <v>0.956521739130435</v>
      </c>
      <c r="R857" s="133">
        <v>0.889252145484266</v>
      </c>
      <c r="S857" s="133">
        <v>0.844539829676477</v>
      </c>
      <c r="T857" s="135">
        <v>0.9</v>
      </c>
      <c r="U857" s="133">
        <v>0.931192660550459</v>
      </c>
      <c r="V857" s="133">
        <v>0.909030100334448</v>
      </c>
      <c r="W857" s="133">
        <v>0.853698406211688</v>
      </c>
      <c r="X857" s="133">
        <v>0.922326993766981</v>
      </c>
      <c r="Y857" s="135">
        <v>0.92</v>
      </c>
      <c r="Z857" s="135">
        <v>0.928909952606635</v>
      </c>
      <c r="AA857" s="135">
        <v>0.771043771043771</v>
      </c>
      <c r="AB857" s="135">
        <v>1</v>
      </c>
      <c r="AC857" s="135">
        <v>0.868234627373194</v>
      </c>
      <c r="AD857" s="135">
        <v>0.92</v>
      </c>
      <c r="AE857" s="133">
        <v>1</v>
      </c>
      <c r="AF857" s="133">
        <v>0.984126984126984</v>
      </c>
      <c r="AG857" s="133">
        <v>0.985294117647059</v>
      </c>
      <c r="AH857" s="133">
        <v>0.93248026136673</v>
      </c>
      <c r="AI857" s="135">
        <v>0.92</v>
      </c>
      <c r="AJ857" s="133">
        <v>0.953881629515757</v>
      </c>
      <c r="AK857" s="133">
        <v>0.956191055673867</v>
      </c>
      <c r="AL857" s="133">
        <v>0.960162601626016</v>
      </c>
      <c r="AM857" s="133">
        <v>0.959907979079004</v>
      </c>
      <c r="AN857" s="132">
        <v>0.99</v>
      </c>
      <c r="AO857" s="137">
        <v>1</v>
      </c>
      <c r="AP857" s="137">
        <v>1</v>
      </c>
      <c r="AQ857" s="137">
        <v>1</v>
      </c>
      <c r="AR857" s="137">
        <v>1</v>
      </c>
      <c r="AS857" s="158">
        <v>0.0810595228934205</v>
      </c>
      <c r="AT857" s="141">
        <v>0</v>
      </c>
      <c r="AU857" s="141">
        <v>0</v>
      </c>
      <c r="AV857" s="141">
        <v>0.166666666666667</v>
      </c>
      <c r="AW857" s="141">
        <v>0.0476190476190476</v>
      </c>
      <c r="AX857" s="95"/>
      <c r="AY857" s="93"/>
    </row>
    <row r="858" ht="14.5" spans="1:51">
      <c r="A858" s="91"/>
      <c r="B858" s="95"/>
      <c r="C858" s="152" t="s">
        <v>668</v>
      </c>
      <c r="D858" s="153" t="s">
        <v>25</v>
      </c>
      <c r="E858" s="130" t="s">
        <v>669</v>
      </c>
      <c r="F858" s="179" t="s">
        <v>885</v>
      </c>
      <c r="G858" s="179" t="s">
        <v>885</v>
      </c>
      <c r="H858" s="179" t="s">
        <v>885</v>
      </c>
      <c r="I858" s="179" t="s">
        <v>885</v>
      </c>
      <c r="J858" s="132">
        <v>0.9</v>
      </c>
      <c r="K858" s="133">
        <v>0.973684210526316</v>
      </c>
      <c r="L858" s="133">
        <v>0.973684210526316</v>
      </c>
      <c r="M858" s="134">
        <v>0.897435897435897</v>
      </c>
      <c r="N858" s="133">
        <v>0.96241610738255</v>
      </c>
      <c r="O858" s="135">
        <v>0.9</v>
      </c>
      <c r="P858" s="133">
        <v>0.831724969843185</v>
      </c>
      <c r="Q858" s="133">
        <v>0.756938603868797</v>
      </c>
      <c r="R858" s="133">
        <v>0.58790749512399</v>
      </c>
      <c r="S858" s="133">
        <v>0.788518045352922</v>
      </c>
      <c r="T858" s="135">
        <v>0.9</v>
      </c>
      <c r="U858" s="133">
        <v>0.661037394451146</v>
      </c>
      <c r="V858" s="133">
        <v>0.602186711522288</v>
      </c>
      <c r="W858" s="133">
        <v>0.637224853719699</v>
      </c>
      <c r="X858" s="133">
        <v>0.622740338549984</v>
      </c>
      <c r="Y858" s="135">
        <v>0.92</v>
      </c>
      <c r="Z858" s="135">
        <v>0.618421052631579</v>
      </c>
      <c r="AA858" s="135">
        <v>0.511777301927195</v>
      </c>
      <c r="AB858" s="135">
        <v>0.633209417596035</v>
      </c>
      <c r="AC858" s="135">
        <v>0.674913233069325</v>
      </c>
      <c r="AD858" s="135">
        <v>0.92</v>
      </c>
      <c r="AE858" s="133">
        <v>1</v>
      </c>
      <c r="AF858" s="133">
        <v>0.995301487862177</v>
      </c>
      <c r="AG858" s="133">
        <v>0.995812395309883</v>
      </c>
      <c r="AH858" s="133">
        <v>0.996004084713404</v>
      </c>
      <c r="AI858" s="135">
        <v>0.92</v>
      </c>
      <c r="AJ858" s="133">
        <v>0.811347517730496</v>
      </c>
      <c r="AK858" s="133">
        <v>0.841844323252355</v>
      </c>
      <c r="AL858" s="133">
        <v>0.861464968152866</v>
      </c>
      <c r="AM858" s="133">
        <v>0.89610495105804</v>
      </c>
      <c r="AN858" s="132">
        <v>0.99</v>
      </c>
      <c r="AO858" s="137">
        <v>1</v>
      </c>
      <c r="AP858" s="137">
        <v>1</v>
      </c>
      <c r="AQ858" s="137">
        <v>1</v>
      </c>
      <c r="AR858" s="137">
        <v>1</v>
      </c>
      <c r="AS858" s="158">
        <v>0.0810595228934205</v>
      </c>
      <c r="AT858" s="141">
        <v>0.166666666666667</v>
      </c>
      <c r="AU858" s="141">
        <v>0</v>
      </c>
      <c r="AV858" s="141">
        <v>0.117647058823529</v>
      </c>
      <c r="AW858" s="141">
        <v>0.0721649484536082</v>
      </c>
      <c r="AX858" s="95"/>
      <c r="AY858" s="93"/>
    </row>
    <row r="859" ht="14.5" spans="1:51">
      <c r="A859" s="91"/>
      <c r="B859" s="95"/>
      <c r="C859" s="152" t="s">
        <v>668</v>
      </c>
      <c r="D859" s="153" t="s">
        <v>25</v>
      </c>
      <c r="E859" s="130" t="s">
        <v>669</v>
      </c>
      <c r="F859" s="179" t="s">
        <v>886</v>
      </c>
      <c r="G859" s="179" t="s">
        <v>886</v>
      </c>
      <c r="H859" s="179" t="s">
        <v>886</v>
      </c>
      <c r="I859" s="179" t="s">
        <v>886</v>
      </c>
      <c r="J859" s="132">
        <v>0.9</v>
      </c>
      <c r="K859" s="133">
        <v>1</v>
      </c>
      <c r="L859" s="133">
        <v>0.975609756097561</v>
      </c>
      <c r="M859" s="134">
        <v>0.972972972972973</v>
      </c>
      <c r="N859" s="133">
        <v>0.983026874115983</v>
      </c>
      <c r="O859" s="135">
        <v>0.9</v>
      </c>
      <c r="P859" s="133">
        <v>0.973004694835681</v>
      </c>
      <c r="Q859" s="133">
        <v>0.976141984288624</v>
      </c>
      <c r="R859" s="133">
        <v>0.964453737584945</v>
      </c>
      <c r="S859" s="133">
        <v>0.938481450870928</v>
      </c>
      <c r="T859" s="135">
        <v>0.9</v>
      </c>
      <c r="U859" s="133">
        <v>0.914906103286385</v>
      </c>
      <c r="V859" s="133">
        <v>0.948501600232761</v>
      </c>
      <c r="W859" s="133">
        <v>0.915054887611082</v>
      </c>
      <c r="X859" s="133">
        <v>0.925382444212266</v>
      </c>
      <c r="Y859" s="135">
        <v>0.92</v>
      </c>
      <c r="Z859" s="135">
        <v>0.744630071599045</v>
      </c>
      <c r="AA859" s="135">
        <v>0.724346076458752</v>
      </c>
      <c r="AB859" s="135">
        <v>0.719251336898396</v>
      </c>
      <c r="AC859" s="135">
        <v>0.807857142857143</v>
      </c>
      <c r="AD859" s="135">
        <v>0.92</v>
      </c>
      <c r="AE859" s="133">
        <v>0.997368421052632</v>
      </c>
      <c r="AF859" s="133">
        <v>0.988142292490119</v>
      </c>
      <c r="AG859" s="133">
        <v>0.986206896551724</v>
      </c>
      <c r="AH859" s="133">
        <v>0.988730450781969</v>
      </c>
      <c r="AI859" s="135">
        <v>0.92</v>
      </c>
      <c r="AJ859" s="133">
        <v>0.91238813000471</v>
      </c>
      <c r="AK859" s="133">
        <v>0.9489069649212</v>
      </c>
      <c r="AL859" s="133">
        <v>0.929602098819414</v>
      </c>
      <c r="AM859" s="133">
        <v>0.954267280861289</v>
      </c>
      <c r="AN859" s="132">
        <v>0.99</v>
      </c>
      <c r="AO859" s="137">
        <v>1</v>
      </c>
      <c r="AP859" s="137">
        <v>1</v>
      </c>
      <c r="AQ859" s="137">
        <v>1</v>
      </c>
      <c r="AR859" s="137">
        <v>1</v>
      </c>
      <c r="AS859" s="158">
        <v>0.0810595228934205</v>
      </c>
      <c r="AT859" s="141">
        <v>0</v>
      </c>
      <c r="AU859" s="141">
        <v>0.2</v>
      </c>
      <c r="AV859" s="141">
        <v>0.0625</v>
      </c>
      <c r="AW859" s="141">
        <v>0.046218487394958</v>
      </c>
      <c r="AX859" s="95"/>
      <c r="AY859" s="93"/>
    </row>
    <row r="860" ht="14.5" spans="1:51">
      <c r="A860" s="91"/>
      <c r="B860" s="95"/>
      <c r="C860" s="152" t="s">
        <v>668</v>
      </c>
      <c r="D860" s="153" t="s">
        <v>25</v>
      </c>
      <c r="E860" s="130" t="s">
        <v>669</v>
      </c>
      <c r="F860" s="179" t="s">
        <v>887</v>
      </c>
      <c r="G860" s="179" t="s">
        <v>887</v>
      </c>
      <c r="H860" s="179" t="s">
        <v>887</v>
      </c>
      <c r="I860" s="179" t="s">
        <v>887</v>
      </c>
      <c r="J860" s="132">
        <v>0.9</v>
      </c>
      <c r="K860" s="133">
        <v>0.934782608695652</v>
      </c>
      <c r="L860" s="133">
        <v>0.978723404255319</v>
      </c>
      <c r="M860" s="134">
        <v>0.9375</v>
      </c>
      <c r="N860" s="133">
        <v>0.941527446300716</v>
      </c>
      <c r="O860" s="135">
        <v>0.9</v>
      </c>
      <c r="P860" s="133">
        <v>0.934302638664513</v>
      </c>
      <c r="Q860" s="133">
        <v>0.936549554273728</v>
      </c>
      <c r="R860" s="133">
        <v>0.930232558139535</v>
      </c>
      <c r="S860" s="133">
        <v>0.915671735578736</v>
      </c>
      <c r="T860" s="135">
        <v>0.9</v>
      </c>
      <c r="U860" s="133">
        <v>0.924071082390953</v>
      </c>
      <c r="V860" s="133">
        <v>0.919507079181961</v>
      </c>
      <c r="W860" s="133">
        <v>0.916943521594684</v>
      </c>
      <c r="X860" s="133">
        <v>0.891569966346892</v>
      </c>
      <c r="Y860" s="135">
        <v>0.92</v>
      </c>
      <c r="Z860" s="135">
        <v>0.915525114155251</v>
      </c>
      <c r="AA860" s="135">
        <v>0.881508078994614</v>
      </c>
      <c r="AB860" s="135">
        <v>0.917576961271102</v>
      </c>
      <c r="AC860" s="135">
        <v>0.901587766152045</v>
      </c>
      <c r="AD860" s="135">
        <v>0.92</v>
      </c>
      <c r="AE860" s="133">
        <v>1</v>
      </c>
      <c r="AF860" s="133">
        <v>0.995256166982922</v>
      </c>
      <c r="AG860" s="133">
        <v>0.993710691823899</v>
      </c>
      <c r="AH860" s="133">
        <v>0.994322717998758</v>
      </c>
      <c r="AI860" s="135">
        <v>0.92</v>
      </c>
      <c r="AJ860" s="133">
        <v>0.956427015250545</v>
      </c>
      <c r="AK860" s="133">
        <v>0.962251201098147</v>
      </c>
      <c r="AL860" s="133">
        <v>0.96609844857307</v>
      </c>
      <c r="AM860" s="133">
        <v>0.962782298726578</v>
      </c>
      <c r="AN860" s="132">
        <v>0.99</v>
      </c>
      <c r="AO860" s="137">
        <v>1</v>
      </c>
      <c r="AP860" s="137">
        <v>1</v>
      </c>
      <c r="AQ860" s="137">
        <v>1</v>
      </c>
      <c r="AR860" s="137">
        <v>1</v>
      </c>
      <c r="AS860" s="158">
        <v>0.0810595228934205</v>
      </c>
      <c r="AT860" s="141">
        <v>0.04</v>
      </c>
      <c r="AU860" s="141">
        <v>0.0666666666666667</v>
      </c>
      <c r="AV860" s="141">
        <v>0.0526315789473684</v>
      </c>
      <c r="AW860" s="141">
        <v>0.0586510263929619</v>
      </c>
      <c r="AX860" s="95"/>
      <c r="AY860" s="93"/>
    </row>
    <row r="861" ht="14.5" spans="1:51">
      <c r="A861" s="91"/>
      <c r="B861" s="95"/>
      <c r="C861" s="152" t="s">
        <v>668</v>
      </c>
      <c r="D861" s="153" t="s">
        <v>25</v>
      </c>
      <c r="E861" s="130" t="s">
        <v>669</v>
      </c>
      <c r="F861" s="179" t="s">
        <v>888</v>
      </c>
      <c r="G861" s="179" t="s">
        <v>888</v>
      </c>
      <c r="H861" s="179" t="s">
        <v>888</v>
      </c>
      <c r="I861" s="179" t="s">
        <v>888</v>
      </c>
      <c r="J861" s="132">
        <v>0.9</v>
      </c>
      <c r="K861" s="133">
        <v>0.936170212765957</v>
      </c>
      <c r="L861" s="133">
        <v>0.934426229508197</v>
      </c>
      <c r="M861" s="134">
        <v>0.913793103448276</v>
      </c>
      <c r="N861" s="133">
        <v>0.934395501405811</v>
      </c>
      <c r="O861" s="135">
        <v>0.9</v>
      </c>
      <c r="P861" s="133">
        <v>0.932070240295749</v>
      </c>
      <c r="Q861" s="133">
        <v>0.886733716475096</v>
      </c>
      <c r="R861" s="133">
        <v>0.873073436083409</v>
      </c>
      <c r="S861" s="133">
        <v>0.662834470643068</v>
      </c>
      <c r="T861" s="135">
        <v>0.9</v>
      </c>
      <c r="U861" s="133">
        <v>0.906654343807763</v>
      </c>
      <c r="V861" s="133">
        <v>0.917624521072797</v>
      </c>
      <c r="W861" s="133">
        <v>0.893699002719855</v>
      </c>
      <c r="X861" s="133">
        <v>0.884066111356765</v>
      </c>
      <c r="Y861" s="135">
        <v>0.92</v>
      </c>
      <c r="Z861" s="135">
        <v>0.842718446601942</v>
      </c>
      <c r="AA861" s="135">
        <v>0.811074918566775</v>
      </c>
      <c r="AB861" s="135">
        <v>0.88068669527897</v>
      </c>
      <c r="AC861" s="135">
        <v>0.86704246063354</v>
      </c>
      <c r="AD861" s="135">
        <v>0.92</v>
      </c>
      <c r="AE861" s="133">
        <v>0.998417721518987</v>
      </c>
      <c r="AF861" s="133">
        <v>0.992871690427699</v>
      </c>
      <c r="AG861" s="133">
        <v>0.931818181818182</v>
      </c>
      <c r="AH861" s="133">
        <v>0.980089596814335</v>
      </c>
      <c r="AI861" s="135">
        <v>0.92</v>
      </c>
      <c r="AJ861" s="133">
        <v>0.914520343411721</v>
      </c>
      <c r="AK861" s="133">
        <v>0.939874739039666</v>
      </c>
      <c r="AL861" s="133">
        <v>0.944414559799175</v>
      </c>
      <c r="AM861" s="133">
        <v>0.950040499595004</v>
      </c>
      <c r="AN861" s="132">
        <v>0.99</v>
      </c>
      <c r="AO861" s="137">
        <v>1</v>
      </c>
      <c r="AP861" s="137">
        <v>1</v>
      </c>
      <c r="AQ861" s="137">
        <v>1</v>
      </c>
      <c r="AR861" s="137">
        <v>1</v>
      </c>
      <c r="AS861" s="158">
        <v>0.0810595228934205</v>
      </c>
      <c r="AT861" s="141">
        <v>0.0526315789473684</v>
      </c>
      <c r="AU861" s="141">
        <v>0.0769230769230769</v>
      </c>
      <c r="AV861" s="141">
        <v>0.0526315789473684</v>
      </c>
      <c r="AW861" s="141">
        <v>0.0555555555555556</v>
      </c>
      <c r="AX861" s="95"/>
      <c r="AY861" s="93"/>
    </row>
    <row r="862" ht="14.5" spans="1:51">
      <c r="A862" s="91"/>
      <c r="B862" s="95"/>
      <c r="C862" s="152" t="s">
        <v>668</v>
      </c>
      <c r="D862" s="153" t="s">
        <v>25</v>
      </c>
      <c r="E862" s="130" t="s">
        <v>669</v>
      </c>
      <c r="F862" s="179" t="s">
        <v>889</v>
      </c>
      <c r="G862" s="179" t="s">
        <v>889</v>
      </c>
      <c r="H862" s="179" t="s">
        <v>889</v>
      </c>
      <c r="I862" s="179" t="s">
        <v>889</v>
      </c>
      <c r="J862" s="132">
        <v>0.9</v>
      </c>
      <c r="K862" s="133">
        <v>0.567567567567568</v>
      </c>
      <c r="L862" s="133">
        <v>0.8125</v>
      </c>
      <c r="M862" s="134">
        <v>0.772727272727273</v>
      </c>
      <c r="N862" s="133">
        <v>0.796068796068796</v>
      </c>
      <c r="O862" s="135">
        <v>0.9</v>
      </c>
      <c r="P862" s="133">
        <v>0.958896396396396</v>
      </c>
      <c r="Q862" s="133">
        <v>0.960912981455064</v>
      </c>
      <c r="R862" s="133">
        <v>0.859837568771286</v>
      </c>
      <c r="S862" s="133">
        <v>0.811922435994546</v>
      </c>
      <c r="T862" s="135">
        <v>0.9</v>
      </c>
      <c r="U862" s="133">
        <v>0.898648648648649</v>
      </c>
      <c r="V862" s="133">
        <v>0.920684736091298</v>
      </c>
      <c r="W862" s="133">
        <v>0.887870055017029</v>
      </c>
      <c r="X862" s="133">
        <v>0.892455688532041</v>
      </c>
      <c r="Y862" s="135">
        <v>0.92</v>
      </c>
      <c r="Z862" s="135">
        <v>0.855603448275862</v>
      </c>
      <c r="AA862" s="135">
        <v>0.855212355212355</v>
      </c>
      <c r="AB862" s="135">
        <v>0.887920298879203</v>
      </c>
      <c r="AC862" s="135">
        <v>0.905959352394075</v>
      </c>
      <c r="AD862" s="135">
        <v>0.92</v>
      </c>
      <c r="AE862" s="133">
        <v>1</v>
      </c>
      <c r="AF862" s="133">
        <v>0.991561181434599</v>
      </c>
      <c r="AG862" s="133">
        <v>0.980861244019139</v>
      </c>
      <c r="AH862" s="133">
        <v>0.992567102546456</v>
      </c>
      <c r="AI862" s="135">
        <v>0.92</v>
      </c>
      <c r="AJ862" s="133">
        <v>0.929464285714286</v>
      </c>
      <c r="AK862" s="133">
        <v>0.959234402187422</v>
      </c>
      <c r="AL862" s="133">
        <v>0.952597402597403</v>
      </c>
      <c r="AM862" s="133">
        <v>0.965100550094688</v>
      </c>
      <c r="AN862" s="132">
        <v>0.99</v>
      </c>
      <c r="AO862" s="137">
        <v>1</v>
      </c>
      <c r="AP862" s="137">
        <v>1</v>
      </c>
      <c r="AQ862" s="137">
        <v>1</v>
      </c>
      <c r="AR862" s="137">
        <v>1</v>
      </c>
      <c r="AS862" s="158">
        <v>0.0810595228934205</v>
      </c>
      <c r="AT862" s="141">
        <v>0.25</v>
      </c>
      <c r="AU862" s="141">
        <v>0.0909090909090909</v>
      </c>
      <c r="AV862" s="141">
        <v>0</v>
      </c>
      <c r="AW862" s="141">
        <v>0.0932475884244373</v>
      </c>
      <c r="AX862" s="95"/>
      <c r="AY862" s="93"/>
    </row>
    <row r="863" ht="14.5" spans="1:51">
      <c r="A863" s="91"/>
      <c r="B863" s="95"/>
      <c r="C863" s="152" t="s">
        <v>668</v>
      </c>
      <c r="D863" s="153" t="s">
        <v>25</v>
      </c>
      <c r="E863" s="130" t="s">
        <v>669</v>
      </c>
      <c r="F863" s="179" t="s">
        <v>890</v>
      </c>
      <c r="G863" s="179" t="s">
        <v>890</v>
      </c>
      <c r="H863" s="179" t="s">
        <v>890</v>
      </c>
      <c r="I863" s="179" t="s">
        <v>890</v>
      </c>
      <c r="J863" s="132">
        <v>0.9</v>
      </c>
      <c r="K863" s="133">
        <v>0.847826086956522</v>
      </c>
      <c r="L863" s="133">
        <v>0.959183673469388</v>
      </c>
      <c r="M863" s="134">
        <v>0.895833333333333</v>
      </c>
      <c r="N863" s="133">
        <v>0.891377379619261</v>
      </c>
      <c r="O863" s="135">
        <v>0.9</v>
      </c>
      <c r="P863" s="133">
        <v>0.957688338493292</v>
      </c>
      <c r="Q863" s="133">
        <v>0.926709296606001</v>
      </c>
      <c r="R863" s="133">
        <v>0.918362461096481</v>
      </c>
      <c r="S863" s="133">
        <v>0.943236279653437</v>
      </c>
      <c r="T863" s="135">
        <v>0.9</v>
      </c>
      <c r="U863" s="133">
        <v>0.919504643962848</v>
      </c>
      <c r="V863" s="133">
        <v>0.914166256763404</v>
      </c>
      <c r="W863" s="133">
        <v>0.922911180272923</v>
      </c>
      <c r="X863" s="133">
        <v>0.920261123793504</v>
      </c>
      <c r="Y863" s="135">
        <v>0.92</v>
      </c>
      <c r="Z863" s="135">
        <v>0.905857740585774</v>
      </c>
      <c r="AA863" s="135">
        <v>0.86</v>
      </c>
      <c r="AB863" s="135">
        <v>0.881880733944954</v>
      </c>
      <c r="AC863" s="135">
        <v>0.921040444581661</v>
      </c>
      <c r="AD863" s="135">
        <v>0.92</v>
      </c>
      <c r="AE863" s="133">
        <v>1</v>
      </c>
      <c r="AF863" s="133">
        <v>0.990338164251208</v>
      </c>
      <c r="AG863" s="133">
        <v>0.988054607508532</v>
      </c>
      <c r="AH863" s="133">
        <v>0.989280354462946</v>
      </c>
      <c r="AI863" s="135">
        <v>0.92</v>
      </c>
      <c r="AJ863" s="133">
        <v>0.939155629139073</v>
      </c>
      <c r="AK863" s="133">
        <v>0.952207458208315</v>
      </c>
      <c r="AL863" s="133">
        <v>0.950881362646068</v>
      </c>
      <c r="AM863" s="133">
        <v>0.963706924022397</v>
      </c>
      <c r="AN863" s="132">
        <v>0.99</v>
      </c>
      <c r="AO863" s="137">
        <v>1</v>
      </c>
      <c r="AP863" s="137">
        <v>1</v>
      </c>
      <c r="AQ863" s="137">
        <v>1</v>
      </c>
      <c r="AR863" s="137">
        <v>1</v>
      </c>
      <c r="AS863" s="158">
        <v>0.0810595228934205</v>
      </c>
      <c r="AT863" s="141">
        <v>0.153846153846154</v>
      </c>
      <c r="AU863" s="141">
        <v>0.0416666666666667</v>
      </c>
      <c r="AV863" s="141">
        <v>0.0555555555555556</v>
      </c>
      <c r="AW863" s="141">
        <v>0.0589970501474926</v>
      </c>
      <c r="AX863" s="95"/>
      <c r="AY863" s="93"/>
    </row>
    <row r="864" ht="14.5" spans="1:51">
      <c r="A864" s="91"/>
      <c r="B864" s="95"/>
      <c r="C864" s="152" t="s">
        <v>668</v>
      </c>
      <c r="D864" s="153" t="s">
        <v>25</v>
      </c>
      <c r="E864" s="130" t="s">
        <v>669</v>
      </c>
      <c r="F864" s="179" t="s">
        <v>891</v>
      </c>
      <c r="G864" s="179" t="s">
        <v>891</v>
      </c>
      <c r="H864" s="179" t="s">
        <v>891</v>
      </c>
      <c r="I864" s="179" t="s">
        <v>891</v>
      </c>
      <c r="J864" s="132">
        <v>0.9</v>
      </c>
      <c r="K864" s="133">
        <v>0.866666666666667</v>
      </c>
      <c r="L864" s="133">
        <v>0.849056603773585</v>
      </c>
      <c r="M864" s="134">
        <v>0.886792452830189</v>
      </c>
      <c r="N864" s="133">
        <v>0.923719958202717</v>
      </c>
      <c r="O864" s="135">
        <v>0.9</v>
      </c>
      <c r="P864" s="133">
        <v>0.958641706573792</v>
      </c>
      <c r="Q864" s="133">
        <v>0.851567239635996</v>
      </c>
      <c r="R864" s="133">
        <v>0.847594083504962</v>
      </c>
      <c r="S864" s="133">
        <v>0.874387784500144</v>
      </c>
      <c r="T864" s="135">
        <v>0.9</v>
      </c>
      <c r="U864" s="133">
        <v>0.914671310404876</v>
      </c>
      <c r="V864" s="133">
        <v>0.760161779575329</v>
      </c>
      <c r="W864" s="133">
        <v>0.859389627410597</v>
      </c>
      <c r="X864" s="133">
        <v>0.850974004388006</v>
      </c>
      <c r="Y864" s="135">
        <v>0.92</v>
      </c>
      <c r="Z864" s="135">
        <v>0.8</v>
      </c>
      <c r="AA864" s="135">
        <v>0.811267605633803</v>
      </c>
      <c r="AB864" s="135">
        <v>0.862689393939394</v>
      </c>
      <c r="AC864" s="135">
        <v>0.86749105109014</v>
      </c>
      <c r="AD864" s="135">
        <v>0.92</v>
      </c>
      <c r="AE864" s="133">
        <v>0.995515695067265</v>
      </c>
      <c r="AF864" s="133">
        <v>0.981818181818182</v>
      </c>
      <c r="AG864" s="133">
        <v>0.897959183673469</v>
      </c>
      <c r="AH864" s="133">
        <v>0.97001873828857</v>
      </c>
      <c r="AI864" s="135">
        <v>0.92</v>
      </c>
      <c r="AJ864" s="133">
        <v>0.922523140212547</v>
      </c>
      <c r="AK864" s="133">
        <v>0.94553492484527</v>
      </c>
      <c r="AL864" s="133">
        <v>0.953103017039237</v>
      </c>
      <c r="AM864" s="133">
        <v>0.956946995663454</v>
      </c>
      <c r="AN864" s="132">
        <v>0.99</v>
      </c>
      <c r="AO864" s="137">
        <v>1</v>
      </c>
      <c r="AP864" s="137">
        <v>1</v>
      </c>
      <c r="AQ864" s="137">
        <v>1</v>
      </c>
      <c r="AR864" s="137">
        <v>1</v>
      </c>
      <c r="AS864" s="158">
        <v>0.0810595228934205</v>
      </c>
      <c r="AT864" s="141">
        <v>0</v>
      </c>
      <c r="AU864" s="141">
        <v>0.0714285714285714</v>
      </c>
      <c r="AV864" s="141">
        <v>0.0416666666666667</v>
      </c>
      <c r="AW864" s="141">
        <v>0.0326086956521739</v>
      </c>
      <c r="AX864" s="95"/>
      <c r="AY864" s="93"/>
    </row>
    <row r="865" ht="14.5" spans="1:51">
      <c r="A865" s="91"/>
      <c r="B865" s="95"/>
      <c r="C865" s="152" t="s">
        <v>668</v>
      </c>
      <c r="D865" s="153" t="s">
        <v>25</v>
      </c>
      <c r="E865" s="130" t="s">
        <v>669</v>
      </c>
      <c r="F865" s="179" t="s">
        <v>892</v>
      </c>
      <c r="G865" s="179" t="s">
        <v>892</v>
      </c>
      <c r="H865" s="179" t="s">
        <v>892</v>
      </c>
      <c r="I865" s="179" t="s">
        <v>892</v>
      </c>
      <c r="J865" s="132">
        <v>0.9</v>
      </c>
      <c r="K865" s="133">
        <v>0.315789473684211</v>
      </c>
      <c r="L865" s="133">
        <v>0.8</v>
      </c>
      <c r="M865" s="134">
        <v>0.571428571428571</v>
      </c>
      <c r="N865" s="133">
        <v>0.70958904109589</v>
      </c>
      <c r="O865" s="135">
        <v>0.9</v>
      </c>
      <c r="P865" s="133">
        <v>0.939597315436242</v>
      </c>
      <c r="Q865" s="133">
        <v>0.938233477455219</v>
      </c>
      <c r="R865" s="133">
        <v>0.955277280858676</v>
      </c>
      <c r="S865" s="133">
        <v>0.932305288543188</v>
      </c>
      <c r="T865" s="135">
        <v>0.9</v>
      </c>
      <c r="U865" s="133">
        <v>0.934228187919463</v>
      </c>
      <c r="V865" s="133">
        <v>0.893761581222977</v>
      </c>
      <c r="W865" s="133">
        <v>0.954680977936792</v>
      </c>
      <c r="X865" s="133">
        <v>0.929621955775959</v>
      </c>
      <c r="Y865" s="135">
        <v>0.92</v>
      </c>
      <c r="Z865" s="135">
        <v>0.863874345549738</v>
      </c>
      <c r="AA865" s="135">
        <v>0.854625550660793</v>
      </c>
      <c r="AB865" s="135">
        <v>0.872817955112219</v>
      </c>
      <c r="AC865" s="135">
        <v>0.894547417671405</v>
      </c>
      <c r="AD865" s="135">
        <v>0.92</v>
      </c>
      <c r="AE865" s="133">
        <v>1</v>
      </c>
      <c r="AF865" s="133">
        <v>0.838709677419355</v>
      </c>
      <c r="AG865" s="133">
        <v>1</v>
      </c>
      <c r="AH865" s="133">
        <v>0.95978835978836</v>
      </c>
      <c r="AI865" s="135">
        <v>0.92</v>
      </c>
      <c r="AJ865" s="133">
        <v>0.938034188034188</v>
      </c>
      <c r="AK865" s="133">
        <v>0.940953412784399</v>
      </c>
      <c r="AL865" s="133">
        <v>0.954282964388835</v>
      </c>
      <c r="AM865" s="133">
        <v>0.958542857142857</v>
      </c>
      <c r="AN865" s="132">
        <v>0.99</v>
      </c>
      <c r="AO865" s="137">
        <v>1</v>
      </c>
      <c r="AP865" s="137">
        <v>1</v>
      </c>
      <c r="AQ865" s="137">
        <v>1</v>
      </c>
      <c r="AR865" s="137">
        <v>1</v>
      </c>
      <c r="AS865" s="158">
        <v>0.0810595228934205</v>
      </c>
      <c r="AT865" s="141">
        <v>0.2</v>
      </c>
      <c r="AU865" s="141">
        <v>0</v>
      </c>
      <c r="AV865" s="141">
        <v>0.25</v>
      </c>
      <c r="AW865" s="141">
        <v>0.0521739130434783</v>
      </c>
      <c r="AX865" s="95"/>
      <c r="AY865" s="93"/>
    </row>
    <row r="866" ht="14.5" spans="1:51">
      <c r="A866" s="91"/>
      <c r="B866" s="95"/>
      <c r="C866" s="152" t="s">
        <v>668</v>
      </c>
      <c r="D866" s="153" t="s">
        <v>25</v>
      </c>
      <c r="E866" s="130" t="s">
        <v>669</v>
      </c>
      <c r="F866" s="179" t="s">
        <v>893</v>
      </c>
      <c r="G866" s="179" t="s">
        <v>893</v>
      </c>
      <c r="H866" s="179" t="s">
        <v>893</v>
      </c>
      <c r="I866" s="179" t="s">
        <v>893</v>
      </c>
      <c r="J866" s="132">
        <v>0.9</v>
      </c>
      <c r="K866" s="133">
        <v>1</v>
      </c>
      <c r="L866" s="133">
        <v>1</v>
      </c>
      <c r="M866" s="134">
        <v>1</v>
      </c>
      <c r="N866" s="133">
        <v>0.989100817438692</v>
      </c>
      <c r="O866" s="135">
        <v>0.9</v>
      </c>
      <c r="P866" s="133">
        <v>0.97609561752988</v>
      </c>
      <c r="Q866" s="133">
        <v>0.987695749440716</v>
      </c>
      <c r="R866" s="133">
        <v>0.970936490850377</v>
      </c>
      <c r="S866" s="133">
        <v>0.920220254669462</v>
      </c>
      <c r="T866" s="135">
        <v>0.9</v>
      </c>
      <c r="U866" s="133">
        <v>0.950863213811421</v>
      </c>
      <c r="V866" s="133">
        <v>0.950223713646532</v>
      </c>
      <c r="W866" s="133">
        <v>0.914424111948332</v>
      </c>
      <c r="X866" s="133">
        <v>0.925601476707443</v>
      </c>
      <c r="Y866" s="135">
        <v>0.92</v>
      </c>
      <c r="Z866" s="135">
        <v>0.826291079812207</v>
      </c>
      <c r="AA866" s="135">
        <v>0.78125</v>
      </c>
      <c r="AB866" s="135">
        <v>0.86784140969163</v>
      </c>
      <c r="AC866" s="135">
        <v>0.835572842998586</v>
      </c>
      <c r="AD866" s="135">
        <v>0.92</v>
      </c>
      <c r="AE866" s="133">
        <v>1</v>
      </c>
      <c r="AF866" s="133">
        <v>1</v>
      </c>
      <c r="AG866" s="133">
        <v>0.971098265895954</v>
      </c>
      <c r="AH866" s="133">
        <v>0.987032418952619</v>
      </c>
      <c r="AI866" s="135">
        <v>0.92</v>
      </c>
      <c r="AJ866" s="133">
        <v>0.944099378881988</v>
      </c>
      <c r="AK866" s="133">
        <v>0.953033268101761</v>
      </c>
      <c r="AL866" s="133">
        <v>0.963667820069204</v>
      </c>
      <c r="AM866" s="133">
        <v>0.960870836545363</v>
      </c>
      <c r="AN866" s="132">
        <v>0.99</v>
      </c>
      <c r="AO866" s="137">
        <v>1</v>
      </c>
      <c r="AP866" s="137">
        <v>1</v>
      </c>
      <c r="AQ866" s="137">
        <v>1</v>
      </c>
      <c r="AR866" s="137">
        <v>1</v>
      </c>
      <c r="AS866" s="158">
        <v>0.0810595228934205</v>
      </c>
      <c r="AT866" s="141">
        <v>0</v>
      </c>
      <c r="AU866" s="141">
        <v>0</v>
      </c>
      <c r="AV866" s="141">
        <v>0</v>
      </c>
      <c r="AW866" s="141">
        <v>0.043010752688172</v>
      </c>
      <c r="AX866" s="95"/>
      <c r="AY866" s="93"/>
    </row>
    <row r="867" ht="14.5" spans="1:51">
      <c r="A867" s="91"/>
      <c r="B867" s="95"/>
      <c r="C867" s="152" t="s">
        <v>668</v>
      </c>
      <c r="D867" s="153" t="s">
        <v>25</v>
      </c>
      <c r="E867" s="130" t="s">
        <v>669</v>
      </c>
      <c r="F867" s="179" t="s">
        <v>894</v>
      </c>
      <c r="G867" s="179" t="s">
        <v>894</v>
      </c>
      <c r="H867" s="179" t="s">
        <v>894</v>
      </c>
      <c r="I867" s="179" t="s">
        <v>894</v>
      </c>
      <c r="J867" s="132">
        <v>0.9</v>
      </c>
      <c r="K867" s="133">
        <v>0.826086956521739</v>
      </c>
      <c r="L867" s="133">
        <v>0.925925925925926</v>
      </c>
      <c r="M867" s="134">
        <v>0.896551724137931</v>
      </c>
      <c r="N867" s="133">
        <v>0.94188376753507</v>
      </c>
      <c r="O867" s="135">
        <v>0.9</v>
      </c>
      <c r="P867" s="133">
        <v>0.990806945863126</v>
      </c>
      <c r="Q867" s="133">
        <v>0.991158267020336</v>
      </c>
      <c r="R867" s="133">
        <v>0.994542974079127</v>
      </c>
      <c r="S867" s="133">
        <v>0.932639167000401</v>
      </c>
      <c r="T867" s="135">
        <v>0.9</v>
      </c>
      <c r="U867" s="133">
        <v>0.948927477017365</v>
      </c>
      <c r="V867" s="133">
        <v>0.948717948717949</v>
      </c>
      <c r="W867" s="133">
        <v>0.928603910868577</v>
      </c>
      <c r="X867" s="133">
        <v>0.939607529034842</v>
      </c>
      <c r="Y867" s="135">
        <v>0.92</v>
      </c>
      <c r="Z867" s="135">
        <v>0.896678966789668</v>
      </c>
      <c r="AA867" s="135">
        <v>0.808441558441558</v>
      </c>
      <c r="AB867" s="135">
        <v>0.910909090909091</v>
      </c>
      <c r="AC867" s="135">
        <v>0.909116728202215</v>
      </c>
      <c r="AD867" s="135">
        <v>0.92</v>
      </c>
      <c r="AE867" s="133">
        <v>1</v>
      </c>
      <c r="AF867" s="133">
        <v>1</v>
      </c>
      <c r="AG867" s="133">
        <v>0.973333333333333</v>
      </c>
      <c r="AH867" s="133">
        <v>0.987760097919217</v>
      </c>
      <c r="AI867" s="135">
        <v>0.92</v>
      </c>
      <c r="AJ867" s="133">
        <v>0.9584</v>
      </c>
      <c r="AK867" s="133">
        <v>0.963424124513619</v>
      </c>
      <c r="AL867" s="133">
        <v>0.966897053473991</v>
      </c>
      <c r="AM867" s="133">
        <v>0.967683940851274</v>
      </c>
      <c r="AN867" s="132">
        <v>0.99</v>
      </c>
      <c r="AO867" s="137">
        <v>1</v>
      </c>
      <c r="AP867" s="137">
        <v>1</v>
      </c>
      <c r="AQ867" s="137">
        <v>1</v>
      </c>
      <c r="AR867" s="137">
        <v>1</v>
      </c>
      <c r="AS867" s="158">
        <v>0.0810595228934205</v>
      </c>
      <c r="AT867" s="141">
        <v>0</v>
      </c>
      <c r="AU867" s="141">
        <v>0.2</v>
      </c>
      <c r="AV867" s="141">
        <v>0</v>
      </c>
      <c r="AW867" s="141">
        <v>0.0548780487804878</v>
      </c>
      <c r="AX867" s="95"/>
      <c r="AY867" s="93"/>
    </row>
    <row r="868" ht="14.5" spans="1:51">
      <c r="A868" s="91"/>
      <c r="B868" s="95"/>
      <c r="C868" s="152" t="s">
        <v>668</v>
      </c>
      <c r="D868" s="153" t="s">
        <v>25</v>
      </c>
      <c r="E868" s="130" t="s">
        <v>669</v>
      </c>
      <c r="F868" s="179" t="s">
        <v>895</v>
      </c>
      <c r="G868" s="179" t="s">
        <v>895</v>
      </c>
      <c r="H868" s="179" t="s">
        <v>895</v>
      </c>
      <c r="I868" s="179" t="s">
        <v>895</v>
      </c>
      <c r="J868" s="132">
        <v>0.9</v>
      </c>
      <c r="K868" s="133">
        <v>0.833333333333333</v>
      </c>
      <c r="L868" s="133">
        <v>0.846153846153846</v>
      </c>
      <c r="M868" s="134">
        <v>0.870967741935484</v>
      </c>
      <c r="N868" s="133">
        <v>0.843594009983361</v>
      </c>
      <c r="O868" s="135">
        <v>0.9</v>
      </c>
      <c r="P868" s="133">
        <v>0.949</v>
      </c>
      <c r="Q868" s="133">
        <v>0.947387650712459</v>
      </c>
      <c r="R868" s="133">
        <v>0.942347573620904</v>
      </c>
      <c r="S868" s="133">
        <v>0.871660201893656</v>
      </c>
      <c r="T868" s="135">
        <v>0.9</v>
      </c>
      <c r="U868" s="133">
        <v>0.884</v>
      </c>
      <c r="V868" s="133">
        <v>0.790281329923274</v>
      </c>
      <c r="W868" s="133">
        <v>0.929489838241394</v>
      </c>
      <c r="X868" s="133">
        <v>0.911292071216903</v>
      </c>
      <c r="Y868" s="135">
        <v>0.92</v>
      </c>
      <c r="Z868" s="135">
        <v>0.788793103448276</v>
      </c>
      <c r="AA868" s="135">
        <v>0.483221476510067</v>
      </c>
      <c r="AB868" s="135">
        <v>0.933333333333333</v>
      </c>
      <c r="AC868" s="135">
        <v>0.769208508175373</v>
      </c>
      <c r="AD868" s="135">
        <v>0.92</v>
      </c>
      <c r="AE868" s="133">
        <v>1</v>
      </c>
      <c r="AF868" s="133">
        <v>0.980769230769231</v>
      </c>
      <c r="AG868" s="133">
        <v>1</v>
      </c>
      <c r="AH868" s="133">
        <v>0.93038493038493</v>
      </c>
      <c r="AI868" s="135">
        <v>0.92</v>
      </c>
      <c r="AJ868" s="133">
        <v>0.918831168831169</v>
      </c>
      <c r="AK868" s="133">
        <v>0.873476112026359</v>
      </c>
      <c r="AL868" s="133">
        <v>0.963539532978288</v>
      </c>
      <c r="AM868" s="133">
        <v>0.939384551838083</v>
      </c>
      <c r="AN868" s="132">
        <v>0.99</v>
      </c>
      <c r="AO868" s="137">
        <v>1</v>
      </c>
      <c r="AP868" s="137">
        <v>1</v>
      </c>
      <c r="AQ868" s="137">
        <v>1</v>
      </c>
      <c r="AR868" s="137">
        <v>1</v>
      </c>
      <c r="AS868" s="158">
        <v>0.0810595228934205</v>
      </c>
      <c r="AT868" s="141">
        <v>0</v>
      </c>
      <c r="AU868" s="141">
        <v>0.0769230769230769</v>
      </c>
      <c r="AV868" s="141">
        <v>0</v>
      </c>
      <c r="AW868" s="141">
        <v>0.0384615384615385</v>
      </c>
      <c r="AX868" s="95"/>
      <c r="AY868" s="93"/>
    </row>
    <row r="869" ht="14.5" spans="1:51">
      <c r="A869" s="91"/>
      <c r="B869" s="95"/>
      <c r="C869" s="152" t="s">
        <v>668</v>
      </c>
      <c r="D869" s="153" t="s">
        <v>25</v>
      </c>
      <c r="E869" s="130" t="s">
        <v>669</v>
      </c>
      <c r="F869" s="179" t="s">
        <v>896</v>
      </c>
      <c r="G869" s="179" t="s">
        <v>896</v>
      </c>
      <c r="H869" s="179" t="s">
        <v>896</v>
      </c>
      <c r="I869" s="179" t="s">
        <v>896</v>
      </c>
      <c r="J869" s="132">
        <v>0.9</v>
      </c>
      <c r="K869" s="133">
        <v>1</v>
      </c>
      <c r="L869" s="133">
        <v>1</v>
      </c>
      <c r="M869" s="134">
        <v>1</v>
      </c>
      <c r="N869" s="133">
        <v>0.985955056179775</v>
      </c>
      <c r="O869" s="135">
        <v>0.9</v>
      </c>
      <c r="P869" s="133">
        <v>0.976351351351351</v>
      </c>
      <c r="Q869" s="133">
        <v>0.961296129612961</v>
      </c>
      <c r="R869" s="133">
        <v>0.979941860465116</v>
      </c>
      <c r="S869" s="133">
        <v>0.953600401438488</v>
      </c>
      <c r="T869" s="135">
        <v>0.9</v>
      </c>
      <c r="U869" s="133">
        <v>0.933783783783784</v>
      </c>
      <c r="V869" s="133">
        <v>0.950795079507951</v>
      </c>
      <c r="W869" s="133">
        <v>0.93953488372093</v>
      </c>
      <c r="X869" s="133">
        <v>0.931588191017814</v>
      </c>
      <c r="Y869" s="135">
        <v>0.92</v>
      </c>
      <c r="Z869" s="135">
        <v>0.867149758454106</v>
      </c>
      <c r="AA869" s="135">
        <v>0.897489539748954</v>
      </c>
      <c r="AB869" s="135">
        <v>0.943342776203966</v>
      </c>
      <c r="AC869" s="135">
        <v>0.916729965818458</v>
      </c>
      <c r="AD869" s="135">
        <v>0.92</v>
      </c>
      <c r="AE869" s="133">
        <v>1</v>
      </c>
      <c r="AF869" s="133">
        <v>0.982300884955752</v>
      </c>
      <c r="AG869" s="133">
        <v>0.976190476190476</v>
      </c>
      <c r="AH869" s="133">
        <v>0.982946470866888</v>
      </c>
      <c r="AI869" s="135">
        <v>0.92</v>
      </c>
      <c r="AJ869" s="133">
        <v>0.938753959873284</v>
      </c>
      <c r="AK869" s="133">
        <v>0.969824193125164</v>
      </c>
      <c r="AL869" s="133">
        <v>0.972986010612639</v>
      </c>
      <c r="AM869" s="133">
        <v>0.970462334855014</v>
      </c>
      <c r="AN869" s="132">
        <v>0.99</v>
      </c>
      <c r="AO869" s="137">
        <v>1</v>
      </c>
      <c r="AP869" s="137">
        <v>1</v>
      </c>
      <c r="AQ869" s="137">
        <v>1</v>
      </c>
      <c r="AR869" s="137">
        <v>1</v>
      </c>
      <c r="AS869" s="158">
        <v>0.0810595228934205</v>
      </c>
      <c r="AT869" s="141">
        <v>0</v>
      </c>
      <c r="AU869" s="141">
        <v>0.1</v>
      </c>
      <c r="AV869" s="141">
        <v>0</v>
      </c>
      <c r="AW869" s="141">
        <v>0.0704225352112676</v>
      </c>
      <c r="AX869" s="95"/>
      <c r="AY869" s="93"/>
    </row>
    <row r="870" ht="14.5" spans="1:51">
      <c r="A870" s="91"/>
      <c r="B870" s="95"/>
      <c r="C870" s="152" t="s">
        <v>668</v>
      </c>
      <c r="D870" s="153" t="s">
        <v>25</v>
      </c>
      <c r="E870" s="130" t="s">
        <v>669</v>
      </c>
      <c r="F870" s="179" t="s">
        <v>897</v>
      </c>
      <c r="G870" s="179" t="s">
        <v>897</v>
      </c>
      <c r="H870" s="179" t="s">
        <v>897</v>
      </c>
      <c r="I870" s="179" t="s">
        <v>897</v>
      </c>
      <c r="J870" s="132">
        <v>0.9</v>
      </c>
      <c r="K870" s="133">
        <v>0.8</v>
      </c>
      <c r="L870" s="133">
        <v>0.75</v>
      </c>
      <c r="M870" s="134">
        <v>0.724137931034483</v>
      </c>
      <c r="N870" s="133">
        <v>0.77264325323475</v>
      </c>
      <c r="O870" s="135">
        <v>0.9</v>
      </c>
      <c r="P870" s="133">
        <v>1</v>
      </c>
      <c r="Q870" s="133">
        <v>0.966299019607843</v>
      </c>
      <c r="R870" s="133">
        <v>0.947030497592295</v>
      </c>
      <c r="S870" s="133">
        <v>0.933401335921819</v>
      </c>
      <c r="T870" s="135">
        <v>0.9</v>
      </c>
      <c r="U870" s="133">
        <v>0.923664122137405</v>
      </c>
      <c r="V870" s="133">
        <v>0.861519607843137</v>
      </c>
      <c r="W870" s="133">
        <v>0.902086677367576</v>
      </c>
      <c r="X870" s="133">
        <v>0.92612944621763</v>
      </c>
      <c r="Y870" s="135">
        <v>0.92</v>
      </c>
      <c r="Z870" s="135">
        <v>0.895833333333333</v>
      </c>
      <c r="AA870" s="135">
        <v>0.888888888888889</v>
      </c>
      <c r="AB870" s="135">
        <v>0.839080459770115</v>
      </c>
      <c r="AC870" s="135">
        <v>0.925641473206493</v>
      </c>
      <c r="AD870" s="135">
        <v>0.92</v>
      </c>
      <c r="AE870" s="133">
        <v>0.989130434782609</v>
      </c>
      <c r="AF870" s="133">
        <v>1</v>
      </c>
      <c r="AG870" s="133">
        <v>0.927272727272727</v>
      </c>
      <c r="AH870" s="133">
        <v>0.983313930927435</v>
      </c>
      <c r="AI870" s="135">
        <v>0.92</v>
      </c>
      <c r="AJ870" s="133">
        <v>0.954838709677419</v>
      </c>
      <c r="AK870" s="133">
        <v>0.957996768982229</v>
      </c>
      <c r="AL870" s="133">
        <v>0.949652777777778</v>
      </c>
      <c r="AM870" s="133">
        <v>0.973145071982281</v>
      </c>
      <c r="AN870" s="132">
        <v>0.99</v>
      </c>
      <c r="AO870" s="137">
        <v>1</v>
      </c>
      <c r="AP870" s="137">
        <v>1</v>
      </c>
      <c r="AQ870" s="137">
        <v>1</v>
      </c>
      <c r="AR870" s="137">
        <v>1</v>
      </c>
      <c r="AS870" s="158">
        <v>0.0810595228934205</v>
      </c>
      <c r="AT870" s="141">
        <v>0</v>
      </c>
      <c r="AU870" s="141">
        <v>0</v>
      </c>
      <c r="AV870" s="141">
        <v>0</v>
      </c>
      <c r="AW870" s="141">
        <v>0.0340909090909091</v>
      </c>
      <c r="AX870" s="95"/>
      <c r="AY870" s="93"/>
    </row>
    <row r="871" ht="14.5" spans="1:51">
      <c r="A871" s="91"/>
      <c r="B871" s="95"/>
      <c r="C871" s="152" t="s">
        <v>668</v>
      </c>
      <c r="D871" s="153" t="s">
        <v>25</v>
      </c>
      <c r="E871" s="130" t="s">
        <v>669</v>
      </c>
      <c r="F871" s="179" t="s">
        <v>898</v>
      </c>
      <c r="G871" s="179" t="s">
        <v>898</v>
      </c>
      <c r="H871" s="179" t="s">
        <v>898</v>
      </c>
      <c r="I871" s="179" t="s">
        <v>898</v>
      </c>
      <c r="J871" s="132">
        <v>0.9</v>
      </c>
      <c r="K871" s="133">
        <v>0.931034482758621</v>
      </c>
      <c r="L871" s="133">
        <v>0.885714285714286</v>
      </c>
      <c r="M871" s="134">
        <v>0.90625</v>
      </c>
      <c r="N871" s="133">
        <v>0.901273885350318</v>
      </c>
      <c r="O871" s="135">
        <v>0.9</v>
      </c>
      <c r="P871" s="133">
        <v>0.938692098092643</v>
      </c>
      <c r="Q871" s="133">
        <v>0.964946445959104</v>
      </c>
      <c r="R871" s="133">
        <v>0.9609375</v>
      </c>
      <c r="S871" s="133">
        <v>0.962172757600317</v>
      </c>
      <c r="T871" s="135">
        <v>0.9</v>
      </c>
      <c r="U871" s="133">
        <v>0.912806539509537</v>
      </c>
      <c r="V871" s="133">
        <v>0.932814021421616</v>
      </c>
      <c r="W871" s="133">
        <v>0.894230769230769</v>
      </c>
      <c r="X871" s="133">
        <v>0.925269050266694</v>
      </c>
      <c r="Y871" s="135">
        <v>0.92</v>
      </c>
      <c r="Z871" s="135">
        <v>0.917001338688086</v>
      </c>
      <c r="AA871" s="135">
        <v>0.936507936507937</v>
      </c>
      <c r="AB871" s="135">
        <v>0.950413223140496</v>
      </c>
      <c r="AC871" s="135">
        <v>0.943306919108653</v>
      </c>
      <c r="AD871" s="135">
        <v>0.92</v>
      </c>
      <c r="AE871" s="133">
        <v>0.977309562398703</v>
      </c>
      <c r="AF871" s="133">
        <v>0.985781990521327</v>
      </c>
      <c r="AG871" s="133">
        <v>0.987080103359173</v>
      </c>
      <c r="AH871" s="133">
        <v>0.986648563023308</v>
      </c>
      <c r="AI871" s="135">
        <v>0.92</v>
      </c>
      <c r="AJ871" s="133">
        <v>0.944920993227991</v>
      </c>
      <c r="AK871" s="133">
        <v>0.972005383580081</v>
      </c>
      <c r="AL871" s="133">
        <v>0.966047985513807</v>
      </c>
      <c r="AM871" s="133">
        <v>0.970610734801174</v>
      </c>
      <c r="AN871" s="132">
        <v>0.99</v>
      </c>
      <c r="AO871" s="137">
        <v>1</v>
      </c>
      <c r="AP871" s="137">
        <v>1</v>
      </c>
      <c r="AQ871" s="137">
        <v>1</v>
      </c>
      <c r="AR871" s="137">
        <v>1</v>
      </c>
      <c r="AS871" s="158">
        <v>0.0810595228934205</v>
      </c>
      <c r="AT871" s="141">
        <v>0</v>
      </c>
      <c r="AU871" s="141">
        <v>0.0357142857142857</v>
      </c>
      <c r="AV871" s="141">
        <v>0</v>
      </c>
      <c r="AW871" s="141">
        <v>0.057649667405765</v>
      </c>
      <c r="AX871" s="95"/>
      <c r="AY871" s="93"/>
    </row>
    <row r="872" ht="14.5" spans="1:51">
      <c r="A872" s="91"/>
      <c r="B872" s="95"/>
      <c r="C872" s="152" t="s">
        <v>668</v>
      </c>
      <c r="D872" s="153" t="s">
        <v>25</v>
      </c>
      <c r="E872" s="130" t="s">
        <v>669</v>
      </c>
      <c r="F872" s="179" t="s">
        <v>899</v>
      </c>
      <c r="G872" s="179" t="s">
        <v>899</v>
      </c>
      <c r="H872" s="179" t="s">
        <v>899</v>
      </c>
      <c r="I872" s="179" t="s">
        <v>899</v>
      </c>
      <c r="J872" s="132">
        <v>0.9</v>
      </c>
      <c r="K872" s="133">
        <v>0.944444444444444</v>
      </c>
      <c r="L872" s="133">
        <v>0.948717948717949</v>
      </c>
      <c r="M872" s="134">
        <v>0.973684210526316</v>
      </c>
      <c r="N872" s="133">
        <v>0.926080892608089</v>
      </c>
      <c r="O872" s="135">
        <v>0.9</v>
      </c>
      <c r="P872" s="133">
        <v>0.974871134020619</v>
      </c>
      <c r="Q872" s="133">
        <v>0.978084659261483</v>
      </c>
      <c r="R872" s="133">
        <v>0.962110171961527</v>
      </c>
      <c r="S872" s="133">
        <v>0.971185460851971</v>
      </c>
      <c r="T872" s="135">
        <v>0.9</v>
      </c>
      <c r="U872" s="133">
        <v>0.948453608247423</v>
      </c>
      <c r="V872" s="133">
        <v>0.955268688081657</v>
      </c>
      <c r="W872" s="133">
        <v>0.945788399883416</v>
      </c>
      <c r="X872" s="133">
        <v>0.952776673772446</v>
      </c>
      <c r="Y872" s="135">
        <v>0.92</v>
      </c>
      <c r="Z872" s="135">
        <v>0.934004474272931</v>
      </c>
      <c r="AA872" s="135">
        <v>0.935779816513762</v>
      </c>
      <c r="AB872" s="135">
        <v>0.939444911690496</v>
      </c>
      <c r="AC872" s="135">
        <v>0.935516525788328</v>
      </c>
      <c r="AD872" s="135">
        <v>0.92</v>
      </c>
      <c r="AE872" s="133">
        <v>0.99198133838752</v>
      </c>
      <c r="AF872" s="133">
        <v>0.992935409457901</v>
      </c>
      <c r="AG872" s="133">
        <v>0.984488401878469</v>
      </c>
      <c r="AH872" s="133">
        <v>0.991477866030707</v>
      </c>
      <c r="AI872" s="135">
        <v>0.92</v>
      </c>
      <c r="AJ872" s="133">
        <v>0.962796402289452</v>
      </c>
      <c r="AK872" s="133">
        <v>0.977783203125</v>
      </c>
      <c r="AL872" s="133">
        <v>0.974908068353883</v>
      </c>
      <c r="AM872" s="133">
        <v>0.974380132291681</v>
      </c>
      <c r="AN872" s="132">
        <v>0.99</v>
      </c>
      <c r="AO872" s="137">
        <v>1</v>
      </c>
      <c r="AP872" s="137">
        <v>1</v>
      </c>
      <c r="AQ872" s="137">
        <v>1</v>
      </c>
      <c r="AR872" s="137">
        <v>1</v>
      </c>
      <c r="AS872" s="158">
        <v>0.0810595228934205</v>
      </c>
      <c r="AT872" s="141">
        <v>0</v>
      </c>
      <c r="AU872" s="141">
        <v>0.25</v>
      </c>
      <c r="AV872" s="141">
        <v>0</v>
      </c>
      <c r="AW872" s="141">
        <v>0.0541871921182266</v>
      </c>
      <c r="AX872" s="95"/>
      <c r="AY872" s="93"/>
    </row>
    <row r="873" ht="14.5" spans="1:51">
      <c r="A873" s="91"/>
      <c r="B873" s="95"/>
      <c r="C873" s="152" t="s">
        <v>668</v>
      </c>
      <c r="D873" s="153" t="s">
        <v>25</v>
      </c>
      <c r="E873" s="130" t="s">
        <v>669</v>
      </c>
      <c r="F873" s="179" t="s">
        <v>900</v>
      </c>
      <c r="G873" s="179" t="s">
        <v>900</v>
      </c>
      <c r="H873" s="179" t="s">
        <v>900</v>
      </c>
      <c r="I873" s="179" t="s">
        <v>900</v>
      </c>
      <c r="J873" s="132">
        <v>0.9</v>
      </c>
      <c r="K873" s="133">
        <v>0.897435897435897</v>
      </c>
      <c r="L873" s="133">
        <v>0.92156862745098</v>
      </c>
      <c r="M873" s="134">
        <v>0.853658536585366</v>
      </c>
      <c r="N873" s="133">
        <v>0.926303854875283</v>
      </c>
      <c r="O873" s="135">
        <v>0.9</v>
      </c>
      <c r="P873" s="133">
        <v>0.973404255319149</v>
      </c>
      <c r="Q873" s="133">
        <v>0.978993919292427</v>
      </c>
      <c r="R873" s="133">
        <v>0.977853048462741</v>
      </c>
      <c r="S873" s="133">
        <v>0.970399221032132</v>
      </c>
      <c r="T873" s="135">
        <v>0.9</v>
      </c>
      <c r="U873" s="133">
        <v>0.940898345153664</v>
      </c>
      <c r="V873" s="133">
        <v>0.938916528468767</v>
      </c>
      <c r="W873" s="133">
        <v>0.900208441896821</v>
      </c>
      <c r="X873" s="133">
        <v>0.925770853618955</v>
      </c>
      <c r="Y873" s="135">
        <v>0.92</v>
      </c>
      <c r="Z873" s="135">
        <v>0.934634146341463</v>
      </c>
      <c r="AA873" s="135">
        <v>0.940461725394897</v>
      </c>
      <c r="AB873" s="135">
        <v>0.936292054402291</v>
      </c>
      <c r="AC873" s="135">
        <v>0.946900293515965</v>
      </c>
      <c r="AD873" s="135">
        <v>0.92</v>
      </c>
      <c r="AE873" s="133">
        <v>0.997381513485206</v>
      </c>
      <c r="AF873" s="133">
        <v>0.997624138750297</v>
      </c>
      <c r="AG873" s="133">
        <v>0.994540375825292</v>
      </c>
      <c r="AH873" s="133">
        <v>0.995411982154795</v>
      </c>
      <c r="AI873" s="135">
        <v>0.92</v>
      </c>
      <c r="AJ873" s="133">
        <v>0.969106289076866</v>
      </c>
      <c r="AK873" s="133">
        <v>0.976592392527571</v>
      </c>
      <c r="AL873" s="133">
        <v>0.973256924546323</v>
      </c>
      <c r="AM873" s="133">
        <v>0.976269414043468</v>
      </c>
      <c r="AN873" s="132">
        <v>0.99</v>
      </c>
      <c r="AO873" s="137">
        <v>1</v>
      </c>
      <c r="AP873" s="137">
        <v>1</v>
      </c>
      <c r="AQ873" s="137">
        <v>1</v>
      </c>
      <c r="AR873" s="137">
        <v>1</v>
      </c>
      <c r="AS873" s="158">
        <v>0.0810595228934205</v>
      </c>
      <c r="AT873" s="141">
        <v>0.3</v>
      </c>
      <c r="AU873" s="141">
        <v>0.0625</v>
      </c>
      <c r="AV873" s="141">
        <v>0</v>
      </c>
      <c r="AW873" s="141">
        <v>0.0539568345323741</v>
      </c>
      <c r="AX873" s="95"/>
      <c r="AY873" s="93"/>
    </row>
    <row r="874" ht="14.5" spans="1:51">
      <c r="A874" s="91"/>
      <c r="B874" s="95"/>
      <c r="C874" s="152" t="s">
        <v>668</v>
      </c>
      <c r="D874" s="153" t="s">
        <v>25</v>
      </c>
      <c r="E874" s="130" t="s">
        <v>669</v>
      </c>
      <c r="F874" s="179" t="s">
        <v>901</v>
      </c>
      <c r="G874" s="179" t="s">
        <v>901</v>
      </c>
      <c r="H874" s="179" t="s">
        <v>901</v>
      </c>
      <c r="I874" s="179" t="s">
        <v>901</v>
      </c>
      <c r="J874" s="132">
        <v>0.9</v>
      </c>
      <c r="K874" s="133">
        <v>0.972972972972973</v>
      </c>
      <c r="L874" s="133">
        <v>0.956521739130435</v>
      </c>
      <c r="M874" s="134">
        <v>0.951219512195122</v>
      </c>
      <c r="N874" s="133">
        <v>0.969773299748111</v>
      </c>
      <c r="O874" s="135">
        <v>0.9</v>
      </c>
      <c r="P874" s="133">
        <v>0.966008771929825</v>
      </c>
      <c r="Q874" s="133">
        <v>0.983391608391608</v>
      </c>
      <c r="R874" s="133">
        <v>0.971076593465453</v>
      </c>
      <c r="S874" s="133">
        <v>0.976811849761947</v>
      </c>
      <c r="T874" s="135">
        <v>0.9</v>
      </c>
      <c r="U874" s="133">
        <v>0.960526315789474</v>
      </c>
      <c r="V874" s="133">
        <v>0.973193473193473</v>
      </c>
      <c r="W874" s="133">
        <v>0.963845741831816</v>
      </c>
      <c r="X874" s="133">
        <v>0.96445071415976</v>
      </c>
      <c r="Y874" s="135">
        <v>0.92</v>
      </c>
      <c r="Z874" s="135">
        <v>0.970820189274448</v>
      </c>
      <c r="AA874" s="135">
        <v>0.970149253731343</v>
      </c>
      <c r="AB874" s="135">
        <v>0.961788031723143</v>
      </c>
      <c r="AC874" s="135">
        <v>0.964615246797456</v>
      </c>
      <c r="AD874" s="135">
        <v>0.92</v>
      </c>
      <c r="AE874" s="133">
        <v>0.996190738446005</v>
      </c>
      <c r="AF874" s="133">
        <v>0.994435396308361</v>
      </c>
      <c r="AG874" s="133">
        <v>0.993328651685393</v>
      </c>
      <c r="AH874" s="133">
        <v>0.995208934074536</v>
      </c>
      <c r="AI874" s="135">
        <v>0.92</v>
      </c>
      <c r="AJ874" s="133">
        <v>0.979301423027167</v>
      </c>
      <c r="AK874" s="133">
        <v>0.98489970700924</v>
      </c>
      <c r="AL874" s="133">
        <v>0.982432168651181</v>
      </c>
      <c r="AM874" s="133">
        <v>0.982807479189333</v>
      </c>
      <c r="AN874" s="132">
        <v>0.99</v>
      </c>
      <c r="AO874" s="137">
        <v>1</v>
      </c>
      <c r="AP874" s="137">
        <v>1</v>
      </c>
      <c r="AQ874" s="137">
        <v>1</v>
      </c>
      <c r="AR874" s="137">
        <v>1</v>
      </c>
      <c r="AS874" s="158">
        <v>0.0810595228934205</v>
      </c>
      <c r="AT874" s="141">
        <v>0.166666666666667</v>
      </c>
      <c r="AU874" s="141">
        <v>0.0625</v>
      </c>
      <c r="AV874" s="141">
        <v>0</v>
      </c>
      <c r="AW874" s="141">
        <v>0.041044776119403</v>
      </c>
      <c r="AX874" s="95"/>
      <c r="AY874" s="93"/>
    </row>
    <row r="875" ht="14.5" spans="1:51">
      <c r="A875" s="91"/>
      <c r="B875" s="95"/>
      <c r="C875" s="152" t="s">
        <v>668</v>
      </c>
      <c r="D875" s="153" t="s">
        <v>25</v>
      </c>
      <c r="E875" s="130" t="s">
        <v>669</v>
      </c>
      <c r="F875" s="179" t="s">
        <v>902</v>
      </c>
      <c r="G875" s="179" t="s">
        <v>902</v>
      </c>
      <c r="H875" s="179" t="s">
        <v>902</v>
      </c>
      <c r="I875" s="179" t="s">
        <v>902</v>
      </c>
      <c r="J875" s="132">
        <v>0.9</v>
      </c>
      <c r="K875" s="133">
        <v>0.884615384615385</v>
      </c>
      <c r="L875" s="133">
        <v>0.96875</v>
      </c>
      <c r="M875" s="134">
        <v>0.967741935483871</v>
      </c>
      <c r="N875" s="133">
        <v>0.936170212765957</v>
      </c>
      <c r="O875" s="135">
        <v>0.9</v>
      </c>
      <c r="P875" s="133">
        <v>0.988932806324111</v>
      </c>
      <c r="Q875" s="133">
        <v>0.985533453887884</v>
      </c>
      <c r="R875" s="133">
        <v>0.982228298017772</v>
      </c>
      <c r="S875" s="133">
        <v>0.980730595580134</v>
      </c>
      <c r="T875" s="135">
        <v>0.9</v>
      </c>
      <c r="U875" s="133">
        <v>0.961264822134387</v>
      </c>
      <c r="V875" s="133">
        <v>0.964918625678119</v>
      </c>
      <c r="W875" s="133">
        <v>0.966507177033493</v>
      </c>
      <c r="X875" s="133">
        <v>0.963210991337409</v>
      </c>
      <c r="Y875" s="135">
        <v>0.92</v>
      </c>
      <c r="Z875" s="135">
        <v>0.896062992125984</v>
      </c>
      <c r="AA875" s="135">
        <v>0.926495726495727</v>
      </c>
      <c r="AB875" s="135">
        <v>0.937768240343348</v>
      </c>
      <c r="AC875" s="135">
        <v>0.935474043382891</v>
      </c>
      <c r="AD875" s="135">
        <v>0.92</v>
      </c>
      <c r="AE875" s="133">
        <v>0.88</v>
      </c>
      <c r="AF875" s="133">
        <v>1</v>
      </c>
      <c r="AG875" s="133">
        <v>0.995433789954338</v>
      </c>
      <c r="AH875" s="133">
        <v>0.984305596683447</v>
      </c>
      <c r="AI875" s="135">
        <v>0.92</v>
      </c>
      <c r="AJ875" s="133">
        <v>0.95421052631579</v>
      </c>
      <c r="AK875" s="133">
        <v>0.977021784541928</v>
      </c>
      <c r="AL875" s="133">
        <v>0.977967858994298</v>
      </c>
      <c r="AM875" s="133">
        <v>0.976083802356543</v>
      </c>
      <c r="AN875" s="132">
        <v>0.99</v>
      </c>
      <c r="AO875" s="137">
        <v>1</v>
      </c>
      <c r="AP875" s="137">
        <v>1</v>
      </c>
      <c r="AQ875" s="137">
        <v>1</v>
      </c>
      <c r="AR875" s="137">
        <v>1</v>
      </c>
      <c r="AS875" s="158">
        <v>0.0810595228934205</v>
      </c>
      <c r="AT875" s="141">
        <v>0.166666666666667</v>
      </c>
      <c r="AU875" s="141">
        <v>0.142857142857143</v>
      </c>
      <c r="AV875" s="141">
        <v>0.0769230769230769</v>
      </c>
      <c r="AW875" s="141">
        <v>0.0391304347826087</v>
      </c>
      <c r="AX875" s="95"/>
      <c r="AY875" s="93"/>
    </row>
    <row r="876" ht="14.5" spans="1:51">
      <c r="A876" s="91"/>
      <c r="B876" s="95"/>
      <c r="C876" s="152" t="s">
        <v>668</v>
      </c>
      <c r="D876" s="153" t="s">
        <v>25</v>
      </c>
      <c r="E876" s="130" t="s">
        <v>669</v>
      </c>
      <c r="F876" s="179" t="s">
        <v>903</v>
      </c>
      <c r="G876" s="179" t="s">
        <v>903</v>
      </c>
      <c r="H876" s="179" t="s">
        <v>903</v>
      </c>
      <c r="I876" s="179" t="s">
        <v>903</v>
      </c>
      <c r="J876" s="132">
        <v>0.9</v>
      </c>
      <c r="K876" s="133">
        <v>0.951219512195122</v>
      </c>
      <c r="L876" s="133">
        <v>0.754385964912281</v>
      </c>
      <c r="M876" s="134">
        <v>0.892857142857143</v>
      </c>
      <c r="N876" s="133">
        <v>0.872727272727273</v>
      </c>
      <c r="O876" s="135">
        <v>0.9</v>
      </c>
      <c r="P876" s="133">
        <v>0.954942528735632</v>
      </c>
      <c r="Q876" s="133">
        <v>0.955752212389381</v>
      </c>
      <c r="R876" s="133">
        <v>0.807072609332496</v>
      </c>
      <c r="S876" s="133">
        <v>0.939984106762194</v>
      </c>
      <c r="T876" s="135">
        <v>0.9</v>
      </c>
      <c r="U876" s="133">
        <v>0.901149425287356</v>
      </c>
      <c r="V876" s="133">
        <v>0.928556011223829</v>
      </c>
      <c r="W876" s="133">
        <v>0.836576689684034</v>
      </c>
      <c r="X876" s="133">
        <v>0.914542312592238</v>
      </c>
      <c r="Y876" s="135">
        <v>0.92</v>
      </c>
      <c r="Z876" s="135">
        <v>0.909604519774011</v>
      </c>
      <c r="AA876" s="135">
        <v>0.919540229885057</v>
      </c>
      <c r="AB876" s="135">
        <v>0.910183428209994</v>
      </c>
      <c r="AC876" s="135">
        <v>0.929275069461985</v>
      </c>
      <c r="AD876" s="135">
        <v>0.92</v>
      </c>
      <c r="AE876" s="133">
        <v>1</v>
      </c>
      <c r="AF876" s="133">
        <v>1</v>
      </c>
      <c r="AG876" s="133">
        <v>0.994579945799458</v>
      </c>
      <c r="AH876" s="133">
        <v>0.990483639681919</v>
      </c>
      <c r="AI876" s="135">
        <v>0.92</v>
      </c>
      <c r="AJ876" s="133">
        <v>0.948424953675108</v>
      </c>
      <c r="AK876" s="133">
        <v>0.967978533094812</v>
      </c>
      <c r="AL876" s="133">
        <v>0.955052648121955</v>
      </c>
      <c r="AM876" s="133">
        <v>0.967246644812418</v>
      </c>
      <c r="AN876" s="132">
        <v>0.99</v>
      </c>
      <c r="AO876" s="137">
        <v>1</v>
      </c>
      <c r="AP876" s="137">
        <v>1</v>
      </c>
      <c r="AQ876" s="137">
        <v>1</v>
      </c>
      <c r="AR876" s="137">
        <v>1</v>
      </c>
      <c r="AS876" s="158">
        <v>0.0810595228934205</v>
      </c>
      <c r="AT876" s="141">
        <v>0.1</v>
      </c>
      <c r="AU876" s="141">
        <v>0</v>
      </c>
      <c r="AV876" s="141">
        <v>0.0555555555555556</v>
      </c>
      <c r="AW876" s="141">
        <v>0.0780487804878049</v>
      </c>
      <c r="AX876" s="95"/>
      <c r="AY876" s="93"/>
    </row>
    <row r="877" ht="14.5" spans="1:51">
      <c r="A877" s="91"/>
      <c r="B877" s="95"/>
      <c r="C877" s="152" t="s">
        <v>668</v>
      </c>
      <c r="D877" s="153" t="s">
        <v>25</v>
      </c>
      <c r="E877" s="130" t="s">
        <v>669</v>
      </c>
      <c r="F877" s="179" t="s">
        <v>904</v>
      </c>
      <c r="G877" s="179" t="s">
        <v>904</v>
      </c>
      <c r="H877" s="179" t="s">
        <v>904</v>
      </c>
      <c r="I877" s="179" t="s">
        <v>904</v>
      </c>
      <c r="J877" s="132">
        <v>0.9</v>
      </c>
      <c r="K877" s="133">
        <v>0.852941176470588</v>
      </c>
      <c r="L877" s="133">
        <v>0.975</v>
      </c>
      <c r="M877" s="134">
        <v>0.789473684210526</v>
      </c>
      <c r="N877" s="133">
        <v>0.884016973125884</v>
      </c>
      <c r="O877" s="135">
        <v>0.9</v>
      </c>
      <c r="P877" s="133">
        <v>0.985898942420682</v>
      </c>
      <c r="Q877" s="133">
        <v>0.970177838577291</v>
      </c>
      <c r="R877" s="133">
        <v>0.9516210739615</v>
      </c>
      <c r="S877" s="133">
        <v>0.950290397008513</v>
      </c>
      <c r="T877" s="135">
        <v>0.9</v>
      </c>
      <c r="U877" s="133">
        <v>0.945945945945946</v>
      </c>
      <c r="V877" s="133">
        <v>0.945827633378933</v>
      </c>
      <c r="W877" s="133">
        <v>0.941995947315096</v>
      </c>
      <c r="X877" s="133">
        <v>0.934569178136685</v>
      </c>
      <c r="Y877" s="135">
        <v>0.92</v>
      </c>
      <c r="Z877" s="135">
        <v>0.945414847161572</v>
      </c>
      <c r="AA877" s="135">
        <v>0.939281288723668</v>
      </c>
      <c r="AB877" s="135">
        <v>0.932592592592593</v>
      </c>
      <c r="AC877" s="135">
        <v>0.938326191995624</v>
      </c>
      <c r="AD877" s="135">
        <v>0.92</v>
      </c>
      <c r="AE877" s="133">
        <v>0.983345401882694</v>
      </c>
      <c r="AF877" s="133">
        <v>0.989202657807309</v>
      </c>
      <c r="AG877" s="133">
        <v>0.99886191198786</v>
      </c>
      <c r="AH877" s="133">
        <v>0.996133304333116</v>
      </c>
      <c r="AI877" s="135">
        <v>0.92</v>
      </c>
      <c r="AJ877" s="133">
        <v>0.971734148204736</v>
      </c>
      <c r="AK877" s="133">
        <v>0.975347377857463</v>
      </c>
      <c r="AL877" s="133">
        <v>0.969616908850727</v>
      </c>
      <c r="AM877" s="133">
        <v>0.972884431822199</v>
      </c>
      <c r="AN877" s="132">
        <v>0.99</v>
      </c>
      <c r="AO877" s="137">
        <v>1</v>
      </c>
      <c r="AP877" s="137">
        <v>1</v>
      </c>
      <c r="AQ877" s="137">
        <v>1</v>
      </c>
      <c r="AR877" s="137">
        <v>1</v>
      </c>
      <c r="AS877" s="158">
        <v>0.0810595228934205</v>
      </c>
      <c r="AT877" s="141">
        <v>0.0952380952380952</v>
      </c>
      <c r="AU877" s="141">
        <v>0</v>
      </c>
      <c r="AV877" s="141">
        <v>0.0769230769230769</v>
      </c>
      <c r="AW877" s="141">
        <v>0.032967032967033</v>
      </c>
      <c r="AX877" s="95"/>
      <c r="AY877" s="93"/>
    </row>
    <row r="878" ht="14.5" spans="1:51">
      <c r="A878" s="91"/>
      <c r="B878" s="95"/>
      <c r="C878" s="152" t="s">
        <v>668</v>
      </c>
      <c r="D878" s="153" t="s">
        <v>25</v>
      </c>
      <c r="E878" s="130" t="s">
        <v>669</v>
      </c>
      <c r="F878" s="179" t="s">
        <v>905</v>
      </c>
      <c r="G878" s="179" t="s">
        <v>905</v>
      </c>
      <c r="H878" s="179" t="s">
        <v>905</v>
      </c>
      <c r="I878" s="179" t="s">
        <v>905</v>
      </c>
      <c r="J878" s="132">
        <v>0.9</v>
      </c>
      <c r="K878" s="133">
        <v>1</v>
      </c>
      <c r="L878" s="133">
        <v>1</v>
      </c>
      <c r="M878" s="134">
        <v>1</v>
      </c>
      <c r="N878" s="133">
        <v>0.996794871794872</v>
      </c>
      <c r="O878" s="135">
        <v>0.9</v>
      </c>
      <c r="P878" s="133">
        <v>0.979695431472081</v>
      </c>
      <c r="Q878" s="133">
        <v>0.981684981684982</v>
      </c>
      <c r="R878" s="133">
        <v>0.974550898203593</v>
      </c>
      <c r="S878" s="133">
        <v>0.971841018092027</v>
      </c>
      <c r="T878" s="135">
        <v>0.9</v>
      </c>
      <c r="U878" s="133">
        <v>0.923857868020305</v>
      </c>
      <c r="V878" s="133">
        <v>0.964285714285714</v>
      </c>
      <c r="W878" s="133">
        <v>0.953592814371258</v>
      </c>
      <c r="X878" s="133">
        <v>0.94382449309084</v>
      </c>
      <c r="Y878" s="135">
        <v>0.92</v>
      </c>
      <c r="Z878" s="135">
        <v>0.926739926739927</v>
      </c>
      <c r="AA878" s="135">
        <v>0.938864628820961</v>
      </c>
      <c r="AB878" s="135">
        <v>0.926160337552743</v>
      </c>
      <c r="AC878" s="135">
        <v>0.946450140920682</v>
      </c>
      <c r="AD878" s="135">
        <v>0.92</v>
      </c>
      <c r="AE878" s="133">
        <v>0.997442455242967</v>
      </c>
      <c r="AF878" s="133">
        <v>0.98936170212766</v>
      </c>
      <c r="AG878" s="133">
        <v>1</v>
      </c>
      <c r="AH878" s="133">
        <v>0.99628016693885</v>
      </c>
      <c r="AI878" s="135">
        <v>0.92</v>
      </c>
      <c r="AJ878" s="133">
        <v>0.962962962962963</v>
      </c>
      <c r="AK878" s="133">
        <v>0.978046934140802</v>
      </c>
      <c r="AL878" s="133">
        <v>0.969630038652678</v>
      </c>
      <c r="AM878" s="133">
        <v>0.975946704067321</v>
      </c>
      <c r="AN878" s="132">
        <v>0.99</v>
      </c>
      <c r="AO878" s="137">
        <v>1</v>
      </c>
      <c r="AP878" s="137">
        <v>1</v>
      </c>
      <c r="AQ878" s="137">
        <v>1</v>
      </c>
      <c r="AR878" s="137">
        <v>1</v>
      </c>
      <c r="AS878" s="158">
        <v>0.0810595228934205</v>
      </c>
      <c r="AT878" s="141">
        <v>0</v>
      </c>
      <c r="AU878" s="141">
        <v>0</v>
      </c>
      <c r="AV878" s="141">
        <v>0</v>
      </c>
      <c r="AW878" s="141">
        <v>0.0206896551724138</v>
      </c>
      <c r="AX878" s="95"/>
      <c r="AY878" s="93"/>
    </row>
    <row r="879" ht="14.5" spans="1:51">
      <c r="A879" s="91"/>
      <c r="B879" s="95"/>
      <c r="C879" s="152" t="s">
        <v>668</v>
      </c>
      <c r="D879" s="153" t="s">
        <v>25</v>
      </c>
      <c r="E879" s="130" t="s">
        <v>669</v>
      </c>
      <c r="F879" s="179" t="s">
        <v>906</v>
      </c>
      <c r="G879" s="179" t="s">
        <v>906</v>
      </c>
      <c r="H879" s="179" t="s">
        <v>906</v>
      </c>
      <c r="I879" s="179" t="s">
        <v>906</v>
      </c>
      <c r="J879" s="132">
        <v>0.9</v>
      </c>
      <c r="K879" s="133">
        <v>0.827586206896552</v>
      </c>
      <c r="L879" s="133">
        <v>0.838709677419355</v>
      </c>
      <c r="M879" s="134">
        <v>0.875</v>
      </c>
      <c r="N879" s="133">
        <v>0.829896907216495</v>
      </c>
      <c r="O879" s="135">
        <v>0.9</v>
      </c>
      <c r="P879" s="133">
        <v>0.98476343223737</v>
      </c>
      <c r="Q879" s="133">
        <v>0.975308641975309</v>
      </c>
      <c r="R879" s="133">
        <v>0.969478175254349</v>
      </c>
      <c r="S879" s="133">
        <v>0.977195725827469</v>
      </c>
      <c r="T879" s="135">
        <v>0.9</v>
      </c>
      <c r="U879" s="133">
        <v>0.959101844426624</v>
      </c>
      <c r="V879" s="133">
        <v>0.970017636684303</v>
      </c>
      <c r="W879" s="133">
        <v>0.959632425336396</v>
      </c>
      <c r="X879" s="133">
        <v>0.966944661628008</v>
      </c>
      <c r="Y879" s="135">
        <v>0.92</v>
      </c>
      <c r="Z879" s="135">
        <v>0.963133640552995</v>
      </c>
      <c r="AA879" s="135">
        <v>0.964346349745331</v>
      </c>
      <c r="AB879" s="135">
        <v>0.964439655172414</v>
      </c>
      <c r="AC879" s="135">
        <v>0.973377703826955</v>
      </c>
      <c r="AD879" s="135">
        <v>0.92</v>
      </c>
      <c r="AE879" s="133">
        <v>1</v>
      </c>
      <c r="AF879" s="133">
        <v>0.996632996632997</v>
      </c>
      <c r="AG879" s="133">
        <v>1</v>
      </c>
      <c r="AH879" s="133">
        <v>0.998647277646263</v>
      </c>
      <c r="AI879" s="135">
        <v>0.92</v>
      </c>
      <c r="AJ879" s="133">
        <v>0.977883096366509</v>
      </c>
      <c r="AK879" s="133">
        <v>0.987740805604203</v>
      </c>
      <c r="AL879" s="133">
        <v>0.988933601609658</v>
      </c>
      <c r="AM879" s="133">
        <v>0.989326527991782</v>
      </c>
      <c r="AN879" s="132">
        <v>0.99</v>
      </c>
      <c r="AO879" s="137">
        <v>1</v>
      </c>
      <c r="AP879" s="137">
        <v>1</v>
      </c>
      <c r="AQ879" s="137">
        <v>1</v>
      </c>
      <c r="AR879" s="137">
        <v>1</v>
      </c>
      <c r="AS879" s="158">
        <v>0.0810595228934205</v>
      </c>
      <c r="AT879" s="141">
        <v>0</v>
      </c>
      <c r="AU879" s="141">
        <v>0</v>
      </c>
      <c r="AV879" s="141">
        <v>0.0588235294117647</v>
      </c>
      <c r="AW879" s="141">
        <v>0.0175438596491228</v>
      </c>
      <c r="AX879" s="95"/>
      <c r="AY879" s="93"/>
    </row>
    <row r="880" ht="14.5" spans="1:51">
      <c r="A880" s="91"/>
      <c r="B880" s="95"/>
      <c r="C880" s="152" t="s">
        <v>668</v>
      </c>
      <c r="D880" s="153" t="s">
        <v>25</v>
      </c>
      <c r="E880" s="130" t="s">
        <v>669</v>
      </c>
      <c r="F880" s="179" t="s">
        <v>907</v>
      </c>
      <c r="G880" s="179" t="s">
        <v>907</v>
      </c>
      <c r="H880" s="179" t="s">
        <v>907</v>
      </c>
      <c r="I880" s="179" t="s">
        <v>907</v>
      </c>
      <c r="J880" s="132">
        <v>0.9</v>
      </c>
      <c r="K880" s="133">
        <v>0.952380952380952</v>
      </c>
      <c r="L880" s="133">
        <v>0.91304347826087</v>
      </c>
      <c r="M880" s="134">
        <v>1</v>
      </c>
      <c r="N880" s="133">
        <v>0.976525821596244</v>
      </c>
      <c r="O880" s="135">
        <v>0.9</v>
      </c>
      <c r="P880" s="133">
        <v>0.971428571428571</v>
      </c>
      <c r="Q880" s="133">
        <v>0.963071512309496</v>
      </c>
      <c r="R880" s="133">
        <v>0.961844197138315</v>
      </c>
      <c r="S880" s="133">
        <v>0.964345873104997</v>
      </c>
      <c r="T880" s="135">
        <v>0.9</v>
      </c>
      <c r="U880" s="133">
        <v>0.931972789115646</v>
      </c>
      <c r="V880" s="133">
        <v>0.946658851113716</v>
      </c>
      <c r="W880" s="133">
        <v>0.946475887652358</v>
      </c>
      <c r="X880" s="133">
        <v>0.953607523862998</v>
      </c>
      <c r="Y880" s="135">
        <v>0.92</v>
      </c>
      <c r="Z880" s="135">
        <v>0.925531914893617</v>
      </c>
      <c r="AA880" s="135">
        <v>0.926345609065156</v>
      </c>
      <c r="AB880" s="135">
        <v>0.928115015974441</v>
      </c>
      <c r="AC880" s="135">
        <v>0.943501170960187</v>
      </c>
      <c r="AD880" s="135">
        <v>0.92</v>
      </c>
      <c r="AE880" s="133">
        <v>1</v>
      </c>
      <c r="AF880" s="133">
        <v>0.99781181619256</v>
      </c>
      <c r="AG880" s="133">
        <v>0.997237569060773</v>
      </c>
      <c r="AH880" s="133">
        <v>0.998721908616466</v>
      </c>
      <c r="AI880" s="135">
        <v>0.92</v>
      </c>
      <c r="AJ880" s="133">
        <v>0.957695769576958</v>
      </c>
      <c r="AK880" s="133">
        <v>0.975716367168528</v>
      </c>
      <c r="AL880" s="133">
        <v>0.976522085157183</v>
      </c>
      <c r="AM880" s="133">
        <v>0.978269285364028</v>
      </c>
      <c r="AN880" s="132">
        <v>0.99</v>
      </c>
      <c r="AO880" s="137" t="s">
        <v>35</v>
      </c>
      <c r="AP880" s="137">
        <v>1</v>
      </c>
      <c r="AQ880" s="137">
        <v>1</v>
      </c>
      <c r="AR880" s="137">
        <v>1</v>
      </c>
      <c r="AS880" s="158">
        <v>0.0810595228934205</v>
      </c>
      <c r="AT880" s="141">
        <v>0</v>
      </c>
      <c r="AU880" s="141">
        <v>0</v>
      </c>
      <c r="AV880" s="141">
        <v>0</v>
      </c>
      <c r="AW880" s="141">
        <v>0.0227272727272727</v>
      </c>
      <c r="AX880" s="95"/>
      <c r="AY880" s="93"/>
    </row>
    <row r="881" ht="14.5" spans="1:51">
      <c r="A881" s="91"/>
      <c r="B881" s="95"/>
      <c r="C881" s="152" t="s">
        <v>668</v>
      </c>
      <c r="D881" s="153" t="s">
        <v>25</v>
      </c>
      <c r="E881" s="130" t="s">
        <v>669</v>
      </c>
      <c r="F881" s="179" t="s">
        <v>908</v>
      </c>
      <c r="G881" s="179" t="s">
        <v>908</v>
      </c>
      <c r="H881" s="179" t="s">
        <v>908</v>
      </c>
      <c r="I881" s="179" t="s">
        <v>908</v>
      </c>
      <c r="J881" s="132">
        <v>0.9</v>
      </c>
      <c r="K881" s="133">
        <v>0.904761904761905</v>
      </c>
      <c r="L881" s="133">
        <v>0.958333333333333</v>
      </c>
      <c r="M881" s="134">
        <v>0.956521739130435</v>
      </c>
      <c r="N881" s="133">
        <v>0.903002309468822</v>
      </c>
      <c r="O881" s="135">
        <v>0.9</v>
      </c>
      <c r="P881" s="133">
        <v>0.994729907773386</v>
      </c>
      <c r="Q881" s="133">
        <v>0.994818652849741</v>
      </c>
      <c r="R881" s="133">
        <v>0.996126175982291</v>
      </c>
      <c r="S881" s="133">
        <v>0.986039453717754</v>
      </c>
      <c r="T881" s="135">
        <v>0.9</v>
      </c>
      <c r="U881" s="133">
        <v>0.957839262187088</v>
      </c>
      <c r="V881" s="133">
        <v>0.968336211859528</v>
      </c>
      <c r="W881" s="133">
        <v>0.962921970116215</v>
      </c>
      <c r="X881" s="133">
        <v>0.955859045692126</v>
      </c>
      <c r="Y881" s="135">
        <v>0.92</v>
      </c>
      <c r="Z881" s="135">
        <v>0.953246753246753</v>
      </c>
      <c r="AA881" s="135">
        <v>0.958974358974359</v>
      </c>
      <c r="AB881" s="135">
        <v>0.953177257525084</v>
      </c>
      <c r="AC881" s="135">
        <v>0.950860659678815</v>
      </c>
      <c r="AD881" s="135">
        <v>0.92</v>
      </c>
      <c r="AE881" s="133">
        <v>1</v>
      </c>
      <c r="AF881" s="133">
        <v>1</v>
      </c>
      <c r="AG881" s="133">
        <v>1</v>
      </c>
      <c r="AH881" s="133">
        <v>1</v>
      </c>
      <c r="AI881" s="135">
        <v>0.92</v>
      </c>
      <c r="AJ881" s="133">
        <v>0.97465034965035</v>
      </c>
      <c r="AK881" s="133">
        <v>0.987312030075188</v>
      </c>
      <c r="AL881" s="133">
        <v>0.983367983367983</v>
      </c>
      <c r="AM881" s="133">
        <v>0.979587762639118</v>
      </c>
      <c r="AN881" s="132">
        <v>0.99</v>
      </c>
      <c r="AO881" s="137">
        <v>1</v>
      </c>
      <c r="AP881" s="137">
        <v>1</v>
      </c>
      <c r="AQ881" s="137">
        <v>1</v>
      </c>
      <c r="AR881" s="137">
        <v>1</v>
      </c>
      <c r="AS881" s="158">
        <v>0.0810595228934205</v>
      </c>
      <c r="AT881" s="141">
        <v>0</v>
      </c>
      <c r="AU881" s="141">
        <v>0</v>
      </c>
      <c r="AV881" s="141">
        <v>0</v>
      </c>
      <c r="AW881" s="141">
        <v>0.0300751879699248</v>
      </c>
      <c r="AX881" s="95"/>
      <c r="AY881" s="93"/>
    </row>
    <row r="882" ht="14.5" spans="1:51">
      <c r="A882" s="91"/>
      <c r="B882" s="95"/>
      <c r="C882" s="152" t="s">
        <v>668</v>
      </c>
      <c r="D882" s="153" t="s">
        <v>25</v>
      </c>
      <c r="E882" s="130" t="s">
        <v>669</v>
      </c>
      <c r="F882" s="179" t="s">
        <v>909</v>
      </c>
      <c r="G882" s="179" t="s">
        <v>909</v>
      </c>
      <c r="H882" s="179" t="s">
        <v>909</v>
      </c>
      <c r="I882" s="179" t="s">
        <v>909</v>
      </c>
      <c r="J882" s="132">
        <v>0.9</v>
      </c>
      <c r="K882" s="133">
        <v>0.75</v>
      </c>
      <c r="L882" s="133">
        <v>0.84</v>
      </c>
      <c r="M882" s="134">
        <v>0.875</v>
      </c>
      <c r="N882" s="133">
        <v>0.863436123348018</v>
      </c>
      <c r="O882" s="135">
        <v>0.9</v>
      </c>
      <c r="P882" s="133">
        <v>0.93542600896861</v>
      </c>
      <c r="Q882" s="133">
        <v>0.937286689419795</v>
      </c>
      <c r="R882" s="133">
        <v>0.948788115715403</v>
      </c>
      <c r="S882" s="133">
        <v>0.932668575377629</v>
      </c>
      <c r="T882" s="135">
        <v>0.9</v>
      </c>
      <c r="U882" s="133">
        <v>0.914798206278027</v>
      </c>
      <c r="V882" s="133">
        <v>0.936860068259386</v>
      </c>
      <c r="W882" s="133">
        <v>0.930414386239249</v>
      </c>
      <c r="X882" s="133">
        <v>0.919661368348307</v>
      </c>
      <c r="Y882" s="135">
        <v>0.92</v>
      </c>
      <c r="Z882" s="135">
        <v>0.911304347826087</v>
      </c>
      <c r="AA882" s="135">
        <v>0.933333333333333</v>
      </c>
      <c r="AB882" s="135">
        <v>0.913965087281795</v>
      </c>
      <c r="AC882" s="135">
        <v>0.916119828815977</v>
      </c>
      <c r="AD882" s="135">
        <v>0.92</v>
      </c>
      <c r="AE882" s="133">
        <v>0.998533724340176</v>
      </c>
      <c r="AF882" s="133">
        <v>1</v>
      </c>
      <c r="AG882" s="133">
        <v>0.993880048959608</v>
      </c>
      <c r="AH882" s="133">
        <v>0.993283927744326</v>
      </c>
      <c r="AI882" s="135">
        <v>0.92</v>
      </c>
      <c r="AJ882" s="133">
        <v>0.939644970414201</v>
      </c>
      <c r="AK882" s="133">
        <v>0.969424460431655</v>
      </c>
      <c r="AL882" s="133">
        <v>0.965496728138013</v>
      </c>
      <c r="AM882" s="133">
        <v>0.963573732043389</v>
      </c>
      <c r="AN882" s="132">
        <v>0.99</v>
      </c>
      <c r="AO882" s="137">
        <v>1</v>
      </c>
      <c r="AP882" s="137">
        <v>1</v>
      </c>
      <c r="AQ882" s="137">
        <v>1</v>
      </c>
      <c r="AR882" s="137">
        <v>1</v>
      </c>
      <c r="AS882" s="158">
        <v>0.0810595228934205</v>
      </c>
      <c r="AT882" s="141">
        <v>0.166666666666667</v>
      </c>
      <c r="AU882" s="141">
        <v>0</v>
      </c>
      <c r="AV882" s="141">
        <v>0</v>
      </c>
      <c r="AW882" s="141">
        <v>0.0247524752475248</v>
      </c>
      <c r="AX882" s="95"/>
      <c r="AY882" s="93"/>
    </row>
    <row r="883" ht="14.5" spans="1:51">
      <c r="A883" s="91"/>
      <c r="B883" s="95"/>
      <c r="C883" s="152" t="s">
        <v>668</v>
      </c>
      <c r="D883" s="153" t="s">
        <v>25</v>
      </c>
      <c r="E883" s="130" t="s">
        <v>669</v>
      </c>
      <c r="F883" s="179" t="s">
        <v>910</v>
      </c>
      <c r="G883" s="179" t="s">
        <v>910</v>
      </c>
      <c r="H883" s="179" t="s">
        <v>910</v>
      </c>
      <c r="I883" s="179" t="s">
        <v>910</v>
      </c>
      <c r="J883" s="132">
        <v>0.9</v>
      </c>
      <c r="K883" s="133">
        <v>1</v>
      </c>
      <c r="L883" s="133">
        <v>1</v>
      </c>
      <c r="M883" s="134">
        <v>1</v>
      </c>
      <c r="N883" s="133">
        <v>0.986590038314176</v>
      </c>
      <c r="O883" s="135">
        <v>0.9</v>
      </c>
      <c r="P883" s="133">
        <v>0.966981132075472</v>
      </c>
      <c r="Q883" s="133">
        <v>0.916376306620209</v>
      </c>
      <c r="R883" s="133">
        <v>0.976897689768977</v>
      </c>
      <c r="S883" s="133">
        <v>0.968097755239446</v>
      </c>
      <c r="T883" s="135">
        <v>0.9</v>
      </c>
      <c r="U883" s="133">
        <v>0.925471698113208</v>
      </c>
      <c r="V883" s="133">
        <v>0.930603948896632</v>
      </c>
      <c r="W883" s="133">
        <v>0.922315308453922</v>
      </c>
      <c r="X883" s="133">
        <v>0.936653917228931</v>
      </c>
      <c r="Y883" s="135">
        <v>0.92</v>
      </c>
      <c r="Z883" s="135">
        <v>0.936828806064435</v>
      </c>
      <c r="AA883" s="135">
        <v>0.921768707482993</v>
      </c>
      <c r="AB883" s="135">
        <v>0.925229741019215</v>
      </c>
      <c r="AC883" s="135">
        <v>0.949765294743121</v>
      </c>
      <c r="AD883" s="135">
        <v>0.92</v>
      </c>
      <c r="AE883" s="133">
        <v>1</v>
      </c>
      <c r="AF883" s="133">
        <v>0.986394557823129</v>
      </c>
      <c r="AG883" s="133">
        <v>1</v>
      </c>
      <c r="AH883" s="133">
        <v>0.983139722491126</v>
      </c>
      <c r="AI883" s="135">
        <v>0.92</v>
      </c>
      <c r="AJ883" s="133">
        <v>0.957331893059681</v>
      </c>
      <c r="AK883" s="133">
        <v>0.958853444290337</v>
      </c>
      <c r="AL883" s="133">
        <v>0.953734407074057</v>
      </c>
      <c r="AM883" s="133">
        <v>0.970692996216665</v>
      </c>
      <c r="AN883" s="132">
        <v>0.99</v>
      </c>
      <c r="AO883" s="137">
        <v>1</v>
      </c>
      <c r="AP883" s="137">
        <v>1</v>
      </c>
      <c r="AQ883" s="137">
        <v>1</v>
      </c>
      <c r="AR883" s="137">
        <v>1</v>
      </c>
      <c r="AS883" s="158">
        <v>0.0810595228934205</v>
      </c>
      <c r="AT883" s="141">
        <v>0.0681818181818182</v>
      </c>
      <c r="AU883" s="141">
        <v>0</v>
      </c>
      <c r="AV883" s="141">
        <v>0</v>
      </c>
      <c r="AW883" s="141">
        <v>0.0124653739612188</v>
      </c>
      <c r="AX883" s="95"/>
      <c r="AY883" s="93"/>
    </row>
    <row r="884" ht="14.5" spans="1:51">
      <c r="A884" s="91"/>
      <c r="B884" s="95"/>
      <c r="C884" s="152" t="s">
        <v>668</v>
      </c>
      <c r="D884" s="153" t="s">
        <v>25</v>
      </c>
      <c r="E884" s="130" t="s">
        <v>669</v>
      </c>
      <c r="F884" s="179" t="s">
        <v>911</v>
      </c>
      <c r="G884" s="179" t="s">
        <v>911</v>
      </c>
      <c r="H884" s="179" t="s">
        <v>911</v>
      </c>
      <c r="I884" s="179" t="s">
        <v>911</v>
      </c>
      <c r="J884" s="132">
        <v>0.9</v>
      </c>
      <c r="K884" s="133" t="s">
        <v>35</v>
      </c>
      <c r="L884" s="133" t="s">
        <v>35</v>
      </c>
      <c r="M884" s="134" t="s">
        <v>35</v>
      </c>
      <c r="N884" s="133" t="s">
        <v>35</v>
      </c>
      <c r="O884" s="135">
        <v>0.9</v>
      </c>
      <c r="P884" s="133" t="s">
        <v>35</v>
      </c>
      <c r="Q884" s="133" t="s">
        <v>35</v>
      </c>
      <c r="R884" s="133" t="s">
        <v>35</v>
      </c>
      <c r="S884" s="133" t="s">
        <v>35</v>
      </c>
      <c r="T884" s="135">
        <v>0.9</v>
      </c>
      <c r="U884" s="133" t="s">
        <v>35</v>
      </c>
      <c r="V884" s="133" t="s">
        <v>35</v>
      </c>
      <c r="W884" s="133" t="s">
        <v>35</v>
      </c>
      <c r="X884" s="133" t="s">
        <v>35</v>
      </c>
      <c r="Y884" s="135">
        <v>0.92</v>
      </c>
      <c r="Z884" s="135" t="s">
        <v>35</v>
      </c>
      <c r="AA884" s="135" t="s">
        <v>35</v>
      </c>
      <c r="AB884" s="135" t="s">
        <v>35</v>
      </c>
      <c r="AC884" s="135" t="s">
        <v>35</v>
      </c>
      <c r="AD884" s="135">
        <v>0.92</v>
      </c>
      <c r="AE884" s="133" t="s">
        <v>35</v>
      </c>
      <c r="AF884" s="133" t="s">
        <v>35</v>
      </c>
      <c r="AG884" s="133" t="s">
        <v>35</v>
      </c>
      <c r="AH884" s="133">
        <v>1</v>
      </c>
      <c r="AI884" s="135">
        <v>0.92</v>
      </c>
      <c r="AJ884" s="133" t="s">
        <v>35</v>
      </c>
      <c r="AK884" s="133" t="s">
        <v>35</v>
      </c>
      <c r="AL884" s="133" t="s">
        <v>35</v>
      </c>
      <c r="AM884" s="133" t="s">
        <v>35</v>
      </c>
      <c r="AN884" s="132">
        <v>0.99</v>
      </c>
      <c r="AO884" s="137" t="s">
        <v>35</v>
      </c>
      <c r="AP884" s="137" t="s">
        <v>35</v>
      </c>
      <c r="AQ884" s="137" t="s">
        <v>35</v>
      </c>
      <c r="AR884" s="137" t="s">
        <v>35</v>
      </c>
      <c r="AS884" s="158">
        <v>0.0810595228934205</v>
      </c>
      <c r="AT884" s="141" t="s">
        <v>35</v>
      </c>
      <c r="AU884" s="141" t="s">
        <v>35</v>
      </c>
      <c r="AV884" s="141" t="s">
        <v>35</v>
      </c>
      <c r="AW884" s="141" t="s">
        <v>35</v>
      </c>
      <c r="AX884" s="95"/>
      <c r="AY884" s="93"/>
    </row>
    <row r="885" ht="14.5" spans="1:51">
      <c r="A885" s="91"/>
      <c r="B885" s="95"/>
      <c r="C885" s="152" t="s">
        <v>668</v>
      </c>
      <c r="D885" s="153" t="s">
        <v>25</v>
      </c>
      <c r="E885" s="130" t="s">
        <v>669</v>
      </c>
      <c r="F885" s="179" t="s">
        <v>912</v>
      </c>
      <c r="G885" s="179" t="s">
        <v>912</v>
      </c>
      <c r="H885" s="179" t="s">
        <v>912</v>
      </c>
      <c r="I885" s="179" t="s">
        <v>912</v>
      </c>
      <c r="J885" s="132">
        <v>0.9</v>
      </c>
      <c r="K885" s="133">
        <v>1</v>
      </c>
      <c r="L885" s="133">
        <v>1</v>
      </c>
      <c r="M885" s="134">
        <v>1</v>
      </c>
      <c r="N885" s="133">
        <v>1</v>
      </c>
      <c r="O885" s="135">
        <v>0.9</v>
      </c>
      <c r="P885" s="133">
        <v>0.981894150417827</v>
      </c>
      <c r="Q885" s="133">
        <v>0.984336356141797</v>
      </c>
      <c r="R885" s="133">
        <v>0.977896341463415</v>
      </c>
      <c r="S885" s="133">
        <v>0.982679914070892</v>
      </c>
      <c r="T885" s="135">
        <v>0.9</v>
      </c>
      <c r="U885" s="133">
        <v>0.933147632311978</v>
      </c>
      <c r="V885" s="133">
        <v>0.929925803792251</v>
      </c>
      <c r="W885" s="133">
        <v>0.945121951219512</v>
      </c>
      <c r="X885" s="133">
        <v>0.941818832796276</v>
      </c>
      <c r="Y885" s="135">
        <v>0.92</v>
      </c>
      <c r="Z885" s="135">
        <v>0.938342967244701</v>
      </c>
      <c r="AA885" s="135">
        <v>0.953736654804271</v>
      </c>
      <c r="AB885" s="135">
        <v>0.943790849673203</v>
      </c>
      <c r="AC885" s="135">
        <v>0.950945923321614</v>
      </c>
      <c r="AD885" s="135">
        <v>0.92</v>
      </c>
      <c r="AE885" s="133">
        <v>1</v>
      </c>
      <c r="AF885" s="133">
        <v>0.997685185185185</v>
      </c>
      <c r="AG885" s="133">
        <v>1</v>
      </c>
      <c r="AH885" s="133">
        <v>0.998101537142507</v>
      </c>
      <c r="AI885" s="135">
        <v>0.92</v>
      </c>
      <c r="AJ885" s="133">
        <v>0.957154405820534</v>
      </c>
      <c r="AK885" s="133">
        <v>0.970548862115127</v>
      </c>
      <c r="AL885" s="133">
        <v>0.967260471834376</v>
      </c>
      <c r="AM885" s="133">
        <v>0.971364418394425</v>
      </c>
      <c r="AN885" s="132">
        <v>0.99</v>
      </c>
      <c r="AO885" s="137">
        <v>1</v>
      </c>
      <c r="AP885" s="137">
        <v>1</v>
      </c>
      <c r="AQ885" s="137">
        <v>1</v>
      </c>
      <c r="AR885" s="137">
        <v>1</v>
      </c>
      <c r="AS885" s="158">
        <v>0.0810595228934205</v>
      </c>
      <c r="AT885" s="141">
        <v>0</v>
      </c>
      <c r="AU885" s="141">
        <v>0</v>
      </c>
      <c r="AV885" s="141">
        <v>0</v>
      </c>
      <c r="AW885" s="141">
        <v>0.0136986301369863</v>
      </c>
      <c r="AX885" s="95"/>
      <c r="AY885" s="93"/>
    </row>
    <row r="886" ht="14.5" spans="1:51">
      <c r="A886" s="91"/>
      <c r="B886" s="95"/>
      <c r="C886" s="152" t="s">
        <v>668</v>
      </c>
      <c r="D886" s="153" t="s">
        <v>25</v>
      </c>
      <c r="E886" s="130" t="s">
        <v>669</v>
      </c>
      <c r="F886" s="179" t="s">
        <v>913</v>
      </c>
      <c r="G886" s="179" t="s">
        <v>913</v>
      </c>
      <c r="H886" s="179" t="s">
        <v>913</v>
      </c>
      <c r="I886" s="179" t="s">
        <v>913</v>
      </c>
      <c r="J886" s="132">
        <v>0.9</v>
      </c>
      <c r="K886" s="133">
        <v>0.923076923076923</v>
      </c>
      <c r="L886" s="133">
        <v>1</v>
      </c>
      <c r="M886" s="134">
        <v>0.976744186046512</v>
      </c>
      <c r="N886" s="133">
        <v>0.962168978562421</v>
      </c>
      <c r="O886" s="135">
        <v>0.9</v>
      </c>
      <c r="P886" s="133">
        <v>0.934043970686209</v>
      </c>
      <c r="Q886" s="133">
        <v>0.901692183722804</v>
      </c>
      <c r="R886" s="133">
        <v>0.916283650689429</v>
      </c>
      <c r="S886" s="133">
        <v>0.923569235322408</v>
      </c>
      <c r="T886" s="135">
        <v>0.9</v>
      </c>
      <c r="U886" s="133">
        <v>0.890073284477015</v>
      </c>
      <c r="V886" s="133">
        <v>0.887993553585818</v>
      </c>
      <c r="W886" s="133">
        <v>0.898883782009192</v>
      </c>
      <c r="X886" s="133">
        <v>0.907883541119455</v>
      </c>
      <c r="Y886" s="135">
        <v>0.92</v>
      </c>
      <c r="Z886" s="135">
        <v>0.921666666666667</v>
      </c>
      <c r="AA886" s="135">
        <v>0.88030303030303</v>
      </c>
      <c r="AB886" s="135">
        <v>0.912309368191721</v>
      </c>
      <c r="AC886" s="135">
        <v>0.931357093899931</v>
      </c>
      <c r="AD886" s="135">
        <v>0.92</v>
      </c>
      <c r="AE886" s="133">
        <v>0.998687664041995</v>
      </c>
      <c r="AF886" s="133">
        <v>1</v>
      </c>
      <c r="AG886" s="133">
        <v>0.997752808988764</v>
      </c>
      <c r="AH886" s="133">
        <v>0.995629169542213</v>
      </c>
      <c r="AI886" s="135">
        <v>0.92</v>
      </c>
      <c r="AJ886" s="133">
        <v>0.940392447241762</v>
      </c>
      <c r="AK886" s="133">
        <v>0.936028007638447</v>
      </c>
      <c r="AL886" s="133">
        <v>0.946958836780668</v>
      </c>
      <c r="AM886" s="133">
        <v>0.957873873873874</v>
      </c>
      <c r="AN886" s="132">
        <v>0.99</v>
      </c>
      <c r="AO886" s="137">
        <v>1</v>
      </c>
      <c r="AP886" s="137">
        <v>1</v>
      </c>
      <c r="AQ886" s="137">
        <v>1</v>
      </c>
      <c r="AR886" s="137">
        <v>1</v>
      </c>
      <c r="AS886" s="158">
        <v>0.0810595228934205</v>
      </c>
      <c r="AT886" s="141">
        <v>0.1</v>
      </c>
      <c r="AU886" s="141">
        <v>0.131578947368421</v>
      </c>
      <c r="AV886" s="141">
        <v>0.032258064516129</v>
      </c>
      <c r="AW886" s="141">
        <v>0.0498084291187739</v>
      </c>
      <c r="AX886" s="95"/>
      <c r="AY886" s="93"/>
    </row>
    <row r="887" ht="14.5" spans="1:51">
      <c r="A887" s="91"/>
      <c r="B887" s="95"/>
      <c r="C887" s="152" t="s">
        <v>668</v>
      </c>
      <c r="D887" s="153" t="s">
        <v>25</v>
      </c>
      <c r="E887" s="130" t="s">
        <v>669</v>
      </c>
      <c r="F887" s="179" t="s">
        <v>914</v>
      </c>
      <c r="G887" s="179" t="s">
        <v>914</v>
      </c>
      <c r="H887" s="179" t="s">
        <v>914</v>
      </c>
      <c r="I887" s="179" t="s">
        <v>914</v>
      </c>
      <c r="J887" s="132">
        <v>0.9</v>
      </c>
      <c r="K887" s="133" t="s">
        <v>35</v>
      </c>
      <c r="L887" s="133" t="s">
        <v>35</v>
      </c>
      <c r="M887" s="134" t="s">
        <v>35</v>
      </c>
      <c r="N887" s="133" t="s">
        <v>35</v>
      </c>
      <c r="O887" s="135">
        <v>0.9</v>
      </c>
      <c r="P887" s="133" t="s">
        <v>35</v>
      </c>
      <c r="Q887" s="133" t="s">
        <v>35</v>
      </c>
      <c r="R887" s="133" t="s">
        <v>35</v>
      </c>
      <c r="S887" s="133">
        <v>0</v>
      </c>
      <c r="T887" s="135">
        <v>0.9</v>
      </c>
      <c r="U887" s="133" t="s">
        <v>35</v>
      </c>
      <c r="V887" s="133" t="s">
        <v>35</v>
      </c>
      <c r="W887" s="133" t="s">
        <v>35</v>
      </c>
      <c r="X887" s="133">
        <v>1</v>
      </c>
      <c r="Y887" s="135">
        <v>0.92</v>
      </c>
      <c r="Z887" s="135" t="s">
        <v>35</v>
      </c>
      <c r="AA887" s="135" t="s">
        <v>35</v>
      </c>
      <c r="AB887" s="135" t="s">
        <v>35</v>
      </c>
      <c r="AC887" s="135">
        <v>1</v>
      </c>
      <c r="AD887" s="135">
        <v>0.92</v>
      </c>
      <c r="AE887" s="133">
        <v>1</v>
      </c>
      <c r="AF887" s="133">
        <v>1</v>
      </c>
      <c r="AG887" s="133">
        <v>1</v>
      </c>
      <c r="AH887" s="133">
        <v>0.998845709888419</v>
      </c>
      <c r="AI887" s="135">
        <v>0.92</v>
      </c>
      <c r="AJ887" s="133" t="s">
        <v>35</v>
      </c>
      <c r="AK887" s="133" t="s">
        <v>35</v>
      </c>
      <c r="AL887" s="133" t="s">
        <v>35</v>
      </c>
      <c r="AM887" s="133">
        <v>1</v>
      </c>
      <c r="AN887" s="132">
        <v>0.99</v>
      </c>
      <c r="AO887" s="137">
        <v>1</v>
      </c>
      <c r="AP887" s="137" t="s">
        <v>35</v>
      </c>
      <c r="AQ887" s="137" t="s">
        <v>35</v>
      </c>
      <c r="AR887" s="137">
        <v>1</v>
      </c>
      <c r="AS887" s="158">
        <v>0.0810595228934205</v>
      </c>
      <c r="AT887" s="141" t="s">
        <v>35</v>
      </c>
      <c r="AU887" s="141" t="s">
        <v>35</v>
      </c>
      <c r="AV887" s="141" t="s">
        <v>35</v>
      </c>
      <c r="AW887" s="141" t="s">
        <v>35</v>
      </c>
      <c r="AX887" s="95"/>
      <c r="AY887" s="93"/>
    </row>
    <row r="888" ht="14.5" spans="1:51">
      <c r="A888" s="91"/>
      <c r="B888" s="95"/>
      <c r="C888" s="152" t="s">
        <v>668</v>
      </c>
      <c r="D888" s="153" t="s">
        <v>25</v>
      </c>
      <c r="E888" s="130" t="s">
        <v>669</v>
      </c>
      <c r="F888" s="179" t="s">
        <v>915</v>
      </c>
      <c r="G888" s="179" t="s">
        <v>915</v>
      </c>
      <c r="H888" s="179" t="s">
        <v>915</v>
      </c>
      <c r="I888" s="179" t="s">
        <v>915</v>
      </c>
      <c r="J888" s="132">
        <v>0.9</v>
      </c>
      <c r="K888" s="133" t="s">
        <v>35</v>
      </c>
      <c r="L888" s="133" t="s">
        <v>35</v>
      </c>
      <c r="M888" s="134" t="s">
        <v>35</v>
      </c>
      <c r="N888" s="133" t="s">
        <v>35</v>
      </c>
      <c r="O888" s="135">
        <v>0.9</v>
      </c>
      <c r="P888" s="133" t="s">
        <v>35</v>
      </c>
      <c r="Q888" s="133" t="s">
        <v>35</v>
      </c>
      <c r="R888" s="133" t="s">
        <v>35</v>
      </c>
      <c r="S888" s="133">
        <v>1</v>
      </c>
      <c r="T888" s="135">
        <v>0.9</v>
      </c>
      <c r="U888" s="133" t="s">
        <v>35</v>
      </c>
      <c r="V888" s="133" t="s">
        <v>35</v>
      </c>
      <c r="W888" s="133" t="s">
        <v>35</v>
      </c>
      <c r="X888" s="133">
        <v>1</v>
      </c>
      <c r="Y888" s="135">
        <v>0.92</v>
      </c>
      <c r="Z888" s="135" t="s">
        <v>35</v>
      </c>
      <c r="AA888" s="135" t="s">
        <v>35</v>
      </c>
      <c r="AB888" s="135" t="s">
        <v>35</v>
      </c>
      <c r="AC888" s="135" t="s">
        <v>35</v>
      </c>
      <c r="AD888" s="135">
        <v>0.92</v>
      </c>
      <c r="AE888" s="133">
        <v>0.998583569405099</v>
      </c>
      <c r="AF888" s="133">
        <v>0.998802395209581</v>
      </c>
      <c r="AG888" s="133" t="s">
        <v>35</v>
      </c>
      <c r="AH888" s="133">
        <v>0.998203377650018</v>
      </c>
      <c r="AI888" s="135">
        <v>0.92</v>
      </c>
      <c r="AJ888" s="133" t="s">
        <v>35</v>
      </c>
      <c r="AK888" s="133" t="s">
        <v>35</v>
      </c>
      <c r="AL888" s="133" t="s">
        <v>35</v>
      </c>
      <c r="AM888" s="133">
        <v>1</v>
      </c>
      <c r="AN888" s="132">
        <v>0.99</v>
      </c>
      <c r="AO888" s="137" t="s">
        <v>35</v>
      </c>
      <c r="AP888" s="137">
        <v>1</v>
      </c>
      <c r="AQ888" s="137" t="s">
        <v>35</v>
      </c>
      <c r="AR888" s="137">
        <v>1</v>
      </c>
      <c r="AS888" s="158">
        <v>0.0810595228934205</v>
      </c>
      <c r="AT888" s="141" t="s">
        <v>35</v>
      </c>
      <c r="AU888" s="141" t="s">
        <v>35</v>
      </c>
      <c r="AV888" s="141" t="s">
        <v>35</v>
      </c>
      <c r="AW888" s="141" t="s">
        <v>35</v>
      </c>
      <c r="AX888" s="95"/>
      <c r="AY888" s="93"/>
    </row>
    <row r="889" ht="14.5" spans="1:51">
      <c r="A889" s="91"/>
      <c r="B889" s="95"/>
      <c r="C889" s="152" t="s">
        <v>668</v>
      </c>
      <c r="D889" s="153" t="s">
        <v>25</v>
      </c>
      <c r="E889" s="130" t="s">
        <v>669</v>
      </c>
      <c r="F889" s="179" t="s">
        <v>916</v>
      </c>
      <c r="G889" s="179" t="s">
        <v>916</v>
      </c>
      <c r="H889" s="179" t="s">
        <v>916</v>
      </c>
      <c r="I889" s="179" t="s">
        <v>916</v>
      </c>
      <c r="J889" s="132">
        <v>0.9</v>
      </c>
      <c r="K889" s="133" t="s">
        <v>35</v>
      </c>
      <c r="L889" s="133" t="s">
        <v>35</v>
      </c>
      <c r="M889" s="134" t="s">
        <v>35</v>
      </c>
      <c r="N889" s="133" t="s">
        <v>35</v>
      </c>
      <c r="O889" s="135">
        <v>0.9</v>
      </c>
      <c r="P889" s="133">
        <v>0</v>
      </c>
      <c r="Q889" s="133">
        <v>0</v>
      </c>
      <c r="R889" s="133">
        <v>0</v>
      </c>
      <c r="S889" s="133">
        <v>0</v>
      </c>
      <c r="T889" s="135">
        <v>0.9</v>
      </c>
      <c r="U889" s="133">
        <v>0.96875</v>
      </c>
      <c r="V889" s="133">
        <v>0.976190476190476</v>
      </c>
      <c r="W889" s="133">
        <v>0.973684210526316</v>
      </c>
      <c r="X889" s="133">
        <v>0.980935875216638</v>
      </c>
      <c r="Y889" s="135">
        <v>0.92</v>
      </c>
      <c r="Z889" s="135" t="s">
        <v>35</v>
      </c>
      <c r="AA889" s="135">
        <v>1</v>
      </c>
      <c r="AB889" s="135">
        <v>1</v>
      </c>
      <c r="AC889" s="135">
        <v>0.866666666666667</v>
      </c>
      <c r="AD889" s="135">
        <v>0.92</v>
      </c>
      <c r="AE889" s="133">
        <v>1</v>
      </c>
      <c r="AF889" s="133">
        <v>0.999393019726859</v>
      </c>
      <c r="AG889" s="133">
        <v>0.997859818084537</v>
      </c>
      <c r="AH889" s="133">
        <v>0.987370950446537</v>
      </c>
      <c r="AI889" s="135">
        <v>0.92</v>
      </c>
      <c r="AJ889" s="133">
        <v>0.98</v>
      </c>
      <c r="AK889" s="133">
        <v>0.984126984126984</v>
      </c>
      <c r="AL889" s="133">
        <v>0.980392156862745</v>
      </c>
      <c r="AM889" s="133">
        <v>0.988179669030733</v>
      </c>
      <c r="AN889" s="132">
        <v>0.99</v>
      </c>
      <c r="AO889" s="137">
        <v>1</v>
      </c>
      <c r="AP889" s="137" t="s">
        <v>35</v>
      </c>
      <c r="AQ889" s="137">
        <v>1</v>
      </c>
      <c r="AR889" s="137">
        <v>1</v>
      </c>
      <c r="AS889" s="158">
        <v>0.0810595228934205</v>
      </c>
      <c r="AT889" s="141" t="s">
        <v>35</v>
      </c>
      <c r="AU889" s="141" t="s">
        <v>35</v>
      </c>
      <c r="AV889" s="141" t="s">
        <v>35</v>
      </c>
      <c r="AW889" s="141" t="s">
        <v>35</v>
      </c>
      <c r="AX889" s="95"/>
      <c r="AY889" s="93"/>
    </row>
    <row r="890" ht="14.5" spans="1:51">
      <c r="A890" s="91"/>
      <c r="B890" s="95"/>
      <c r="C890" s="152" t="s">
        <v>668</v>
      </c>
      <c r="D890" s="153" t="s">
        <v>25</v>
      </c>
      <c r="E890" s="130" t="s">
        <v>669</v>
      </c>
      <c r="F890" s="179" t="s">
        <v>917</v>
      </c>
      <c r="G890" s="179" t="s">
        <v>917</v>
      </c>
      <c r="H890" s="179" t="s">
        <v>917</v>
      </c>
      <c r="I890" s="179" t="s">
        <v>917</v>
      </c>
      <c r="J890" s="132">
        <v>0.9</v>
      </c>
      <c r="K890" s="133" t="s">
        <v>35</v>
      </c>
      <c r="L890" s="133" t="s">
        <v>35</v>
      </c>
      <c r="M890" s="134" t="s">
        <v>35</v>
      </c>
      <c r="N890" s="133" t="s">
        <v>35</v>
      </c>
      <c r="O890" s="135">
        <v>0.9</v>
      </c>
      <c r="P890" s="133" t="s">
        <v>35</v>
      </c>
      <c r="Q890" s="133" t="s">
        <v>35</v>
      </c>
      <c r="R890" s="133" t="s">
        <v>35</v>
      </c>
      <c r="S890" s="133" t="s">
        <v>35</v>
      </c>
      <c r="T890" s="135">
        <v>0.9</v>
      </c>
      <c r="U890" s="133" t="s">
        <v>35</v>
      </c>
      <c r="V890" s="133" t="s">
        <v>35</v>
      </c>
      <c r="W890" s="133" t="s">
        <v>35</v>
      </c>
      <c r="X890" s="133" t="s">
        <v>35</v>
      </c>
      <c r="Y890" s="135">
        <v>0.92</v>
      </c>
      <c r="Z890" s="135" t="s">
        <v>35</v>
      </c>
      <c r="AA890" s="135" t="s">
        <v>35</v>
      </c>
      <c r="AB890" s="135" t="s">
        <v>35</v>
      </c>
      <c r="AC890" s="135" t="s">
        <v>35</v>
      </c>
      <c r="AD890" s="135">
        <v>0.92</v>
      </c>
      <c r="AE890" s="133" t="s">
        <v>35</v>
      </c>
      <c r="AF890" s="133" t="s">
        <v>35</v>
      </c>
      <c r="AG890" s="133" t="s">
        <v>35</v>
      </c>
      <c r="AH890" s="133" t="s">
        <v>35</v>
      </c>
      <c r="AI890" s="135">
        <v>0.92</v>
      </c>
      <c r="AJ890" s="133" t="s">
        <v>35</v>
      </c>
      <c r="AK890" s="133" t="s">
        <v>35</v>
      </c>
      <c r="AL890" s="133" t="s">
        <v>35</v>
      </c>
      <c r="AM890" s="133" t="s">
        <v>35</v>
      </c>
      <c r="AN890" s="132">
        <v>0.99</v>
      </c>
      <c r="AO890" s="137" t="s">
        <v>35</v>
      </c>
      <c r="AP890" s="137" t="s">
        <v>35</v>
      </c>
      <c r="AQ890" s="137" t="s">
        <v>35</v>
      </c>
      <c r="AR890" s="137" t="s">
        <v>35</v>
      </c>
      <c r="AS890" s="158">
        <v>0.0810595228934205</v>
      </c>
      <c r="AT890" s="141" t="s">
        <v>35</v>
      </c>
      <c r="AU890" s="141" t="s">
        <v>35</v>
      </c>
      <c r="AV890" s="141" t="s">
        <v>35</v>
      </c>
      <c r="AW890" s="141" t="s">
        <v>35</v>
      </c>
      <c r="AX890" s="95"/>
      <c r="AY890" s="93"/>
    </row>
    <row r="891" ht="14.5" spans="1:51">
      <c r="A891" s="91"/>
      <c r="B891" s="95"/>
      <c r="C891" s="152" t="s">
        <v>668</v>
      </c>
      <c r="D891" s="153" t="s">
        <v>25</v>
      </c>
      <c r="E891" s="130" t="s">
        <v>669</v>
      </c>
      <c r="F891" s="179" t="s">
        <v>918</v>
      </c>
      <c r="G891" s="179" t="s">
        <v>918</v>
      </c>
      <c r="H891" s="179" t="s">
        <v>918</v>
      </c>
      <c r="I891" s="179" t="s">
        <v>918</v>
      </c>
      <c r="J891" s="132">
        <v>0.9</v>
      </c>
      <c r="K891" s="133" t="s">
        <v>35</v>
      </c>
      <c r="L891" s="133" t="s">
        <v>35</v>
      </c>
      <c r="M891" s="134" t="s">
        <v>35</v>
      </c>
      <c r="N891" s="133" t="s">
        <v>35</v>
      </c>
      <c r="O891" s="135">
        <v>0.9</v>
      </c>
      <c r="P891" s="133">
        <v>0</v>
      </c>
      <c r="Q891" s="133">
        <v>0</v>
      </c>
      <c r="R891" s="133">
        <v>0</v>
      </c>
      <c r="S891" s="133">
        <v>0</v>
      </c>
      <c r="T891" s="135">
        <v>0.9</v>
      </c>
      <c r="U891" s="133">
        <v>1</v>
      </c>
      <c r="V891" s="133">
        <v>1</v>
      </c>
      <c r="W891" s="133">
        <v>1</v>
      </c>
      <c r="X891" s="133">
        <v>0.983606557377049</v>
      </c>
      <c r="Y891" s="135">
        <v>0.92</v>
      </c>
      <c r="Z891" s="135">
        <v>1</v>
      </c>
      <c r="AA891" s="135">
        <v>1</v>
      </c>
      <c r="AB891" s="135">
        <v>1</v>
      </c>
      <c r="AC891" s="135">
        <v>0.914285714285714</v>
      </c>
      <c r="AD891" s="135">
        <v>0.92</v>
      </c>
      <c r="AE891" s="133">
        <v>1</v>
      </c>
      <c r="AF891" s="133">
        <v>1</v>
      </c>
      <c r="AG891" s="133" t="s">
        <v>35</v>
      </c>
      <c r="AH891" s="133">
        <v>0.99899416616375</v>
      </c>
      <c r="AI891" s="135">
        <v>0.92</v>
      </c>
      <c r="AJ891" s="133">
        <v>1</v>
      </c>
      <c r="AK891" s="133">
        <v>1</v>
      </c>
      <c r="AL891" s="133">
        <v>1</v>
      </c>
      <c r="AM891" s="133">
        <v>0.958333333333333</v>
      </c>
      <c r="AN891" s="132">
        <v>0.99</v>
      </c>
      <c r="AO891" s="137">
        <v>1</v>
      </c>
      <c r="AP891" s="137" t="s">
        <v>35</v>
      </c>
      <c r="AQ891" s="137" t="s">
        <v>35</v>
      </c>
      <c r="AR891" s="137">
        <v>1</v>
      </c>
      <c r="AS891" s="158">
        <v>0.0810595228934205</v>
      </c>
      <c r="AT891" s="141" t="s">
        <v>35</v>
      </c>
      <c r="AU891" s="141" t="s">
        <v>35</v>
      </c>
      <c r="AV891" s="141" t="s">
        <v>35</v>
      </c>
      <c r="AW891" s="141" t="s">
        <v>35</v>
      </c>
      <c r="AX891" s="95"/>
      <c r="AY891" s="93"/>
    </row>
    <row r="892" ht="14.5" spans="1:51">
      <c r="A892" s="91"/>
      <c r="B892" s="95"/>
      <c r="C892" s="152" t="s">
        <v>668</v>
      </c>
      <c r="D892" s="153" t="s">
        <v>25</v>
      </c>
      <c r="E892" s="130" t="s">
        <v>669</v>
      </c>
      <c r="F892" s="179" t="s">
        <v>919</v>
      </c>
      <c r="G892" s="179" t="s">
        <v>919</v>
      </c>
      <c r="H892" s="179" t="s">
        <v>919</v>
      </c>
      <c r="I892" s="179" t="s">
        <v>919</v>
      </c>
      <c r="J892" s="132">
        <v>0.9</v>
      </c>
      <c r="K892" s="133" t="s">
        <v>35</v>
      </c>
      <c r="L892" s="133" t="s">
        <v>35</v>
      </c>
      <c r="M892" s="134" t="s">
        <v>35</v>
      </c>
      <c r="N892" s="133" t="s">
        <v>35</v>
      </c>
      <c r="O892" s="135">
        <v>0.9</v>
      </c>
      <c r="P892" s="133" t="s">
        <v>35</v>
      </c>
      <c r="Q892" s="133" t="s">
        <v>35</v>
      </c>
      <c r="R892" s="133" t="s">
        <v>35</v>
      </c>
      <c r="S892" s="133">
        <v>0</v>
      </c>
      <c r="T892" s="135">
        <v>0.9</v>
      </c>
      <c r="U892" s="133" t="s">
        <v>35</v>
      </c>
      <c r="V892" s="133" t="s">
        <v>35</v>
      </c>
      <c r="W892" s="133" t="s">
        <v>35</v>
      </c>
      <c r="X892" s="133">
        <v>1</v>
      </c>
      <c r="Y892" s="135">
        <v>0.92</v>
      </c>
      <c r="Z892" s="135" t="s">
        <v>35</v>
      </c>
      <c r="AA892" s="135" t="s">
        <v>35</v>
      </c>
      <c r="AB892" s="135" t="s">
        <v>35</v>
      </c>
      <c r="AC892" s="135" t="s">
        <v>35</v>
      </c>
      <c r="AD892" s="135">
        <v>0.92</v>
      </c>
      <c r="AE892" s="133">
        <v>0.996</v>
      </c>
      <c r="AF892" s="133">
        <v>0.98936170212766</v>
      </c>
      <c r="AG892" s="133" t="s">
        <v>35</v>
      </c>
      <c r="AH892" s="133">
        <v>0.998814604077762</v>
      </c>
      <c r="AI892" s="135">
        <v>0.92</v>
      </c>
      <c r="AJ892" s="133" t="s">
        <v>35</v>
      </c>
      <c r="AK892" s="133" t="s">
        <v>35</v>
      </c>
      <c r="AL892" s="133" t="s">
        <v>35</v>
      </c>
      <c r="AM892" s="133">
        <v>1</v>
      </c>
      <c r="AN892" s="132">
        <v>0.99</v>
      </c>
      <c r="AO892" s="137" t="s">
        <v>35</v>
      </c>
      <c r="AP892" s="137" t="s">
        <v>35</v>
      </c>
      <c r="AQ892" s="137" t="s">
        <v>35</v>
      </c>
      <c r="AR892" s="137">
        <v>1</v>
      </c>
      <c r="AS892" s="158">
        <v>0.0810595228934205</v>
      </c>
      <c r="AT892" s="141" t="s">
        <v>35</v>
      </c>
      <c r="AU892" s="141" t="s">
        <v>35</v>
      </c>
      <c r="AV892" s="141" t="s">
        <v>35</v>
      </c>
      <c r="AW892" s="141" t="s">
        <v>35</v>
      </c>
      <c r="AX892" s="95"/>
      <c r="AY892" s="93"/>
    </row>
    <row r="893" ht="14.5" spans="1:51">
      <c r="A893" s="91"/>
      <c r="B893" s="95"/>
      <c r="C893" s="152" t="s">
        <v>668</v>
      </c>
      <c r="D893" s="153" t="s">
        <v>25</v>
      </c>
      <c r="E893" s="130" t="s">
        <v>669</v>
      </c>
      <c r="F893" s="179" t="s">
        <v>920</v>
      </c>
      <c r="G893" s="179" t="s">
        <v>920</v>
      </c>
      <c r="H893" s="179" t="s">
        <v>920</v>
      </c>
      <c r="I893" s="179" t="s">
        <v>920</v>
      </c>
      <c r="J893" s="132">
        <v>0.9</v>
      </c>
      <c r="K893" s="133" t="s">
        <v>35</v>
      </c>
      <c r="L893" s="133" t="s">
        <v>35</v>
      </c>
      <c r="M893" s="134" t="s">
        <v>35</v>
      </c>
      <c r="N893" s="133" t="s">
        <v>35</v>
      </c>
      <c r="O893" s="135">
        <v>0.9</v>
      </c>
      <c r="P893" s="133" t="s">
        <v>35</v>
      </c>
      <c r="Q893" s="133" t="s">
        <v>35</v>
      </c>
      <c r="R893" s="133" t="s">
        <v>35</v>
      </c>
      <c r="S893" s="133" t="s">
        <v>35</v>
      </c>
      <c r="T893" s="135">
        <v>0.9</v>
      </c>
      <c r="U893" s="133" t="s">
        <v>35</v>
      </c>
      <c r="V893" s="133" t="s">
        <v>35</v>
      </c>
      <c r="W893" s="133" t="s">
        <v>35</v>
      </c>
      <c r="X893" s="133" t="s">
        <v>35</v>
      </c>
      <c r="Y893" s="135">
        <v>0.92</v>
      </c>
      <c r="Z893" s="135" t="s">
        <v>35</v>
      </c>
      <c r="AA893" s="135" t="s">
        <v>35</v>
      </c>
      <c r="AB893" s="135" t="s">
        <v>35</v>
      </c>
      <c r="AC893" s="135" t="s">
        <v>35</v>
      </c>
      <c r="AD893" s="135">
        <v>0.92</v>
      </c>
      <c r="AE893" s="133">
        <v>1</v>
      </c>
      <c r="AF893" s="133">
        <v>1</v>
      </c>
      <c r="AG893" s="133" t="s">
        <v>35</v>
      </c>
      <c r="AH893" s="133">
        <v>0.998836242726517</v>
      </c>
      <c r="AI893" s="135">
        <v>0.92</v>
      </c>
      <c r="AJ893" s="133" t="s">
        <v>35</v>
      </c>
      <c r="AK893" s="133" t="s">
        <v>35</v>
      </c>
      <c r="AL893" s="133" t="s">
        <v>35</v>
      </c>
      <c r="AM893" s="133" t="s">
        <v>35</v>
      </c>
      <c r="AN893" s="132">
        <v>0.99</v>
      </c>
      <c r="AO893" s="137">
        <v>1</v>
      </c>
      <c r="AP893" s="137" t="s">
        <v>35</v>
      </c>
      <c r="AQ893" s="137">
        <v>1</v>
      </c>
      <c r="AR893" s="137">
        <v>1</v>
      </c>
      <c r="AS893" s="158">
        <v>0.0810595228934205</v>
      </c>
      <c r="AT893" s="141" t="s">
        <v>35</v>
      </c>
      <c r="AU893" s="141" t="s">
        <v>35</v>
      </c>
      <c r="AV893" s="141" t="s">
        <v>35</v>
      </c>
      <c r="AW893" s="141" t="s">
        <v>35</v>
      </c>
      <c r="AX893" s="95"/>
      <c r="AY893" s="93"/>
    </row>
    <row r="894" ht="14.5" spans="1:51">
      <c r="A894" s="91"/>
      <c r="B894" s="95"/>
      <c r="C894" s="152" t="s">
        <v>668</v>
      </c>
      <c r="D894" s="153" t="s">
        <v>25</v>
      </c>
      <c r="E894" s="130" t="s">
        <v>669</v>
      </c>
      <c r="F894" s="179" t="s">
        <v>921</v>
      </c>
      <c r="G894" s="179" t="s">
        <v>921</v>
      </c>
      <c r="H894" s="179" t="s">
        <v>921</v>
      </c>
      <c r="I894" s="179" t="s">
        <v>921</v>
      </c>
      <c r="J894" s="132">
        <v>0.9</v>
      </c>
      <c r="K894" s="133" t="s">
        <v>35</v>
      </c>
      <c r="L894" s="133" t="s">
        <v>35</v>
      </c>
      <c r="M894" s="134" t="s">
        <v>35</v>
      </c>
      <c r="N894" s="133" t="s">
        <v>35</v>
      </c>
      <c r="O894" s="135">
        <v>0.9</v>
      </c>
      <c r="P894" s="133">
        <v>0</v>
      </c>
      <c r="Q894" s="133">
        <v>0</v>
      </c>
      <c r="R894" s="133">
        <v>0</v>
      </c>
      <c r="S894" s="133">
        <v>0</v>
      </c>
      <c r="T894" s="135">
        <v>0.9</v>
      </c>
      <c r="U894" s="133">
        <v>1</v>
      </c>
      <c r="V894" s="133">
        <v>1</v>
      </c>
      <c r="W894" s="133">
        <v>1</v>
      </c>
      <c r="X894" s="133">
        <v>1</v>
      </c>
      <c r="Y894" s="135">
        <v>0.92</v>
      </c>
      <c r="Z894" s="135">
        <v>1</v>
      </c>
      <c r="AA894" s="135">
        <v>1</v>
      </c>
      <c r="AB894" s="135">
        <v>1</v>
      </c>
      <c r="AC894" s="135">
        <v>1</v>
      </c>
      <c r="AD894" s="135">
        <v>0.92</v>
      </c>
      <c r="AE894" s="133">
        <v>1</v>
      </c>
      <c r="AF894" s="133">
        <v>1</v>
      </c>
      <c r="AG894" s="133" t="s">
        <v>35</v>
      </c>
      <c r="AH894" s="133">
        <v>1</v>
      </c>
      <c r="AI894" s="135">
        <v>0.92</v>
      </c>
      <c r="AJ894" s="133">
        <v>1</v>
      </c>
      <c r="AK894" s="133">
        <v>1</v>
      </c>
      <c r="AL894" s="133">
        <v>1</v>
      </c>
      <c r="AM894" s="133">
        <v>1</v>
      </c>
      <c r="AN894" s="132">
        <v>0.99</v>
      </c>
      <c r="AO894" s="137">
        <v>1</v>
      </c>
      <c r="AP894" s="137" t="s">
        <v>35</v>
      </c>
      <c r="AQ894" s="137" t="s">
        <v>35</v>
      </c>
      <c r="AR894" s="137">
        <v>1</v>
      </c>
      <c r="AS894" s="158">
        <v>0.0810595228934205</v>
      </c>
      <c r="AT894" s="141" t="s">
        <v>35</v>
      </c>
      <c r="AU894" s="141" t="s">
        <v>35</v>
      </c>
      <c r="AV894" s="141" t="s">
        <v>35</v>
      </c>
      <c r="AW894" s="141" t="s">
        <v>35</v>
      </c>
      <c r="AX894" s="95"/>
      <c r="AY894" s="93"/>
    </row>
    <row r="895" ht="14.5" spans="1:51">
      <c r="A895" s="91"/>
      <c r="B895" s="95"/>
      <c r="C895" s="152" t="s">
        <v>668</v>
      </c>
      <c r="D895" s="153" t="s">
        <v>922</v>
      </c>
      <c r="E895" s="130" t="s">
        <v>669</v>
      </c>
      <c r="F895" s="179" t="s">
        <v>923</v>
      </c>
      <c r="G895" s="179" t="s">
        <v>923</v>
      </c>
      <c r="H895" s="179" t="s">
        <v>923</v>
      </c>
      <c r="I895" s="179" t="s">
        <v>923</v>
      </c>
      <c r="J895" s="132">
        <v>0.9</v>
      </c>
      <c r="K895" s="133" t="s">
        <v>35</v>
      </c>
      <c r="L895" s="133" t="s">
        <v>35</v>
      </c>
      <c r="M895" s="134" t="s">
        <v>35</v>
      </c>
      <c r="N895" s="133" t="s">
        <v>35</v>
      </c>
      <c r="O895" s="135">
        <v>0.9</v>
      </c>
      <c r="P895" s="133" t="s">
        <v>35</v>
      </c>
      <c r="Q895" s="133" t="s">
        <v>35</v>
      </c>
      <c r="R895" s="133" t="s">
        <v>35</v>
      </c>
      <c r="S895" s="133" t="s">
        <v>35</v>
      </c>
      <c r="T895" s="135">
        <v>0.9</v>
      </c>
      <c r="U895" s="133" t="s">
        <v>35</v>
      </c>
      <c r="V895" s="133" t="s">
        <v>35</v>
      </c>
      <c r="W895" s="133" t="s">
        <v>35</v>
      </c>
      <c r="X895" s="133" t="s">
        <v>35</v>
      </c>
      <c r="Y895" s="135">
        <v>0.92</v>
      </c>
      <c r="Z895" s="135" t="s">
        <v>35</v>
      </c>
      <c r="AA895" s="135" t="s">
        <v>35</v>
      </c>
      <c r="AB895" s="135" t="s">
        <v>35</v>
      </c>
      <c r="AC895" s="135" t="s">
        <v>35</v>
      </c>
      <c r="AD895" s="135">
        <v>0.92</v>
      </c>
      <c r="AE895" s="133" t="s">
        <v>35</v>
      </c>
      <c r="AF895" s="133" t="s">
        <v>35</v>
      </c>
      <c r="AG895" s="133" t="s">
        <v>35</v>
      </c>
      <c r="AH895" s="133" t="s">
        <v>35</v>
      </c>
      <c r="AI895" s="135">
        <v>0.92</v>
      </c>
      <c r="AJ895" s="133" t="s">
        <v>35</v>
      </c>
      <c r="AK895" s="133" t="s">
        <v>35</v>
      </c>
      <c r="AL895" s="133" t="s">
        <v>35</v>
      </c>
      <c r="AM895" s="133" t="s">
        <v>35</v>
      </c>
      <c r="AN895" s="132">
        <v>0.99</v>
      </c>
      <c r="AO895" s="137" t="s">
        <v>35</v>
      </c>
      <c r="AP895" s="137" t="s">
        <v>35</v>
      </c>
      <c r="AQ895" s="137" t="s">
        <v>35</v>
      </c>
      <c r="AR895" s="137" t="s">
        <v>35</v>
      </c>
      <c r="AS895" s="158">
        <v>0.0810595228934205</v>
      </c>
      <c r="AT895" s="141" t="s">
        <v>35</v>
      </c>
      <c r="AU895" s="141" t="s">
        <v>35</v>
      </c>
      <c r="AV895" s="141" t="s">
        <v>35</v>
      </c>
      <c r="AW895" s="141" t="s">
        <v>35</v>
      </c>
      <c r="AX895" s="95"/>
      <c r="AY895" s="93"/>
    </row>
    <row r="896" ht="14.5" spans="1:51">
      <c r="A896" s="91"/>
      <c r="B896" s="95"/>
      <c r="C896" s="152" t="s">
        <v>668</v>
      </c>
      <c r="D896" s="153" t="s">
        <v>922</v>
      </c>
      <c r="E896" s="130" t="s">
        <v>669</v>
      </c>
      <c r="F896" s="179" t="s">
        <v>924</v>
      </c>
      <c r="G896" s="179" t="s">
        <v>924</v>
      </c>
      <c r="H896" s="179" t="s">
        <v>924</v>
      </c>
      <c r="I896" s="179" t="s">
        <v>924</v>
      </c>
      <c r="J896" s="132">
        <v>0.9</v>
      </c>
      <c r="K896" s="133" t="s">
        <v>35</v>
      </c>
      <c r="L896" s="133" t="s">
        <v>35</v>
      </c>
      <c r="M896" s="134" t="s">
        <v>35</v>
      </c>
      <c r="N896" s="133" t="s">
        <v>35</v>
      </c>
      <c r="O896" s="135">
        <v>0.9</v>
      </c>
      <c r="P896" s="133" t="s">
        <v>35</v>
      </c>
      <c r="Q896" s="133" t="s">
        <v>35</v>
      </c>
      <c r="R896" s="133" t="s">
        <v>35</v>
      </c>
      <c r="S896" s="133" t="s">
        <v>35</v>
      </c>
      <c r="T896" s="135">
        <v>0.9</v>
      </c>
      <c r="U896" s="133" t="s">
        <v>35</v>
      </c>
      <c r="V896" s="133" t="s">
        <v>35</v>
      </c>
      <c r="W896" s="133" t="s">
        <v>35</v>
      </c>
      <c r="X896" s="133" t="s">
        <v>35</v>
      </c>
      <c r="Y896" s="135">
        <v>0.92</v>
      </c>
      <c r="Z896" s="135" t="s">
        <v>35</v>
      </c>
      <c r="AA896" s="135" t="s">
        <v>35</v>
      </c>
      <c r="AB896" s="135" t="s">
        <v>35</v>
      </c>
      <c r="AC896" s="135" t="s">
        <v>35</v>
      </c>
      <c r="AD896" s="135">
        <v>0.92</v>
      </c>
      <c r="AE896" s="133" t="s">
        <v>35</v>
      </c>
      <c r="AF896" s="133" t="s">
        <v>35</v>
      </c>
      <c r="AG896" s="133" t="s">
        <v>35</v>
      </c>
      <c r="AH896" s="133" t="s">
        <v>35</v>
      </c>
      <c r="AI896" s="135">
        <v>0.92</v>
      </c>
      <c r="AJ896" s="133" t="s">
        <v>35</v>
      </c>
      <c r="AK896" s="133" t="s">
        <v>35</v>
      </c>
      <c r="AL896" s="133" t="s">
        <v>35</v>
      </c>
      <c r="AM896" s="133" t="s">
        <v>35</v>
      </c>
      <c r="AN896" s="132">
        <v>0.99</v>
      </c>
      <c r="AO896" s="137" t="s">
        <v>35</v>
      </c>
      <c r="AP896" s="137" t="s">
        <v>35</v>
      </c>
      <c r="AQ896" s="137" t="s">
        <v>35</v>
      </c>
      <c r="AR896" s="137" t="s">
        <v>35</v>
      </c>
      <c r="AS896" s="158">
        <v>0.0810595228934205</v>
      </c>
      <c r="AT896" s="141" t="s">
        <v>35</v>
      </c>
      <c r="AU896" s="141" t="s">
        <v>35</v>
      </c>
      <c r="AV896" s="141" t="s">
        <v>35</v>
      </c>
      <c r="AW896" s="141" t="s">
        <v>35</v>
      </c>
      <c r="AX896" s="95"/>
      <c r="AY896" s="93"/>
    </row>
    <row r="897" ht="14.5" spans="1:51">
      <c r="A897" s="91"/>
      <c r="B897" s="95"/>
      <c r="C897" s="152" t="s">
        <v>668</v>
      </c>
      <c r="D897" s="153" t="s">
        <v>922</v>
      </c>
      <c r="E897" s="130" t="s">
        <v>669</v>
      </c>
      <c r="F897" s="179" t="s">
        <v>925</v>
      </c>
      <c r="G897" s="179" t="s">
        <v>925</v>
      </c>
      <c r="H897" s="179" t="s">
        <v>925</v>
      </c>
      <c r="I897" s="179" t="s">
        <v>925</v>
      </c>
      <c r="J897" s="132">
        <v>0.9</v>
      </c>
      <c r="K897" s="133" t="s">
        <v>35</v>
      </c>
      <c r="L897" s="133" t="s">
        <v>35</v>
      </c>
      <c r="M897" s="134" t="s">
        <v>35</v>
      </c>
      <c r="N897" s="133" t="s">
        <v>35</v>
      </c>
      <c r="O897" s="135">
        <v>0.9</v>
      </c>
      <c r="P897" s="133" t="s">
        <v>35</v>
      </c>
      <c r="Q897" s="133" t="s">
        <v>35</v>
      </c>
      <c r="R897" s="133" t="s">
        <v>35</v>
      </c>
      <c r="S897" s="133" t="s">
        <v>35</v>
      </c>
      <c r="T897" s="135">
        <v>0.9</v>
      </c>
      <c r="U897" s="133" t="s">
        <v>35</v>
      </c>
      <c r="V897" s="133" t="s">
        <v>35</v>
      </c>
      <c r="W897" s="133" t="s">
        <v>35</v>
      </c>
      <c r="X897" s="133" t="s">
        <v>35</v>
      </c>
      <c r="Y897" s="135">
        <v>0.92</v>
      </c>
      <c r="Z897" s="135" t="s">
        <v>35</v>
      </c>
      <c r="AA897" s="135" t="s">
        <v>35</v>
      </c>
      <c r="AB897" s="135" t="s">
        <v>35</v>
      </c>
      <c r="AC897" s="135" t="s">
        <v>35</v>
      </c>
      <c r="AD897" s="135">
        <v>0.92</v>
      </c>
      <c r="AE897" s="133" t="s">
        <v>35</v>
      </c>
      <c r="AF897" s="133" t="s">
        <v>35</v>
      </c>
      <c r="AG897" s="133" t="s">
        <v>35</v>
      </c>
      <c r="AH897" s="133" t="s">
        <v>35</v>
      </c>
      <c r="AI897" s="135">
        <v>0.92</v>
      </c>
      <c r="AJ897" s="133" t="s">
        <v>35</v>
      </c>
      <c r="AK897" s="133" t="s">
        <v>35</v>
      </c>
      <c r="AL897" s="133" t="s">
        <v>35</v>
      </c>
      <c r="AM897" s="133" t="s">
        <v>35</v>
      </c>
      <c r="AN897" s="132">
        <v>0.99</v>
      </c>
      <c r="AO897" s="137" t="s">
        <v>35</v>
      </c>
      <c r="AP897" s="137" t="s">
        <v>35</v>
      </c>
      <c r="AQ897" s="137" t="s">
        <v>35</v>
      </c>
      <c r="AR897" s="137" t="s">
        <v>35</v>
      </c>
      <c r="AS897" s="158">
        <v>0.0810595228934205</v>
      </c>
      <c r="AT897" s="141" t="s">
        <v>35</v>
      </c>
      <c r="AU897" s="141" t="s">
        <v>35</v>
      </c>
      <c r="AV897" s="141" t="s">
        <v>35</v>
      </c>
      <c r="AW897" s="141" t="s">
        <v>35</v>
      </c>
      <c r="AX897" s="95"/>
      <c r="AY897" s="93"/>
    </row>
    <row r="898" ht="14.5" spans="1:51">
      <c r="A898" s="91"/>
      <c r="B898" s="95"/>
      <c r="C898" s="152" t="s">
        <v>668</v>
      </c>
      <c r="D898" s="153" t="s">
        <v>25</v>
      </c>
      <c r="E898" s="130" t="s">
        <v>669</v>
      </c>
      <c r="F898" s="179" t="s">
        <v>926</v>
      </c>
      <c r="G898" s="179" t="s">
        <v>926</v>
      </c>
      <c r="H898" s="179" t="s">
        <v>926</v>
      </c>
      <c r="I898" s="179" t="s">
        <v>926</v>
      </c>
      <c r="J898" s="132">
        <v>0.9</v>
      </c>
      <c r="K898" s="133" t="s">
        <v>35</v>
      </c>
      <c r="L898" s="133" t="s">
        <v>35</v>
      </c>
      <c r="M898" s="134" t="s">
        <v>35</v>
      </c>
      <c r="N898" s="133" t="s">
        <v>35</v>
      </c>
      <c r="O898" s="135">
        <v>0.9</v>
      </c>
      <c r="P898" s="133" t="s">
        <v>35</v>
      </c>
      <c r="Q898" s="133" t="s">
        <v>35</v>
      </c>
      <c r="R898" s="133" t="s">
        <v>35</v>
      </c>
      <c r="S898" s="133" t="s">
        <v>35</v>
      </c>
      <c r="T898" s="135">
        <v>0.9</v>
      </c>
      <c r="U898" s="133" t="s">
        <v>35</v>
      </c>
      <c r="V898" s="133" t="s">
        <v>35</v>
      </c>
      <c r="W898" s="133" t="s">
        <v>35</v>
      </c>
      <c r="X898" s="133" t="s">
        <v>35</v>
      </c>
      <c r="Y898" s="135">
        <v>0.92</v>
      </c>
      <c r="Z898" s="135" t="s">
        <v>35</v>
      </c>
      <c r="AA898" s="135" t="s">
        <v>35</v>
      </c>
      <c r="AB898" s="135" t="s">
        <v>35</v>
      </c>
      <c r="AC898" s="135" t="s">
        <v>35</v>
      </c>
      <c r="AD898" s="135">
        <v>0.92</v>
      </c>
      <c r="AE898" s="133">
        <v>1</v>
      </c>
      <c r="AF898" s="133">
        <v>1</v>
      </c>
      <c r="AG898" s="133">
        <v>1</v>
      </c>
      <c r="AH898" s="133">
        <v>1</v>
      </c>
      <c r="AI898" s="135">
        <v>0.92</v>
      </c>
      <c r="AJ898" s="133" t="s">
        <v>35</v>
      </c>
      <c r="AK898" s="133" t="s">
        <v>35</v>
      </c>
      <c r="AL898" s="133" t="s">
        <v>35</v>
      </c>
      <c r="AM898" s="133" t="s">
        <v>35</v>
      </c>
      <c r="AN898" s="132">
        <v>0.99</v>
      </c>
      <c r="AO898" s="137" t="s">
        <v>35</v>
      </c>
      <c r="AP898" s="137" t="s">
        <v>35</v>
      </c>
      <c r="AQ898" s="137">
        <v>1</v>
      </c>
      <c r="AR898" s="137">
        <v>1</v>
      </c>
      <c r="AS898" s="158">
        <v>0.0810595228934205</v>
      </c>
      <c r="AT898" s="141" t="s">
        <v>35</v>
      </c>
      <c r="AU898" s="141" t="s">
        <v>35</v>
      </c>
      <c r="AV898" s="141" t="s">
        <v>35</v>
      </c>
      <c r="AW898" s="141" t="s">
        <v>35</v>
      </c>
      <c r="AX898" s="95"/>
      <c r="AY898" s="93"/>
    </row>
    <row r="899" ht="14.5" spans="1:51">
      <c r="A899" s="91"/>
      <c r="B899" s="95"/>
      <c r="C899" s="155"/>
      <c r="D899" s="153"/>
      <c r="E899" s="156"/>
      <c r="F899" s="156"/>
      <c r="G899" s="156"/>
      <c r="H899" s="156"/>
      <c r="I899" s="156"/>
      <c r="J899" s="146"/>
      <c r="K899" s="147"/>
      <c r="L899" s="147"/>
      <c r="M899" s="134"/>
      <c r="N899" s="147"/>
      <c r="O899" s="150"/>
      <c r="P899" s="147"/>
      <c r="Q899" s="147"/>
      <c r="R899" s="133"/>
      <c r="S899" s="147"/>
      <c r="T899" s="150"/>
      <c r="U899" s="147"/>
      <c r="V899" s="147"/>
      <c r="W899" s="133"/>
      <c r="X899" s="147"/>
      <c r="Y899" s="150"/>
      <c r="Z899" s="150"/>
      <c r="AA899" s="150"/>
      <c r="AB899" s="135"/>
      <c r="AC899" s="150"/>
      <c r="AD899" s="147"/>
      <c r="AE899" s="147"/>
      <c r="AF899" s="147"/>
      <c r="AG899" s="133"/>
      <c r="AH899" s="147"/>
      <c r="AI899" s="147"/>
      <c r="AJ899" s="147"/>
      <c r="AK899" s="147"/>
      <c r="AL899" s="133"/>
      <c r="AM899" s="147"/>
      <c r="AN899" s="146"/>
      <c r="AO899" s="146"/>
      <c r="AP899" s="146"/>
      <c r="AQ899" s="137"/>
      <c r="AR899" s="146"/>
      <c r="AS899" s="147"/>
      <c r="AT899" s="146"/>
      <c r="AU899" s="146"/>
      <c r="AV899" s="141"/>
      <c r="AW899" s="146"/>
      <c r="AX899" s="95"/>
      <c r="AY899" s="93"/>
    </row>
    <row r="900" ht="14.5" spans="1:51">
      <c r="A900" s="91"/>
      <c r="B900" s="95"/>
      <c r="C900" s="180" t="s">
        <v>927</v>
      </c>
      <c r="D900" s="181" t="s">
        <v>25</v>
      </c>
      <c r="E900" s="130" t="s">
        <v>928</v>
      </c>
      <c r="F900" s="182" t="s">
        <v>929</v>
      </c>
      <c r="G900" s="183" t="s">
        <v>929</v>
      </c>
      <c r="H900" s="183" t="s">
        <v>929</v>
      </c>
      <c r="I900" s="183" t="s">
        <v>929</v>
      </c>
      <c r="J900" s="132">
        <v>0.9</v>
      </c>
      <c r="K900" s="133">
        <v>0.875</v>
      </c>
      <c r="L900" s="133">
        <v>0.866666666666667</v>
      </c>
      <c r="M900" s="134">
        <v>0.933333333333333</v>
      </c>
      <c r="N900" s="133">
        <v>0.891304347826087</v>
      </c>
      <c r="O900" s="135">
        <v>0.9</v>
      </c>
      <c r="P900" s="133">
        <v>0.845505617977528</v>
      </c>
      <c r="Q900" s="133">
        <v>0.883606557377049</v>
      </c>
      <c r="R900" s="133">
        <v>0.922935779816514</v>
      </c>
      <c r="S900" s="133">
        <v>0.900241558308064</v>
      </c>
      <c r="T900" s="135">
        <v>0.9</v>
      </c>
      <c r="U900" s="133">
        <v>0.870786516853933</v>
      </c>
      <c r="V900" s="133">
        <v>0.920491803278689</v>
      </c>
      <c r="W900" s="133">
        <v>0.900917431192661</v>
      </c>
      <c r="X900" s="133">
        <v>0.904918538315259</v>
      </c>
      <c r="Y900" s="135">
        <v>0.92</v>
      </c>
      <c r="Z900" s="135">
        <v>0.924778761061947</v>
      </c>
      <c r="AA900" s="135">
        <v>0.854545454545454</v>
      </c>
      <c r="AB900" s="135">
        <v>0.972111553784861</v>
      </c>
      <c r="AC900" s="135">
        <v>0.940004195510803</v>
      </c>
      <c r="AD900" s="135">
        <v>0.92</v>
      </c>
      <c r="AE900" s="133">
        <v>0.989184692179701</v>
      </c>
      <c r="AF900" s="133">
        <v>0.921824104234528</v>
      </c>
      <c r="AG900" s="133">
        <v>0.989549715690795</v>
      </c>
      <c r="AH900" s="133">
        <v>0.983597408373083</v>
      </c>
      <c r="AI900" s="135">
        <v>0.92</v>
      </c>
      <c r="AJ900" s="133">
        <v>0.920127795527157</v>
      </c>
      <c r="AK900" s="133">
        <v>0.948810382119683</v>
      </c>
      <c r="AL900" s="133">
        <v>0.959761549925484</v>
      </c>
      <c r="AM900" s="133">
        <v>0.962991996039277</v>
      </c>
      <c r="AN900" s="132">
        <v>0.99</v>
      </c>
      <c r="AO900" s="137">
        <v>1</v>
      </c>
      <c r="AP900" s="137">
        <v>1</v>
      </c>
      <c r="AQ900" s="137">
        <v>1</v>
      </c>
      <c r="AR900" s="137">
        <v>1</v>
      </c>
      <c r="AS900" s="158">
        <v>0.0656418488929858</v>
      </c>
      <c r="AT900" s="141">
        <v>0</v>
      </c>
      <c r="AU900" s="141">
        <v>0.0625</v>
      </c>
      <c r="AV900" s="141">
        <v>0.0555555555555556</v>
      </c>
      <c r="AW900" s="141">
        <v>0.0679245283018868</v>
      </c>
      <c r="AX900" s="95"/>
      <c r="AY900" s="93"/>
    </row>
    <row r="901" ht="14.5" spans="1:51">
      <c r="A901" s="91"/>
      <c r="B901" s="95"/>
      <c r="C901" s="180" t="s">
        <v>927</v>
      </c>
      <c r="D901" s="181" t="s">
        <v>25</v>
      </c>
      <c r="E901" s="130" t="s">
        <v>928</v>
      </c>
      <c r="F901" s="184" t="s">
        <v>930</v>
      </c>
      <c r="G901" s="185" t="s">
        <v>930</v>
      </c>
      <c r="H901" s="185" t="s">
        <v>930</v>
      </c>
      <c r="I901" s="185" t="s">
        <v>930</v>
      </c>
      <c r="J901" s="132">
        <v>0.9</v>
      </c>
      <c r="K901" s="133">
        <v>0.974358974358974</v>
      </c>
      <c r="L901" s="133">
        <v>0.928571428571429</v>
      </c>
      <c r="M901" s="134">
        <v>0.972972972972973</v>
      </c>
      <c r="N901" s="133">
        <v>0.902200488997555</v>
      </c>
      <c r="O901" s="135">
        <v>0.9</v>
      </c>
      <c r="P901" s="133">
        <v>0.749081364829396</v>
      </c>
      <c r="Q901" s="133">
        <v>0.8197261663286</v>
      </c>
      <c r="R901" s="133">
        <v>0.888851802403204</v>
      </c>
      <c r="S901" s="133">
        <v>0.870664728080636</v>
      </c>
      <c r="T901" s="135">
        <v>0.9</v>
      </c>
      <c r="U901" s="133">
        <v>0.846194225721785</v>
      </c>
      <c r="V901" s="133">
        <v>0.839756592292089</v>
      </c>
      <c r="W901" s="133">
        <v>0.876502002670227</v>
      </c>
      <c r="X901" s="133">
        <v>0.878081453286067</v>
      </c>
      <c r="Y901" s="135">
        <v>0.92</v>
      </c>
      <c r="Z901" s="135">
        <v>0.900641025641026</v>
      </c>
      <c r="AA901" s="135">
        <v>0.862068965517241</v>
      </c>
      <c r="AB901" s="135">
        <v>0.772468714448237</v>
      </c>
      <c r="AC901" s="135">
        <v>0.902678283317199</v>
      </c>
      <c r="AD901" s="135">
        <v>0.92</v>
      </c>
      <c r="AE901" s="133">
        <v>0.974770642201835</v>
      </c>
      <c r="AF901" s="133">
        <v>0.979466119096509</v>
      </c>
      <c r="AG901" s="133">
        <v>0.993460764587525</v>
      </c>
      <c r="AH901" s="133">
        <v>0.977259093635818</v>
      </c>
      <c r="AI901" s="135">
        <v>0.92</v>
      </c>
      <c r="AJ901" s="133">
        <v>0.905496243574535</v>
      </c>
      <c r="AK901" s="133">
        <v>0.899063713176524</v>
      </c>
      <c r="AL901" s="133">
        <v>0.878451612903226</v>
      </c>
      <c r="AM901" s="133">
        <v>0.93160666336453</v>
      </c>
      <c r="AN901" s="132">
        <v>0.99</v>
      </c>
      <c r="AO901" s="137">
        <v>1</v>
      </c>
      <c r="AP901" s="137">
        <v>1</v>
      </c>
      <c r="AQ901" s="137">
        <v>1</v>
      </c>
      <c r="AR901" s="137">
        <v>1</v>
      </c>
      <c r="AS901" s="158">
        <v>0.0656418488929858</v>
      </c>
      <c r="AT901" s="141">
        <v>0.0833333333333333</v>
      </c>
      <c r="AU901" s="141">
        <v>0</v>
      </c>
      <c r="AV901" s="141">
        <v>0.0571428571428571</v>
      </c>
      <c r="AW901" s="141">
        <v>0.0381773399014778</v>
      </c>
      <c r="AX901" s="95"/>
      <c r="AY901" s="93"/>
    </row>
    <row r="902" ht="14.5" spans="1:51">
      <c r="A902" s="91"/>
      <c r="B902" s="95"/>
      <c r="C902" s="180" t="s">
        <v>927</v>
      </c>
      <c r="D902" s="181" t="s">
        <v>25</v>
      </c>
      <c r="E902" s="130" t="s">
        <v>928</v>
      </c>
      <c r="F902" s="184" t="s">
        <v>931</v>
      </c>
      <c r="G902" s="185" t="s">
        <v>931</v>
      </c>
      <c r="H902" s="185" t="s">
        <v>931</v>
      </c>
      <c r="I902" s="185" t="s">
        <v>931</v>
      </c>
      <c r="J902" s="132">
        <v>0.9</v>
      </c>
      <c r="K902" s="133">
        <v>1</v>
      </c>
      <c r="L902" s="133">
        <v>0.96969696969697</v>
      </c>
      <c r="M902" s="134">
        <v>0.833333333333333</v>
      </c>
      <c r="N902" s="133">
        <v>0.967159277504105</v>
      </c>
      <c r="O902" s="135">
        <v>0.9</v>
      </c>
      <c r="P902" s="133">
        <v>0.944078947368421</v>
      </c>
      <c r="Q902" s="133">
        <v>0.57088</v>
      </c>
      <c r="R902" s="133">
        <v>0.670702179176755</v>
      </c>
      <c r="S902" s="133">
        <v>0.877589656433535</v>
      </c>
      <c r="T902" s="135">
        <v>0.9</v>
      </c>
      <c r="U902" s="133">
        <v>0.901315789473684</v>
      </c>
      <c r="V902" s="133">
        <v>0.84896</v>
      </c>
      <c r="W902" s="133">
        <v>0.884180790960452</v>
      </c>
      <c r="X902" s="133">
        <v>0.871974700428114</v>
      </c>
      <c r="Y902" s="135">
        <v>0.92</v>
      </c>
      <c r="Z902" s="135">
        <v>0.943243243243243</v>
      </c>
      <c r="AA902" s="135">
        <v>0.898916967509025</v>
      </c>
      <c r="AB902" s="135">
        <v>0.775147928994083</v>
      </c>
      <c r="AC902" s="135">
        <v>0.91508624797484</v>
      </c>
      <c r="AD902" s="135">
        <v>0.92</v>
      </c>
      <c r="AE902" s="133">
        <v>0.991247264770241</v>
      </c>
      <c r="AF902" s="133">
        <v>0.935714285714286</v>
      </c>
      <c r="AG902" s="133">
        <v>0.966273187183811</v>
      </c>
      <c r="AH902" s="133">
        <v>0.915283944846927</v>
      </c>
      <c r="AI902" s="135">
        <v>0.92</v>
      </c>
      <c r="AJ902" s="133">
        <v>0.943919344675488</v>
      </c>
      <c r="AK902" s="133">
        <v>0.935920047031158</v>
      </c>
      <c r="AL902" s="133">
        <v>0.913902847571189</v>
      </c>
      <c r="AM902" s="133">
        <v>0.944685257006476</v>
      </c>
      <c r="AN902" s="132">
        <v>0.99</v>
      </c>
      <c r="AO902" s="137">
        <v>1</v>
      </c>
      <c r="AP902" s="137">
        <v>1</v>
      </c>
      <c r="AQ902" s="137">
        <v>1</v>
      </c>
      <c r="AR902" s="137">
        <v>1</v>
      </c>
      <c r="AS902" s="158">
        <v>0.0656418488929858</v>
      </c>
      <c r="AT902" s="141">
        <v>0.0454545454545455</v>
      </c>
      <c r="AU902" s="141">
        <v>0.0333333333333333</v>
      </c>
      <c r="AV902" s="141">
        <v>0.0689655172413793</v>
      </c>
      <c r="AW902" s="141">
        <v>0.0433333333333333</v>
      </c>
      <c r="AX902" s="95"/>
      <c r="AY902" s="93"/>
    </row>
    <row r="903" ht="14.5" spans="1:51">
      <c r="A903" s="91"/>
      <c r="B903" s="95"/>
      <c r="C903" s="180" t="s">
        <v>927</v>
      </c>
      <c r="D903" s="181" t="s">
        <v>25</v>
      </c>
      <c r="E903" s="130" t="s">
        <v>928</v>
      </c>
      <c r="F903" s="184" t="s">
        <v>932</v>
      </c>
      <c r="G903" s="185" t="s">
        <v>932</v>
      </c>
      <c r="H903" s="185" t="s">
        <v>932</v>
      </c>
      <c r="I903" s="185" t="s">
        <v>932</v>
      </c>
      <c r="J903" s="132">
        <v>0.9</v>
      </c>
      <c r="K903" s="133">
        <v>1</v>
      </c>
      <c r="L903" s="133">
        <v>0.939393939393939</v>
      </c>
      <c r="M903" s="134">
        <v>0.90625</v>
      </c>
      <c r="N903" s="133">
        <v>0.945111492281304</v>
      </c>
      <c r="O903" s="135">
        <v>0.9</v>
      </c>
      <c r="P903" s="133">
        <v>0.880229696472518</v>
      </c>
      <c r="Q903" s="133">
        <v>0.9222889438361</v>
      </c>
      <c r="R903" s="133">
        <v>0.956022944550669</v>
      </c>
      <c r="S903" s="133">
        <v>0.940689552313008</v>
      </c>
      <c r="T903" s="135">
        <v>0.9</v>
      </c>
      <c r="U903" s="133">
        <v>0.889253486464315</v>
      </c>
      <c r="V903" s="133">
        <v>0.911691981631932</v>
      </c>
      <c r="W903" s="133">
        <v>0.920458891013384</v>
      </c>
      <c r="X903" s="133">
        <v>0.922866588779239</v>
      </c>
      <c r="Y903" s="135">
        <v>0.92</v>
      </c>
      <c r="Z903" s="135">
        <v>0.921052631578947</v>
      </c>
      <c r="AA903" s="135">
        <v>0.935691318327974</v>
      </c>
      <c r="AB903" s="135">
        <v>0.904362416107383</v>
      </c>
      <c r="AC903" s="135">
        <v>0.93589106450651</v>
      </c>
      <c r="AD903" s="135">
        <v>0.92</v>
      </c>
      <c r="AE903" s="133">
        <v>0.995535714285714</v>
      </c>
      <c r="AF903" s="133">
        <v>0.876373626373626</v>
      </c>
      <c r="AG903" s="133">
        <v>0.979002624671916</v>
      </c>
      <c r="AH903" s="133">
        <v>0.980639688638292</v>
      </c>
      <c r="AI903" s="135">
        <v>0.92</v>
      </c>
      <c r="AJ903" s="133">
        <v>0.946243127672572</v>
      </c>
      <c r="AK903" s="133">
        <v>0.957352005092298</v>
      </c>
      <c r="AL903" s="133">
        <v>0.959514170040486</v>
      </c>
      <c r="AM903" s="133">
        <v>0.963356198429267</v>
      </c>
      <c r="AN903" s="132">
        <v>0.99</v>
      </c>
      <c r="AO903" s="137">
        <v>1</v>
      </c>
      <c r="AP903" s="137">
        <v>1</v>
      </c>
      <c r="AQ903" s="137">
        <v>1</v>
      </c>
      <c r="AR903" s="137">
        <v>1</v>
      </c>
      <c r="AS903" s="158">
        <v>0.0656418488929858</v>
      </c>
      <c r="AT903" s="141">
        <v>0.0222222222222222</v>
      </c>
      <c r="AU903" s="141">
        <v>0.0273972602739726</v>
      </c>
      <c r="AV903" s="141">
        <v>0.0493827160493827</v>
      </c>
      <c r="AW903" s="141">
        <v>0.055766793409379</v>
      </c>
      <c r="AX903" s="95"/>
      <c r="AY903" s="93"/>
    </row>
    <row r="904" ht="14.5" spans="1:51">
      <c r="A904" s="91"/>
      <c r="B904" s="95"/>
      <c r="C904" s="180" t="s">
        <v>927</v>
      </c>
      <c r="D904" s="181" t="s">
        <v>25</v>
      </c>
      <c r="E904" s="130" t="s">
        <v>928</v>
      </c>
      <c r="F904" s="184" t="s">
        <v>933</v>
      </c>
      <c r="G904" s="185" t="s">
        <v>933</v>
      </c>
      <c r="H904" s="185" t="s">
        <v>933</v>
      </c>
      <c r="I904" s="185" t="s">
        <v>933</v>
      </c>
      <c r="J904" s="132">
        <v>0.9</v>
      </c>
      <c r="K904" s="133">
        <v>0.96551724137931</v>
      </c>
      <c r="L904" s="133">
        <v>1</v>
      </c>
      <c r="M904" s="134">
        <v>0.931034482758621</v>
      </c>
      <c r="N904" s="133">
        <v>0.96969696969697</v>
      </c>
      <c r="O904" s="135">
        <v>0.9</v>
      </c>
      <c r="P904" s="133">
        <v>0.949346405228758</v>
      </c>
      <c r="Q904" s="133">
        <v>0.94082171127026</v>
      </c>
      <c r="R904" s="133">
        <v>0.971725571725572</v>
      </c>
      <c r="S904" s="133">
        <v>0.961042053626709</v>
      </c>
      <c r="T904" s="135">
        <v>0.9</v>
      </c>
      <c r="U904" s="133">
        <v>0.910947712418301</v>
      </c>
      <c r="V904" s="133">
        <v>0.934036939313984</v>
      </c>
      <c r="W904" s="133">
        <v>0.935966735966736</v>
      </c>
      <c r="X904" s="133">
        <v>0.935205029289899</v>
      </c>
      <c r="Y904" s="135">
        <v>0.92</v>
      </c>
      <c r="Z904" s="135">
        <v>0.832677165354331</v>
      </c>
      <c r="AA904" s="135">
        <v>0.900355871886121</v>
      </c>
      <c r="AB904" s="135">
        <v>0.934891485809683</v>
      </c>
      <c r="AC904" s="135">
        <v>0.913566433566434</v>
      </c>
      <c r="AD904" s="135">
        <v>0.92</v>
      </c>
      <c r="AE904" s="133">
        <v>0.983539094650206</v>
      </c>
      <c r="AF904" s="133">
        <v>0.974789915966387</v>
      </c>
      <c r="AG904" s="133">
        <v>0.992412746585736</v>
      </c>
      <c r="AH904" s="133">
        <v>0.929726827303846</v>
      </c>
      <c r="AI904" s="135">
        <v>0.92</v>
      </c>
      <c r="AJ904" s="133">
        <v>0.91743648960739</v>
      </c>
      <c r="AK904" s="133">
        <v>0.966257668711656</v>
      </c>
      <c r="AL904" s="133">
        <v>0.973386560212907</v>
      </c>
      <c r="AM904" s="133">
        <v>0.96715030820294</v>
      </c>
      <c r="AN904" s="132">
        <v>0.99</v>
      </c>
      <c r="AO904" s="137">
        <v>1</v>
      </c>
      <c r="AP904" s="137">
        <v>1</v>
      </c>
      <c r="AQ904" s="137">
        <v>1</v>
      </c>
      <c r="AR904" s="137">
        <v>1</v>
      </c>
      <c r="AS904" s="158">
        <v>0.0656418488929858</v>
      </c>
      <c r="AT904" s="141">
        <v>0</v>
      </c>
      <c r="AU904" s="141">
        <v>0.12</v>
      </c>
      <c r="AV904" s="141">
        <v>0</v>
      </c>
      <c r="AW904" s="141">
        <v>0.0501002004008016</v>
      </c>
      <c r="AX904" s="95"/>
      <c r="AY904" s="93"/>
    </row>
    <row r="905" ht="14.5" spans="1:51">
      <c r="A905" s="91"/>
      <c r="B905" s="95"/>
      <c r="C905" s="180" t="s">
        <v>927</v>
      </c>
      <c r="D905" s="181" t="s">
        <v>125</v>
      </c>
      <c r="E905" s="130" t="s">
        <v>928</v>
      </c>
      <c r="F905" s="184" t="s">
        <v>934</v>
      </c>
      <c r="G905" s="185" t="s">
        <v>934</v>
      </c>
      <c r="H905" s="185" t="s">
        <v>934</v>
      </c>
      <c r="I905" s="185" t="s">
        <v>934</v>
      </c>
      <c r="J905" s="132">
        <v>0.9</v>
      </c>
      <c r="K905" s="133" t="s">
        <v>35</v>
      </c>
      <c r="L905" s="133" t="s">
        <v>35</v>
      </c>
      <c r="M905" s="134" t="s">
        <v>35</v>
      </c>
      <c r="N905" s="133" t="s">
        <v>35</v>
      </c>
      <c r="O905" s="135">
        <v>0.9</v>
      </c>
      <c r="P905" s="133" t="s">
        <v>35</v>
      </c>
      <c r="Q905" s="133" t="s">
        <v>35</v>
      </c>
      <c r="R905" s="133" t="s">
        <v>35</v>
      </c>
      <c r="S905" s="133">
        <v>0</v>
      </c>
      <c r="T905" s="135">
        <v>0.9</v>
      </c>
      <c r="U905" s="133" t="s">
        <v>35</v>
      </c>
      <c r="V905" s="133" t="s">
        <v>35</v>
      </c>
      <c r="W905" s="133" t="s">
        <v>35</v>
      </c>
      <c r="X905" s="133">
        <v>1</v>
      </c>
      <c r="Y905" s="135">
        <v>0.92</v>
      </c>
      <c r="Z905" s="135" t="s">
        <v>35</v>
      </c>
      <c r="AA905" s="135" t="s">
        <v>35</v>
      </c>
      <c r="AB905" s="135" t="s">
        <v>35</v>
      </c>
      <c r="AC905" s="135" t="s">
        <v>35</v>
      </c>
      <c r="AD905" s="135">
        <v>0.92</v>
      </c>
      <c r="AE905" s="133">
        <v>1</v>
      </c>
      <c r="AF905" s="133">
        <v>1</v>
      </c>
      <c r="AG905" s="133">
        <v>0.972222222222222</v>
      </c>
      <c r="AH905" s="133">
        <v>0.942012376804951</v>
      </c>
      <c r="AI905" s="135">
        <v>0.92</v>
      </c>
      <c r="AJ905" s="133" t="s">
        <v>35</v>
      </c>
      <c r="AK905" s="133" t="s">
        <v>35</v>
      </c>
      <c r="AL905" s="133" t="s">
        <v>35</v>
      </c>
      <c r="AM905" s="133">
        <v>1</v>
      </c>
      <c r="AN905" s="132">
        <v>0.99</v>
      </c>
      <c r="AO905" s="137">
        <v>1</v>
      </c>
      <c r="AP905" s="137">
        <v>1</v>
      </c>
      <c r="AQ905" s="137">
        <v>1</v>
      </c>
      <c r="AR905" s="137">
        <v>1</v>
      </c>
      <c r="AS905" s="158">
        <v>0.0656418488929858</v>
      </c>
      <c r="AT905" s="141" t="s">
        <v>35</v>
      </c>
      <c r="AU905" s="141" t="s">
        <v>35</v>
      </c>
      <c r="AV905" s="141" t="s">
        <v>35</v>
      </c>
      <c r="AW905" s="141" t="s">
        <v>35</v>
      </c>
      <c r="AX905" s="95"/>
      <c r="AY905" s="93"/>
    </row>
    <row r="906" ht="14.5" spans="1:51">
      <c r="A906" s="91"/>
      <c r="B906" s="95"/>
      <c r="C906" s="180" t="s">
        <v>927</v>
      </c>
      <c r="D906" s="181" t="s">
        <v>25</v>
      </c>
      <c r="E906" s="130" t="s">
        <v>928</v>
      </c>
      <c r="F906" s="186" t="s">
        <v>935</v>
      </c>
      <c r="G906" s="187" t="s">
        <v>935</v>
      </c>
      <c r="H906" s="187" t="s">
        <v>935</v>
      </c>
      <c r="I906" s="187" t="s">
        <v>935</v>
      </c>
      <c r="J906" s="132">
        <v>0.9</v>
      </c>
      <c r="K906" s="133">
        <v>0.888888888888889</v>
      </c>
      <c r="L906" s="133">
        <v>0.923076923076923</v>
      </c>
      <c r="M906" s="134">
        <v>0.857142857142857</v>
      </c>
      <c r="N906" s="133">
        <v>0.89367816091954</v>
      </c>
      <c r="O906" s="135">
        <v>0.9</v>
      </c>
      <c r="P906" s="133">
        <v>0.834743005855563</v>
      </c>
      <c r="Q906" s="133">
        <v>0.807022809123649</v>
      </c>
      <c r="R906" s="133">
        <v>0.881911532385466</v>
      </c>
      <c r="S906" s="133">
        <v>0.86424495580502</v>
      </c>
      <c r="T906" s="135">
        <v>0.9</v>
      </c>
      <c r="U906" s="133">
        <v>0.902407286922576</v>
      </c>
      <c r="V906" s="133">
        <v>0.895258103241297</v>
      </c>
      <c r="W906" s="133">
        <v>0.90086887835703</v>
      </c>
      <c r="X906" s="133">
        <v>0.90489687837989</v>
      </c>
      <c r="Y906" s="135">
        <v>0.92</v>
      </c>
      <c r="Z906" s="135">
        <v>0.909441233140655</v>
      </c>
      <c r="AA906" s="135">
        <v>0.952247191011236</v>
      </c>
      <c r="AB906" s="135">
        <v>0.924346629986245</v>
      </c>
      <c r="AC906" s="135">
        <v>0.93500750876022</v>
      </c>
      <c r="AD906" s="135">
        <v>0.92</v>
      </c>
      <c r="AE906" s="133">
        <v>0.925586136595311</v>
      </c>
      <c r="AF906" s="133">
        <v>0.851688693098385</v>
      </c>
      <c r="AG906" s="133">
        <v>0.885838150289017</v>
      </c>
      <c r="AH906" s="133">
        <v>0.93856927779552</v>
      </c>
      <c r="AI906" s="135">
        <v>0.92</v>
      </c>
      <c r="AJ906" s="133">
        <v>0.911964980544747</v>
      </c>
      <c r="AK906" s="133">
        <v>0.912689804772234</v>
      </c>
      <c r="AL906" s="133">
        <v>0.90948143602332</v>
      </c>
      <c r="AM906" s="133">
        <v>0.925042667316835</v>
      </c>
      <c r="AN906" s="132">
        <v>0.99</v>
      </c>
      <c r="AO906" s="137">
        <v>1</v>
      </c>
      <c r="AP906" s="137">
        <v>1</v>
      </c>
      <c r="AQ906" s="137">
        <v>1</v>
      </c>
      <c r="AR906" s="137">
        <v>1</v>
      </c>
      <c r="AS906" s="158">
        <v>0.0656418488929858</v>
      </c>
      <c r="AT906" s="141">
        <v>0.0277777777777778</v>
      </c>
      <c r="AU906" s="141">
        <v>0.04</v>
      </c>
      <c r="AV906" s="141">
        <v>0</v>
      </c>
      <c r="AW906" s="141">
        <v>0.0512163892445583</v>
      </c>
      <c r="AX906" s="95"/>
      <c r="AY906" s="93"/>
    </row>
    <row r="907" ht="14.5" spans="1:51">
      <c r="A907" s="91"/>
      <c r="B907" s="95"/>
      <c r="C907" s="180" t="s">
        <v>927</v>
      </c>
      <c r="D907" s="181" t="s">
        <v>125</v>
      </c>
      <c r="E907" s="130" t="s">
        <v>928</v>
      </c>
      <c r="F907" s="186" t="s">
        <v>936</v>
      </c>
      <c r="G907" s="187" t="s">
        <v>936</v>
      </c>
      <c r="H907" s="187" t="s">
        <v>936</v>
      </c>
      <c r="I907" s="187" t="s">
        <v>936</v>
      </c>
      <c r="J907" s="132">
        <v>0.9</v>
      </c>
      <c r="K907" s="133" t="s">
        <v>35</v>
      </c>
      <c r="L907" s="133" t="s">
        <v>35</v>
      </c>
      <c r="M907" s="134" t="s">
        <v>35</v>
      </c>
      <c r="N907" s="133" t="s">
        <v>35</v>
      </c>
      <c r="O907" s="135">
        <v>0.9</v>
      </c>
      <c r="P907" s="133" t="s">
        <v>35</v>
      </c>
      <c r="Q907" s="133" t="s">
        <v>35</v>
      </c>
      <c r="R907" s="133" t="s">
        <v>35</v>
      </c>
      <c r="S907" s="133" t="s">
        <v>35</v>
      </c>
      <c r="T907" s="135">
        <v>0.9</v>
      </c>
      <c r="U907" s="133" t="s">
        <v>35</v>
      </c>
      <c r="V907" s="133" t="s">
        <v>35</v>
      </c>
      <c r="W907" s="133" t="s">
        <v>35</v>
      </c>
      <c r="X907" s="133" t="s">
        <v>35</v>
      </c>
      <c r="Y907" s="135">
        <v>0.92</v>
      </c>
      <c r="Z907" s="135" t="s">
        <v>35</v>
      </c>
      <c r="AA907" s="135" t="s">
        <v>35</v>
      </c>
      <c r="AB907" s="135" t="s">
        <v>35</v>
      </c>
      <c r="AC907" s="135" t="s">
        <v>35</v>
      </c>
      <c r="AD907" s="135">
        <v>0.92</v>
      </c>
      <c r="AE907" s="133">
        <v>0.997245179063361</v>
      </c>
      <c r="AF907" s="133">
        <v>0.970802919708029</v>
      </c>
      <c r="AG907" s="133">
        <v>0.955172413793103</v>
      </c>
      <c r="AH907" s="133">
        <v>0.943889541715629</v>
      </c>
      <c r="AI907" s="135">
        <v>0.92</v>
      </c>
      <c r="AJ907" s="133" t="s">
        <v>35</v>
      </c>
      <c r="AK907" s="133" t="s">
        <v>35</v>
      </c>
      <c r="AL907" s="133" t="s">
        <v>35</v>
      </c>
      <c r="AM907" s="133" t="s">
        <v>35</v>
      </c>
      <c r="AN907" s="132">
        <v>0.99</v>
      </c>
      <c r="AO907" s="137">
        <v>1</v>
      </c>
      <c r="AP907" s="137">
        <v>1</v>
      </c>
      <c r="AQ907" s="137" t="s">
        <v>35</v>
      </c>
      <c r="AR907" s="137">
        <v>1</v>
      </c>
      <c r="AS907" s="158">
        <v>0.0656418488929858</v>
      </c>
      <c r="AT907" s="141" t="s">
        <v>35</v>
      </c>
      <c r="AU907" s="141" t="s">
        <v>35</v>
      </c>
      <c r="AV907" s="141" t="s">
        <v>35</v>
      </c>
      <c r="AW907" s="141" t="s">
        <v>35</v>
      </c>
      <c r="AX907" s="95"/>
      <c r="AY907" s="93"/>
    </row>
    <row r="908" ht="14.5" spans="1:51">
      <c r="A908" s="91"/>
      <c r="B908" s="95"/>
      <c r="C908" s="180" t="s">
        <v>927</v>
      </c>
      <c r="D908" s="181" t="s">
        <v>25</v>
      </c>
      <c r="E908" s="130" t="s">
        <v>928</v>
      </c>
      <c r="F908" s="186" t="s">
        <v>937</v>
      </c>
      <c r="G908" s="187" t="s">
        <v>937</v>
      </c>
      <c r="H908" s="187" t="s">
        <v>937</v>
      </c>
      <c r="I908" s="187" t="s">
        <v>937</v>
      </c>
      <c r="J908" s="132">
        <v>0.9</v>
      </c>
      <c r="K908" s="133">
        <v>0.823529411764706</v>
      </c>
      <c r="L908" s="133">
        <v>0.941176470588235</v>
      </c>
      <c r="M908" s="134">
        <v>0.894736842105263</v>
      </c>
      <c r="N908" s="133">
        <v>0.868804664723032</v>
      </c>
      <c r="O908" s="135">
        <v>0.9</v>
      </c>
      <c r="P908" s="133">
        <v>0.828571428571429</v>
      </c>
      <c r="Q908" s="133">
        <v>0.896837739761534</v>
      </c>
      <c r="R908" s="133">
        <v>0.903644224830142</v>
      </c>
      <c r="S908" s="133">
        <v>0.86190539818279</v>
      </c>
      <c r="T908" s="135">
        <v>0.9</v>
      </c>
      <c r="U908" s="133">
        <v>0.897142857142857</v>
      </c>
      <c r="V908" s="133">
        <v>0.902021772939347</v>
      </c>
      <c r="W908" s="133">
        <v>0.925880172946263</v>
      </c>
      <c r="X908" s="133">
        <v>0.919027258150722</v>
      </c>
      <c r="Y908" s="135">
        <v>0.92</v>
      </c>
      <c r="Z908" s="135">
        <v>0.900990099009901</v>
      </c>
      <c r="AA908" s="135">
        <v>0.951070336391437</v>
      </c>
      <c r="AB908" s="135">
        <v>0.947069943289225</v>
      </c>
      <c r="AC908" s="135">
        <v>0.925347005126923</v>
      </c>
      <c r="AD908" s="135">
        <v>0.92</v>
      </c>
      <c r="AE908" s="133">
        <v>0.940988835725678</v>
      </c>
      <c r="AF908" s="133">
        <v>0.900216919739696</v>
      </c>
      <c r="AG908" s="133">
        <v>0.900316455696203</v>
      </c>
      <c r="AH908" s="133">
        <v>0.891378835020283</v>
      </c>
      <c r="AI908" s="135">
        <v>0.92</v>
      </c>
      <c r="AJ908" s="133">
        <v>0.915950920245399</v>
      </c>
      <c r="AK908" s="133">
        <v>0.928191489361702</v>
      </c>
      <c r="AL908" s="133">
        <v>0.939478584729981</v>
      </c>
      <c r="AM908" s="133">
        <v>0.943253999631006</v>
      </c>
      <c r="AN908" s="132">
        <v>0.99</v>
      </c>
      <c r="AO908" s="137">
        <v>1</v>
      </c>
      <c r="AP908" s="137">
        <v>1</v>
      </c>
      <c r="AQ908" s="137" t="s">
        <v>35</v>
      </c>
      <c r="AR908" s="137">
        <v>1</v>
      </c>
      <c r="AS908" s="158">
        <v>0.0656418488929858</v>
      </c>
      <c r="AT908" s="141">
        <v>0.0517241379310345</v>
      </c>
      <c r="AU908" s="141">
        <v>0</v>
      </c>
      <c r="AV908" s="141">
        <v>0</v>
      </c>
      <c r="AW908" s="141">
        <v>0.0305410122164049</v>
      </c>
      <c r="AX908" s="95"/>
      <c r="AY908" s="93"/>
    </row>
    <row r="909" ht="14.5" spans="1:51">
      <c r="A909" s="91"/>
      <c r="B909" s="95"/>
      <c r="C909" s="180" t="s">
        <v>927</v>
      </c>
      <c r="D909" s="181" t="s">
        <v>125</v>
      </c>
      <c r="E909" s="130" t="s">
        <v>928</v>
      </c>
      <c r="F909" s="184" t="s">
        <v>938</v>
      </c>
      <c r="G909" s="185" t="s">
        <v>938</v>
      </c>
      <c r="H909" s="185" t="s">
        <v>938</v>
      </c>
      <c r="I909" s="185" t="s">
        <v>938</v>
      </c>
      <c r="J909" s="132">
        <v>0.9</v>
      </c>
      <c r="K909" s="133" t="s">
        <v>35</v>
      </c>
      <c r="L909" s="133" t="s">
        <v>35</v>
      </c>
      <c r="M909" s="134" t="s">
        <v>35</v>
      </c>
      <c r="N909" s="133" t="s">
        <v>35</v>
      </c>
      <c r="O909" s="135">
        <v>0.9</v>
      </c>
      <c r="P909" s="133" t="s">
        <v>35</v>
      </c>
      <c r="Q909" s="133" t="s">
        <v>35</v>
      </c>
      <c r="R909" s="133" t="s">
        <v>35</v>
      </c>
      <c r="S909" s="133" t="s">
        <v>35</v>
      </c>
      <c r="T909" s="135">
        <v>0.9</v>
      </c>
      <c r="U909" s="133" t="s">
        <v>35</v>
      </c>
      <c r="V909" s="133" t="s">
        <v>35</v>
      </c>
      <c r="W909" s="133" t="s">
        <v>35</v>
      </c>
      <c r="X909" s="133" t="s">
        <v>35</v>
      </c>
      <c r="Y909" s="135">
        <v>0.92</v>
      </c>
      <c r="Z909" s="135" t="s">
        <v>35</v>
      </c>
      <c r="AA909" s="135" t="s">
        <v>35</v>
      </c>
      <c r="AB909" s="135" t="s">
        <v>35</v>
      </c>
      <c r="AC909" s="135" t="s">
        <v>35</v>
      </c>
      <c r="AD909" s="135">
        <v>0.92</v>
      </c>
      <c r="AE909" s="133">
        <v>1</v>
      </c>
      <c r="AF909" s="133">
        <v>0</v>
      </c>
      <c r="AG909" s="133">
        <v>1</v>
      </c>
      <c r="AH909" s="133">
        <v>0.876834148510449</v>
      </c>
      <c r="AI909" s="135">
        <v>0.92</v>
      </c>
      <c r="AJ909" s="133" t="s">
        <v>35</v>
      </c>
      <c r="AK909" s="133" t="s">
        <v>35</v>
      </c>
      <c r="AL909" s="133" t="s">
        <v>35</v>
      </c>
      <c r="AM909" s="133" t="s">
        <v>35</v>
      </c>
      <c r="AN909" s="132">
        <v>0.99</v>
      </c>
      <c r="AO909" s="137">
        <v>1</v>
      </c>
      <c r="AP909" s="137">
        <v>1</v>
      </c>
      <c r="AQ909" s="137">
        <v>1</v>
      </c>
      <c r="AR909" s="137">
        <v>1</v>
      </c>
      <c r="AS909" s="158">
        <v>0.0656418488929858</v>
      </c>
      <c r="AT909" s="141" t="s">
        <v>35</v>
      </c>
      <c r="AU909" s="141" t="s">
        <v>35</v>
      </c>
      <c r="AV909" s="141" t="s">
        <v>35</v>
      </c>
      <c r="AW909" s="141" t="s">
        <v>35</v>
      </c>
      <c r="AX909" s="95"/>
      <c r="AY909" s="93"/>
    </row>
    <row r="910" ht="14.5" spans="1:51">
      <c r="A910" s="91"/>
      <c r="B910" s="95"/>
      <c r="C910" s="180" t="s">
        <v>927</v>
      </c>
      <c r="D910" s="181" t="s">
        <v>25</v>
      </c>
      <c r="E910" s="130" t="s">
        <v>928</v>
      </c>
      <c r="F910" s="184" t="s">
        <v>939</v>
      </c>
      <c r="G910" s="185" t="s">
        <v>939</v>
      </c>
      <c r="H910" s="185" t="s">
        <v>939</v>
      </c>
      <c r="I910" s="185" t="s">
        <v>939</v>
      </c>
      <c r="J910" s="132">
        <v>0.9</v>
      </c>
      <c r="K910" s="133">
        <v>0.714285714285714</v>
      </c>
      <c r="L910" s="133">
        <v>0.75</v>
      </c>
      <c r="M910" s="134">
        <v>0.736842105263158</v>
      </c>
      <c r="N910" s="133">
        <v>0.775811209439528</v>
      </c>
      <c r="O910" s="135">
        <v>0.9</v>
      </c>
      <c r="P910" s="133">
        <v>0.8849487785658</v>
      </c>
      <c r="Q910" s="133">
        <v>0.816673941510258</v>
      </c>
      <c r="R910" s="133">
        <v>0.912645590682196</v>
      </c>
      <c r="S910" s="133">
        <v>0.823396421419805</v>
      </c>
      <c r="T910" s="135">
        <v>0.9</v>
      </c>
      <c r="U910" s="133">
        <v>0.899921197793538</v>
      </c>
      <c r="V910" s="133">
        <v>0.852902662592754</v>
      </c>
      <c r="W910" s="133">
        <v>0.782029950083195</v>
      </c>
      <c r="X910" s="133">
        <v>0.791163361539952</v>
      </c>
      <c r="Y910" s="135">
        <v>0.92</v>
      </c>
      <c r="Z910" s="135" t="s">
        <v>35</v>
      </c>
      <c r="AA910" s="135">
        <v>1</v>
      </c>
      <c r="AB910" s="135" t="s">
        <v>35</v>
      </c>
      <c r="AC910" s="135">
        <v>0.666666666666667</v>
      </c>
      <c r="AD910" s="135">
        <v>0.92</v>
      </c>
      <c r="AE910" s="133">
        <v>0.998186434530287</v>
      </c>
      <c r="AF910" s="133">
        <v>0.990051584377303</v>
      </c>
      <c r="AG910" s="133">
        <v>0.998798365777457</v>
      </c>
      <c r="AH910" s="133">
        <v>0.939197670331877</v>
      </c>
      <c r="AI910" s="135">
        <v>0.92</v>
      </c>
      <c r="AJ910" s="133">
        <v>0.951930654058314</v>
      </c>
      <c r="AK910" s="133">
        <v>0.957298474945534</v>
      </c>
      <c r="AL910" s="133">
        <v>0.907692307692308</v>
      </c>
      <c r="AM910" s="133">
        <v>0.946103015562109</v>
      </c>
      <c r="AN910" s="132">
        <v>0.99</v>
      </c>
      <c r="AO910" s="137">
        <v>1</v>
      </c>
      <c r="AP910" s="137">
        <v>1</v>
      </c>
      <c r="AQ910" s="137">
        <v>1</v>
      </c>
      <c r="AR910" s="137">
        <v>1</v>
      </c>
      <c r="AS910" s="158">
        <v>0.0656418488929858</v>
      </c>
      <c r="AT910" s="141">
        <v>0.142857142857143</v>
      </c>
      <c r="AU910" s="141">
        <v>0.142857142857143</v>
      </c>
      <c r="AV910" s="141">
        <v>0.166666666666667</v>
      </c>
      <c r="AW910" s="141">
        <v>0.0584615384615385</v>
      </c>
      <c r="AX910" s="95"/>
      <c r="AY910" s="93"/>
    </row>
    <row r="911" ht="14.5" spans="1:51">
      <c r="A911" s="91"/>
      <c r="B911" s="95"/>
      <c r="C911" s="180" t="s">
        <v>927</v>
      </c>
      <c r="D911" s="181" t="s">
        <v>25</v>
      </c>
      <c r="E911" s="130" t="s">
        <v>928</v>
      </c>
      <c r="F911" s="184" t="s">
        <v>940</v>
      </c>
      <c r="G911" s="185" t="s">
        <v>940</v>
      </c>
      <c r="H911" s="185" t="s">
        <v>940</v>
      </c>
      <c r="I911" s="185" t="s">
        <v>940</v>
      </c>
      <c r="J911" s="132">
        <v>0.9</v>
      </c>
      <c r="K911" s="133">
        <v>0.9</v>
      </c>
      <c r="L911" s="133">
        <v>0.851851851851852</v>
      </c>
      <c r="M911" s="134">
        <v>0.931034482758621</v>
      </c>
      <c r="N911" s="133">
        <v>0.873889875666075</v>
      </c>
      <c r="O911" s="135">
        <v>0.9</v>
      </c>
      <c r="P911" s="133">
        <v>0.97213426219126</v>
      </c>
      <c r="Q911" s="133">
        <v>0.948006932409012</v>
      </c>
      <c r="R911" s="133">
        <v>0.97446949602122</v>
      </c>
      <c r="S911" s="133">
        <v>0.973350497636706</v>
      </c>
      <c r="T911" s="135">
        <v>0.9</v>
      </c>
      <c r="U911" s="133">
        <v>0.941735275490817</v>
      </c>
      <c r="V911" s="133">
        <v>0.879722703639515</v>
      </c>
      <c r="W911" s="133">
        <v>0.936339522546419</v>
      </c>
      <c r="X911" s="133">
        <v>0.919282942012835</v>
      </c>
      <c r="Y911" s="135">
        <v>0.92</v>
      </c>
      <c r="Z911" s="135" t="s">
        <v>35</v>
      </c>
      <c r="AA911" s="135" t="s">
        <v>35</v>
      </c>
      <c r="AB911" s="135">
        <v>1</v>
      </c>
      <c r="AC911" s="135">
        <v>1</v>
      </c>
      <c r="AD911" s="135">
        <v>0.92</v>
      </c>
      <c r="AE911" s="133">
        <v>0.99911190053286</v>
      </c>
      <c r="AF911" s="133">
        <v>0.99786552828175</v>
      </c>
      <c r="AG911" s="133">
        <v>0.999245852187029</v>
      </c>
      <c r="AH911" s="133">
        <v>0.998730915663577</v>
      </c>
      <c r="AI911" s="135">
        <v>0.92</v>
      </c>
      <c r="AJ911" s="133">
        <v>0.946801773274224</v>
      </c>
      <c r="AK911" s="133">
        <v>0.924809424809425</v>
      </c>
      <c r="AL911" s="133">
        <v>0.950977144749917</v>
      </c>
      <c r="AM911" s="133">
        <v>0.952363573500317</v>
      </c>
      <c r="AN911" s="132">
        <v>0.99</v>
      </c>
      <c r="AO911" s="137">
        <v>1</v>
      </c>
      <c r="AP911" s="137">
        <v>1</v>
      </c>
      <c r="AQ911" s="137">
        <v>1</v>
      </c>
      <c r="AR911" s="137">
        <v>1</v>
      </c>
      <c r="AS911" s="158">
        <v>0.0656418488929858</v>
      </c>
      <c r="AT911" s="141">
        <v>0.428571428571429</v>
      </c>
      <c r="AU911" s="141">
        <v>0</v>
      </c>
      <c r="AV911" s="141">
        <v>0</v>
      </c>
      <c r="AW911" s="141">
        <v>0.0916030534351145</v>
      </c>
      <c r="AX911" s="95"/>
      <c r="AY911" s="93"/>
    </row>
    <row r="912" ht="14.5" spans="1:51">
      <c r="A912" s="91"/>
      <c r="B912" s="95"/>
      <c r="C912" s="180" t="s">
        <v>927</v>
      </c>
      <c r="D912" s="181" t="s">
        <v>25</v>
      </c>
      <c r="E912" s="130" t="s">
        <v>928</v>
      </c>
      <c r="F912" s="188" t="s">
        <v>941</v>
      </c>
      <c r="G912" s="189" t="s">
        <v>941</v>
      </c>
      <c r="H912" s="189" t="s">
        <v>941</v>
      </c>
      <c r="I912" s="189" t="s">
        <v>941</v>
      </c>
      <c r="J912" s="132">
        <v>0.9</v>
      </c>
      <c r="K912" s="133">
        <v>0.9375</v>
      </c>
      <c r="L912" s="133">
        <v>1</v>
      </c>
      <c r="M912" s="134">
        <v>0.823529411764706</v>
      </c>
      <c r="N912" s="133">
        <v>0.909090909090909</v>
      </c>
      <c r="O912" s="135">
        <v>0.9</v>
      </c>
      <c r="P912" s="133">
        <v>0.884381338742394</v>
      </c>
      <c r="Q912" s="133">
        <v>0.816148390616476</v>
      </c>
      <c r="R912" s="133">
        <v>0.834375</v>
      </c>
      <c r="S912" s="133">
        <v>0.872177095420869</v>
      </c>
      <c r="T912" s="135">
        <v>0.9</v>
      </c>
      <c r="U912" s="133">
        <v>0.757606490872211</v>
      </c>
      <c r="V912" s="133">
        <v>0.629023458810693</v>
      </c>
      <c r="W912" s="133">
        <v>0.8140625</v>
      </c>
      <c r="X912" s="133">
        <v>0.84456544377994</v>
      </c>
      <c r="Y912" s="135">
        <v>0.92</v>
      </c>
      <c r="Z912" s="135">
        <v>1</v>
      </c>
      <c r="AA912" s="135" t="s">
        <v>35</v>
      </c>
      <c r="AB912" s="135" t="s">
        <v>35</v>
      </c>
      <c r="AC912" s="135">
        <v>1</v>
      </c>
      <c r="AD912" s="135">
        <v>0.92</v>
      </c>
      <c r="AE912" s="133">
        <v>1</v>
      </c>
      <c r="AF912" s="133">
        <v>0.994949494949495</v>
      </c>
      <c r="AG912" s="133">
        <v>0.993963782696177</v>
      </c>
      <c r="AH912" s="133">
        <v>0.988813052784621</v>
      </c>
      <c r="AI912" s="135">
        <v>0.92</v>
      </c>
      <c r="AJ912" s="133">
        <v>0.823588709677419</v>
      </c>
      <c r="AK912" s="133">
        <v>0.706971677559913</v>
      </c>
      <c r="AL912" s="133">
        <v>0.912545549193129</v>
      </c>
      <c r="AM912" s="133">
        <v>0.923483633339274</v>
      </c>
      <c r="AN912" s="132">
        <v>0.99</v>
      </c>
      <c r="AO912" s="137">
        <v>1</v>
      </c>
      <c r="AP912" s="137">
        <v>1</v>
      </c>
      <c r="AQ912" s="137">
        <v>1</v>
      </c>
      <c r="AR912" s="137">
        <v>1</v>
      </c>
      <c r="AS912" s="158">
        <v>0.0656418488929858</v>
      </c>
      <c r="AT912" s="141">
        <v>0.166666666666667</v>
      </c>
      <c r="AU912" s="141">
        <v>0</v>
      </c>
      <c r="AV912" s="141">
        <v>0</v>
      </c>
      <c r="AW912" s="141">
        <v>0.0814814814814815</v>
      </c>
      <c r="AX912" s="95"/>
      <c r="AY912" s="93"/>
    </row>
    <row r="913" ht="14.5" spans="1:51">
      <c r="A913" s="91"/>
      <c r="B913" s="95"/>
      <c r="C913" s="180" t="s">
        <v>927</v>
      </c>
      <c r="D913" s="181" t="s">
        <v>25</v>
      </c>
      <c r="E913" s="130" t="s">
        <v>928</v>
      </c>
      <c r="F913" s="184" t="s">
        <v>942</v>
      </c>
      <c r="G913" s="185" t="s">
        <v>942</v>
      </c>
      <c r="H913" s="185" t="s">
        <v>942</v>
      </c>
      <c r="I913" s="185" t="s">
        <v>942</v>
      </c>
      <c r="J913" s="132">
        <v>0.9</v>
      </c>
      <c r="K913" s="133">
        <v>0.833333333333333</v>
      </c>
      <c r="L913" s="133">
        <v>0.925</v>
      </c>
      <c r="M913" s="134">
        <v>0.95</v>
      </c>
      <c r="N913" s="133">
        <v>0.887798036465638</v>
      </c>
      <c r="O913" s="135">
        <v>0.9</v>
      </c>
      <c r="P913" s="133">
        <v>0.887939698492462</v>
      </c>
      <c r="Q913" s="133">
        <v>0.896948762233736</v>
      </c>
      <c r="R913" s="133">
        <v>0.90664514393328</v>
      </c>
      <c r="S913" s="133">
        <v>0.929918130751763</v>
      </c>
      <c r="T913" s="135">
        <v>0.9</v>
      </c>
      <c r="U913" s="133">
        <v>0.928140703517588</v>
      </c>
      <c r="V913" s="133">
        <v>0.949625791594704</v>
      </c>
      <c r="W913" s="133">
        <v>0.934355663169222</v>
      </c>
      <c r="X913" s="133">
        <v>0.927901278833513</v>
      </c>
      <c r="Y913" s="135">
        <v>0.92</v>
      </c>
      <c r="Z913" s="135">
        <v>0</v>
      </c>
      <c r="AA913" s="135" t="s">
        <v>35</v>
      </c>
      <c r="AB913" s="135" t="s">
        <v>35</v>
      </c>
      <c r="AC913" s="135">
        <v>0.5</v>
      </c>
      <c r="AD913" s="135">
        <v>0.92</v>
      </c>
      <c r="AE913" s="133">
        <v>0.998655913978495</v>
      </c>
      <c r="AF913" s="133">
        <v>0.986842105263158</v>
      </c>
      <c r="AG913" s="133">
        <v>0.988803358992302</v>
      </c>
      <c r="AH913" s="133">
        <v>0.994419584101079</v>
      </c>
      <c r="AI913" s="135">
        <v>0.92</v>
      </c>
      <c r="AJ913" s="133">
        <v>0.945281124497992</v>
      </c>
      <c r="AK913" s="133">
        <v>0.954807138744963</v>
      </c>
      <c r="AL913" s="133">
        <v>0.941097364174287</v>
      </c>
      <c r="AM913" s="133">
        <v>0.961205222431359</v>
      </c>
      <c r="AN913" s="132">
        <v>0.99</v>
      </c>
      <c r="AO913" s="137">
        <v>1</v>
      </c>
      <c r="AP913" s="137">
        <v>1</v>
      </c>
      <c r="AQ913" s="137">
        <v>1</v>
      </c>
      <c r="AR913" s="137">
        <v>1</v>
      </c>
      <c r="AS913" s="158">
        <v>0.0656418488929858</v>
      </c>
      <c r="AT913" s="141">
        <v>0.333333333333333</v>
      </c>
      <c r="AU913" s="141">
        <v>0</v>
      </c>
      <c r="AV913" s="141">
        <v>0</v>
      </c>
      <c r="AW913" s="141">
        <v>0.0534979423868313</v>
      </c>
      <c r="AX913" s="95"/>
      <c r="AY913" s="93"/>
    </row>
    <row r="914" ht="14.5" spans="1:51">
      <c r="A914" s="91"/>
      <c r="B914" s="95"/>
      <c r="C914" s="180" t="s">
        <v>927</v>
      </c>
      <c r="D914" s="181" t="s">
        <v>25</v>
      </c>
      <c r="E914" s="130" t="s">
        <v>928</v>
      </c>
      <c r="F914" s="188" t="s">
        <v>943</v>
      </c>
      <c r="G914" s="189" t="s">
        <v>943</v>
      </c>
      <c r="H914" s="189" t="s">
        <v>943</v>
      </c>
      <c r="I914" s="189" t="s">
        <v>943</v>
      </c>
      <c r="J914" s="132">
        <v>0.9</v>
      </c>
      <c r="K914" s="133">
        <v>0.916666666666667</v>
      </c>
      <c r="L914" s="133">
        <v>0.818181818181818</v>
      </c>
      <c r="M914" s="134">
        <v>0.818181818181818</v>
      </c>
      <c r="N914" s="133">
        <v>0.91705069124424</v>
      </c>
      <c r="O914" s="135">
        <v>0.9</v>
      </c>
      <c r="P914" s="133">
        <v>0.947159841479524</v>
      </c>
      <c r="Q914" s="133">
        <v>0.900291120815138</v>
      </c>
      <c r="R914" s="133">
        <v>0.958470665787739</v>
      </c>
      <c r="S914" s="133">
        <v>0.925452107418548</v>
      </c>
      <c r="T914" s="135">
        <v>0.9</v>
      </c>
      <c r="U914" s="133">
        <v>0.916776750330251</v>
      </c>
      <c r="V914" s="133">
        <v>0.839155749636099</v>
      </c>
      <c r="W914" s="133">
        <v>0.810810810810811</v>
      </c>
      <c r="X914" s="133">
        <v>0.883448700757439</v>
      </c>
      <c r="Y914" s="135">
        <v>0.92</v>
      </c>
      <c r="Z914" s="135" t="s">
        <v>35</v>
      </c>
      <c r="AA914" s="135" t="s">
        <v>35</v>
      </c>
      <c r="AB914" s="135" t="s">
        <v>35</v>
      </c>
      <c r="AC914" s="135" t="s">
        <v>35</v>
      </c>
      <c r="AD914" s="135">
        <v>0.92</v>
      </c>
      <c r="AE914" s="133">
        <v>1</v>
      </c>
      <c r="AF914" s="133">
        <v>1</v>
      </c>
      <c r="AG914" s="133">
        <v>0.997183098591549</v>
      </c>
      <c r="AH914" s="133">
        <v>0.996187418480987</v>
      </c>
      <c r="AI914" s="135">
        <v>0.92</v>
      </c>
      <c r="AJ914" s="133">
        <v>0.944517833553501</v>
      </c>
      <c r="AK914" s="133">
        <v>0.864628820960699</v>
      </c>
      <c r="AL914" s="133">
        <v>0.84179301252472</v>
      </c>
      <c r="AM914" s="133">
        <v>0.931468125973979</v>
      </c>
      <c r="AN914" s="132">
        <v>0.99</v>
      </c>
      <c r="AO914" s="137">
        <v>1</v>
      </c>
      <c r="AP914" s="137">
        <v>1</v>
      </c>
      <c r="AQ914" s="137">
        <v>1</v>
      </c>
      <c r="AR914" s="137">
        <v>1</v>
      </c>
      <c r="AS914" s="158">
        <v>0.0656418488929858</v>
      </c>
      <c r="AT914" s="141">
        <v>0</v>
      </c>
      <c r="AU914" s="141">
        <v>0</v>
      </c>
      <c r="AV914" s="141">
        <v>0</v>
      </c>
      <c r="AW914" s="141">
        <v>0.0266666666666667</v>
      </c>
      <c r="AX914" s="95"/>
      <c r="AY914" s="93"/>
    </row>
    <row r="915" ht="14.5" spans="1:51">
      <c r="A915" s="91"/>
      <c r="B915" s="95"/>
      <c r="C915" s="180" t="s">
        <v>927</v>
      </c>
      <c r="D915" s="181" t="s">
        <v>25</v>
      </c>
      <c r="E915" s="130" t="s">
        <v>928</v>
      </c>
      <c r="F915" s="184" t="s">
        <v>944</v>
      </c>
      <c r="G915" s="185" t="s">
        <v>944</v>
      </c>
      <c r="H915" s="185" t="s">
        <v>944</v>
      </c>
      <c r="I915" s="185" t="s">
        <v>944</v>
      </c>
      <c r="J915" s="132">
        <v>0.9</v>
      </c>
      <c r="K915" s="133">
        <v>0.666666666666667</v>
      </c>
      <c r="L915" s="133">
        <v>0.75</v>
      </c>
      <c r="M915" s="134">
        <v>0.85</v>
      </c>
      <c r="N915" s="133">
        <v>0.780821917808219</v>
      </c>
      <c r="O915" s="135">
        <v>0.9</v>
      </c>
      <c r="P915" s="133">
        <v>0.924061433447099</v>
      </c>
      <c r="Q915" s="133">
        <v>0.943028485757121</v>
      </c>
      <c r="R915" s="133">
        <v>0.934296365330848</v>
      </c>
      <c r="S915" s="133">
        <v>0.939062177236108</v>
      </c>
      <c r="T915" s="135">
        <v>0.9</v>
      </c>
      <c r="U915" s="133">
        <v>0.866040955631399</v>
      </c>
      <c r="V915" s="133">
        <v>0.850574712643678</v>
      </c>
      <c r="W915" s="133">
        <v>0.852749301025163</v>
      </c>
      <c r="X915" s="133">
        <v>0.864929766577153</v>
      </c>
      <c r="Y915" s="135">
        <v>0.92</v>
      </c>
      <c r="Z915" s="135" t="s">
        <v>35</v>
      </c>
      <c r="AA915" s="135" t="s">
        <v>35</v>
      </c>
      <c r="AB915" s="135" t="s">
        <v>35</v>
      </c>
      <c r="AC915" s="135" t="s">
        <v>35</v>
      </c>
      <c r="AD915" s="135">
        <v>0.92</v>
      </c>
      <c r="AE915" s="133">
        <v>0.985342019543974</v>
      </c>
      <c r="AF915" s="133">
        <v>0.995440729483283</v>
      </c>
      <c r="AG915" s="133">
        <v>0.970209339774557</v>
      </c>
      <c r="AH915" s="133">
        <v>0.993747829107329</v>
      </c>
      <c r="AI915" s="135">
        <v>0.92</v>
      </c>
      <c r="AJ915" s="133">
        <v>0.921501706484642</v>
      </c>
      <c r="AK915" s="133">
        <v>0.910134797803295</v>
      </c>
      <c r="AL915" s="133">
        <v>0.904939422180801</v>
      </c>
      <c r="AM915" s="133">
        <v>0.942579778994113</v>
      </c>
      <c r="AN915" s="132">
        <v>0.99</v>
      </c>
      <c r="AO915" s="137">
        <v>1</v>
      </c>
      <c r="AP915" s="137">
        <v>1</v>
      </c>
      <c r="AQ915" s="137">
        <v>1</v>
      </c>
      <c r="AR915" s="137">
        <v>1</v>
      </c>
      <c r="AS915" s="158">
        <v>0.0656418488929858</v>
      </c>
      <c r="AT915" s="141">
        <v>0</v>
      </c>
      <c r="AU915" s="141">
        <v>0.0384615384615385</v>
      </c>
      <c r="AV915" s="141">
        <v>0</v>
      </c>
      <c r="AW915" s="141">
        <v>0.03125</v>
      </c>
      <c r="AX915" s="95"/>
      <c r="AY915" s="93"/>
    </row>
    <row r="916" ht="14.5" spans="1:51">
      <c r="A916" s="91"/>
      <c r="B916" s="95"/>
      <c r="C916" s="180" t="s">
        <v>927</v>
      </c>
      <c r="D916" s="181" t="s">
        <v>25</v>
      </c>
      <c r="E916" s="130" t="s">
        <v>928</v>
      </c>
      <c r="F916" s="184" t="s">
        <v>945</v>
      </c>
      <c r="G916" s="185" t="s">
        <v>945</v>
      </c>
      <c r="H916" s="185" t="s">
        <v>945</v>
      </c>
      <c r="I916" s="185" t="s">
        <v>945</v>
      </c>
      <c r="J916" s="132">
        <v>0.9</v>
      </c>
      <c r="K916" s="133">
        <v>0.9</v>
      </c>
      <c r="L916" s="133">
        <v>0.870967741935484</v>
      </c>
      <c r="M916" s="134">
        <v>1</v>
      </c>
      <c r="N916" s="133">
        <v>0.880492091388401</v>
      </c>
      <c r="O916" s="135">
        <v>0.9</v>
      </c>
      <c r="P916" s="133">
        <v>0.946825827455236</v>
      </c>
      <c r="Q916" s="133">
        <v>0.928636779505947</v>
      </c>
      <c r="R916" s="133">
        <v>0.877333333333333</v>
      </c>
      <c r="S916" s="133">
        <v>0.916158812526398</v>
      </c>
      <c r="T916" s="135">
        <v>0.9</v>
      </c>
      <c r="U916" s="133">
        <v>0.893651654910472</v>
      </c>
      <c r="V916" s="133">
        <v>0.874046965538274</v>
      </c>
      <c r="W916" s="133">
        <v>0.84237037037037</v>
      </c>
      <c r="X916" s="133">
        <v>0.9042267543595</v>
      </c>
      <c r="Y916" s="135">
        <v>0.92</v>
      </c>
      <c r="Z916" s="135" t="s">
        <v>35</v>
      </c>
      <c r="AA916" s="135" t="s">
        <v>35</v>
      </c>
      <c r="AB916" s="135">
        <v>1</v>
      </c>
      <c r="AC916" s="135">
        <v>1</v>
      </c>
      <c r="AD916" s="135">
        <v>0.92</v>
      </c>
      <c r="AE916" s="133">
        <v>0.996947082767978</v>
      </c>
      <c r="AF916" s="133">
        <v>0.998011928429423</v>
      </c>
      <c r="AG916" s="133">
        <v>0.997889553288779</v>
      </c>
      <c r="AH916" s="133">
        <v>0.994859301051454</v>
      </c>
      <c r="AI916" s="135">
        <v>0.92</v>
      </c>
      <c r="AJ916" s="133">
        <v>0.936619718309859</v>
      </c>
      <c r="AK916" s="133">
        <v>0.914939024390244</v>
      </c>
      <c r="AL916" s="133">
        <v>0.873222748815166</v>
      </c>
      <c r="AM916" s="133">
        <v>0.948706734032124</v>
      </c>
      <c r="AN916" s="132">
        <v>0.99</v>
      </c>
      <c r="AO916" s="137">
        <v>1</v>
      </c>
      <c r="AP916" s="137">
        <v>1</v>
      </c>
      <c r="AQ916" s="137">
        <v>1</v>
      </c>
      <c r="AR916" s="137">
        <v>1</v>
      </c>
      <c r="AS916" s="158">
        <v>0.0656418488929858</v>
      </c>
      <c r="AT916" s="141">
        <v>0.05</v>
      </c>
      <c r="AU916" s="141">
        <v>0.0416666666666667</v>
      </c>
      <c r="AV916" s="141">
        <v>0.1</v>
      </c>
      <c r="AW916" s="141">
        <v>0.0433962264150943</v>
      </c>
      <c r="AX916" s="95"/>
      <c r="AY916" s="93"/>
    </row>
    <row r="917" ht="14.5" spans="1:51">
      <c r="A917" s="91"/>
      <c r="B917" s="95"/>
      <c r="C917" s="180" t="s">
        <v>927</v>
      </c>
      <c r="D917" s="181" t="s">
        <v>25</v>
      </c>
      <c r="E917" s="130" t="s">
        <v>928</v>
      </c>
      <c r="F917" s="184" t="s">
        <v>946</v>
      </c>
      <c r="G917" s="185" t="s">
        <v>946</v>
      </c>
      <c r="H917" s="185" t="s">
        <v>946</v>
      </c>
      <c r="I917" s="185" t="s">
        <v>946</v>
      </c>
      <c r="J917" s="132">
        <v>0.9</v>
      </c>
      <c r="K917" s="133">
        <v>0.903225806451613</v>
      </c>
      <c r="L917" s="133">
        <v>0.942857142857143</v>
      </c>
      <c r="M917" s="134">
        <v>0.972972972972973</v>
      </c>
      <c r="N917" s="133">
        <v>0.955974842767296</v>
      </c>
      <c r="O917" s="135">
        <v>0.9</v>
      </c>
      <c r="P917" s="133">
        <v>0.856009762050031</v>
      </c>
      <c r="Q917" s="133">
        <v>0.898876404494382</v>
      </c>
      <c r="R917" s="133">
        <v>0.928771384136858</v>
      </c>
      <c r="S917" s="133">
        <v>0.941535313731434</v>
      </c>
      <c r="T917" s="135">
        <v>0.9</v>
      </c>
      <c r="U917" s="133">
        <v>0.897498474679683</v>
      </c>
      <c r="V917" s="133">
        <v>0.821312069590431</v>
      </c>
      <c r="W917" s="133">
        <v>0.852255054432348</v>
      </c>
      <c r="X917" s="133">
        <v>0.883961048802667</v>
      </c>
      <c r="Y917" s="135">
        <v>0.92</v>
      </c>
      <c r="Z917" s="135">
        <v>0.932059447983015</v>
      </c>
      <c r="AA917" s="135">
        <v>0.59672131147541</v>
      </c>
      <c r="AB917" s="135">
        <v>0.864741641337386</v>
      </c>
      <c r="AC917" s="135">
        <v>0.873624823695346</v>
      </c>
      <c r="AD917" s="135">
        <v>0.92</v>
      </c>
      <c r="AE917" s="133">
        <v>0.999414976599064</v>
      </c>
      <c r="AF917" s="133">
        <v>0.824898785425101</v>
      </c>
      <c r="AG917" s="133">
        <v>0.974838371483488</v>
      </c>
      <c r="AH917" s="133">
        <v>0.949340314499211</v>
      </c>
      <c r="AI917" s="135">
        <v>0.92</v>
      </c>
      <c r="AJ917" s="133">
        <v>0.946919431279621</v>
      </c>
      <c r="AK917" s="133">
        <v>0.88392566025432</v>
      </c>
      <c r="AL917" s="133">
        <v>0.948876839659179</v>
      </c>
      <c r="AM917" s="133">
        <v>0.943894441466721</v>
      </c>
      <c r="AN917" s="132">
        <v>0.99</v>
      </c>
      <c r="AO917" s="137">
        <v>1</v>
      </c>
      <c r="AP917" s="137">
        <v>1</v>
      </c>
      <c r="AQ917" s="137">
        <v>1</v>
      </c>
      <c r="AR917" s="137">
        <v>1</v>
      </c>
      <c r="AS917" s="158">
        <v>0.0656418488929858</v>
      </c>
      <c r="AT917" s="141">
        <v>0.1</v>
      </c>
      <c r="AU917" s="141">
        <v>0.1</v>
      </c>
      <c r="AV917" s="141">
        <v>0</v>
      </c>
      <c r="AW917" s="141">
        <v>0.0642201834862385</v>
      </c>
      <c r="AX917" s="95"/>
      <c r="AY917" s="93"/>
    </row>
    <row r="918" ht="14.5" spans="1:51">
      <c r="A918" s="91"/>
      <c r="B918" s="95"/>
      <c r="C918" s="180" t="s">
        <v>927</v>
      </c>
      <c r="D918" s="181" t="s">
        <v>25</v>
      </c>
      <c r="E918" s="130" t="s">
        <v>928</v>
      </c>
      <c r="F918" s="184" t="s">
        <v>947</v>
      </c>
      <c r="G918" s="185" t="s">
        <v>947</v>
      </c>
      <c r="H918" s="185" t="s">
        <v>947</v>
      </c>
      <c r="I918" s="185" t="s">
        <v>947</v>
      </c>
      <c r="J918" s="132">
        <v>0.9</v>
      </c>
      <c r="K918" s="133">
        <v>0.857142857142857</v>
      </c>
      <c r="L918" s="133">
        <v>1</v>
      </c>
      <c r="M918" s="134">
        <v>1</v>
      </c>
      <c r="N918" s="133">
        <v>0.905660377358491</v>
      </c>
      <c r="O918" s="135">
        <v>0.9</v>
      </c>
      <c r="P918" s="133">
        <v>0.979411764705882</v>
      </c>
      <c r="Q918" s="133">
        <v>0.96085409252669</v>
      </c>
      <c r="R918" s="133">
        <v>0.982456140350877</v>
      </c>
      <c r="S918" s="133">
        <v>0.949995574829631</v>
      </c>
      <c r="T918" s="135">
        <v>0.9</v>
      </c>
      <c r="U918" s="133">
        <v>0.926470588235294</v>
      </c>
      <c r="V918" s="133">
        <v>0.838078291814947</v>
      </c>
      <c r="W918" s="133">
        <v>0.833333333333333</v>
      </c>
      <c r="X918" s="133">
        <v>0.874856181963006</v>
      </c>
      <c r="Y918" s="135">
        <v>0.92</v>
      </c>
      <c r="Z918" s="135" t="s">
        <v>35</v>
      </c>
      <c r="AA918" s="135" t="s">
        <v>35</v>
      </c>
      <c r="AB918" s="135" t="s">
        <v>35</v>
      </c>
      <c r="AC918" s="135">
        <v>0</v>
      </c>
      <c r="AD918" s="135">
        <v>0.92</v>
      </c>
      <c r="AE918" s="133">
        <v>1</v>
      </c>
      <c r="AF918" s="133">
        <v>0.998247151621385</v>
      </c>
      <c r="AG918" s="133">
        <v>0.944</v>
      </c>
      <c r="AH918" s="133">
        <v>0.996771978021978</v>
      </c>
      <c r="AI918" s="135">
        <v>0.92</v>
      </c>
      <c r="AJ918" s="133">
        <v>0.970588235294118</v>
      </c>
      <c r="AK918" s="133">
        <v>0.911032028469751</v>
      </c>
      <c r="AL918" s="133">
        <v>0.933333333333333</v>
      </c>
      <c r="AM918" s="133">
        <v>0.959394904458599</v>
      </c>
      <c r="AN918" s="132">
        <v>0.99</v>
      </c>
      <c r="AO918" s="137">
        <v>1</v>
      </c>
      <c r="AP918" s="137">
        <v>1</v>
      </c>
      <c r="AQ918" s="137">
        <v>1</v>
      </c>
      <c r="AR918" s="137">
        <v>1</v>
      </c>
      <c r="AS918" s="158">
        <v>0.0656418488929858</v>
      </c>
      <c r="AT918" s="141">
        <v>0.142857142857143</v>
      </c>
      <c r="AU918" s="141">
        <v>0.25</v>
      </c>
      <c r="AV918" s="141">
        <v>0</v>
      </c>
      <c r="AW918" s="141">
        <v>0.021978021978022</v>
      </c>
      <c r="AX918" s="95"/>
      <c r="AY918" s="93"/>
    </row>
    <row r="919" ht="14.5" spans="1:51">
      <c r="A919" s="91"/>
      <c r="B919" s="95"/>
      <c r="C919" s="180" t="s">
        <v>927</v>
      </c>
      <c r="D919" s="181" t="s">
        <v>25</v>
      </c>
      <c r="E919" s="130" t="s">
        <v>928</v>
      </c>
      <c r="F919" s="184" t="s">
        <v>948</v>
      </c>
      <c r="G919" s="185" t="s">
        <v>948</v>
      </c>
      <c r="H919" s="185" t="s">
        <v>948</v>
      </c>
      <c r="I919" s="185" t="s">
        <v>948</v>
      </c>
      <c r="J919" s="132">
        <v>0.9</v>
      </c>
      <c r="K919" s="133">
        <v>0.9</v>
      </c>
      <c r="L919" s="133">
        <v>0.848484848484849</v>
      </c>
      <c r="M919" s="134">
        <v>0.885714285714286</v>
      </c>
      <c r="N919" s="133">
        <v>0.920127795527157</v>
      </c>
      <c r="O919" s="135">
        <v>0.9</v>
      </c>
      <c r="P919" s="133">
        <v>0.932591623036649</v>
      </c>
      <c r="Q919" s="133">
        <v>0.946589678816312</v>
      </c>
      <c r="R919" s="133">
        <v>0.958282208588957</v>
      </c>
      <c r="S919" s="133">
        <v>0.953292358565164</v>
      </c>
      <c r="T919" s="135">
        <v>0.9</v>
      </c>
      <c r="U919" s="133">
        <v>0.916230366492147</v>
      </c>
      <c r="V919" s="133">
        <v>0.892818477084085</v>
      </c>
      <c r="W919" s="133">
        <v>0.901840490797546</v>
      </c>
      <c r="X919" s="133">
        <v>0.907393429659981</v>
      </c>
      <c r="Y919" s="135">
        <v>0.92</v>
      </c>
      <c r="Z919" s="135" t="s">
        <v>35</v>
      </c>
      <c r="AA919" s="135" t="s">
        <v>35</v>
      </c>
      <c r="AB919" s="135" t="s">
        <v>35</v>
      </c>
      <c r="AC919" s="135" t="s">
        <v>35</v>
      </c>
      <c r="AD919" s="135">
        <v>0.92</v>
      </c>
      <c r="AE919" s="133">
        <v>0.998804899910367</v>
      </c>
      <c r="AF919" s="133">
        <v>0.991689750692521</v>
      </c>
      <c r="AG919" s="133">
        <v>0.991166077738516</v>
      </c>
      <c r="AH919" s="133">
        <v>0.995316159250585</v>
      </c>
      <c r="AI919" s="135">
        <v>0.92</v>
      </c>
      <c r="AJ919" s="133">
        <v>0.928010471204188</v>
      </c>
      <c r="AK919" s="133">
        <v>0.931432695777698</v>
      </c>
      <c r="AL919" s="133">
        <v>0.946319018404908</v>
      </c>
      <c r="AM919" s="133">
        <v>0.941000988408662</v>
      </c>
      <c r="AN919" s="132">
        <v>0.99</v>
      </c>
      <c r="AO919" s="137">
        <v>1</v>
      </c>
      <c r="AP919" s="137">
        <v>1</v>
      </c>
      <c r="AQ919" s="137">
        <v>1</v>
      </c>
      <c r="AR919" s="137">
        <v>1</v>
      </c>
      <c r="AS919" s="158">
        <v>0.0656418488929858</v>
      </c>
      <c r="AT919" s="141">
        <v>0</v>
      </c>
      <c r="AU919" s="141">
        <v>0.111111111111111</v>
      </c>
      <c r="AV919" s="141">
        <v>0</v>
      </c>
      <c r="AW919" s="141">
        <v>0.037037037037037</v>
      </c>
      <c r="AX919" s="95"/>
      <c r="AY919" s="93"/>
    </row>
    <row r="920" ht="14.5" spans="1:51">
      <c r="A920" s="91"/>
      <c r="B920" s="95"/>
      <c r="C920" s="180" t="s">
        <v>927</v>
      </c>
      <c r="D920" s="181" t="s">
        <v>25</v>
      </c>
      <c r="E920" s="130" t="s">
        <v>928</v>
      </c>
      <c r="F920" s="188" t="s">
        <v>949</v>
      </c>
      <c r="G920" s="189" t="s">
        <v>949</v>
      </c>
      <c r="H920" s="189" t="s">
        <v>949</v>
      </c>
      <c r="I920" s="189" t="s">
        <v>949</v>
      </c>
      <c r="J920" s="132">
        <v>0.9</v>
      </c>
      <c r="K920" s="133">
        <v>0.823529411764706</v>
      </c>
      <c r="L920" s="133">
        <v>0.8125</v>
      </c>
      <c r="M920" s="134">
        <v>0.736842105263158</v>
      </c>
      <c r="N920" s="133">
        <v>0.852760736196319</v>
      </c>
      <c r="O920" s="135">
        <v>0.9</v>
      </c>
      <c r="P920" s="133">
        <v>0.935260115606936</v>
      </c>
      <c r="Q920" s="133">
        <v>0.922222222222222</v>
      </c>
      <c r="R920" s="133">
        <v>0.945037353255069</v>
      </c>
      <c r="S920" s="133">
        <v>0.936601287970124</v>
      </c>
      <c r="T920" s="135">
        <v>0.9</v>
      </c>
      <c r="U920" s="133">
        <v>0.850867052023121</v>
      </c>
      <c r="V920" s="133">
        <v>0.89</v>
      </c>
      <c r="W920" s="133">
        <v>0.815901814300961</v>
      </c>
      <c r="X920" s="133">
        <v>0.836474843414591</v>
      </c>
      <c r="Y920" s="135">
        <v>0.92</v>
      </c>
      <c r="Z920" s="135" t="s">
        <v>35</v>
      </c>
      <c r="AA920" s="135" t="s">
        <v>35</v>
      </c>
      <c r="AB920" s="135" t="s">
        <v>35</v>
      </c>
      <c r="AC920" s="135" t="s">
        <v>35</v>
      </c>
      <c r="AD920" s="135">
        <v>0.92</v>
      </c>
      <c r="AE920" s="133">
        <v>0.996120271580989</v>
      </c>
      <c r="AF920" s="133">
        <v>0.993427230046948</v>
      </c>
      <c r="AG920" s="133">
        <v>0.997446808510638</v>
      </c>
      <c r="AH920" s="133">
        <v>0.982477519119254</v>
      </c>
      <c r="AI920" s="135">
        <v>0.92</v>
      </c>
      <c r="AJ920" s="133">
        <v>0.890173410404624</v>
      </c>
      <c r="AK920" s="133">
        <v>0.931666666666667</v>
      </c>
      <c r="AL920" s="133">
        <v>0.919423692636073</v>
      </c>
      <c r="AM920" s="133">
        <v>0.93469375753477</v>
      </c>
      <c r="AN920" s="132">
        <v>0.99</v>
      </c>
      <c r="AO920" s="137">
        <v>1</v>
      </c>
      <c r="AP920" s="137">
        <v>1</v>
      </c>
      <c r="AQ920" s="137">
        <v>1</v>
      </c>
      <c r="AR920" s="137">
        <v>1</v>
      </c>
      <c r="AS920" s="158">
        <v>0.0656418488929858</v>
      </c>
      <c r="AT920" s="141">
        <v>0</v>
      </c>
      <c r="AU920" s="141">
        <v>0.0588235294117647</v>
      </c>
      <c r="AV920" s="141">
        <v>0</v>
      </c>
      <c r="AW920" s="141">
        <v>0.0360824742268041</v>
      </c>
      <c r="AX920" s="95"/>
      <c r="AY920" s="93"/>
    </row>
    <row r="921" ht="14.5" spans="1:51">
      <c r="A921" s="91"/>
      <c r="B921" s="95"/>
      <c r="C921" s="180" t="s">
        <v>927</v>
      </c>
      <c r="D921" s="181" t="s">
        <v>25</v>
      </c>
      <c r="E921" s="130" t="s">
        <v>928</v>
      </c>
      <c r="F921" s="184" t="s">
        <v>950</v>
      </c>
      <c r="G921" s="185" t="s">
        <v>950</v>
      </c>
      <c r="H921" s="185" t="s">
        <v>950</v>
      </c>
      <c r="I921" s="185" t="s">
        <v>950</v>
      </c>
      <c r="J921" s="132">
        <v>0.9</v>
      </c>
      <c r="K921" s="133">
        <v>0.925925925925926</v>
      </c>
      <c r="L921" s="133">
        <v>0.919354838709677</v>
      </c>
      <c r="M921" s="134">
        <v>0.875</v>
      </c>
      <c r="N921" s="133">
        <v>0.904494382022472</v>
      </c>
      <c r="O921" s="135">
        <v>0.9</v>
      </c>
      <c r="P921" s="133">
        <v>0.933156714897086</v>
      </c>
      <c r="Q921" s="133">
        <v>0.938790293371967</v>
      </c>
      <c r="R921" s="133">
        <v>0.911698880976602</v>
      </c>
      <c r="S921" s="133">
        <v>0.903641881638847</v>
      </c>
      <c r="T921" s="135">
        <v>0.9</v>
      </c>
      <c r="U921" s="133">
        <v>0.855716323619319</v>
      </c>
      <c r="V921" s="133">
        <v>0.8871785584933</v>
      </c>
      <c r="W921" s="133">
        <v>0.851068158697864</v>
      </c>
      <c r="X921" s="133">
        <v>0.850540140183539</v>
      </c>
      <c r="Y921" s="135">
        <v>0.92</v>
      </c>
      <c r="Z921" s="135" t="s">
        <v>35</v>
      </c>
      <c r="AA921" s="135" t="s">
        <v>35</v>
      </c>
      <c r="AB921" s="135" t="s">
        <v>35</v>
      </c>
      <c r="AC921" s="135" t="s">
        <v>35</v>
      </c>
      <c r="AD921" s="135">
        <v>0.92</v>
      </c>
      <c r="AE921" s="133">
        <v>0.993235625704622</v>
      </c>
      <c r="AF921" s="133">
        <v>0.987012987012987</v>
      </c>
      <c r="AG921" s="133">
        <v>0.863301787592008</v>
      </c>
      <c r="AH921" s="133">
        <v>0.978955114054452</v>
      </c>
      <c r="AI921" s="135">
        <v>0.92</v>
      </c>
      <c r="AJ921" s="133">
        <v>0.911147340533931</v>
      </c>
      <c r="AK921" s="133">
        <v>0.92412169503803</v>
      </c>
      <c r="AL921" s="133">
        <v>0.906205493387589</v>
      </c>
      <c r="AM921" s="133">
        <v>0.93423536531392</v>
      </c>
      <c r="AN921" s="132">
        <v>0.99</v>
      </c>
      <c r="AO921" s="137">
        <v>1</v>
      </c>
      <c r="AP921" s="137">
        <v>1</v>
      </c>
      <c r="AQ921" s="137">
        <v>1</v>
      </c>
      <c r="AR921" s="137">
        <v>1</v>
      </c>
      <c r="AS921" s="158">
        <v>0.0656418488929858</v>
      </c>
      <c r="AT921" s="141">
        <v>0.0857142857142857</v>
      </c>
      <c r="AU921" s="141">
        <v>0.0638297872340425</v>
      </c>
      <c r="AV921" s="141">
        <v>0.0697674418604651</v>
      </c>
      <c r="AW921" s="141">
        <v>0.0415430267062315</v>
      </c>
      <c r="AX921" s="95"/>
      <c r="AY921" s="93"/>
    </row>
    <row r="922" ht="14.5" spans="1:51">
      <c r="A922" s="91"/>
      <c r="B922" s="95"/>
      <c r="C922" s="180" t="s">
        <v>927</v>
      </c>
      <c r="D922" s="181" t="s">
        <v>25</v>
      </c>
      <c r="E922" s="130" t="s">
        <v>928</v>
      </c>
      <c r="F922" s="184" t="s">
        <v>951</v>
      </c>
      <c r="G922" s="185" t="s">
        <v>951</v>
      </c>
      <c r="H922" s="185" t="s">
        <v>951</v>
      </c>
      <c r="I922" s="185" t="s">
        <v>951</v>
      </c>
      <c r="J922" s="132">
        <v>0.9</v>
      </c>
      <c r="K922" s="133">
        <v>1</v>
      </c>
      <c r="L922" s="133">
        <v>1</v>
      </c>
      <c r="M922" s="134">
        <v>1</v>
      </c>
      <c r="N922" s="133">
        <v>0.997416020671835</v>
      </c>
      <c r="O922" s="135">
        <v>0.9</v>
      </c>
      <c r="P922" s="133">
        <v>0.983606557377049</v>
      </c>
      <c r="Q922" s="133">
        <v>0.970566772074921</v>
      </c>
      <c r="R922" s="133">
        <v>0.977447335811648</v>
      </c>
      <c r="S922" s="133">
        <v>0.979455262509243</v>
      </c>
      <c r="T922" s="135">
        <v>0.9</v>
      </c>
      <c r="U922" s="133">
        <v>0.942622950819672</v>
      </c>
      <c r="V922" s="133">
        <v>0.928241303819022</v>
      </c>
      <c r="W922" s="133">
        <v>0.933828996282528</v>
      </c>
      <c r="X922" s="133">
        <v>0.937737244269164</v>
      </c>
      <c r="Y922" s="135">
        <v>0.92</v>
      </c>
      <c r="Z922" s="135" t="s">
        <v>35</v>
      </c>
      <c r="AA922" s="135" t="s">
        <v>35</v>
      </c>
      <c r="AB922" s="135" t="s">
        <v>35</v>
      </c>
      <c r="AC922" s="135">
        <v>1</v>
      </c>
      <c r="AD922" s="135">
        <v>0.92</v>
      </c>
      <c r="AE922" s="133">
        <v>0.992724333063864</v>
      </c>
      <c r="AF922" s="133">
        <v>0.980997624703088</v>
      </c>
      <c r="AG922" s="133">
        <v>0.988040478380865</v>
      </c>
      <c r="AH922" s="133">
        <v>0.991273449338977</v>
      </c>
      <c r="AI922" s="135">
        <v>0.92</v>
      </c>
      <c r="AJ922" s="133">
        <v>0.982088646023072</v>
      </c>
      <c r="AK922" s="133">
        <v>0.971053271710046</v>
      </c>
      <c r="AL922" s="133">
        <v>0.969021065675341</v>
      </c>
      <c r="AM922" s="133">
        <v>0.97689236153903</v>
      </c>
      <c r="AN922" s="132">
        <v>0.99</v>
      </c>
      <c r="AO922" s="137">
        <v>1</v>
      </c>
      <c r="AP922" s="137">
        <v>1</v>
      </c>
      <c r="AQ922" s="137">
        <v>1</v>
      </c>
      <c r="AR922" s="137">
        <v>1</v>
      </c>
      <c r="AS922" s="158">
        <v>0.0656418488929858</v>
      </c>
      <c r="AT922" s="141">
        <v>0</v>
      </c>
      <c r="AU922" s="141">
        <v>0</v>
      </c>
      <c r="AV922" s="141">
        <v>0</v>
      </c>
      <c r="AW922" s="141">
        <v>0.0463320463320463</v>
      </c>
      <c r="AX922" s="95"/>
      <c r="AY922" s="93"/>
    </row>
    <row r="923" ht="14.5" spans="1:51">
      <c r="A923" s="91"/>
      <c r="B923" s="95"/>
      <c r="C923" s="180" t="s">
        <v>927</v>
      </c>
      <c r="D923" s="181" t="s">
        <v>25</v>
      </c>
      <c r="E923" s="130" t="s">
        <v>928</v>
      </c>
      <c r="F923" s="184" t="s">
        <v>952</v>
      </c>
      <c r="G923" s="185" t="s">
        <v>952</v>
      </c>
      <c r="H923" s="185" t="s">
        <v>952</v>
      </c>
      <c r="I923" s="185" t="s">
        <v>952</v>
      </c>
      <c r="J923" s="132">
        <v>0.9</v>
      </c>
      <c r="K923" s="133">
        <v>0.914285714285714</v>
      </c>
      <c r="L923" s="133">
        <v>0.885714285714286</v>
      </c>
      <c r="M923" s="134">
        <v>0.911764705882353</v>
      </c>
      <c r="N923" s="133">
        <v>0.949286846275753</v>
      </c>
      <c r="O923" s="135">
        <v>0.9</v>
      </c>
      <c r="P923" s="133">
        <v>0.935343261896113</v>
      </c>
      <c r="Q923" s="133">
        <v>0.938177556401992</v>
      </c>
      <c r="R923" s="133">
        <v>0.946322067594433</v>
      </c>
      <c r="S923" s="133">
        <v>0.949266445811642</v>
      </c>
      <c r="T923" s="135">
        <v>0.9</v>
      </c>
      <c r="U923" s="133">
        <v>0.938612422811478</v>
      </c>
      <c r="V923" s="133">
        <v>0.920890711983592</v>
      </c>
      <c r="W923" s="133">
        <v>0.918820410868125</v>
      </c>
      <c r="X923" s="133">
        <v>0.913172424672661</v>
      </c>
      <c r="Y923" s="135">
        <v>0.92</v>
      </c>
      <c r="Z923" s="135" t="s">
        <v>35</v>
      </c>
      <c r="AA923" s="135" t="s">
        <v>35</v>
      </c>
      <c r="AB923" s="135" t="s">
        <v>35</v>
      </c>
      <c r="AC923" s="135" t="s">
        <v>35</v>
      </c>
      <c r="AD923" s="135">
        <v>0.92</v>
      </c>
      <c r="AE923" s="133">
        <v>0.970948012232416</v>
      </c>
      <c r="AF923" s="133">
        <v>0.99416569428238</v>
      </c>
      <c r="AG923" s="133">
        <v>0.850685439051501</v>
      </c>
      <c r="AH923" s="133">
        <v>0.974894862241553</v>
      </c>
      <c r="AI923" s="135">
        <v>0.92</v>
      </c>
      <c r="AJ923" s="133">
        <v>0.953868507083182</v>
      </c>
      <c r="AK923" s="133">
        <v>0.957808379724582</v>
      </c>
      <c r="AL923" s="133">
        <v>0.949635520212061</v>
      </c>
      <c r="AM923" s="133">
        <v>0.95886045998044</v>
      </c>
      <c r="AN923" s="132">
        <v>0.99</v>
      </c>
      <c r="AO923" s="137">
        <v>1</v>
      </c>
      <c r="AP923" s="137">
        <v>1</v>
      </c>
      <c r="AQ923" s="137">
        <v>1</v>
      </c>
      <c r="AR923" s="137">
        <v>1</v>
      </c>
      <c r="AS923" s="158">
        <v>0.0656418488929858</v>
      </c>
      <c r="AT923" s="141">
        <v>0</v>
      </c>
      <c r="AU923" s="141">
        <v>0</v>
      </c>
      <c r="AV923" s="141">
        <v>0</v>
      </c>
      <c r="AW923" s="141">
        <v>0.0414746543778802</v>
      </c>
      <c r="AX923" s="95"/>
      <c r="AY923" s="93"/>
    </row>
    <row r="924" ht="14.5" spans="1:51">
      <c r="A924" s="91"/>
      <c r="B924" s="95"/>
      <c r="C924" s="180" t="s">
        <v>927</v>
      </c>
      <c r="D924" s="181" t="s">
        <v>25</v>
      </c>
      <c r="E924" s="130" t="s">
        <v>928</v>
      </c>
      <c r="F924" s="188" t="s">
        <v>953</v>
      </c>
      <c r="G924" s="189" t="s">
        <v>953</v>
      </c>
      <c r="H924" s="189" t="s">
        <v>953</v>
      </c>
      <c r="I924" s="189" t="s">
        <v>953</v>
      </c>
      <c r="J924" s="132">
        <v>0.9</v>
      </c>
      <c r="K924" s="133">
        <v>1</v>
      </c>
      <c r="L924" s="133">
        <v>0.977272727272727</v>
      </c>
      <c r="M924" s="134">
        <v>0.925</v>
      </c>
      <c r="N924" s="133">
        <v>0.93974358974359</v>
      </c>
      <c r="O924" s="135">
        <v>0.9</v>
      </c>
      <c r="P924" s="133">
        <v>0.940621725462801</v>
      </c>
      <c r="Q924" s="133">
        <v>0.916592985558503</v>
      </c>
      <c r="R924" s="133">
        <v>0.92012987012987</v>
      </c>
      <c r="S924" s="133">
        <v>0.944136704917792</v>
      </c>
      <c r="T924" s="135">
        <v>0.9</v>
      </c>
      <c r="U924" s="133">
        <v>0.917568983583653</v>
      </c>
      <c r="V924" s="133">
        <v>0.914529914529915</v>
      </c>
      <c r="W924" s="133">
        <v>0.890909090909091</v>
      </c>
      <c r="X924" s="133">
        <v>0.912796250312229</v>
      </c>
      <c r="Y924" s="135">
        <v>0.92</v>
      </c>
      <c r="Z924" s="135" t="s">
        <v>35</v>
      </c>
      <c r="AA924" s="135" t="s">
        <v>35</v>
      </c>
      <c r="AB924" s="135" t="s">
        <v>35</v>
      </c>
      <c r="AC924" s="135">
        <v>0</v>
      </c>
      <c r="AD924" s="135">
        <v>0.92</v>
      </c>
      <c r="AE924" s="133">
        <v>0.986222732491389</v>
      </c>
      <c r="AF924" s="133">
        <v>0.208333333333333</v>
      </c>
      <c r="AG924" s="133">
        <v>1</v>
      </c>
      <c r="AH924" s="133">
        <v>0.903481488913414</v>
      </c>
      <c r="AI924" s="135">
        <v>0.92</v>
      </c>
      <c r="AJ924" s="133">
        <v>0.950750960530912</v>
      </c>
      <c r="AK924" s="133">
        <v>0.949896846448571</v>
      </c>
      <c r="AL924" s="133">
        <v>0.943506493506494</v>
      </c>
      <c r="AM924" s="133">
        <v>0.968468997942991</v>
      </c>
      <c r="AN924" s="132">
        <v>0.99</v>
      </c>
      <c r="AO924" s="137">
        <v>1</v>
      </c>
      <c r="AP924" s="137">
        <v>1</v>
      </c>
      <c r="AQ924" s="137">
        <v>1</v>
      </c>
      <c r="AR924" s="137">
        <v>1</v>
      </c>
      <c r="AS924" s="158">
        <v>0.0656418488929858</v>
      </c>
      <c r="AT924" s="141">
        <v>0.0588235294117647</v>
      </c>
      <c r="AU924" s="141">
        <v>0.1</v>
      </c>
      <c r="AV924" s="141">
        <v>0.0625</v>
      </c>
      <c r="AW924" s="141">
        <v>0.0390625</v>
      </c>
      <c r="AX924" s="95"/>
      <c r="AY924" s="93"/>
    </row>
    <row r="925" ht="14.5" spans="1:51">
      <c r="A925" s="91"/>
      <c r="B925" s="95"/>
      <c r="C925" s="180" t="s">
        <v>927</v>
      </c>
      <c r="D925" s="181" t="s">
        <v>25</v>
      </c>
      <c r="E925" s="130" t="s">
        <v>928</v>
      </c>
      <c r="F925" s="184" t="s">
        <v>954</v>
      </c>
      <c r="G925" s="185" t="s">
        <v>954</v>
      </c>
      <c r="H925" s="185" t="s">
        <v>954</v>
      </c>
      <c r="I925" s="185" t="s">
        <v>954</v>
      </c>
      <c r="J925" s="132">
        <v>0.9</v>
      </c>
      <c r="K925" s="133">
        <v>0.969230769230769</v>
      </c>
      <c r="L925" s="133">
        <v>1</v>
      </c>
      <c r="M925" s="134">
        <v>0.984615384615385</v>
      </c>
      <c r="N925" s="133">
        <v>0.981270358306189</v>
      </c>
      <c r="O925" s="135">
        <v>0.9</v>
      </c>
      <c r="P925" s="133">
        <v>0.979665794241997</v>
      </c>
      <c r="Q925" s="133">
        <v>0.977409638554217</v>
      </c>
      <c r="R925" s="133">
        <v>0.982459157351677</v>
      </c>
      <c r="S925" s="133">
        <v>0.98129110965133</v>
      </c>
      <c r="T925" s="135">
        <v>0.9</v>
      </c>
      <c r="U925" s="133">
        <v>0.959532917253876</v>
      </c>
      <c r="V925" s="133">
        <v>0.952978580990629</v>
      </c>
      <c r="W925" s="133">
        <v>0.953396388650043</v>
      </c>
      <c r="X925" s="133">
        <v>0.953445319364938</v>
      </c>
      <c r="Y925" s="135">
        <v>0.92</v>
      </c>
      <c r="Z925" s="135" t="s">
        <v>35</v>
      </c>
      <c r="AA925" s="135" t="s">
        <v>35</v>
      </c>
      <c r="AB925" s="135" t="s">
        <v>35</v>
      </c>
      <c r="AC925" s="135">
        <v>1</v>
      </c>
      <c r="AD925" s="135">
        <v>0.92</v>
      </c>
      <c r="AE925" s="133">
        <v>0.988563586459286</v>
      </c>
      <c r="AF925" s="133">
        <v>0.986219940556606</v>
      </c>
      <c r="AG925" s="133">
        <v>0.975371463464278</v>
      </c>
      <c r="AH925" s="133">
        <v>0.983524326896388</v>
      </c>
      <c r="AI925" s="135">
        <v>0.92</v>
      </c>
      <c r="AJ925" s="133">
        <v>0.983296437915073</v>
      </c>
      <c r="AK925" s="133">
        <v>0.98142881044002</v>
      </c>
      <c r="AL925" s="133">
        <v>0.983147033533964</v>
      </c>
      <c r="AM925" s="133">
        <v>0.986530981302034</v>
      </c>
      <c r="AN925" s="132">
        <v>0.99</v>
      </c>
      <c r="AO925" s="137">
        <v>1</v>
      </c>
      <c r="AP925" s="137">
        <v>1</v>
      </c>
      <c r="AQ925" s="137">
        <v>1</v>
      </c>
      <c r="AR925" s="137">
        <v>1</v>
      </c>
      <c r="AS925" s="158">
        <v>0.0656418488929858</v>
      </c>
      <c r="AT925" s="141">
        <v>0.0714285714285714</v>
      </c>
      <c r="AU925" s="141">
        <v>0</v>
      </c>
      <c r="AV925" s="141">
        <v>0.04</v>
      </c>
      <c r="AW925" s="141">
        <v>0.0377358490566038</v>
      </c>
      <c r="AX925" s="95"/>
      <c r="AY925" s="93"/>
    </row>
    <row r="926" ht="14.5" spans="1:51">
      <c r="A926" s="91"/>
      <c r="B926" s="95"/>
      <c r="C926" s="180" t="s">
        <v>927</v>
      </c>
      <c r="D926" s="181" t="s">
        <v>25</v>
      </c>
      <c r="E926" s="130" t="s">
        <v>928</v>
      </c>
      <c r="F926" s="184" t="s">
        <v>955</v>
      </c>
      <c r="G926" s="185" t="s">
        <v>955</v>
      </c>
      <c r="H926" s="185" t="s">
        <v>955</v>
      </c>
      <c r="I926" s="185" t="s">
        <v>955</v>
      </c>
      <c r="J926" s="132">
        <v>0.9</v>
      </c>
      <c r="K926" s="133">
        <v>0.979591836734694</v>
      </c>
      <c r="L926" s="133">
        <v>0.980769230769231</v>
      </c>
      <c r="M926" s="134">
        <v>0.94</v>
      </c>
      <c r="N926" s="133">
        <v>0.978675645342312</v>
      </c>
      <c r="O926" s="135">
        <v>0.9</v>
      </c>
      <c r="P926" s="133">
        <v>0.944194419441944</v>
      </c>
      <c r="Q926" s="133">
        <v>0.959991793188346</v>
      </c>
      <c r="R926" s="133">
        <v>0.973578145991939</v>
      </c>
      <c r="S926" s="133">
        <v>0.962668655941879</v>
      </c>
      <c r="T926" s="135">
        <v>0.9</v>
      </c>
      <c r="U926" s="133">
        <v>0.944644464446445</v>
      </c>
      <c r="V926" s="133">
        <v>0.942141977841609</v>
      </c>
      <c r="W926" s="133">
        <v>0.93282579489476</v>
      </c>
      <c r="X926" s="133">
        <v>0.926158969036499</v>
      </c>
      <c r="Y926" s="135">
        <v>0.92</v>
      </c>
      <c r="Z926" s="135" t="s">
        <v>35</v>
      </c>
      <c r="AA926" s="135" t="s">
        <v>35</v>
      </c>
      <c r="AB926" s="135">
        <v>1</v>
      </c>
      <c r="AC926" s="135">
        <v>1</v>
      </c>
      <c r="AD926" s="135">
        <v>0.92</v>
      </c>
      <c r="AE926" s="133">
        <v>0.298413125336202</v>
      </c>
      <c r="AF926" s="133">
        <v>0.540944881889764</v>
      </c>
      <c r="AG926" s="133">
        <v>0.64331797235023</v>
      </c>
      <c r="AH926" s="133">
        <v>0.632088838813206</v>
      </c>
      <c r="AI926" s="135">
        <v>0.92</v>
      </c>
      <c r="AJ926" s="133">
        <v>0.974364740274342</v>
      </c>
      <c r="AK926" s="133">
        <v>0.979487179487179</v>
      </c>
      <c r="AL926" s="133">
        <v>0.98479427549195</v>
      </c>
      <c r="AM926" s="133">
        <v>0.977273464094667</v>
      </c>
      <c r="AN926" s="132">
        <v>0.99</v>
      </c>
      <c r="AO926" s="137">
        <v>1</v>
      </c>
      <c r="AP926" s="137">
        <v>1</v>
      </c>
      <c r="AQ926" s="137">
        <v>1</v>
      </c>
      <c r="AR926" s="137">
        <v>1</v>
      </c>
      <c r="AS926" s="158">
        <v>0.0656418488929858</v>
      </c>
      <c r="AT926" s="141">
        <v>0.0555555555555556</v>
      </c>
      <c r="AU926" s="141">
        <v>0.0714285714285714</v>
      </c>
      <c r="AV926" s="141">
        <v>0.0476190476190476</v>
      </c>
      <c r="AW926" s="141">
        <v>0.0448430493273543</v>
      </c>
      <c r="AX926" s="95"/>
      <c r="AY926" s="93"/>
    </row>
    <row r="927" ht="14.5" spans="1:51">
      <c r="A927" s="91"/>
      <c r="B927" s="95"/>
      <c r="C927" s="180" t="s">
        <v>927</v>
      </c>
      <c r="D927" s="181" t="s">
        <v>25</v>
      </c>
      <c r="E927" s="130" t="s">
        <v>928</v>
      </c>
      <c r="F927" s="184" t="s">
        <v>956</v>
      </c>
      <c r="G927" s="185" t="s">
        <v>956</v>
      </c>
      <c r="H927" s="185" t="s">
        <v>956</v>
      </c>
      <c r="I927" s="185" t="s">
        <v>956</v>
      </c>
      <c r="J927" s="132">
        <v>0.9</v>
      </c>
      <c r="K927" s="133">
        <v>0.978723404255319</v>
      </c>
      <c r="L927" s="133">
        <v>1</v>
      </c>
      <c r="M927" s="134">
        <v>1</v>
      </c>
      <c r="N927" s="133">
        <v>0.993265993265993</v>
      </c>
      <c r="O927" s="135">
        <v>0.9</v>
      </c>
      <c r="P927" s="133">
        <v>0.991472427515634</v>
      </c>
      <c r="Q927" s="133">
        <v>0.987683562292752</v>
      </c>
      <c r="R927" s="133">
        <v>0.991645569620253</v>
      </c>
      <c r="S927" s="133">
        <v>0.986625668716564</v>
      </c>
      <c r="T927" s="135">
        <v>0.9</v>
      </c>
      <c r="U927" s="133">
        <v>0.961625923820353</v>
      </c>
      <c r="V927" s="133">
        <v>0.963050686878257</v>
      </c>
      <c r="W927" s="133">
        <v>0.951139240506329</v>
      </c>
      <c r="X927" s="133">
        <v>0.955527223638818</v>
      </c>
      <c r="Y927" s="135">
        <v>0.92</v>
      </c>
      <c r="Z927" s="135" t="s">
        <v>35</v>
      </c>
      <c r="AA927" s="135" t="s">
        <v>35</v>
      </c>
      <c r="AB927" s="135">
        <v>1</v>
      </c>
      <c r="AC927" s="135">
        <v>0.888888888888889</v>
      </c>
      <c r="AD927" s="135">
        <v>0.92</v>
      </c>
      <c r="AE927" s="133">
        <v>0.979850746268657</v>
      </c>
      <c r="AF927" s="133">
        <v>0.979310344827586</v>
      </c>
      <c r="AG927" s="133">
        <v>0.979227053140097</v>
      </c>
      <c r="AH927" s="133">
        <v>0.988625096397488</v>
      </c>
      <c r="AI927" s="135">
        <v>0.92</v>
      </c>
      <c r="AJ927" s="133">
        <v>0.984938903097471</v>
      </c>
      <c r="AK927" s="133">
        <v>0.986499289436286</v>
      </c>
      <c r="AL927" s="133">
        <v>0.985573272589218</v>
      </c>
      <c r="AM927" s="133">
        <v>0.988214709741923</v>
      </c>
      <c r="AN927" s="132">
        <v>0.99</v>
      </c>
      <c r="AO927" s="137">
        <v>1</v>
      </c>
      <c r="AP927" s="137">
        <v>1</v>
      </c>
      <c r="AQ927" s="137">
        <v>1</v>
      </c>
      <c r="AR927" s="137">
        <v>1</v>
      </c>
      <c r="AS927" s="158">
        <v>0.0656418488929858</v>
      </c>
      <c r="AT927" s="141">
        <v>0</v>
      </c>
      <c r="AU927" s="141">
        <v>0</v>
      </c>
      <c r="AV927" s="141">
        <v>0.111111111111111</v>
      </c>
      <c r="AW927" s="141">
        <v>0.0336391437308868</v>
      </c>
      <c r="AX927" s="95"/>
      <c r="AY927" s="93"/>
    </row>
    <row r="928" ht="14.5" spans="1:51">
      <c r="A928" s="91"/>
      <c r="B928" s="95"/>
      <c r="C928" s="180" t="s">
        <v>927</v>
      </c>
      <c r="D928" s="181" t="s">
        <v>25</v>
      </c>
      <c r="E928" s="130" t="s">
        <v>928</v>
      </c>
      <c r="F928" s="184" t="s">
        <v>957</v>
      </c>
      <c r="G928" s="185" t="s">
        <v>957</v>
      </c>
      <c r="H928" s="185" t="s">
        <v>957</v>
      </c>
      <c r="I928" s="185" t="s">
        <v>957</v>
      </c>
      <c r="J928" s="132">
        <v>0.9</v>
      </c>
      <c r="K928" s="133">
        <v>0.956521739130435</v>
      </c>
      <c r="L928" s="133">
        <v>1</v>
      </c>
      <c r="M928" s="134">
        <v>0.977272727272727</v>
      </c>
      <c r="N928" s="133">
        <v>0.98547215496368</v>
      </c>
      <c r="O928" s="135">
        <v>0.9</v>
      </c>
      <c r="P928" s="133">
        <v>0.925863236289777</v>
      </c>
      <c r="Q928" s="133">
        <v>0.934690415606446</v>
      </c>
      <c r="R928" s="133">
        <v>0.938398357289528</v>
      </c>
      <c r="S928" s="133">
        <v>0.938763534753755</v>
      </c>
      <c r="T928" s="135">
        <v>0.9</v>
      </c>
      <c r="U928" s="133">
        <v>0.923155044008125</v>
      </c>
      <c r="V928" s="133">
        <v>0.895108849307323</v>
      </c>
      <c r="W928" s="133">
        <v>0.929598122616603</v>
      </c>
      <c r="X928" s="133">
        <v>0.923017813482361</v>
      </c>
      <c r="Y928" s="135">
        <v>0.92</v>
      </c>
      <c r="Z928" s="135" t="s">
        <v>35</v>
      </c>
      <c r="AA928" s="135" t="s">
        <v>35</v>
      </c>
      <c r="AB928" s="135" t="s">
        <v>35</v>
      </c>
      <c r="AC928" s="135" t="s">
        <v>35</v>
      </c>
      <c r="AD928" s="135">
        <v>0.92</v>
      </c>
      <c r="AE928" s="133">
        <v>0.977578475336323</v>
      </c>
      <c r="AF928" s="133">
        <v>0.901515151515151</v>
      </c>
      <c r="AG928" s="133">
        <v>0.987106017191977</v>
      </c>
      <c r="AH928" s="133">
        <v>0.979040556900726</v>
      </c>
      <c r="AI928" s="135">
        <v>0.92</v>
      </c>
      <c r="AJ928" s="133">
        <v>0.948205822613406</v>
      </c>
      <c r="AK928" s="133">
        <v>0.92736009044658</v>
      </c>
      <c r="AL928" s="133">
        <v>0.963625696685245</v>
      </c>
      <c r="AM928" s="133">
        <v>0.956943881756332</v>
      </c>
      <c r="AN928" s="132">
        <v>0.99</v>
      </c>
      <c r="AO928" s="137">
        <v>1</v>
      </c>
      <c r="AP928" s="137">
        <v>1</v>
      </c>
      <c r="AQ928" s="137">
        <v>1</v>
      </c>
      <c r="AR928" s="137">
        <v>1</v>
      </c>
      <c r="AS928" s="158">
        <v>0.0656418488929858</v>
      </c>
      <c r="AT928" s="141">
        <v>0</v>
      </c>
      <c r="AU928" s="141">
        <v>0</v>
      </c>
      <c r="AV928" s="141">
        <v>0</v>
      </c>
      <c r="AW928" s="141">
        <v>0.0559006211180124</v>
      </c>
      <c r="AX928" s="95"/>
      <c r="AY928" s="93"/>
    </row>
    <row r="929" ht="14.5" spans="1:51">
      <c r="A929" s="91"/>
      <c r="B929" s="95"/>
      <c r="C929" s="180" t="s">
        <v>927</v>
      </c>
      <c r="D929" s="181" t="s">
        <v>25</v>
      </c>
      <c r="E929" s="130" t="s">
        <v>928</v>
      </c>
      <c r="F929" s="184" t="s">
        <v>958</v>
      </c>
      <c r="G929" s="185" t="s">
        <v>958</v>
      </c>
      <c r="H929" s="185" t="s">
        <v>958</v>
      </c>
      <c r="I929" s="185" t="s">
        <v>958</v>
      </c>
      <c r="J929" s="132">
        <v>0.9</v>
      </c>
      <c r="K929" s="133">
        <v>0.95</v>
      </c>
      <c r="L929" s="133">
        <v>0.853658536585366</v>
      </c>
      <c r="M929" s="134">
        <v>0.923076923076923</v>
      </c>
      <c r="N929" s="133">
        <v>0.94222833562586</v>
      </c>
      <c r="O929" s="135">
        <v>0.9</v>
      </c>
      <c r="P929" s="133">
        <v>0.969175859831278</v>
      </c>
      <c r="Q929" s="133">
        <v>0.925575101488498</v>
      </c>
      <c r="R929" s="133">
        <v>0.960652591170825</v>
      </c>
      <c r="S929" s="133">
        <v>0.95401615801463</v>
      </c>
      <c r="T929" s="135">
        <v>0.9</v>
      </c>
      <c r="U929" s="133">
        <v>0.914990266060999</v>
      </c>
      <c r="V929" s="133">
        <v>0.861434370771313</v>
      </c>
      <c r="W929" s="133">
        <v>0.928023032629559</v>
      </c>
      <c r="X929" s="133">
        <v>0.916634831699138</v>
      </c>
      <c r="Y929" s="135">
        <v>0.92</v>
      </c>
      <c r="Z929" s="135" t="s">
        <v>35</v>
      </c>
      <c r="AA929" s="135" t="s">
        <v>35</v>
      </c>
      <c r="AB929" s="135">
        <v>1</v>
      </c>
      <c r="AC929" s="135">
        <v>0.833333333333333</v>
      </c>
      <c r="AD929" s="135">
        <v>0.92</v>
      </c>
      <c r="AE929" s="133">
        <v>0.993496150783116</v>
      </c>
      <c r="AF929" s="133">
        <v>0.994553376906318</v>
      </c>
      <c r="AG929" s="133">
        <v>0.998081534772182</v>
      </c>
      <c r="AH929" s="133">
        <v>0.953315220532979</v>
      </c>
      <c r="AI929" s="135">
        <v>0.92</v>
      </c>
      <c r="AJ929" s="133">
        <v>0.956521739130435</v>
      </c>
      <c r="AK929" s="133">
        <v>0.923680649526387</v>
      </c>
      <c r="AL929" s="133">
        <v>0.962595907928389</v>
      </c>
      <c r="AM929" s="133">
        <v>0.970124763063343</v>
      </c>
      <c r="AN929" s="132">
        <v>0.99</v>
      </c>
      <c r="AO929" s="137">
        <v>1</v>
      </c>
      <c r="AP929" s="137">
        <v>1</v>
      </c>
      <c r="AQ929" s="137">
        <v>1</v>
      </c>
      <c r="AR929" s="137">
        <v>1</v>
      </c>
      <c r="AS929" s="158">
        <v>0.0656418488929858</v>
      </c>
      <c r="AT929" s="141">
        <v>0.117647058823529</v>
      </c>
      <c r="AU929" s="141">
        <v>0</v>
      </c>
      <c r="AV929" s="141">
        <v>0.0714285714285714</v>
      </c>
      <c r="AW929" s="141">
        <v>0.0464547677261614</v>
      </c>
      <c r="AX929" s="95"/>
      <c r="AY929" s="93"/>
    </row>
    <row r="930" ht="14.5" spans="1:51">
      <c r="A930" s="91"/>
      <c r="B930" s="95"/>
      <c r="C930" s="180" t="s">
        <v>927</v>
      </c>
      <c r="D930" s="181" t="s">
        <v>25</v>
      </c>
      <c r="E930" s="130" t="s">
        <v>928</v>
      </c>
      <c r="F930" s="184" t="s">
        <v>959</v>
      </c>
      <c r="G930" s="185" t="s">
        <v>959</v>
      </c>
      <c r="H930" s="185" t="s">
        <v>959</v>
      </c>
      <c r="I930" s="185" t="s">
        <v>959</v>
      </c>
      <c r="J930" s="132">
        <v>0.9</v>
      </c>
      <c r="K930" s="133">
        <v>0.95</v>
      </c>
      <c r="L930" s="133">
        <v>0.956521739130435</v>
      </c>
      <c r="M930" s="134">
        <v>0.92</v>
      </c>
      <c r="N930" s="133">
        <v>0.985645933014354</v>
      </c>
      <c r="O930" s="135">
        <v>0.9</v>
      </c>
      <c r="P930" s="133">
        <v>0.931743421052632</v>
      </c>
      <c r="Q930" s="133">
        <v>0.958029197080292</v>
      </c>
      <c r="R930" s="133">
        <v>0.962941847206385</v>
      </c>
      <c r="S930" s="133">
        <v>0.967871730780955</v>
      </c>
      <c r="T930" s="135">
        <v>0.9</v>
      </c>
      <c r="U930" s="133">
        <v>0.861019736842105</v>
      </c>
      <c r="V930" s="133">
        <v>0.911192214111922</v>
      </c>
      <c r="W930" s="133">
        <v>0.919042189281642</v>
      </c>
      <c r="X930" s="133">
        <v>0.923337194415656</v>
      </c>
      <c r="Y930" s="135">
        <v>0.92</v>
      </c>
      <c r="Z930" s="135">
        <v>0.695238095238095</v>
      </c>
      <c r="AA930" s="135">
        <v>0.885989010989011</v>
      </c>
      <c r="AB930" s="135">
        <v>0.929230769230769</v>
      </c>
      <c r="AC930" s="135">
        <v>0.914596913936793</v>
      </c>
      <c r="AD930" s="135">
        <v>0.92</v>
      </c>
      <c r="AE930" s="133">
        <v>0.990027198549411</v>
      </c>
      <c r="AF930" s="133">
        <v>0.996694214876033</v>
      </c>
      <c r="AG930" s="133">
        <v>0.996838777660696</v>
      </c>
      <c r="AH930" s="133">
        <v>0.993460577383168</v>
      </c>
      <c r="AI930" s="135">
        <v>0.92</v>
      </c>
      <c r="AJ930" s="133">
        <v>0.895511921458626</v>
      </c>
      <c r="AK930" s="133">
        <v>0.936340640809443</v>
      </c>
      <c r="AL930" s="133">
        <v>0.94675540765391</v>
      </c>
      <c r="AM930" s="133">
        <v>0.952858955240491</v>
      </c>
      <c r="AN930" s="132">
        <v>0.99</v>
      </c>
      <c r="AO930" s="137">
        <v>1</v>
      </c>
      <c r="AP930" s="137">
        <v>1</v>
      </c>
      <c r="AQ930" s="137">
        <v>1</v>
      </c>
      <c r="AR930" s="137">
        <v>1</v>
      </c>
      <c r="AS930" s="158">
        <v>0.0656418488929858</v>
      </c>
      <c r="AT930" s="141">
        <v>0.1</v>
      </c>
      <c r="AU930" s="141">
        <v>0</v>
      </c>
      <c r="AV930" s="141">
        <v>0</v>
      </c>
      <c r="AW930" s="141">
        <v>0.0514705882352941</v>
      </c>
      <c r="AX930" s="95"/>
      <c r="AY930" s="93"/>
    </row>
    <row r="931" ht="14.5" spans="1:51">
      <c r="A931" s="91"/>
      <c r="B931" s="95"/>
      <c r="C931" s="180" t="s">
        <v>927</v>
      </c>
      <c r="D931" s="181" t="s">
        <v>25</v>
      </c>
      <c r="E931" s="130" t="s">
        <v>928</v>
      </c>
      <c r="F931" s="184" t="s">
        <v>960</v>
      </c>
      <c r="G931" s="185" t="s">
        <v>960</v>
      </c>
      <c r="H931" s="185" t="s">
        <v>960</v>
      </c>
      <c r="I931" s="185" t="s">
        <v>960</v>
      </c>
      <c r="J931" s="132">
        <v>0.9</v>
      </c>
      <c r="K931" s="133">
        <v>0.970588235294118</v>
      </c>
      <c r="L931" s="133">
        <v>0.944444444444444</v>
      </c>
      <c r="M931" s="134">
        <v>0.971428571428571</v>
      </c>
      <c r="N931" s="133">
        <v>0.955621301775148</v>
      </c>
      <c r="O931" s="135">
        <v>0.9</v>
      </c>
      <c r="P931" s="133">
        <v>0.925279520043632</v>
      </c>
      <c r="Q931" s="133">
        <v>0.919954128440367</v>
      </c>
      <c r="R931" s="133">
        <v>0.929435483870968</v>
      </c>
      <c r="S931" s="133">
        <v>0.958470457192041</v>
      </c>
      <c r="T931" s="135">
        <v>0.9</v>
      </c>
      <c r="U931" s="133">
        <v>0.908917371148077</v>
      </c>
      <c r="V931" s="133">
        <v>0.912155963302752</v>
      </c>
      <c r="W931" s="133">
        <v>0.864415322580645</v>
      </c>
      <c r="X931" s="133">
        <v>0.911662700622753</v>
      </c>
      <c r="Y931" s="135">
        <v>0.92</v>
      </c>
      <c r="Z931" s="135">
        <v>0.333333333333333</v>
      </c>
      <c r="AA931" s="135" t="s">
        <v>35</v>
      </c>
      <c r="AB931" s="135" t="s">
        <v>35</v>
      </c>
      <c r="AC931" s="135">
        <v>0.6</v>
      </c>
      <c r="AD931" s="135">
        <v>0.92</v>
      </c>
      <c r="AE931" s="133">
        <v>0.98805529459133</v>
      </c>
      <c r="AF931" s="133">
        <v>0.988235294117647</v>
      </c>
      <c r="AG931" s="133">
        <v>0.995072614107884</v>
      </c>
      <c r="AH931" s="133">
        <v>0.994409424575845</v>
      </c>
      <c r="AI931" s="135">
        <v>0.92</v>
      </c>
      <c r="AJ931" s="133">
        <v>0.947698174884228</v>
      </c>
      <c r="AK931" s="133">
        <v>0.957339449541284</v>
      </c>
      <c r="AL931" s="133">
        <v>0.957420005039053</v>
      </c>
      <c r="AM931" s="133">
        <v>0.965676534241201</v>
      </c>
      <c r="AN931" s="132">
        <v>0.99</v>
      </c>
      <c r="AO931" s="137">
        <v>1</v>
      </c>
      <c r="AP931" s="137">
        <v>1</v>
      </c>
      <c r="AQ931" s="137">
        <v>1</v>
      </c>
      <c r="AR931" s="137">
        <v>1</v>
      </c>
      <c r="AS931" s="158">
        <v>0.0656418488929858</v>
      </c>
      <c r="AT931" s="141">
        <v>0</v>
      </c>
      <c r="AU931" s="141">
        <v>0</v>
      </c>
      <c r="AV931" s="141">
        <v>0.166666666666667</v>
      </c>
      <c r="AW931" s="141">
        <v>0.0476190476190476</v>
      </c>
      <c r="AX931" s="95"/>
      <c r="AY931" s="93"/>
    </row>
    <row r="932" ht="14.5" spans="1:51">
      <c r="A932" s="91"/>
      <c r="B932" s="95"/>
      <c r="C932" s="180" t="s">
        <v>927</v>
      </c>
      <c r="D932" s="181" t="s">
        <v>25</v>
      </c>
      <c r="E932" s="130" t="s">
        <v>928</v>
      </c>
      <c r="F932" s="188" t="s">
        <v>961</v>
      </c>
      <c r="G932" s="189" t="s">
        <v>961</v>
      </c>
      <c r="H932" s="189" t="s">
        <v>961</v>
      </c>
      <c r="I932" s="189" t="s">
        <v>961</v>
      </c>
      <c r="J932" s="132">
        <v>0.9</v>
      </c>
      <c r="K932" s="133">
        <v>1</v>
      </c>
      <c r="L932" s="133">
        <v>1</v>
      </c>
      <c r="M932" s="134">
        <v>1</v>
      </c>
      <c r="N932" s="133">
        <v>0.997772828507795</v>
      </c>
      <c r="O932" s="135">
        <v>0.9</v>
      </c>
      <c r="P932" s="133">
        <v>0.998556998556999</v>
      </c>
      <c r="Q932" s="133">
        <v>0.992021276595745</v>
      </c>
      <c r="R932" s="133">
        <v>0.994717379820391</v>
      </c>
      <c r="S932" s="133">
        <v>0.985426339944711</v>
      </c>
      <c r="T932" s="135">
        <v>0.9</v>
      </c>
      <c r="U932" s="133">
        <v>0.965367965367965</v>
      </c>
      <c r="V932" s="133">
        <v>0.946808510638298</v>
      </c>
      <c r="W932" s="133">
        <v>0.960908610670893</v>
      </c>
      <c r="X932" s="133">
        <v>0.945248127969081</v>
      </c>
      <c r="Y932" s="135">
        <v>0.92</v>
      </c>
      <c r="Z932" s="135">
        <v>0.895454545454546</v>
      </c>
      <c r="AA932" s="135">
        <v>0.959361393323657</v>
      </c>
      <c r="AB932" s="135">
        <v>0.932710280373832</v>
      </c>
      <c r="AC932" s="135">
        <v>0.942594174020306</v>
      </c>
      <c r="AD932" s="135">
        <v>0.92</v>
      </c>
      <c r="AE932" s="133">
        <v>0.986720554272517</v>
      </c>
      <c r="AF932" s="133">
        <v>0.987878787878788</v>
      </c>
      <c r="AG932" s="133">
        <v>0.989801699716714</v>
      </c>
      <c r="AH932" s="133">
        <v>0.991799232035107</v>
      </c>
      <c r="AI932" s="135">
        <v>0.92</v>
      </c>
      <c r="AJ932" s="133">
        <v>0.975108898568762</v>
      </c>
      <c r="AK932" s="133">
        <v>0.976644608797197</v>
      </c>
      <c r="AL932" s="133">
        <v>0.981054365733114</v>
      </c>
      <c r="AM932" s="133">
        <v>0.980313807531381</v>
      </c>
      <c r="AN932" s="132">
        <v>0.99</v>
      </c>
      <c r="AO932" s="137">
        <v>1</v>
      </c>
      <c r="AP932" s="137">
        <v>1</v>
      </c>
      <c r="AQ932" s="137">
        <v>1</v>
      </c>
      <c r="AR932" s="137">
        <v>1</v>
      </c>
      <c r="AS932" s="158">
        <v>0.0656418488929858</v>
      </c>
      <c r="AT932" s="141">
        <v>0.142857142857143</v>
      </c>
      <c r="AU932" s="141">
        <v>0</v>
      </c>
      <c r="AV932" s="141">
        <v>0.25</v>
      </c>
      <c r="AW932" s="141">
        <v>0.0563380281690141</v>
      </c>
      <c r="AX932" s="95"/>
      <c r="AY932" s="93"/>
    </row>
    <row r="933" ht="14.5" spans="1:51">
      <c r="A933" s="91"/>
      <c r="B933" s="95"/>
      <c r="C933" s="180" t="s">
        <v>927</v>
      </c>
      <c r="D933" s="181" t="s">
        <v>25</v>
      </c>
      <c r="E933" s="130" t="s">
        <v>928</v>
      </c>
      <c r="F933" s="184" t="s">
        <v>962</v>
      </c>
      <c r="G933" s="185" t="s">
        <v>962</v>
      </c>
      <c r="H933" s="185" t="s">
        <v>962</v>
      </c>
      <c r="I933" s="185" t="s">
        <v>962</v>
      </c>
      <c r="J933" s="132">
        <v>0.9</v>
      </c>
      <c r="K933" s="133">
        <v>0.951219512195122</v>
      </c>
      <c r="L933" s="133">
        <v>0.975</v>
      </c>
      <c r="M933" s="134">
        <v>0.952380952380952</v>
      </c>
      <c r="N933" s="133">
        <v>0.954896907216495</v>
      </c>
      <c r="O933" s="135">
        <v>0.9</v>
      </c>
      <c r="P933" s="133">
        <v>0.937912417516497</v>
      </c>
      <c r="Q933" s="133">
        <v>0.93208059769074</v>
      </c>
      <c r="R933" s="133">
        <v>0.940528634361233</v>
      </c>
      <c r="S933" s="133">
        <v>0.956466569058077</v>
      </c>
      <c r="T933" s="135">
        <v>0.9</v>
      </c>
      <c r="U933" s="133">
        <v>0.897420515896821</v>
      </c>
      <c r="V933" s="133">
        <v>0.87616028978945</v>
      </c>
      <c r="W933" s="133">
        <v>0.931962799804209</v>
      </c>
      <c r="X933" s="133">
        <v>0.928062469497316</v>
      </c>
      <c r="Y933" s="135">
        <v>0.92</v>
      </c>
      <c r="Z933" s="135" t="s">
        <v>35</v>
      </c>
      <c r="AA933" s="135" t="s">
        <v>35</v>
      </c>
      <c r="AB933" s="135" t="s">
        <v>35</v>
      </c>
      <c r="AC933" s="135">
        <v>0</v>
      </c>
      <c r="AD933" s="135">
        <v>0.92</v>
      </c>
      <c r="AE933" s="133">
        <v>0.985882352941176</v>
      </c>
      <c r="AF933" s="133">
        <v>0.957236842105263</v>
      </c>
      <c r="AG933" s="133">
        <v>0.978576893649579</v>
      </c>
      <c r="AH933" s="133">
        <v>0.982830998537805</v>
      </c>
      <c r="AI933" s="135">
        <v>0.92</v>
      </c>
      <c r="AJ933" s="133">
        <v>0.922015596880624</v>
      </c>
      <c r="AK933" s="133">
        <v>0.910572786959475</v>
      </c>
      <c r="AL933" s="133">
        <v>0.9642682329907</v>
      </c>
      <c r="AM933" s="133">
        <v>0.95560408457062</v>
      </c>
      <c r="AN933" s="132">
        <v>0.99</v>
      </c>
      <c r="AO933" s="137">
        <v>1</v>
      </c>
      <c r="AP933" s="137">
        <v>1</v>
      </c>
      <c r="AQ933" s="137">
        <v>1</v>
      </c>
      <c r="AR933" s="137">
        <v>1</v>
      </c>
      <c r="AS933" s="158">
        <v>0.0656418488929858</v>
      </c>
      <c r="AT933" s="141">
        <v>0</v>
      </c>
      <c r="AU933" s="141">
        <v>0</v>
      </c>
      <c r="AV933" s="141">
        <v>0.0769230769230769</v>
      </c>
      <c r="AW933" s="141">
        <v>0.0547445255474453</v>
      </c>
      <c r="AX933" s="95"/>
      <c r="AY933" s="93"/>
    </row>
    <row r="934" ht="14.5" spans="1:51">
      <c r="A934" s="91"/>
      <c r="B934" s="95"/>
      <c r="C934" s="180" t="s">
        <v>927</v>
      </c>
      <c r="D934" s="181" t="s">
        <v>25</v>
      </c>
      <c r="E934" s="130" t="s">
        <v>928</v>
      </c>
      <c r="F934" s="184" t="s">
        <v>963</v>
      </c>
      <c r="G934" s="185" t="s">
        <v>963</v>
      </c>
      <c r="H934" s="185" t="s">
        <v>963</v>
      </c>
      <c r="I934" s="185" t="s">
        <v>963</v>
      </c>
      <c r="J934" s="132">
        <v>0.9</v>
      </c>
      <c r="K934" s="133">
        <v>0.806451612903226</v>
      </c>
      <c r="L934" s="133">
        <v>0.846153846153846</v>
      </c>
      <c r="M934" s="134">
        <v>0.837837837837838</v>
      </c>
      <c r="N934" s="133">
        <v>0.833333333333333</v>
      </c>
      <c r="O934" s="135">
        <v>0.9</v>
      </c>
      <c r="P934" s="133">
        <v>0.879259980525803</v>
      </c>
      <c r="Q934" s="133">
        <v>0.898792169929196</v>
      </c>
      <c r="R934" s="133">
        <v>0.883426966292135</v>
      </c>
      <c r="S934" s="133">
        <v>0.910805300713558</v>
      </c>
      <c r="T934" s="135">
        <v>0.9</v>
      </c>
      <c r="U934" s="133">
        <v>0.892891918208374</v>
      </c>
      <c r="V934" s="133">
        <v>0.869637650978759</v>
      </c>
      <c r="W934" s="133">
        <v>0.838483146067416</v>
      </c>
      <c r="X934" s="133">
        <v>0.892311052861512</v>
      </c>
      <c r="Y934" s="135">
        <v>0.92</v>
      </c>
      <c r="Z934" s="135">
        <v>0.857142857142857</v>
      </c>
      <c r="AA934" s="135">
        <v>0.726190476190476</v>
      </c>
      <c r="AB934" s="135">
        <v>0.787330316742081</v>
      </c>
      <c r="AC934" s="135">
        <v>0.864578313253012</v>
      </c>
      <c r="AD934" s="135">
        <v>0.92</v>
      </c>
      <c r="AE934" s="133">
        <v>0.995656732065299</v>
      </c>
      <c r="AF934" s="133">
        <v>0.998268744173658</v>
      </c>
      <c r="AG934" s="133">
        <v>0.993131868131868</v>
      </c>
      <c r="AH934" s="133">
        <v>0.976285607738381</v>
      </c>
      <c r="AI934" s="135">
        <v>0.92</v>
      </c>
      <c r="AJ934" s="133">
        <v>0.905633802816901</v>
      </c>
      <c r="AK934" s="133">
        <v>0.883534136546185</v>
      </c>
      <c r="AL934" s="133">
        <v>0.895357142857143</v>
      </c>
      <c r="AM934" s="133">
        <v>0.93529628409157</v>
      </c>
      <c r="AN934" s="132">
        <v>0.99</v>
      </c>
      <c r="AO934" s="137">
        <v>1</v>
      </c>
      <c r="AP934" s="137">
        <v>1</v>
      </c>
      <c r="AQ934" s="137">
        <v>1</v>
      </c>
      <c r="AR934" s="137">
        <v>1</v>
      </c>
      <c r="AS934" s="158">
        <v>0.0656418488929858</v>
      </c>
      <c r="AT934" s="141">
        <v>0.09375</v>
      </c>
      <c r="AU934" s="141">
        <v>0.113636363636364</v>
      </c>
      <c r="AV934" s="141">
        <v>0.0256410256410256</v>
      </c>
      <c r="AW934" s="141">
        <v>0.0618556701030928</v>
      </c>
      <c r="AX934" s="95"/>
      <c r="AY934" s="93"/>
    </row>
    <row r="935" ht="14.5" spans="1:51">
      <c r="A935" s="91"/>
      <c r="B935" s="95"/>
      <c r="C935" s="180" t="s">
        <v>927</v>
      </c>
      <c r="D935" s="181" t="s">
        <v>25</v>
      </c>
      <c r="E935" s="130" t="s">
        <v>928</v>
      </c>
      <c r="F935" s="184" t="s">
        <v>964</v>
      </c>
      <c r="G935" s="185" t="s">
        <v>964</v>
      </c>
      <c r="H935" s="185" t="s">
        <v>964</v>
      </c>
      <c r="I935" s="185" t="s">
        <v>964</v>
      </c>
      <c r="J935" s="132">
        <v>0.9</v>
      </c>
      <c r="K935" s="133">
        <v>0.916666666666667</v>
      </c>
      <c r="L935" s="133">
        <v>0.961538461538462</v>
      </c>
      <c r="M935" s="134">
        <v>0.961538461538462</v>
      </c>
      <c r="N935" s="133">
        <v>0.947598253275109</v>
      </c>
      <c r="O935" s="135">
        <v>0.9</v>
      </c>
      <c r="P935" s="133">
        <v>0.913362701908957</v>
      </c>
      <c r="Q935" s="133">
        <v>0.871196036801132</v>
      </c>
      <c r="R935" s="133">
        <v>0.891936824605154</v>
      </c>
      <c r="S935" s="133">
        <v>0.896860054065294</v>
      </c>
      <c r="T935" s="135">
        <v>0.9</v>
      </c>
      <c r="U935" s="133">
        <v>0.816446402349486</v>
      </c>
      <c r="V935" s="133">
        <v>0.843595187544232</v>
      </c>
      <c r="W935" s="133">
        <v>0.860349127182045</v>
      </c>
      <c r="X935" s="133">
        <v>0.857475566645872</v>
      </c>
      <c r="Y935" s="135">
        <v>0.92</v>
      </c>
      <c r="Z935" s="135">
        <v>0.890566037735849</v>
      </c>
      <c r="AA935" s="135">
        <v>0.907216494845361</v>
      </c>
      <c r="AB935" s="135">
        <v>0.885941644562334</v>
      </c>
      <c r="AC935" s="135">
        <v>0.914312766293199</v>
      </c>
      <c r="AD935" s="135">
        <v>0.92</v>
      </c>
      <c r="AE935" s="133">
        <v>0.998842592592593</v>
      </c>
      <c r="AF935" s="133">
        <v>0.983935742971888</v>
      </c>
      <c r="AG935" s="133">
        <v>0.984011627906977</v>
      </c>
      <c r="AH935" s="133">
        <v>0.974691706294834</v>
      </c>
      <c r="AI935" s="135">
        <v>0.92</v>
      </c>
      <c r="AJ935" s="133">
        <v>0.927061310782241</v>
      </c>
      <c r="AK935" s="133">
        <v>0.912313432835821</v>
      </c>
      <c r="AL935" s="133">
        <v>0.9044908285895</v>
      </c>
      <c r="AM935" s="133">
        <v>0.942740555482427</v>
      </c>
      <c r="AN935" s="132">
        <v>0.99</v>
      </c>
      <c r="AO935" s="137">
        <v>1</v>
      </c>
      <c r="AP935" s="137">
        <v>1</v>
      </c>
      <c r="AQ935" s="137">
        <v>1</v>
      </c>
      <c r="AR935" s="137">
        <v>1</v>
      </c>
      <c r="AS935" s="158">
        <v>0.0656418488929858</v>
      </c>
      <c r="AT935" s="141">
        <v>0.105263157894737</v>
      </c>
      <c r="AU935" s="141">
        <v>0.1</v>
      </c>
      <c r="AV935" s="141">
        <v>0</v>
      </c>
      <c r="AW935" s="141">
        <v>0.0787589498806683</v>
      </c>
      <c r="AX935" s="95"/>
      <c r="AY935" s="93"/>
    </row>
    <row r="936" ht="14.5" spans="1:51">
      <c r="A936" s="91"/>
      <c r="B936" s="95"/>
      <c r="C936" s="180" t="s">
        <v>927</v>
      </c>
      <c r="D936" s="181" t="s">
        <v>125</v>
      </c>
      <c r="E936" s="130" t="s">
        <v>928</v>
      </c>
      <c r="F936" s="184" t="s">
        <v>965</v>
      </c>
      <c r="G936" s="185" t="s">
        <v>965</v>
      </c>
      <c r="H936" s="185" t="s">
        <v>965</v>
      </c>
      <c r="I936" s="185" t="s">
        <v>965</v>
      </c>
      <c r="J936" s="132">
        <v>0.9</v>
      </c>
      <c r="K936" s="133" t="s">
        <v>35</v>
      </c>
      <c r="L936" s="133" t="s">
        <v>35</v>
      </c>
      <c r="M936" s="134" t="s">
        <v>35</v>
      </c>
      <c r="N936" s="133" t="s">
        <v>35</v>
      </c>
      <c r="O936" s="135">
        <v>0.9</v>
      </c>
      <c r="P936" s="133" t="s">
        <v>35</v>
      </c>
      <c r="Q936" s="133" t="s">
        <v>35</v>
      </c>
      <c r="R936" s="133" t="s">
        <v>35</v>
      </c>
      <c r="S936" s="133">
        <v>0</v>
      </c>
      <c r="T936" s="135">
        <v>0.9</v>
      </c>
      <c r="U936" s="133" t="s">
        <v>35</v>
      </c>
      <c r="V936" s="133" t="s">
        <v>35</v>
      </c>
      <c r="W936" s="133" t="s">
        <v>35</v>
      </c>
      <c r="X936" s="133">
        <v>1</v>
      </c>
      <c r="Y936" s="135">
        <v>0.92</v>
      </c>
      <c r="Z936" s="135" t="s">
        <v>35</v>
      </c>
      <c r="AA936" s="135" t="s">
        <v>35</v>
      </c>
      <c r="AB936" s="135" t="s">
        <v>35</v>
      </c>
      <c r="AC936" s="135" t="s">
        <v>35</v>
      </c>
      <c r="AD936" s="135">
        <v>0.92</v>
      </c>
      <c r="AE936" s="133">
        <v>1</v>
      </c>
      <c r="AF936" s="133">
        <v>1</v>
      </c>
      <c r="AG936" s="133">
        <v>1</v>
      </c>
      <c r="AH936" s="133">
        <v>0.99909604519774</v>
      </c>
      <c r="AI936" s="135">
        <v>0.92</v>
      </c>
      <c r="AJ936" s="133" t="s">
        <v>35</v>
      </c>
      <c r="AK936" s="133" t="s">
        <v>35</v>
      </c>
      <c r="AL936" s="133" t="s">
        <v>35</v>
      </c>
      <c r="AM936" s="133">
        <v>1</v>
      </c>
      <c r="AN936" s="132">
        <v>0.99</v>
      </c>
      <c r="AO936" s="137" t="s">
        <v>35</v>
      </c>
      <c r="AP936" s="137" t="s">
        <v>35</v>
      </c>
      <c r="AQ936" s="137">
        <v>1</v>
      </c>
      <c r="AR936" s="137">
        <v>1</v>
      </c>
      <c r="AS936" s="158">
        <v>0.0656418488929858</v>
      </c>
      <c r="AT936" s="141" t="s">
        <v>35</v>
      </c>
      <c r="AU936" s="141" t="s">
        <v>35</v>
      </c>
      <c r="AV936" s="141" t="s">
        <v>35</v>
      </c>
      <c r="AW936" s="141" t="s">
        <v>35</v>
      </c>
      <c r="AX936" s="95"/>
      <c r="AY936" s="93"/>
    </row>
    <row r="937" ht="14.5" spans="1:51">
      <c r="A937" s="91"/>
      <c r="B937" s="95"/>
      <c r="C937" s="180" t="s">
        <v>927</v>
      </c>
      <c r="D937" s="181" t="s">
        <v>25</v>
      </c>
      <c r="E937" s="130" t="s">
        <v>928</v>
      </c>
      <c r="F937" s="188" t="s">
        <v>966</v>
      </c>
      <c r="G937" s="189" t="s">
        <v>966</v>
      </c>
      <c r="H937" s="189" t="s">
        <v>966</v>
      </c>
      <c r="I937" s="189" t="s">
        <v>966</v>
      </c>
      <c r="J937" s="132">
        <v>0.9</v>
      </c>
      <c r="K937" s="133">
        <v>0.821428571428571</v>
      </c>
      <c r="L937" s="133">
        <v>0.827586206896552</v>
      </c>
      <c r="M937" s="134">
        <v>0.833333333333333</v>
      </c>
      <c r="N937" s="133">
        <v>0.796577946768061</v>
      </c>
      <c r="O937" s="135">
        <v>0.9</v>
      </c>
      <c r="P937" s="133">
        <v>0.897920604914934</v>
      </c>
      <c r="Q937" s="133">
        <v>0.833720390153274</v>
      </c>
      <c r="R937" s="133">
        <v>0.858947368421053</v>
      </c>
      <c r="S937" s="133">
        <v>0.885002845759818</v>
      </c>
      <c r="T937" s="135">
        <v>0.9</v>
      </c>
      <c r="U937" s="133">
        <v>0.919659735349716</v>
      </c>
      <c r="V937" s="133">
        <v>0.862981885740827</v>
      </c>
      <c r="W937" s="133">
        <v>0.866842105263158</v>
      </c>
      <c r="X937" s="133">
        <v>0.860785429709732</v>
      </c>
      <c r="Y937" s="135">
        <v>0.92</v>
      </c>
      <c r="Z937" s="135">
        <v>0.94131455399061</v>
      </c>
      <c r="AA937" s="135">
        <v>0.845878136200717</v>
      </c>
      <c r="AB937" s="135">
        <v>0.895833333333333</v>
      </c>
      <c r="AC937" s="135">
        <v>0.906337319771991</v>
      </c>
      <c r="AD937" s="135">
        <v>0.92</v>
      </c>
      <c r="AE937" s="133">
        <v>0.997134259922625</v>
      </c>
      <c r="AF937" s="133">
        <v>0.997386759581881</v>
      </c>
      <c r="AG937" s="133">
        <v>0.996879334257975</v>
      </c>
      <c r="AH937" s="133">
        <v>0.993025624088294</v>
      </c>
      <c r="AI937" s="135">
        <v>0.92</v>
      </c>
      <c r="AJ937" s="133">
        <v>0.943510423671822</v>
      </c>
      <c r="AK937" s="133">
        <v>0.901848049281314</v>
      </c>
      <c r="AL937" s="133">
        <v>0.917205169628433</v>
      </c>
      <c r="AM937" s="133">
        <v>0.937278911564626</v>
      </c>
      <c r="AN937" s="132">
        <v>0.99</v>
      </c>
      <c r="AO937" s="137">
        <v>1</v>
      </c>
      <c r="AP937" s="137">
        <v>1</v>
      </c>
      <c r="AQ937" s="137">
        <v>1</v>
      </c>
      <c r="AR937" s="137">
        <v>0.999819576003608</v>
      </c>
      <c r="AS937" s="158">
        <v>0.0656418488929858</v>
      </c>
      <c r="AT937" s="141">
        <v>0.08</v>
      </c>
      <c r="AU937" s="141">
        <v>0.0606060606060606</v>
      </c>
      <c r="AV937" s="141">
        <v>0.121951219512195</v>
      </c>
      <c r="AW937" s="141">
        <v>0.0644171779141104</v>
      </c>
      <c r="AX937" s="95"/>
      <c r="AY937" s="93"/>
    </row>
    <row r="938" ht="14.5" spans="1:51">
      <c r="A938" s="91"/>
      <c r="B938" s="95"/>
      <c r="C938" s="180" t="s">
        <v>927</v>
      </c>
      <c r="D938" s="181" t="s">
        <v>25</v>
      </c>
      <c r="E938" s="130" t="s">
        <v>928</v>
      </c>
      <c r="F938" s="188" t="s">
        <v>967</v>
      </c>
      <c r="G938" s="189" t="s">
        <v>967</v>
      </c>
      <c r="H938" s="189" t="s">
        <v>967</v>
      </c>
      <c r="I938" s="189" t="s">
        <v>967</v>
      </c>
      <c r="J938" s="132">
        <v>0.9</v>
      </c>
      <c r="K938" s="133">
        <v>0.9</v>
      </c>
      <c r="L938" s="133">
        <v>0.952380952380952</v>
      </c>
      <c r="M938" s="134">
        <v>0.863636363636364</v>
      </c>
      <c r="N938" s="133">
        <v>0.941798941798942</v>
      </c>
      <c r="O938" s="135">
        <v>0.9</v>
      </c>
      <c r="P938" s="133">
        <v>0.947826086956522</v>
      </c>
      <c r="Q938" s="133">
        <v>0.862967914438503</v>
      </c>
      <c r="R938" s="133">
        <v>0.912337662337662</v>
      </c>
      <c r="S938" s="133">
        <v>0.931328937961713</v>
      </c>
      <c r="T938" s="135">
        <v>0.9</v>
      </c>
      <c r="U938" s="133">
        <v>0.9</v>
      </c>
      <c r="V938" s="133">
        <v>0.853609625668449</v>
      </c>
      <c r="W938" s="133">
        <v>0.886363636363636</v>
      </c>
      <c r="X938" s="133">
        <v>0.904360950035745</v>
      </c>
      <c r="Y938" s="135">
        <v>0.92</v>
      </c>
      <c r="Z938" s="135">
        <v>0.893382352941177</v>
      </c>
      <c r="AA938" s="135">
        <v>0.845714285714286</v>
      </c>
      <c r="AB938" s="135">
        <v>0.855721393034826</v>
      </c>
      <c r="AC938" s="135">
        <v>0.885869565217391</v>
      </c>
      <c r="AD938" s="135">
        <v>0.92</v>
      </c>
      <c r="AE938" s="133">
        <v>0.99404052443385</v>
      </c>
      <c r="AF938" s="133">
        <v>0.990740740740741</v>
      </c>
      <c r="AG938" s="133">
        <v>0.992741935483871</v>
      </c>
      <c r="AH938" s="133">
        <v>0.98491262346684</v>
      </c>
      <c r="AI938" s="135">
        <v>0.92</v>
      </c>
      <c r="AJ938" s="133">
        <v>0.925773195876289</v>
      </c>
      <c r="AK938" s="133">
        <v>0.89048473967684</v>
      </c>
      <c r="AL938" s="133">
        <v>0.920634920634921</v>
      </c>
      <c r="AM938" s="133">
        <v>0.943141796490783</v>
      </c>
      <c r="AN938" s="132">
        <v>0.99</v>
      </c>
      <c r="AO938" s="137">
        <v>1</v>
      </c>
      <c r="AP938" s="137">
        <v>1</v>
      </c>
      <c r="AQ938" s="137">
        <v>1</v>
      </c>
      <c r="AR938" s="137">
        <v>1</v>
      </c>
      <c r="AS938" s="158">
        <v>0.0656418488929858</v>
      </c>
      <c r="AT938" s="141">
        <v>0</v>
      </c>
      <c r="AU938" s="141">
        <v>0.138888888888889</v>
      </c>
      <c r="AV938" s="141">
        <v>0.0222222222222222</v>
      </c>
      <c r="AW938" s="141">
        <v>0.0205831903945112</v>
      </c>
      <c r="AX938" s="95"/>
      <c r="AY938" s="93"/>
    </row>
    <row r="939" ht="14.5" spans="1:51">
      <c r="A939" s="91"/>
      <c r="B939" s="95"/>
      <c r="C939" s="180" t="s">
        <v>927</v>
      </c>
      <c r="D939" s="181" t="s">
        <v>125</v>
      </c>
      <c r="E939" s="130" t="s">
        <v>928</v>
      </c>
      <c r="F939" s="184" t="s">
        <v>968</v>
      </c>
      <c r="G939" s="185" t="s">
        <v>968</v>
      </c>
      <c r="H939" s="185" t="s">
        <v>968</v>
      </c>
      <c r="I939" s="185" t="s">
        <v>968</v>
      </c>
      <c r="J939" s="132">
        <v>0.9</v>
      </c>
      <c r="K939" s="133" t="s">
        <v>35</v>
      </c>
      <c r="L939" s="133" t="s">
        <v>35</v>
      </c>
      <c r="M939" s="134" t="s">
        <v>35</v>
      </c>
      <c r="N939" s="133" t="s">
        <v>35</v>
      </c>
      <c r="O939" s="135">
        <v>0.9</v>
      </c>
      <c r="P939" s="133" t="s">
        <v>35</v>
      </c>
      <c r="Q939" s="133" t="s">
        <v>35</v>
      </c>
      <c r="R939" s="133" t="s">
        <v>35</v>
      </c>
      <c r="S939" s="133">
        <v>0</v>
      </c>
      <c r="T939" s="135">
        <v>0.9</v>
      </c>
      <c r="U939" s="133" t="s">
        <v>35</v>
      </c>
      <c r="V939" s="133" t="s">
        <v>35</v>
      </c>
      <c r="W939" s="133" t="s">
        <v>35</v>
      </c>
      <c r="X939" s="133">
        <v>1</v>
      </c>
      <c r="Y939" s="135">
        <v>0.92</v>
      </c>
      <c r="Z939" s="135" t="s">
        <v>35</v>
      </c>
      <c r="AA939" s="135" t="s">
        <v>35</v>
      </c>
      <c r="AB939" s="135" t="s">
        <v>35</v>
      </c>
      <c r="AC939" s="135" t="s">
        <v>35</v>
      </c>
      <c r="AD939" s="135">
        <v>0.92</v>
      </c>
      <c r="AE939" s="133">
        <v>1</v>
      </c>
      <c r="AF939" s="133">
        <v>1</v>
      </c>
      <c r="AG939" s="133">
        <v>1</v>
      </c>
      <c r="AH939" s="133">
        <v>0.995285040720103</v>
      </c>
      <c r="AI939" s="135">
        <v>0.92</v>
      </c>
      <c r="AJ939" s="133" t="s">
        <v>35</v>
      </c>
      <c r="AK939" s="133" t="s">
        <v>35</v>
      </c>
      <c r="AL939" s="133" t="s">
        <v>35</v>
      </c>
      <c r="AM939" s="133">
        <v>1</v>
      </c>
      <c r="AN939" s="132">
        <v>0.99</v>
      </c>
      <c r="AO939" s="137">
        <v>1</v>
      </c>
      <c r="AP939" s="137" t="s">
        <v>35</v>
      </c>
      <c r="AQ939" s="137" t="s">
        <v>35</v>
      </c>
      <c r="AR939" s="137">
        <v>1</v>
      </c>
      <c r="AS939" s="158">
        <v>0.0656418488929858</v>
      </c>
      <c r="AT939" s="141" t="s">
        <v>35</v>
      </c>
      <c r="AU939" s="141" t="s">
        <v>35</v>
      </c>
      <c r="AV939" s="141" t="s">
        <v>35</v>
      </c>
      <c r="AW939" s="141" t="s">
        <v>35</v>
      </c>
      <c r="AX939" s="95"/>
      <c r="AY939" s="93"/>
    </row>
    <row r="940" ht="14.5" spans="1:51">
      <c r="A940" s="91"/>
      <c r="B940" s="95"/>
      <c r="C940" s="180" t="s">
        <v>927</v>
      </c>
      <c r="D940" s="181" t="s">
        <v>125</v>
      </c>
      <c r="E940" s="130" t="s">
        <v>928</v>
      </c>
      <c r="F940" s="184" t="s">
        <v>969</v>
      </c>
      <c r="G940" s="185" t="s">
        <v>969</v>
      </c>
      <c r="H940" s="185" t="s">
        <v>969</v>
      </c>
      <c r="I940" s="185" t="s">
        <v>969</v>
      </c>
      <c r="J940" s="132">
        <v>0.9</v>
      </c>
      <c r="K940" s="133" t="s">
        <v>35</v>
      </c>
      <c r="L940" s="133" t="s">
        <v>35</v>
      </c>
      <c r="M940" s="134" t="s">
        <v>35</v>
      </c>
      <c r="N940" s="133" t="s">
        <v>35</v>
      </c>
      <c r="O940" s="135">
        <v>0.9</v>
      </c>
      <c r="P940" s="133" t="s">
        <v>35</v>
      </c>
      <c r="Q940" s="133" t="s">
        <v>35</v>
      </c>
      <c r="R940" s="133" t="s">
        <v>35</v>
      </c>
      <c r="S940" s="133" t="s">
        <v>35</v>
      </c>
      <c r="T940" s="135">
        <v>0.9</v>
      </c>
      <c r="U940" s="133" t="s">
        <v>35</v>
      </c>
      <c r="V940" s="133" t="s">
        <v>35</v>
      </c>
      <c r="W940" s="133" t="s">
        <v>35</v>
      </c>
      <c r="X940" s="133" t="s">
        <v>35</v>
      </c>
      <c r="Y940" s="135">
        <v>0.92</v>
      </c>
      <c r="Z940" s="135" t="s">
        <v>35</v>
      </c>
      <c r="AA940" s="135" t="s">
        <v>35</v>
      </c>
      <c r="AB940" s="135" t="s">
        <v>35</v>
      </c>
      <c r="AC940" s="135" t="s">
        <v>35</v>
      </c>
      <c r="AD940" s="135">
        <v>0.92</v>
      </c>
      <c r="AE940" s="133">
        <v>1</v>
      </c>
      <c r="AF940" s="133">
        <v>1</v>
      </c>
      <c r="AG940" s="133">
        <v>1</v>
      </c>
      <c r="AH940" s="133">
        <v>0.999609107788527</v>
      </c>
      <c r="AI940" s="135">
        <v>0.92</v>
      </c>
      <c r="AJ940" s="133" t="s">
        <v>35</v>
      </c>
      <c r="AK940" s="133" t="s">
        <v>35</v>
      </c>
      <c r="AL940" s="133" t="s">
        <v>35</v>
      </c>
      <c r="AM940" s="133" t="s">
        <v>35</v>
      </c>
      <c r="AN940" s="132">
        <v>0.99</v>
      </c>
      <c r="AO940" s="137">
        <v>1</v>
      </c>
      <c r="AP940" s="137">
        <v>1</v>
      </c>
      <c r="AQ940" s="137">
        <v>1</v>
      </c>
      <c r="AR940" s="137">
        <v>1</v>
      </c>
      <c r="AS940" s="158">
        <v>0.0656418488929858</v>
      </c>
      <c r="AT940" s="141" t="s">
        <v>35</v>
      </c>
      <c r="AU940" s="141" t="s">
        <v>35</v>
      </c>
      <c r="AV940" s="141" t="s">
        <v>35</v>
      </c>
      <c r="AW940" s="141" t="s">
        <v>35</v>
      </c>
      <c r="AX940" s="95"/>
      <c r="AY940" s="93"/>
    </row>
    <row r="941" ht="14.5" spans="1:51">
      <c r="A941" s="91"/>
      <c r="B941" s="95"/>
      <c r="C941" s="180" t="s">
        <v>927</v>
      </c>
      <c r="D941" s="181" t="s">
        <v>25</v>
      </c>
      <c r="E941" s="130" t="s">
        <v>928</v>
      </c>
      <c r="F941" s="184" t="s">
        <v>970</v>
      </c>
      <c r="G941" s="185" t="s">
        <v>970</v>
      </c>
      <c r="H941" s="185" t="s">
        <v>970</v>
      </c>
      <c r="I941" s="185" t="s">
        <v>970</v>
      </c>
      <c r="J941" s="132">
        <v>0.9</v>
      </c>
      <c r="K941" s="133">
        <v>1</v>
      </c>
      <c r="L941" s="133">
        <v>0.85</v>
      </c>
      <c r="M941" s="134">
        <v>0.944444444444444</v>
      </c>
      <c r="N941" s="133">
        <v>0.946268656716418</v>
      </c>
      <c r="O941" s="135">
        <v>0.9</v>
      </c>
      <c r="P941" s="133">
        <v>0.965449160908193</v>
      </c>
      <c r="Q941" s="133">
        <v>0.966386554621849</v>
      </c>
      <c r="R941" s="133">
        <v>0.921095890410959</v>
      </c>
      <c r="S941" s="133">
        <v>0.96021236534247</v>
      </c>
      <c r="T941" s="135">
        <v>0.9</v>
      </c>
      <c r="U941" s="133">
        <v>0.93385982230997</v>
      </c>
      <c r="V941" s="133">
        <v>0.945054945054945</v>
      </c>
      <c r="W941" s="133">
        <v>0.900821917808219</v>
      </c>
      <c r="X941" s="133">
        <v>0.927338951137451</v>
      </c>
      <c r="Y941" s="135">
        <v>0.92</v>
      </c>
      <c r="Z941" s="135">
        <v>0.930769230769231</v>
      </c>
      <c r="AA941" s="135">
        <v>0.981927710843373</v>
      </c>
      <c r="AB941" s="135">
        <v>0.956164383561644</v>
      </c>
      <c r="AC941" s="135">
        <v>0.950536630891274</v>
      </c>
      <c r="AD941" s="135">
        <v>0.92</v>
      </c>
      <c r="AE941" s="133">
        <v>0.999352436457827</v>
      </c>
      <c r="AF941" s="133">
        <v>0.997665369649805</v>
      </c>
      <c r="AG941" s="133">
        <v>0.999831593129</v>
      </c>
      <c r="AH941" s="133">
        <v>0.984831042718979</v>
      </c>
      <c r="AI941" s="135">
        <v>0.92</v>
      </c>
      <c r="AJ941" s="133">
        <v>0.966274509803922</v>
      </c>
      <c r="AK941" s="133">
        <v>0.976065382370111</v>
      </c>
      <c r="AL941" s="133">
        <v>0.961187214611872</v>
      </c>
      <c r="AM941" s="133">
        <v>0.972601328732554</v>
      </c>
      <c r="AN941" s="132">
        <v>0.99</v>
      </c>
      <c r="AO941" s="137">
        <v>1</v>
      </c>
      <c r="AP941" s="137">
        <v>1</v>
      </c>
      <c r="AQ941" s="137">
        <v>1</v>
      </c>
      <c r="AR941" s="137">
        <v>1</v>
      </c>
      <c r="AS941" s="158">
        <v>0.0656418488929858</v>
      </c>
      <c r="AT941" s="141">
        <v>0</v>
      </c>
      <c r="AU941" s="141">
        <v>0</v>
      </c>
      <c r="AV941" s="141">
        <v>0</v>
      </c>
      <c r="AW941" s="141">
        <v>0.0310077519379845</v>
      </c>
      <c r="AX941" s="95"/>
      <c r="AY941" s="93"/>
    </row>
    <row r="942" ht="14.5" spans="1:51">
      <c r="A942" s="91"/>
      <c r="B942" s="95"/>
      <c r="C942" s="180" t="s">
        <v>927</v>
      </c>
      <c r="D942" s="181" t="s">
        <v>25</v>
      </c>
      <c r="E942" s="130" t="s">
        <v>928</v>
      </c>
      <c r="F942" s="184" t="s">
        <v>971</v>
      </c>
      <c r="G942" s="185" t="s">
        <v>971</v>
      </c>
      <c r="H942" s="185" t="s">
        <v>971</v>
      </c>
      <c r="I942" s="185" t="s">
        <v>971</v>
      </c>
      <c r="J942" s="132">
        <v>0.9</v>
      </c>
      <c r="K942" s="133">
        <v>1</v>
      </c>
      <c r="L942" s="133">
        <v>1</v>
      </c>
      <c r="M942" s="134">
        <v>0.892857142857143</v>
      </c>
      <c r="N942" s="133">
        <v>0.976516634050881</v>
      </c>
      <c r="O942" s="135">
        <v>0.9</v>
      </c>
      <c r="P942" s="133">
        <v>0.984975961538462</v>
      </c>
      <c r="Q942" s="133">
        <v>0.950516986706056</v>
      </c>
      <c r="R942" s="133">
        <v>0.966113181972213</v>
      </c>
      <c r="S942" s="133">
        <v>0.94216311109415</v>
      </c>
      <c r="T942" s="135">
        <v>0.9</v>
      </c>
      <c r="U942" s="133">
        <v>0.953125</v>
      </c>
      <c r="V942" s="133">
        <v>0.91506646971935</v>
      </c>
      <c r="W942" s="133">
        <v>0.917993900372755</v>
      </c>
      <c r="X942" s="133">
        <v>0.902358508567721</v>
      </c>
      <c r="Y942" s="135">
        <v>0.92</v>
      </c>
      <c r="Z942" s="135">
        <v>0.954054054054054</v>
      </c>
      <c r="AA942" s="135">
        <v>0.956228956228956</v>
      </c>
      <c r="AB942" s="135">
        <v>0.926646706586826</v>
      </c>
      <c r="AC942" s="135">
        <v>0.948715453483846</v>
      </c>
      <c r="AD942" s="135">
        <v>0.92</v>
      </c>
      <c r="AE942" s="133">
        <v>1</v>
      </c>
      <c r="AF942" s="133">
        <v>0.999627282892285</v>
      </c>
      <c r="AG942" s="133">
        <v>0.999247554552295</v>
      </c>
      <c r="AH942" s="133">
        <v>0.99742204000497</v>
      </c>
      <c r="AI942" s="135">
        <v>0.92</v>
      </c>
      <c r="AJ942" s="133">
        <v>0.97984267453294</v>
      </c>
      <c r="AK942" s="133">
        <v>0.971381031613977</v>
      </c>
      <c r="AL942" s="133">
        <v>0.964078474716773</v>
      </c>
      <c r="AM942" s="133">
        <v>0.972608203181086</v>
      </c>
      <c r="AN942" s="132">
        <v>0.99</v>
      </c>
      <c r="AO942" s="137">
        <v>1</v>
      </c>
      <c r="AP942" s="137">
        <v>1</v>
      </c>
      <c r="AQ942" s="137">
        <v>1</v>
      </c>
      <c r="AR942" s="137">
        <v>1</v>
      </c>
      <c r="AS942" s="158">
        <v>0.0656418488929858</v>
      </c>
      <c r="AT942" s="141">
        <v>0.166666666666667</v>
      </c>
      <c r="AU942" s="141">
        <v>0</v>
      </c>
      <c r="AV942" s="141">
        <v>0</v>
      </c>
      <c r="AW942" s="141">
        <v>0.0509090909090909</v>
      </c>
      <c r="AX942" s="95"/>
      <c r="AY942" s="93"/>
    </row>
    <row r="943" ht="14.5" spans="1:51">
      <c r="A943" s="91"/>
      <c r="B943" s="95"/>
      <c r="C943" s="180" t="s">
        <v>927</v>
      </c>
      <c r="D943" s="181" t="s">
        <v>25</v>
      </c>
      <c r="E943" s="130" t="s">
        <v>928</v>
      </c>
      <c r="F943" s="184" t="s">
        <v>972</v>
      </c>
      <c r="G943" s="185" t="s">
        <v>972</v>
      </c>
      <c r="H943" s="185" t="s">
        <v>972</v>
      </c>
      <c r="I943" s="185" t="s">
        <v>972</v>
      </c>
      <c r="J943" s="132">
        <v>0.9</v>
      </c>
      <c r="K943" s="133">
        <v>0.897435897435897</v>
      </c>
      <c r="L943" s="133">
        <v>0.956521739130435</v>
      </c>
      <c r="M943" s="134">
        <v>1</v>
      </c>
      <c r="N943" s="133">
        <v>0.941975308641975</v>
      </c>
      <c r="O943" s="135">
        <v>0.9</v>
      </c>
      <c r="P943" s="133">
        <v>0.91953385127636</v>
      </c>
      <c r="Q943" s="133">
        <v>0.905702453010513</v>
      </c>
      <c r="R943" s="133">
        <v>0.922539149888143</v>
      </c>
      <c r="S943" s="133">
        <v>0.927729197769721</v>
      </c>
      <c r="T943" s="135">
        <v>0.9</v>
      </c>
      <c r="U943" s="133">
        <v>0.904550499445061</v>
      </c>
      <c r="V943" s="133">
        <v>0.880216629499841</v>
      </c>
      <c r="W943" s="133">
        <v>0.894015659955257</v>
      </c>
      <c r="X943" s="133">
        <v>0.892797294415161</v>
      </c>
      <c r="Y943" s="135">
        <v>0.92</v>
      </c>
      <c r="Z943" s="135">
        <v>0.759668508287293</v>
      </c>
      <c r="AA943" s="135">
        <v>0.748538011695906</v>
      </c>
      <c r="AB943" s="135">
        <v>0.756726457399103</v>
      </c>
      <c r="AC943" s="135">
        <v>0.843088993154373</v>
      </c>
      <c r="AD943" s="135">
        <v>0.92</v>
      </c>
      <c r="AE943" s="133">
        <v>0.998846153846154</v>
      </c>
      <c r="AF943" s="133">
        <v>0.997389033942559</v>
      </c>
      <c r="AG943" s="133">
        <v>0.998387096774194</v>
      </c>
      <c r="AH943" s="133">
        <v>0.994097686866756</v>
      </c>
      <c r="AI943" s="135">
        <v>0.92</v>
      </c>
      <c r="AJ943" s="133">
        <v>0.912661737523105</v>
      </c>
      <c r="AK943" s="133">
        <v>0.934520390580126</v>
      </c>
      <c r="AL943" s="133">
        <v>0.921665174574754</v>
      </c>
      <c r="AM943" s="133">
        <v>0.946184064991037</v>
      </c>
      <c r="AN943" s="132">
        <v>0.99</v>
      </c>
      <c r="AO943" s="137">
        <v>1</v>
      </c>
      <c r="AP943" s="137">
        <v>1</v>
      </c>
      <c r="AQ943" s="137">
        <v>1</v>
      </c>
      <c r="AR943" s="137">
        <v>1</v>
      </c>
      <c r="AS943" s="158">
        <v>0.0656418488929858</v>
      </c>
      <c r="AT943" s="141">
        <v>0</v>
      </c>
      <c r="AU943" s="141">
        <v>0</v>
      </c>
      <c r="AV943" s="141">
        <v>0</v>
      </c>
      <c r="AW943" s="141">
        <v>0.0446735395189003</v>
      </c>
      <c r="AX943" s="95"/>
      <c r="AY943" s="93"/>
    </row>
    <row r="944" ht="14.5" spans="1:51">
      <c r="A944" s="91"/>
      <c r="B944" s="95"/>
      <c r="C944" s="180" t="s">
        <v>927</v>
      </c>
      <c r="D944" s="181" t="s">
        <v>25</v>
      </c>
      <c r="E944" s="130" t="s">
        <v>928</v>
      </c>
      <c r="F944" s="184" t="s">
        <v>973</v>
      </c>
      <c r="G944" s="185" t="s">
        <v>973</v>
      </c>
      <c r="H944" s="185" t="s">
        <v>973</v>
      </c>
      <c r="I944" s="185" t="s">
        <v>973</v>
      </c>
      <c r="J944" s="132">
        <v>0.9</v>
      </c>
      <c r="K944" s="133">
        <v>0.944444444444444</v>
      </c>
      <c r="L944" s="133">
        <v>0.9</v>
      </c>
      <c r="M944" s="134">
        <v>0.842105263157895</v>
      </c>
      <c r="N944" s="133">
        <v>0.935933147632312</v>
      </c>
      <c r="O944" s="135">
        <v>0.9</v>
      </c>
      <c r="P944" s="133">
        <v>0.956842105263158</v>
      </c>
      <c r="Q944" s="133">
        <v>0.927679158448389</v>
      </c>
      <c r="R944" s="133">
        <v>0.938103350369108</v>
      </c>
      <c r="S944" s="133">
        <v>0.949554614947249</v>
      </c>
      <c r="T944" s="135">
        <v>0.9</v>
      </c>
      <c r="U944" s="133">
        <v>0.933684210526316</v>
      </c>
      <c r="V944" s="133">
        <v>0.924391847468771</v>
      </c>
      <c r="W944" s="133">
        <v>0.917660420215787</v>
      </c>
      <c r="X944" s="133">
        <v>0.926464084907448</v>
      </c>
      <c r="Y944" s="135">
        <v>0.92</v>
      </c>
      <c r="Z944" s="135">
        <v>0.757142857142857</v>
      </c>
      <c r="AA944" s="135">
        <v>0.715789473684211</v>
      </c>
      <c r="AB944" s="135">
        <v>0.762942779291553</v>
      </c>
      <c r="AC944" s="135">
        <v>0.758784586657613</v>
      </c>
      <c r="AD944" s="135">
        <v>0.92</v>
      </c>
      <c r="AE944" s="133">
        <v>1</v>
      </c>
      <c r="AF944" s="133">
        <v>0.994690265486726</v>
      </c>
      <c r="AG944" s="133">
        <v>1</v>
      </c>
      <c r="AH944" s="133">
        <v>0.998989675749061</v>
      </c>
      <c r="AI944" s="135">
        <v>0.92</v>
      </c>
      <c r="AJ944" s="133">
        <v>0.938532110091743</v>
      </c>
      <c r="AK944" s="133">
        <v>0.929281122150789</v>
      </c>
      <c r="AL944" s="133">
        <v>0.927631578947368</v>
      </c>
      <c r="AM944" s="133">
        <v>0.939470600766937</v>
      </c>
      <c r="AN944" s="132">
        <v>0.99</v>
      </c>
      <c r="AO944" s="137">
        <v>1</v>
      </c>
      <c r="AP944" s="137">
        <v>1</v>
      </c>
      <c r="AQ944" s="137">
        <v>1</v>
      </c>
      <c r="AR944" s="137">
        <v>1</v>
      </c>
      <c r="AS944" s="158">
        <v>0.0656418488929858</v>
      </c>
      <c r="AT944" s="141">
        <v>0</v>
      </c>
      <c r="AU944" s="141">
        <v>0</v>
      </c>
      <c r="AV944" s="141">
        <v>0</v>
      </c>
      <c r="AW944" s="141">
        <v>0.0138888888888889</v>
      </c>
      <c r="AX944" s="95"/>
      <c r="AY944" s="93"/>
    </row>
    <row r="945" ht="14.5" spans="1:51">
      <c r="A945" s="91"/>
      <c r="B945" s="95"/>
      <c r="C945" s="180" t="s">
        <v>927</v>
      </c>
      <c r="D945" s="181" t="s">
        <v>25</v>
      </c>
      <c r="E945" s="130" t="s">
        <v>928</v>
      </c>
      <c r="F945" s="184" t="s">
        <v>974</v>
      </c>
      <c r="G945" s="185" t="s">
        <v>974</v>
      </c>
      <c r="H945" s="185" t="s">
        <v>974</v>
      </c>
      <c r="I945" s="185" t="s">
        <v>974</v>
      </c>
      <c r="J945" s="132">
        <v>0.9</v>
      </c>
      <c r="K945" s="133">
        <v>0.818181818181818</v>
      </c>
      <c r="L945" s="133">
        <v>0.833333333333333</v>
      </c>
      <c r="M945" s="134">
        <v>0.885714285714286</v>
      </c>
      <c r="N945" s="133">
        <v>0.890909090909091</v>
      </c>
      <c r="O945" s="135">
        <v>0.9</v>
      </c>
      <c r="P945" s="133">
        <v>0.942396313364055</v>
      </c>
      <c r="Q945" s="133">
        <v>0.956328897987035</v>
      </c>
      <c r="R945" s="133">
        <v>0.925538103548575</v>
      </c>
      <c r="S945" s="133">
        <v>0.946054057499841</v>
      </c>
      <c r="T945" s="135">
        <v>0.9</v>
      </c>
      <c r="U945" s="133">
        <v>0.936635944700461</v>
      </c>
      <c r="V945" s="133">
        <v>0.930740361651314</v>
      </c>
      <c r="W945" s="133">
        <v>0.897033158813264</v>
      </c>
      <c r="X945" s="133">
        <v>0.92651558615414</v>
      </c>
      <c r="Y945" s="135">
        <v>0.92</v>
      </c>
      <c r="Z945" s="135">
        <v>0.806845965770171</v>
      </c>
      <c r="AA945" s="135">
        <v>0.722033898305085</v>
      </c>
      <c r="AB945" s="135">
        <v>0.819178082191781</v>
      </c>
      <c r="AC945" s="135">
        <v>0.837313432835821</v>
      </c>
      <c r="AD945" s="135">
        <v>0.92</v>
      </c>
      <c r="AE945" s="133">
        <v>0.99930483142162</v>
      </c>
      <c r="AF945" s="133">
        <v>0.997585513078471</v>
      </c>
      <c r="AG945" s="133">
        <v>0.999406704242065</v>
      </c>
      <c r="AH945" s="133">
        <v>0.998765487520201</v>
      </c>
      <c r="AI945" s="135">
        <v>0.92</v>
      </c>
      <c r="AJ945" s="133">
        <v>0.936190032603633</v>
      </c>
      <c r="AK945" s="133">
        <v>0.939882243569879</v>
      </c>
      <c r="AL945" s="133">
        <v>0.927063339731286</v>
      </c>
      <c r="AM945" s="133">
        <v>0.949734707242425</v>
      </c>
      <c r="AN945" s="132">
        <v>0.99</v>
      </c>
      <c r="AO945" s="137">
        <v>1</v>
      </c>
      <c r="AP945" s="137">
        <v>1</v>
      </c>
      <c r="AQ945" s="137">
        <v>1</v>
      </c>
      <c r="AR945" s="137">
        <v>1</v>
      </c>
      <c r="AS945" s="158">
        <v>0.0656418488929858</v>
      </c>
      <c r="AT945" s="141">
        <v>0</v>
      </c>
      <c r="AU945" s="141">
        <v>0.133333333333333</v>
      </c>
      <c r="AV945" s="141">
        <v>0.0666666666666667</v>
      </c>
      <c r="AW945" s="141">
        <v>0.0623145400593472</v>
      </c>
      <c r="AX945" s="95"/>
      <c r="AY945" s="93"/>
    </row>
    <row r="946" ht="14.5" spans="1:51">
      <c r="A946" s="91"/>
      <c r="B946" s="95"/>
      <c r="C946" s="180" t="s">
        <v>927</v>
      </c>
      <c r="D946" s="181" t="s">
        <v>25</v>
      </c>
      <c r="E946" s="130" t="s">
        <v>928</v>
      </c>
      <c r="F946" s="184" t="s">
        <v>975</v>
      </c>
      <c r="G946" s="185" t="s">
        <v>975</v>
      </c>
      <c r="H946" s="185" t="s">
        <v>975</v>
      </c>
      <c r="I946" s="185" t="s">
        <v>975</v>
      </c>
      <c r="J946" s="132">
        <v>0.9</v>
      </c>
      <c r="K946" s="133">
        <v>1</v>
      </c>
      <c r="L946" s="133">
        <v>1</v>
      </c>
      <c r="M946" s="134">
        <v>1</v>
      </c>
      <c r="N946" s="133">
        <v>0.995525727069351</v>
      </c>
      <c r="O946" s="135">
        <v>0.9</v>
      </c>
      <c r="P946" s="133">
        <v>0.982662968099861</v>
      </c>
      <c r="Q946" s="133">
        <v>0.990352348993289</v>
      </c>
      <c r="R946" s="133">
        <v>0.975</v>
      </c>
      <c r="S946" s="133">
        <v>0.983521033454786</v>
      </c>
      <c r="T946" s="135">
        <v>0.9</v>
      </c>
      <c r="U946" s="133">
        <v>0.959778085991678</v>
      </c>
      <c r="V946" s="133">
        <v>0.965604026845638</v>
      </c>
      <c r="W946" s="133">
        <v>0.949615384615385</v>
      </c>
      <c r="X946" s="133">
        <v>0.958947499171911</v>
      </c>
      <c r="Y946" s="135">
        <v>0.92</v>
      </c>
      <c r="Z946" s="135">
        <v>0.972222222222222</v>
      </c>
      <c r="AA946" s="135">
        <v>0.966542750929368</v>
      </c>
      <c r="AB946" s="135">
        <v>0.9712</v>
      </c>
      <c r="AC946" s="135">
        <v>0.979579458147998</v>
      </c>
      <c r="AD946" s="135">
        <v>0.92</v>
      </c>
      <c r="AE946" s="133">
        <v>0.993639575971731</v>
      </c>
      <c r="AF946" s="133">
        <v>0.986065573770492</v>
      </c>
      <c r="AG946" s="133">
        <v>0.992537313432836</v>
      </c>
      <c r="AH946" s="133">
        <v>0.988508781336875</v>
      </c>
      <c r="AI946" s="135">
        <v>0.92</v>
      </c>
      <c r="AJ946" s="133">
        <v>0.985310119695321</v>
      </c>
      <c r="AK946" s="133">
        <v>0.986812358703843</v>
      </c>
      <c r="AL946" s="133">
        <v>0.985430874147551</v>
      </c>
      <c r="AM946" s="133">
        <v>0.989744558775531</v>
      </c>
      <c r="AN946" s="132">
        <v>0.99</v>
      </c>
      <c r="AO946" s="137">
        <v>1</v>
      </c>
      <c r="AP946" s="137">
        <v>1</v>
      </c>
      <c r="AQ946" s="137">
        <v>1</v>
      </c>
      <c r="AR946" s="137">
        <v>1</v>
      </c>
      <c r="AS946" s="158">
        <v>0.0656418488929858</v>
      </c>
      <c r="AT946" s="141">
        <v>0</v>
      </c>
      <c r="AU946" s="141">
        <v>0</v>
      </c>
      <c r="AV946" s="141">
        <v>0.0625</v>
      </c>
      <c r="AW946" s="141">
        <v>0.0257234726688103</v>
      </c>
      <c r="AX946" s="95"/>
      <c r="AY946" s="93"/>
    </row>
    <row r="947" ht="14.5" spans="1:51">
      <c r="A947" s="91"/>
      <c r="B947" s="95"/>
      <c r="C947" s="180" t="s">
        <v>927</v>
      </c>
      <c r="D947" s="181" t="s">
        <v>25</v>
      </c>
      <c r="E947" s="130" t="s">
        <v>928</v>
      </c>
      <c r="F947" s="184" t="s">
        <v>976</v>
      </c>
      <c r="G947" s="185" t="s">
        <v>976</v>
      </c>
      <c r="H947" s="185" t="s">
        <v>976</v>
      </c>
      <c r="I947" s="185" t="s">
        <v>976</v>
      </c>
      <c r="J947" s="132">
        <v>0.9</v>
      </c>
      <c r="K947" s="133">
        <v>0.884615384615385</v>
      </c>
      <c r="L947" s="133">
        <v>0.870967741935484</v>
      </c>
      <c r="M947" s="134">
        <v>0.857142857142857</v>
      </c>
      <c r="N947" s="133">
        <v>0.920222634508349</v>
      </c>
      <c r="O947" s="135">
        <v>0.9</v>
      </c>
      <c r="P947" s="133">
        <v>0.949070331447049</v>
      </c>
      <c r="Q947" s="133">
        <v>0.950593824228029</v>
      </c>
      <c r="R947" s="133">
        <v>0.959983831851253</v>
      </c>
      <c r="S947" s="133">
        <v>0.939594743841143</v>
      </c>
      <c r="T947" s="135">
        <v>0.9</v>
      </c>
      <c r="U947" s="133">
        <v>0.955537590945837</v>
      </c>
      <c r="V947" s="133">
        <v>0.934441805225653</v>
      </c>
      <c r="W947" s="133">
        <v>0.90784155214228</v>
      </c>
      <c r="X947" s="133">
        <v>0.918813532580522</v>
      </c>
      <c r="Y947" s="135">
        <v>0.92</v>
      </c>
      <c r="Z947" s="135">
        <v>0.875486381322957</v>
      </c>
      <c r="AA947" s="135">
        <v>0.831967213114754</v>
      </c>
      <c r="AB947" s="135">
        <v>0.892086330935252</v>
      </c>
      <c r="AC947" s="135">
        <v>0.865914221218962</v>
      </c>
      <c r="AD947" s="135">
        <v>0.92</v>
      </c>
      <c r="AE947" s="133">
        <v>1</v>
      </c>
      <c r="AF947" s="133">
        <v>1</v>
      </c>
      <c r="AG947" s="133">
        <v>0.999075785582255</v>
      </c>
      <c r="AH947" s="133">
        <v>0.994656580211335</v>
      </c>
      <c r="AI947" s="135">
        <v>0.92</v>
      </c>
      <c r="AJ947" s="133">
        <v>0.956521739130435</v>
      </c>
      <c r="AK947" s="133">
        <v>0.94806300553427</v>
      </c>
      <c r="AL947" s="133">
        <v>0.954785478547855</v>
      </c>
      <c r="AM947" s="133">
        <v>0.954763201893633</v>
      </c>
      <c r="AN947" s="132">
        <v>0.99</v>
      </c>
      <c r="AO947" s="137">
        <v>1</v>
      </c>
      <c r="AP947" s="137">
        <v>1</v>
      </c>
      <c r="AQ947" s="137">
        <v>1</v>
      </c>
      <c r="AR947" s="137">
        <v>1</v>
      </c>
      <c r="AS947" s="158">
        <v>0.0656418488929858</v>
      </c>
      <c r="AT947" s="141">
        <v>0.25</v>
      </c>
      <c r="AU947" s="141">
        <v>0.2</v>
      </c>
      <c r="AV947" s="141">
        <v>0.2</v>
      </c>
      <c r="AW947" s="141">
        <v>0.0609756097560976</v>
      </c>
      <c r="AX947" s="95"/>
      <c r="AY947" s="93"/>
    </row>
    <row r="948" ht="14.5" spans="1:51">
      <c r="A948" s="91"/>
      <c r="B948" s="95"/>
      <c r="C948" s="180" t="s">
        <v>927</v>
      </c>
      <c r="D948" s="181" t="s">
        <v>25</v>
      </c>
      <c r="E948" s="130" t="s">
        <v>928</v>
      </c>
      <c r="F948" s="184" t="s">
        <v>977</v>
      </c>
      <c r="G948" s="185" t="s">
        <v>977</v>
      </c>
      <c r="H948" s="185" t="s">
        <v>977</v>
      </c>
      <c r="I948" s="185" t="s">
        <v>977</v>
      </c>
      <c r="J948" s="132">
        <v>0.9</v>
      </c>
      <c r="K948" s="133">
        <v>0.695652173913043</v>
      </c>
      <c r="L948" s="133">
        <v>0.833333333333333</v>
      </c>
      <c r="M948" s="134">
        <v>0.695652173913043</v>
      </c>
      <c r="N948" s="133">
        <v>0.861635220125786</v>
      </c>
      <c r="O948" s="135">
        <v>0.9</v>
      </c>
      <c r="P948" s="133">
        <v>0.953501400560224</v>
      </c>
      <c r="Q948" s="133">
        <v>0.937302977232925</v>
      </c>
      <c r="R948" s="133">
        <v>0.93043191559512</v>
      </c>
      <c r="S948" s="133">
        <v>0.938649876352667</v>
      </c>
      <c r="T948" s="135">
        <v>0.9</v>
      </c>
      <c r="U948" s="133">
        <v>0.909243697478992</v>
      </c>
      <c r="V948" s="133">
        <v>0.886164623467601</v>
      </c>
      <c r="W948" s="133">
        <v>0.893175074183976</v>
      </c>
      <c r="X948" s="133">
        <v>0.898749495764421</v>
      </c>
      <c r="Y948" s="135">
        <v>0.92</v>
      </c>
      <c r="Z948" s="135">
        <v>0.963455149501661</v>
      </c>
      <c r="AA948" s="135">
        <v>0.941176470588235</v>
      </c>
      <c r="AB948" s="135">
        <v>0.878342245989305</v>
      </c>
      <c r="AC948" s="135">
        <v>0.915287661836577</v>
      </c>
      <c r="AD948" s="135">
        <v>0.92</v>
      </c>
      <c r="AE948" s="133">
        <v>0.997189670714248</v>
      </c>
      <c r="AF948" s="133">
        <v>0.989437428243398</v>
      </c>
      <c r="AG948" s="133">
        <v>0.999564744287269</v>
      </c>
      <c r="AH948" s="133">
        <v>0.994871929633564</v>
      </c>
      <c r="AI948" s="135">
        <v>0.92</v>
      </c>
      <c r="AJ948" s="133">
        <v>0.956867671691792</v>
      </c>
      <c r="AK948" s="133">
        <v>0.925614690320573</v>
      </c>
      <c r="AL948" s="133">
        <v>0.931764083575774</v>
      </c>
      <c r="AM948" s="133">
        <v>0.95405645407829</v>
      </c>
      <c r="AN948" s="132">
        <v>0.99</v>
      </c>
      <c r="AO948" s="137">
        <v>1</v>
      </c>
      <c r="AP948" s="137">
        <v>1</v>
      </c>
      <c r="AQ948" s="137">
        <v>1</v>
      </c>
      <c r="AR948" s="137">
        <v>1</v>
      </c>
      <c r="AS948" s="158">
        <v>0.0656418488929858</v>
      </c>
      <c r="AT948" s="141">
        <v>0.15</v>
      </c>
      <c r="AU948" s="141">
        <v>0.0625</v>
      </c>
      <c r="AV948" s="141">
        <v>0.1</v>
      </c>
      <c r="AW948" s="141">
        <v>0.095</v>
      </c>
      <c r="AX948" s="95"/>
      <c r="AY948" s="93"/>
    </row>
    <row r="949" ht="14.5" spans="1:51">
      <c r="A949" s="91"/>
      <c r="B949" s="95"/>
      <c r="C949" s="180" t="s">
        <v>927</v>
      </c>
      <c r="D949" s="181" t="s">
        <v>25</v>
      </c>
      <c r="E949" s="130" t="s">
        <v>928</v>
      </c>
      <c r="F949" s="184" t="s">
        <v>978</v>
      </c>
      <c r="G949" s="185" t="s">
        <v>978</v>
      </c>
      <c r="H949" s="185" t="s">
        <v>978</v>
      </c>
      <c r="I949" s="185" t="s">
        <v>978</v>
      </c>
      <c r="J949" s="132">
        <v>0.9</v>
      </c>
      <c r="K949" s="133">
        <v>1</v>
      </c>
      <c r="L949" s="133">
        <v>1</v>
      </c>
      <c r="M949" s="134">
        <v>0.916666666666667</v>
      </c>
      <c r="N949" s="133">
        <v>0.941964285714286</v>
      </c>
      <c r="O949" s="135">
        <v>0.9</v>
      </c>
      <c r="P949" s="133">
        <v>0.944444444444444</v>
      </c>
      <c r="Q949" s="133">
        <v>0.941666666666667</v>
      </c>
      <c r="R949" s="133">
        <v>0.927344782034346</v>
      </c>
      <c r="S949" s="133">
        <v>0.944458911498828</v>
      </c>
      <c r="T949" s="135">
        <v>0.9</v>
      </c>
      <c r="U949" s="133">
        <v>0.920987654320988</v>
      </c>
      <c r="V949" s="133">
        <v>0.937121212121212</v>
      </c>
      <c r="W949" s="133">
        <v>0.919418758256275</v>
      </c>
      <c r="X949" s="133">
        <v>0.921282690376102</v>
      </c>
      <c r="Y949" s="135">
        <v>0.92</v>
      </c>
      <c r="Z949" s="135">
        <v>0.875</v>
      </c>
      <c r="AA949" s="135">
        <v>0.927536231884058</v>
      </c>
      <c r="AB949" s="135">
        <v>0.929618768328446</v>
      </c>
      <c r="AC949" s="135">
        <v>0.913746630727763</v>
      </c>
      <c r="AD949" s="135">
        <v>0.92</v>
      </c>
      <c r="AE949" s="133">
        <v>1</v>
      </c>
      <c r="AF949" s="133">
        <v>0.973262032085562</v>
      </c>
      <c r="AG949" s="133">
        <v>0.98567335243553</v>
      </c>
      <c r="AH949" s="133">
        <v>0.931211828993893</v>
      </c>
      <c r="AI949" s="135">
        <v>0.92</v>
      </c>
      <c r="AJ949" s="133">
        <v>0.945360824742268</v>
      </c>
      <c r="AK949" s="133">
        <v>0.965020576131687</v>
      </c>
      <c r="AL949" s="133">
        <v>0.966037735849057</v>
      </c>
      <c r="AM949" s="133">
        <v>0.962182385035074</v>
      </c>
      <c r="AN949" s="132">
        <v>0.99</v>
      </c>
      <c r="AO949" s="137">
        <v>1</v>
      </c>
      <c r="AP949" s="137">
        <v>1</v>
      </c>
      <c r="AQ949" s="137">
        <v>1</v>
      </c>
      <c r="AR949" s="137">
        <v>1</v>
      </c>
      <c r="AS949" s="158">
        <v>0.0656418488929858</v>
      </c>
      <c r="AT949" s="141">
        <v>0</v>
      </c>
      <c r="AU949" s="141">
        <v>0</v>
      </c>
      <c r="AV949" s="141">
        <v>0</v>
      </c>
      <c r="AW949" s="141">
        <v>0.045045045045045</v>
      </c>
      <c r="AX949" s="95"/>
      <c r="AY949" s="93"/>
    </row>
    <row r="950" ht="14.5" spans="1:51">
      <c r="A950" s="91"/>
      <c r="B950" s="95"/>
      <c r="C950" s="180" t="s">
        <v>927</v>
      </c>
      <c r="D950" s="181" t="s">
        <v>25</v>
      </c>
      <c r="E950" s="130" t="s">
        <v>928</v>
      </c>
      <c r="F950" s="184" t="s">
        <v>979</v>
      </c>
      <c r="G950" s="185" t="s">
        <v>979</v>
      </c>
      <c r="H950" s="185" t="s">
        <v>979</v>
      </c>
      <c r="I950" s="185" t="s">
        <v>979</v>
      </c>
      <c r="J950" s="132">
        <v>0.9</v>
      </c>
      <c r="K950" s="133">
        <v>1</v>
      </c>
      <c r="L950" s="133">
        <v>0.944444444444444</v>
      </c>
      <c r="M950" s="134">
        <v>1</v>
      </c>
      <c r="N950" s="133">
        <v>0.947674418604651</v>
      </c>
      <c r="O950" s="135">
        <v>0.9</v>
      </c>
      <c r="P950" s="133">
        <v>0.973523421588595</v>
      </c>
      <c r="Q950" s="133">
        <v>0.974616292798111</v>
      </c>
      <c r="R950" s="133">
        <v>0.963460505104782</v>
      </c>
      <c r="S950" s="133">
        <v>0.960069603443539</v>
      </c>
      <c r="T950" s="135">
        <v>0.9</v>
      </c>
      <c r="U950" s="133">
        <v>0.95213849287169</v>
      </c>
      <c r="V950" s="133">
        <v>0.901416765053129</v>
      </c>
      <c r="W950" s="133">
        <v>0.91778613648576</v>
      </c>
      <c r="X950" s="133">
        <v>0.929694416460604</v>
      </c>
      <c r="Y950" s="135">
        <v>0.92</v>
      </c>
      <c r="Z950" s="135">
        <v>0.961805555555556</v>
      </c>
      <c r="AA950" s="135">
        <v>0.93452380952381</v>
      </c>
      <c r="AB950" s="135">
        <v>0.951807228915663</v>
      </c>
      <c r="AC950" s="135">
        <v>0.963593310640817</v>
      </c>
      <c r="AD950" s="135">
        <v>0.92</v>
      </c>
      <c r="AE950" s="133">
        <v>0.999128919860627</v>
      </c>
      <c r="AF950" s="133">
        <v>0.998992950654582</v>
      </c>
      <c r="AG950" s="133">
        <v>0.997758852532497</v>
      </c>
      <c r="AH950" s="133">
        <v>0.998270006031172</v>
      </c>
      <c r="AI950" s="135">
        <v>0.92</v>
      </c>
      <c r="AJ950" s="133">
        <v>0.977165354330709</v>
      </c>
      <c r="AK950" s="133">
        <v>0.972073039742213</v>
      </c>
      <c r="AL950" s="133">
        <v>0.976713532513181</v>
      </c>
      <c r="AM950" s="133">
        <v>0.982286104714427</v>
      </c>
      <c r="AN950" s="132">
        <v>0.99</v>
      </c>
      <c r="AO950" s="137">
        <v>1</v>
      </c>
      <c r="AP950" s="137">
        <v>1</v>
      </c>
      <c r="AQ950" s="137">
        <v>1</v>
      </c>
      <c r="AR950" s="137">
        <v>1</v>
      </c>
      <c r="AS950" s="158">
        <v>0.0656418488929858</v>
      </c>
      <c r="AT950" s="141">
        <v>0</v>
      </c>
      <c r="AU950" s="141">
        <v>0.2</v>
      </c>
      <c r="AV950" s="141">
        <v>0.0714285714285714</v>
      </c>
      <c r="AW950" s="141">
        <v>0.0459770114942529</v>
      </c>
      <c r="AX950" s="95"/>
      <c r="AY950" s="93"/>
    </row>
    <row r="951" ht="14.5" spans="1:51">
      <c r="A951" s="91"/>
      <c r="B951" s="95"/>
      <c r="C951" s="180" t="s">
        <v>927</v>
      </c>
      <c r="D951" s="181" t="s">
        <v>25</v>
      </c>
      <c r="E951" s="130" t="s">
        <v>928</v>
      </c>
      <c r="F951" s="184" t="s">
        <v>980</v>
      </c>
      <c r="G951" s="185" t="s">
        <v>980</v>
      </c>
      <c r="H951" s="185" t="s">
        <v>980</v>
      </c>
      <c r="I951" s="185" t="s">
        <v>980</v>
      </c>
      <c r="J951" s="132">
        <v>0.9</v>
      </c>
      <c r="K951" s="133">
        <v>1</v>
      </c>
      <c r="L951" s="133">
        <v>0.944444444444444</v>
      </c>
      <c r="M951" s="134">
        <v>1</v>
      </c>
      <c r="N951" s="133">
        <v>0.954887218045113</v>
      </c>
      <c r="O951" s="135">
        <v>0.9</v>
      </c>
      <c r="P951" s="133">
        <v>0.939483394833948</v>
      </c>
      <c r="Q951" s="133">
        <v>0.885802469135803</v>
      </c>
      <c r="R951" s="133">
        <v>0.940912795436023</v>
      </c>
      <c r="S951" s="133">
        <v>0.909710352473784</v>
      </c>
      <c r="T951" s="135">
        <v>0.9</v>
      </c>
      <c r="U951" s="133">
        <v>0.920295202952029</v>
      </c>
      <c r="V951" s="133">
        <v>0.897266313932981</v>
      </c>
      <c r="W951" s="133">
        <v>0.898940505297473</v>
      </c>
      <c r="X951" s="133">
        <v>0.905391047258281</v>
      </c>
      <c r="Y951" s="135">
        <v>0.92</v>
      </c>
      <c r="Z951" s="135">
        <v>0.679715302491103</v>
      </c>
      <c r="AA951" s="135">
        <v>0.648233486943164</v>
      </c>
      <c r="AB951" s="135">
        <v>0.768718801996672</v>
      </c>
      <c r="AC951" s="135">
        <v>0.734379540831154</v>
      </c>
      <c r="AD951" s="135">
        <v>0.92</v>
      </c>
      <c r="AE951" s="133">
        <v>0.988833746898263</v>
      </c>
      <c r="AF951" s="133">
        <v>0.977827050997783</v>
      </c>
      <c r="AG951" s="133">
        <v>0.894656488549618</v>
      </c>
      <c r="AH951" s="133">
        <v>0.985257006242529</v>
      </c>
      <c r="AI951" s="135">
        <v>0.92</v>
      </c>
      <c r="AJ951" s="133">
        <v>0.896088019559902</v>
      </c>
      <c r="AK951" s="133">
        <v>0.870205479452055</v>
      </c>
      <c r="AL951" s="133">
        <v>0.89885433715221</v>
      </c>
      <c r="AM951" s="133">
        <v>0.910706626135283</v>
      </c>
      <c r="AN951" s="132">
        <v>0.99</v>
      </c>
      <c r="AO951" s="137">
        <v>1</v>
      </c>
      <c r="AP951" s="137">
        <v>1</v>
      </c>
      <c r="AQ951" s="137">
        <v>1</v>
      </c>
      <c r="AR951" s="137">
        <v>1</v>
      </c>
      <c r="AS951" s="158">
        <v>0.0656418488929858</v>
      </c>
      <c r="AT951" s="141">
        <v>0</v>
      </c>
      <c r="AU951" s="141">
        <v>0.285714285714286</v>
      </c>
      <c r="AV951" s="141">
        <v>0.125</v>
      </c>
      <c r="AW951" s="141">
        <v>0.0325581395348837</v>
      </c>
      <c r="AX951" s="95"/>
      <c r="AY951" s="93"/>
    </row>
    <row r="952" ht="14.5" spans="1:51">
      <c r="A952" s="91"/>
      <c r="B952" s="95"/>
      <c r="C952" s="180" t="s">
        <v>927</v>
      </c>
      <c r="D952" s="181" t="s">
        <v>25</v>
      </c>
      <c r="E952" s="130" t="s">
        <v>928</v>
      </c>
      <c r="F952" s="190" t="s">
        <v>981</v>
      </c>
      <c r="G952" s="191" t="s">
        <v>981</v>
      </c>
      <c r="H952" s="191" t="s">
        <v>981</v>
      </c>
      <c r="I952" s="191" t="s">
        <v>981</v>
      </c>
      <c r="J952" s="132">
        <v>0.9</v>
      </c>
      <c r="K952" s="133">
        <v>0.928571428571429</v>
      </c>
      <c r="L952" s="133">
        <v>0.909090909090909</v>
      </c>
      <c r="M952" s="134">
        <v>1</v>
      </c>
      <c r="N952" s="133">
        <v>0.921232876712329</v>
      </c>
      <c r="O952" s="135">
        <v>0.9</v>
      </c>
      <c r="P952" s="133">
        <v>0.725344644750795</v>
      </c>
      <c r="Q952" s="133">
        <v>0.444048467569494</v>
      </c>
      <c r="R952" s="133">
        <v>0.875739644970414</v>
      </c>
      <c r="S952" s="133">
        <v>0.857275985663082</v>
      </c>
      <c r="T952" s="135">
        <v>0.9</v>
      </c>
      <c r="U952" s="133">
        <v>0.581124072110286</v>
      </c>
      <c r="V952" s="133">
        <v>0.379900213827512</v>
      </c>
      <c r="W952" s="133">
        <v>0.842866535174227</v>
      </c>
      <c r="X952" s="133">
        <v>0.77584229390681</v>
      </c>
      <c r="Y952" s="135">
        <v>0.92</v>
      </c>
      <c r="Z952" s="135" t="s">
        <v>35</v>
      </c>
      <c r="AA952" s="135" t="s">
        <v>35</v>
      </c>
      <c r="AB952" s="135" t="s">
        <v>35</v>
      </c>
      <c r="AC952" s="135">
        <v>0</v>
      </c>
      <c r="AD952" s="135">
        <v>0.92</v>
      </c>
      <c r="AE952" s="133">
        <v>0.992481203007519</v>
      </c>
      <c r="AF952" s="133">
        <v>1</v>
      </c>
      <c r="AG952" s="133">
        <v>0.92</v>
      </c>
      <c r="AH952" s="133">
        <v>0.970837751855779</v>
      </c>
      <c r="AI952" s="135">
        <v>0.92</v>
      </c>
      <c r="AJ952" s="133">
        <v>0.768822905620361</v>
      </c>
      <c r="AK952" s="133">
        <v>0.541696364932288</v>
      </c>
      <c r="AL952" s="133">
        <v>0.881656804733728</v>
      </c>
      <c r="AM952" s="133">
        <v>0.856933051545653</v>
      </c>
      <c r="AN952" s="132">
        <v>0.99</v>
      </c>
      <c r="AO952" s="137" t="s">
        <v>35</v>
      </c>
      <c r="AP952" s="137">
        <v>1</v>
      </c>
      <c r="AQ952" s="137" t="s">
        <v>35</v>
      </c>
      <c r="AR952" s="137">
        <v>1</v>
      </c>
      <c r="AS952" s="158">
        <v>0.0656418488929858</v>
      </c>
      <c r="AT952" s="141">
        <v>0</v>
      </c>
      <c r="AU952" s="141">
        <v>0</v>
      </c>
      <c r="AV952" s="141">
        <v>0</v>
      </c>
      <c r="AW952" s="141">
        <v>0.0705882352941176</v>
      </c>
      <c r="AX952" s="95"/>
      <c r="AY952" s="93"/>
    </row>
    <row r="953" ht="14.5" spans="1:51">
      <c r="A953" s="91"/>
      <c r="B953" s="95"/>
      <c r="C953" s="180" t="s">
        <v>927</v>
      </c>
      <c r="D953" s="181" t="s">
        <v>25</v>
      </c>
      <c r="E953" s="130" t="s">
        <v>928</v>
      </c>
      <c r="F953" s="184" t="s">
        <v>982</v>
      </c>
      <c r="G953" s="185" t="s">
        <v>982</v>
      </c>
      <c r="H953" s="185" t="s">
        <v>982</v>
      </c>
      <c r="I953" s="185" t="s">
        <v>982</v>
      </c>
      <c r="J953" s="132">
        <v>0.9</v>
      </c>
      <c r="K953" s="133">
        <v>0.958333333333333</v>
      </c>
      <c r="L953" s="133">
        <v>0.925925925925926</v>
      </c>
      <c r="M953" s="134">
        <v>0.869565217391304</v>
      </c>
      <c r="N953" s="133">
        <v>0.947252747252747</v>
      </c>
      <c r="O953" s="135">
        <v>0.9</v>
      </c>
      <c r="P953" s="133">
        <v>0.984268125854993</v>
      </c>
      <c r="Q953" s="133">
        <v>0.985178323297823</v>
      </c>
      <c r="R953" s="133">
        <v>0.917760279965004</v>
      </c>
      <c r="S953" s="133">
        <v>0.976814340205928</v>
      </c>
      <c r="T953" s="135">
        <v>0.9</v>
      </c>
      <c r="U953" s="133">
        <v>0.911080711354309</v>
      </c>
      <c r="V953" s="133">
        <v>0.893932376100046</v>
      </c>
      <c r="W953" s="133">
        <v>0.819772528433946</v>
      </c>
      <c r="X953" s="133">
        <v>0.901323826381791</v>
      </c>
      <c r="Y953" s="135">
        <v>0.92</v>
      </c>
      <c r="Z953" s="135">
        <v>0</v>
      </c>
      <c r="AA953" s="135" t="s">
        <v>35</v>
      </c>
      <c r="AB953" s="135">
        <v>0</v>
      </c>
      <c r="AC953" s="135">
        <v>0</v>
      </c>
      <c r="AD953" s="135">
        <v>0.92</v>
      </c>
      <c r="AE953" s="133">
        <v>0.997340425531915</v>
      </c>
      <c r="AF953" s="133">
        <v>0.97787610619469</v>
      </c>
      <c r="AG953" s="133">
        <v>0.971428571428571</v>
      </c>
      <c r="AH953" s="133">
        <v>0.987501644520458</v>
      </c>
      <c r="AI953" s="135">
        <v>0.92</v>
      </c>
      <c r="AJ953" s="133">
        <v>0.964456596035543</v>
      </c>
      <c r="AK953" s="133">
        <v>0.962482630847615</v>
      </c>
      <c r="AL953" s="133">
        <v>0.94884127678181</v>
      </c>
      <c r="AM953" s="133">
        <v>0.968267816636339</v>
      </c>
      <c r="AN953" s="132">
        <v>0.99</v>
      </c>
      <c r="AO953" s="137">
        <v>1</v>
      </c>
      <c r="AP953" s="137">
        <v>1</v>
      </c>
      <c r="AQ953" s="137">
        <v>1</v>
      </c>
      <c r="AR953" s="137">
        <v>1</v>
      </c>
      <c r="AS953" s="158">
        <v>0.0656418488929858</v>
      </c>
      <c r="AT953" s="141">
        <v>0</v>
      </c>
      <c r="AU953" s="141">
        <v>0</v>
      </c>
      <c r="AV953" s="141">
        <v>0.0909090909090909</v>
      </c>
      <c r="AW953" s="141">
        <v>0.0676328502415459</v>
      </c>
      <c r="AX953" s="95"/>
      <c r="AY953" s="93"/>
    </row>
    <row r="954" ht="14.5" spans="1:51">
      <c r="A954" s="91"/>
      <c r="B954" s="95"/>
      <c r="C954" s="180" t="s">
        <v>927</v>
      </c>
      <c r="D954" s="181" t="s">
        <v>25</v>
      </c>
      <c r="E954" s="130" t="s">
        <v>928</v>
      </c>
      <c r="F954" s="186" t="s">
        <v>983</v>
      </c>
      <c r="G954" s="187" t="s">
        <v>983</v>
      </c>
      <c r="H954" s="187" t="s">
        <v>983</v>
      </c>
      <c r="I954" s="187" t="s">
        <v>983</v>
      </c>
      <c r="J954" s="132">
        <v>0.9</v>
      </c>
      <c r="K954" s="133">
        <v>0.9375</v>
      </c>
      <c r="L954" s="133">
        <v>0.961538461538462</v>
      </c>
      <c r="M954" s="134">
        <v>0.934782608695652</v>
      </c>
      <c r="N954" s="133">
        <v>0.953713670613563</v>
      </c>
      <c r="O954" s="135">
        <v>0.9</v>
      </c>
      <c r="P954" s="133">
        <v>0.912078882497946</v>
      </c>
      <c r="Q954" s="133">
        <v>0.928700594161715</v>
      </c>
      <c r="R954" s="133">
        <v>0.914439756211908</v>
      </c>
      <c r="S954" s="133">
        <v>0.937015962263641</v>
      </c>
      <c r="T954" s="135">
        <v>0.9</v>
      </c>
      <c r="U954" s="133">
        <v>0.896466721446179</v>
      </c>
      <c r="V954" s="133">
        <v>0.906225781451821</v>
      </c>
      <c r="W954" s="133">
        <v>0.875761837787154</v>
      </c>
      <c r="X954" s="133">
        <v>0.910065281738684</v>
      </c>
      <c r="Y954" s="135">
        <v>0.92</v>
      </c>
      <c r="Z954" s="135">
        <v>0.630831643002028</v>
      </c>
      <c r="AA954" s="135">
        <v>0.711835334476844</v>
      </c>
      <c r="AB954" s="135">
        <v>0.7177734375</v>
      </c>
      <c r="AC954" s="135">
        <v>0.803751478623331</v>
      </c>
      <c r="AD954" s="135">
        <v>0.92</v>
      </c>
      <c r="AE954" s="133">
        <v>0.994407425035697</v>
      </c>
      <c r="AF954" s="133">
        <v>0.986557478368356</v>
      </c>
      <c r="AG954" s="133">
        <v>0.976379643547348</v>
      </c>
      <c r="AH954" s="133">
        <v>0.971726920006163</v>
      </c>
      <c r="AI954" s="135">
        <v>0.92</v>
      </c>
      <c r="AJ954" s="133">
        <v>0.888281516911513</v>
      </c>
      <c r="AK954" s="133">
        <v>0.89418304546357</v>
      </c>
      <c r="AL954" s="133">
        <v>0.890737240075614</v>
      </c>
      <c r="AM954" s="133">
        <v>0.92885560751229</v>
      </c>
      <c r="AN954" s="132">
        <v>0.99</v>
      </c>
      <c r="AO954" s="137">
        <v>1</v>
      </c>
      <c r="AP954" s="137">
        <v>1</v>
      </c>
      <c r="AQ954" s="137">
        <v>1</v>
      </c>
      <c r="AR954" s="137">
        <v>1</v>
      </c>
      <c r="AS954" s="158">
        <v>0.0656418488929858</v>
      </c>
      <c r="AT954" s="141">
        <v>0.157894736842105</v>
      </c>
      <c r="AU954" s="141">
        <v>0.0357142857142857</v>
      </c>
      <c r="AV954" s="141">
        <v>0</v>
      </c>
      <c r="AW954" s="141">
        <v>0.0393374741200828</v>
      </c>
      <c r="AX954" s="95"/>
      <c r="AY954" s="93"/>
    </row>
    <row r="955" ht="14.5" spans="1:51">
      <c r="A955" s="91"/>
      <c r="B955" s="95"/>
      <c r="C955" s="180" t="s">
        <v>927</v>
      </c>
      <c r="D955" s="181" t="s">
        <v>25</v>
      </c>
      <c r="E955" s="130" t="s">
        <v>928</v>
      </c>
      <c r="F955" s="184" t="s">
        <v>984</v>
      </c>
      <c r="G955" s="185" t="s">
        <v>984</v>
      </c>
      <c r="H955" s="185" t="s">
        <v>984</v>
      </c>
      <c r="I955" s="185" t="s">
        <v>984</v>
      </c>
      <c r="J955" s="132">
        <v>0.9</v>
      </c>
      <c r="K955" s="133">
        <v>1</v>
      </c>
      <c r="L955" s="133">
        <v>0.96969696969697</v>
      </c>
      <c r="M955" s="134">
        <v>0.966666666666667</v>
      </c>
      <c r="N955" s="133">
        <v>0.984615384615385</v>
      </c>
      <c r="O955" s="135">
        <v>0.9</v>
      </c>
      <c r="P955" s="133">
        <v>0.968976215098242</v>
      </c>
      <c r="Q955" s="133">
        <v>0.955538221528861</v>
      </c>
      <c r="R955" s="133">
        <v>0.967037037037037</v>
      </c>
      <c r="S955" s="133">
        <v>0.965229623172326</v>
      </c>
      <c r="T955" s="135">
        <v>0.9</v>
      </c>
      <c r="U955" s="133">
        <v>0.921923474663909</v>
      </c>
      <c r="V955" s="133">
        <v>0.90600624024961</v>
      </c>
      <c r="W955" s="133">
        <v>0.907037037037037</v>
      </c>
      <c r="X955" s="133">
        <v>0.910231010024963</v>
      </c>
      <c r="Y955" s="135">
        <v>0.92</v>
      </c>
      <c r="Z955" s="135">
        <v>0.142857142857143</v>
      </c>
      <c r="AA955" s="135" t="s">
        <v>35</v>
      </c>
      <c r="AB955" s="135">
        <v>0</v>
      </c>
      <c r="AC955" s="135">
        <v>0.1</v>
      </c>
      <c r="AD955" s="135">
        <v>0.92</v>
      </c>
      <c r="AE955" s="133">
        <v>0.99746192893401</v>
      </c>
      <c r="AF955" s="133">
        <v>0.96969696969697</v>
      </c>
      <c r="AG955" s="133">
        <v>0.948717948717949</v>
      </c>
      <c r="AH955" s="133">
        <v>0.970104131676184</v>
      </c>
      <c r="AI955" s="135">
        <v>0.92</v>
      </c>
      <c r="AJ955" s="133">
        <v>0.951571354971664</v>
      </c>
      <c r="AK955" s="133">
        <v>0.941107644305772</v>
      </c>
      <c r="AL955" s="133">
        <v>0.953720844131803</v>
      </c>
      <c r="AM955" s="133">
        <v>0.966537966537967</v>
      </c>
      <c r="AN955" s="132">
        <v>0.99</v>
      </c>
      <c r="AO955" s="137">
        <v>1</v>
      </c>
      <c r="AP955" s="137">
        <v>1</v>
      </c>
      <c r="AQ955" s="137">
        <v>1</v>
      </c>
      <c r="AR955" s="137">
        <v>1</v>
      </c>
      <c r="AS955" s="158">
        <v>0.0656418488929858</v>
      </c>
      <c r="AT955" s="141">
        <v>0.125</v>
      </c>
      <c r="AU955" s="141">
        <v>0.25</v>
      </c>
      <c r="AV955" s="141">
        <v>0</v>
      </c>
      <c r="AW955" s="141">
        <v>0.0632911392405063</v>
      </c>
      <c r="AX955" s="95"/>
      <c r="AY955" s="93"/>
    </row>
    <row r="956" ht="14.5" spans="1:51">
      <c r="A956" s="91"/>
      <c r="B956" s="95"/>
      <c r="C956" s="180" t="s">
        <v>927</v>
      </c>
      <c r="D956" s="181" t="s">
        <v>25</v>
      </c>
      <c r="E956" s="130" t="s">
        <v>928</v>
      </c>
      <c r="F956" s="184" t="s">
        <v>985</v>
      </c>
      <c r="G956" s="185" t="s">
        <v>985</v>
      </c>
      <c r="H956" s="185" t="s">
        <v>985</v>
      </c>
      <c r="I956" s="185" t="s">
        <v>985</v>
      </c>
      <c r="J956" s="132">
        <v>0.9</v>
      </c>
      <c r="K956" s="133">
        <v>0.948717948717949</v>
      </c>
      <c r="L956" s="133">
        <v>0.948717948717949</v>
      </c>
      <c r="M956" s="134">
        <v>0.951219512195122</v>
      </c>
      <c r="N956" s="133">
        <v>0.948717948717949</v>
      </c>
      <c r="O956" s="135">
        <v>0.9</v>
      </c>
      <c r="P956" s="133">
        <v>0.94278502313841</v>
      </c>
      <c r="Q956" s="133">
        <v>0.920359281437126</v>
      </c>
      <c r="R956" s="133">
        <v>0.884359903381642</v>
      </c>
      <c r="S956" s="133">
        <v>0.926450611294392</v>
      </c>
      <c r="T956" s="135">
        <v>0.9</v>
      </c>
      <c r="U956" s="133">
        <v>0.912074042911233</v>
      </c>
      <c r="V956" s="133">
        <v>0.878443113772455</v>
      </c>
      <c r="W956" s="133">
        <v>0.874094202898551</v>
      </c>
      <c r="X956" s="133">
        <v>0.914451128792289</v>
      </c>
      <c r="Y956" s="135">
        <v>0.92</v>
      </c>
      <c r="Z956" s="135">
        <v>0</v>
      </c>
      <c r="AA956" s="135">
        <v>0</v>
      </c>
      <c r="AB956" s="135">
        <v>0</v>
      </c>
      <c r="AC956" s="135">
        <v>0.0606060606060606</v>
      </c>
      <c r="AD956" s="135">
        <v>0.92</v>
      </c>
      <c r="AE956" s="133">
        <v>0.974193548387097</v>
      </c>
      <c r="AF956" s="133">
        <v>0.885714285714286</v>
      </c>
      <c r="AG956" s="133">
        <v>0.993111366245695</v>
      </c>
      <c r="AH956" s="133">
        <v>0.983303411131059</v>
      </c>
      <c r="AI956" s="135">
        <v>0.92</v>
      </c>
      <c r="AJ956" s="133">
        <v>0.935294117647059</v>
      </c>
      <c r="AK956" s="133">
        <v>0.936864153201676</v>
      </c>
      <c r="AL956" s="133">
        <v>0.933293087835798</v>
      </c>
      <c r="AM956" s="133">
        <v>0.955131002602273</v>
      </c>
      <c r="AN956" s="132">
        <v>0.99</v>
      </c>
      <c r="AO956" s="137">
        <v>1</v>
      </c>
      <c r="AP956" s="137">
        <v>1</v>
      </c>
      <c r="AQ956" s="137">
        <v>1</v>
      </c>
      <c r="AR956" s="137">
        <v>1</v>
      </c>
      <c r="AS956" s="158">
        <v>0.0656418488929858</v>
      </c>
      <c r="AT956" s="141">
        <v>0.0769230769230769</v>
      </c>
      <c r="AU956" s="141">
        <v>0</v>
      </c>
      <c r="AV956" s="141">
        <v>0</v>
      </c>
      <c r="AW956" s="141">
        <v>0.0233333333333333</v>
      </c>
      <c r="AX956" s="95"/>
      <c r="AY956" s="93"/>
    </row>
    <row r="957" ht="14.5" spans="1:51">
      <c r="A957" s="91"/>
      <c r="B957" s="95"/>
      <c r="C957" s="180" t="s">
        <v>927</v>
      </c>
      <c r="D957" s="181" t="s">
        <v>25</v>
      </c>
      <c r="E957" s="130" t="s">
        <v>928</v>
      </c>
      <c r="F957" s="184" t="s">
        <v>986</v>
      </c>
      <c r="G957" s="185" t="s">
        <v>986</v>
      </c>
      <c r="H957" s="185" t="s">
        <v>986</v>
      </c>
      <c r="I957" s="185" t="s">
        <v>986</v>
      </c>
      <c r="J957" s="132">
        <v>0.9</v>
      </c>
      <c r="K957" s="133">
        <v>0.92</v>
      </c>
      <c r="L957" s="133">
        <v>0.91304347826087</v>
      </c>
      <c r="M957" s="134">
        <v>0.911111111111111</v>
      </c>
      <c r="N957" s="133">
        <v>0.925714285714286</v>
      </c>
      <c r="O957" s="135">
        <v>0.9</v>
      </c>
      <c r="P957" s="133">
        <v>0.939710340181879</v>
      </c>
      <c r="Q957" s="133">
        <v>0.872370936902486</v>
      </c>
      <c r="R957" s="133">
        <v>0.934553131597467</v>
      </c>
      <c r="S957" s="133">
        <v>0.915876747927237</v>
      </c>
      <c r="T957" s="135">
        <v>0.9</v>
      </c>
      <c r="U957" s="133">
        <v>0.921185584371842</v>
      </c>
      <c r="V957" s="133">
        <v>0.869741873804971</v>
      </c>
      <c r="W957" s="133">
        <v>0.909688013136289</v>
      </c>
      <c r="X957" s="133">
        <v>0.9016953347358</v>
      </c>
      <c r="Y957" s="135">
        <v>0.92</v>
      </c>
      <c r="Z957" s="135">
        <v>0</v>
      </c>
      <c r="AA957" s="135">
        <v>0</v>
      </c>
      <c r="AB957" s="135">
        <v>0</v>
      </c>
      <c r="AC957" s="135">
        <v>0</v>
      </c>
      <c r="AD957" s="135">
        <v>0.92</v>
      </c>
      <c r="AE957" s="133">
        <v>0.982841455044612</v>
      </c>
      <c r="AF957" s="133">
        <v>0.93563579277865</v>
      </c>
      <c r="AG957" s="133">
        <v>0.929831932773109</v>
      </c>
      <c r="AH957" s="133">
        <v>0.973921344913498</v>
      </c>
      <c r="AI957" s="135">
        <v>0.92</v>
      </c>
      <c r="AJ957" s="133">
        <v>0.942521008403361</v>
      </c>
      <c r="AK957" s="133">
        <v>0.888915432393693</v>
      </c>
      <c r="AL957" s="133">
        <v>0.936913696060037</v>
      </c>
      <c r="AM957" s="133">
        <v>0.934433326324382</v>
      </c>
      <c r="AN957" s="132">
        <v>0.99</v>
      </c>
      <c r="AO957" s="137">
        <v>1</v>
      </c>
      <c r="AP957" s="137">
        <v>1</v>
      </c>
      <c r="AQ957" s="137">
        <v>1</v>
      </c>
      <c r="AR957" s="137">
        <v>1</v>
      </c>
      <c r="AS957" s="158">
        <v>0.0656418488929858</v>
      </c>
      <c r="AT957" s="141">
        <v>0.166666666666667</v>
      </c>
      <c r="AU957" s="141">
        <v>0.0454545454545455</v>
      </c>
      <c r="AV957" s="141">
        <v>0.0526315789473684</v>
      </c>
      <c r="AW957" s="141">
        <v>0.0680473372781065</v>
      </c>
      <c r="AX957" s="95"/>
      <c r="AY957" s="93"/>
    </row>
    <row r="958" ht="14.5" spans="1:51">
      <c r="A958" s="91"/>
      <c r="B958" s="95"/>
      <c r="C958" s="180" t="s">
        <v>927</v>
      </c>
      <c r="D958" s="181" t="s">
        <v>25</v>
      </c>
      <c r="E958" s="130" t="s">
        <v>928</v>
      </c>
      <c r="F958" s="184" t="s">
        <v>987</v>
      </c>
      <c r="G958" s="185" t="s">
        <v>987</v>
      </c>
      <c r="H958" s="185" t="s">
        <v>987</v>
      </c>
      <c r="I958" s="185" t="s">
        <v>987</v>
      </c>
      <c r="J958" s="132">
        <v>0.9</v>
      </c>
      <c r="K958" s="133">
        <v>0.882352941176471</v>
      </c>
      <c r="L958" s="133">
        <v>0.942857142857143</v>
      </c>
      <c r="M958" s="134">
        <v>0.971428571428571</v>
      </c>
      <c r="N958" s="133">
        <v>0.927469135802469</v>
      </c>
      <c r="O958" s="135">
        <v>0.9</v>
      </c>
      <c r="P958" s="133">
        <v>0.961556276053729</v>
      </c>
      <c r="Q958" s="133">
        <v>0.910901113736078</v>
      </c>
      <c r="R958" s="133">
        <v>0.966666666666667</v>
      </c>
      <c r="S958" s="133">
        <v>0.950056851462633</v>
      </c>
      <c r="T958" s="135">
        <v>0.9</v>
      </c>
      <c r="U958" s="133">
        <v>0.916164891153312</v>
      </c>
      <c r="V958" s="133">
        <v>0.890988862639217</v>
      </c>
      <c r="W958" s="133">
        <v>0.912585034013605</v>
      </c>
      <c r="X958" s="133">
        <v>0.919133101333425</v>
      </c>
      <c r="Y958" s="135">
        <v>0.92</v>
      </c>
      <c r="Z958" s="135">
        <v>0</v>
      </c>
      <c r="AA958" s="135">
        <v>0</v>
      </c>
      <c r="AB958" s="135">
        <v>0.5</v>
      </c>
      <c r="AC958" s="135">
        <v>0.0967741935483871</v>
      </c>
      <c r="AD958" s="135">
        <v>0.92</v>
      </c>
      <c r="AE958" s="133">
        <v>0.990740740740741</v>
      </c>
      <c r="AF958" s="133">
        <v>0.986280487804878</v>
      </c>
      <c r="AG958" s="133">
        <v>1</v>
      </c>
      <c r="AH958" s="133">
        <v>0.983231707317073</v>
      </c>
      <c r="AI958" s="135">
        <v>0.92</v>
      </c>
      <c r="AJ958" s="133">
        <v>0.954755309325946</v>
      </c>
      <c r="AK958" s="133">
        <v>0.94097807757167</v>
      </c>
      <c r="AL958" s="133">
        <v>0.945615227736234</v>
      </c>
      <c r="AM958" s="133">
        <v>0.957660387754399</v>
      </c>
      <c r="AN958" s="132">
        <v>0.99</v>
      </c>
      <c r="AO958" s="137">
        <v>1</v>
      </c>
      <c r="AP958" s="137">
        <v>1</v>
      </c>
      <c r="AQ958" s="137">
        <v>1</v>
      </c>
      <c r="AR958" s="137">
        <v>1</v>
      </c>
      <c r="AS958" s="158">
        <v>0.0656418488929858</v>
      </c>
      <c r="AT958" s="141">
        <v>0</v>
      </c>
      <c r="AU958" s="141">
        <v>0</v>
      </c>
      <c r="AV958" s="141">
        <v>0</v>
      </c>
      <c r="AW958" s="141">
        <v>0.0324675324675325</v>
      </c>
      <c r="AX958" s="95"/>
      <c r="AY958" s="93"/>
    </row>
    <row r="959" ht="14.5" spans="1:51">
      <c r="A959" s="91"/>
      <c r="B959" s="95"/>
      <c r="C959" s="180" t="s">
        <v>927</v>
      </c>
      <c r="D959" s="181" t="s">
        <v>25</v>
      </c>
      <c r="E959" s="130" t="s">
        <v>928</v>
      </c>
      <c r="F959" s="192" t="s">
        <v>988</v>
      </c>
      <c r="G959" s="193" t="s">
        <v>988</v>
      </c>
      <c r="H959" s="193" t="s">
        <v>988</v>
      </c>
      <c r="I959" s="193" t="s">
        <v>988</v>
      </c>
      <c r="J959" s="132">
        <v>0.9</v>
      </c>
      <c r="K959" s="133">
        <v>0.918918918918919</v>
      </c>
      <c r="L959" s="133">
        <v>0.948717948717949</v>
      </c>
      <c r="M959" s="134">
        <v>0.897435897435897</v>
      </c>
      <c r="N959" s="133">
        <v>0.951841359773371</v>
      </c>
      <c r="O959" s="135">
        <v>0.9</v>
      </c>
      <c r="P959" s="133">
        <v>0.960284750843012</v>
      </c>
      <c r="Q959" s="133">
        <v>0.979397781299525</v>
      </c>
      <c r="R959" s="133">
        <v>0.982325581395349</v>
      </c>
      <c r="S959" s="133">
        <v>0.965206058006401</v>
      </c>
      <c r="T959" s="135">
        <v>0.9</v>
      </c>
      <c r="U959" s="133">
        <v>0.930310977894342</v>
      </c>
      <c r="V959" s="133">
        <v>0.924247226624406</v>
      </c>
      <c r="W959" s="133">
        <v>0.925581395348837</v>
      </c>
      <c r="X959" s="133">
        <v>0.921338304682087</v>
      </c>
      <c r="Y959" s="135">
        <v>0.92</v>
      </c>
      <c r="Z959" s="135">
        <v>0</v>
      </c>
      <c r="AA959" s="135">
        <v>0</v>
      </c>
      <c r="AB959" s="135">
        <v>0</v>
      </c>
      <c r="AC959" s="135">
        <v>0.03125</v>
      </c>
      <c r="AD959" s="135">
        <v>0.92</v>
      </c>
      <c r="AE959" s="133">
        <v>0.976190476190476</v>
      </c>
      <c r="AF959" s="133">
        <v>0.727272727272727</v>
      </c>
      <c r="AG959" s="133">
        <v>0.829383886255924</v>
      </c>
      <c r="AH959" s="133">
        <v>0.923721936705437</v>
      </c>
      <c r="AI959" s="135">
        <v>0.92</v>
      </c>
      <c r="AJ959" s="133">
        <v>0.95469861475103</v>
      </c>
      <c r="AK959" s="133">
        <v>0.955020589166931</v>
      </c>
      <c r="AL959" s="133">
        <v>0.955066625348621</v>
      </c>
      <c r="AM959" s="133">
        <v>0.962388286119447</v>
      </c>
      <c r="AN959" s="132">
        <v>0.99</v>
      </c>
      <c r="AO959" s="137">
        <v>1</v>
      </c>
      <c r="AP959" s="137">
        <v>1</v>
      </c>
      <c r="AQ959" s="137">
        <v>1</v>
      </c>
      <c r="AR959" s="137">
        <v>1</v>
      </c>
      <c r="AS959" s="158">
        <v>0.0656418488929858</v>
      </c>
      <c r="AT959" s="141">
        <v>0</v>
      </c>
      <c r="AU959" s="141">
        <v>0</v>
      </c>
      <c r="AV959" s="141">
        <v>0.0714285714285714</v>
      </c>
      <c r="AW959" s="141">
        <v>0.0217391304347826</v>
      </c>
      <c r="AX959" s="95"/>
      <c r="AY959" s="93"/>
    </row>
    <row r="960" ht="14.5" spans="1:51">
      <c r="A960" s="91"/>
      <c r="B960" s="95"/>
      <c r="C960" s="180" t="s">
        <v>927</v>
      </c>
      <c r="D960" s="181" t="s">
        <v>25</v>
      </c>
      <c r="E960" s="130" t="s">
        <v>928</v>
      </c>
      <c r="F960" s="182" t="s">
        <v>989</v>
      </c>
      <c r="G960" s="183" t="s">
        <v>989</v>
      </c>
      <c r="H960" s="183" t="s">
        <v>989</v>
      </c>
      <c r="I960" s="183" t="s">
        <v>989</v>
      </c>
      <c r="J960" s="132">
        <v>0.9</v>
      </c>
      <c r="K960" s="133">
        <v>1</v>
      </c>
      <c r="L960" s="133">
        <v>1</v>
      </c>
      <c r="M960" s="134">
        <v>1</v>
      </c>
      <c r="N960" s="133">
        <v>0.968152866242038</v>
      </c>
      <c r="O960" s="135">
        <v>0.9</v>
      </c>
      <c r="P960" s="133">
        <v>0.934679334916865</v>
      </c>
      <c r="Q960" s="133">
        <v>0.974596971177333</v>
      </c>
      <c r="R960" s="133">
        <v>0.974146845915202</v>
      </c>
      <c r="S960" s="133">
        <v>0.967904993909866</v>
      </c>
      <c r="T960" s="135">
        <v>0.9</v>
      </c>
      <c r="U960" s="133">
        <v>0.888361045130641</v>
      </c>
      <c r="V960" s="133">
        <v>0.915974596971177</v>
      </c>
      <c r="W960" s="133">
        <v>0.902275077559462</v>
      </c>
      <c r="X960" s="133">
        <v>0.930328867235079</v>
      </c>
      <c r="Y960" s="135">
        <v>0.92</v>
      </c>
      <c r="Z960" s="135" t="s">
        <v>35</v>
      </c>
      <c r="AA960" s="135" t="s">
        <v>35</v>
      </c>
      <c r="AB960" s="135" t="s">
        <v>35</v>
      </c>
      <c r="AC960" s="135" t="s">
        <v>35</v>
      </c>
      <c r="AD960" s="135">
        <v>0.92</v>
      </c>
      <c r="AE960" s="133">
        <v>1</v>
      </c>
      <c r="AF960" s="133">
        <v>0.982905982905983</v>
      </c>
      <c r="AG960" s="133">
        <v>0.997191011235955</v>
      </c>
      <c r="AH960" s="133">
        <v>0.99574546799852</v>
      </c>
      <c r="AI960" s="135">
        <v>0.92</v>
      </c>
      <c r="AJ960" s="133">
        <v>0.906175771971496</v>
      </c>
      <c r="AK960" s="133">
        <v>0.935026868588178</v>
      </c>
      <c r="AL960" s="133">
        <v>0.924508790072389</v>
      </c>
      <c r="AM960" s="133">
        <v>0.948934226552984</v>
      </c>
      <c r="AN960" s="132">
        <v>0.99</v>
      </c>
      <c r="AO960" s="137">
        <v>1</v>
      </c>
      <c r="AP960" s="137">
        <v>1</v>
      </c>
      <c r="AQ960" s="137">
        <v>1</v>
      </c>
      <c r="AR960" s="137">
        <v>1</v>
      </c>
      <c r="AS960" s="158">
        <v>0.0656418488929858</v>
      </c>
      <c r="AT960" s="141">
        <v>0</v>
      </c>
      <c r="AU960" s="141">
        <v>0</v>
      </c>
      <c r="AV960" s="141">
        <v>0</v>
      </c>
      <c r="AW960" s="141">
        <v>0.0422535211267606</v>
      </c>
      <c r="AX960" s="95"/>
      <c r="AY960" s="93"/>
    </row>
    <row r="961" ht="14.5" spans="1:51">
      <c r="A961" s="91"/>
      <c r="B961" s="95"/>
      <c r="C961" s="180" t="s">
        <v>927</v>
      </c>
      <c r="D961" s="181" t="s">
        <v>25</v>
      </c>
      <c r="E961" s="130" t="s">
        <v>928</v>
      </c>
      <c r="F961" s="182" t="s">
        <v>990</v>
      </c>
      <c r="G961" s="183" t="s">
        <v>990</v>
      </c>
      <c r="H961" s="183" t="s">
        <v>990</v>
      </c>
      <c r="I961" s="183" t="s">
        <v>990</v>
      </c>
      <c r="J961" s="132">
        <v>0.9</v>
      </c>
      <c r="K961" s="133">
        <v>0.923076923076923</v>
      </c>
      <c r="L961" s="133">
        <v>1</v>
      </c>
      <c r="M961" s="134">
        <v>0.823529411764706</v>
      </c>
      <c r="N961" s="133">
        <v>0.954545454545455</v>
      </c>
      <c r="O961" s="135">
        <v>0.9</v>
      </c>
      <c r="P961" s="133">
        <v>0.998577524893314</v>
      </c>
      <c r="Q961" s="133">
        <v>0.981656804733728</v>
      </c>
      <c r="R961" s="133">
        <v>0.985797288573273</v>
      </c>
      <c r="S961" s="133">
        <v>0.980209505061867</v>
      </c>
      <c r="T961" s="135">
        <v>0.9</v>
      </c>
      <c r="U961" s="133">
        <v>0.917496443812233</v>
      </c>
      <c r="V961" s="133">
        <v>0.926627218934911</v>
      </c>
      <c r="W961" s="133">
        <v>0.925758553905746</v>
      </c>
      <c r="X961" s="133">
        <v>0.931910854893138</v>
      </c>
      <c r="Y961" s="135">
        <v>0.92</v>
      </c>
      <c r="Z961" s="135" t="s">
        <v>35</v>
      </c>
      <c r="AA961" s="135" t="s">
        <v>35</v>
      </c>
      <c r="AB961" s="135" t="s">
        <v>35</v>
      </c>
      <c r="AC961" s="135" t="s">
        <v>35</v>
      </c>
      <c r="AD961" s="135">
        <v>0.92</v>
      </c>
      <c r="AE961" s="133">
        <v>1</v>
      </c>
      <c r="AF961" s="133">
        <v>1</v>
      </c>
      <c r="AG961" s="133">
        <v>1</v>
      </c>
      <c r="AH961" s="133">
        <v>0.995381062355658</v>
      </c>
      <c r="AI961" s="135">
        <v>0.92</v>
      </c>
      <c r="AJ961" s="133">
        <v>0.960170697012802</v>
      </c>
      <c r="AK961" s="133">
        <v>0.957988165680473</v>
      </c>
      <c r="AL961" s="133">
        <v>0.973531310522918</v>
      </c>
      <c r="AM961" s="133">
        <v>0.973108830146232</v>
      </c>
      <c r="AN961" s="132">
        <v>0.99</v>
      </c>
      <c r="AO961" s="137">
        <v>1</v>
      </c>
      <c r="AP961" s="137">
        <v>1</v>
      </c>
      <c r="AQ961" s="137">
        <v>1</v>
      </c>
      <c r="AR961" s="137">
        <v>1</v>
      </c>
      <c r="AS961" s="158">
        <v>0.0656418488929858</v>
      </c>
      <c r="AT961" s="141">
        <v>0</v>
      </c>
      <c r="AU961" s="141">
        <v>0</v>
      </c>
      <c r="AV961" s="141">
        <v>0</v>
      </c>
      <c r="AW961" s="141">
        <v>0.0509554140127389</v>
      </c>
      <c r="AX961" s="95"/>
      <c r="AY961" s="93"/>
    </row>
    <row r="962" ht="14.5" spans="1:51">
      <c r="A962" s="91"/>
      <c r="B962" s="95"/>
      <c r="C962" s="180" t="s">
        <v>927</v>
      </c>
      <c r="D962" s="181" t="s">
        <v>25</v>
      </c>
      <c r="E962" s="130" t="s">
        <v>928</v>
      </c>
      <c r="F962" s="182" t="s">
        <v>991</v>
      </c>
      <c r="G962" s="183" t="s">
        <v>991</v>
      </c>
      <c r="H962" s="183" t="s">
        <v>991</v>
      </c>
      <c r="I962" s="183" t="s">
        <v>991</v>
      </c>
      <c r="J962" s="132">
        <v>0.9</v>
      </c>
      <c r="K962" s="133">
        <v>0.96969696969697</v>
      </c>
      <c r="L962" s="133">
        <v>0.904761904761905</v>
      </c>
      <c r="M962" s="134">
        <v>0.902439024390244</v>
      </c>
      <c r="N962" s="133">
        <v>0.931693989071038</v>
      </c>
      <c r="O962" s="135">
        <v>0.9</v>
      </c>
      <c r="P962" s="133">
        <v>0.987369577155409</v>
      </c>
      <c r="Q962" s="133">
        <v>0.927341453170937</v>
      </c>
      <c r="R962" s="133">
        <v>0.934505176980496</v>
      </c>
      <c r="S962" s="133">
        <v>0.930517053525866</v>
      </c>
      <c r="T962" s="135">
        <v>0.9</v>
      </c>
      <c r="U962" s="133">
        <v>0.942339373970346</v>
      </c>
      <c r="V962" s="133">
        <v>0.922511549769005</v>
      </c>
      <c r="W962" s="133">
        <v>0.915241993739465</v>
      </c>
      <c r="X962" s="133">
        <v>0.932613402843863</v>
      </c>
      <c r="Y962" s="135">
        <v>0.92</v>
      </c>
      <c r="Z962" s="135" t="s">
        <v>35</v>
      </c>
      <c r="AA962" s="135">
        <v>1</v>
      </c>
      <c r="AB962" s="135" t="s">
        <v>35</v>
      </c>
      <c r="AC962" s="135">
        <v>1</v>
      </c>
      <c r="AD962" s="135">
        <v>0.92</v>
      </c>
      <c r="AE962" s="133">
        <v>0.997714285714286</v>
      </c>
      <c r="AF962" s="133">
        <v>0.970909090909091</v>
      </c>
      <c r="AG962" s="133">
        <v>0.989252336448598</v>
      </c>
      <c r="AH962" s="133">
        <v>0.99457692000957</v>
      </c>
      <c r="AI962" s="135">
        <v>0.92</v>
      </c>
      <c r="AJ962" s="133">
        <v>0.949478308621637</v>
      </c>
      <c r="AK962" s="133">
        <v>0.947092168801176</v>
      </c>
      <c r="AL962" s="133">
        <v>0.943414399229473</v>
      </c>
      <c r="AM962" s="133">
        <v>0.95271127537511</v>
      </c>
      <c r="AN962" s="132">
        <v>0.99</v>
      </c>
      <c r="AO962" s="137">
        <v>1</v>
      </c>
      <c r="AP962" s="137">
        <v>1</v>
      </c>
      <c r="AQ962" s="137">
        <v>1</v>
      </c>
      <c r="AR962" s="137">
        <v>1</v>
      </c>
      <c r="AS962" s="158">
        <v>0.0656418488929858</v>
      </c>
      <c r="AT962" s="141">
        <v>0</v>
      </c>
      <c r="AU962" s="141">
        <v>0.025</v>
      </c>
      <c r="AV962" s="141">
        <v>0.0277777777777778</v>
      </c>
      <c r="AW962" s="141">
        <v>0.0320121951219512</v>
      </c>
      <c r="AX962" s="95"/>
      <c r="AY962" s="93"/>
    </row>
    <row r="963" ht="14.5" spans="1:51">
      <c r="A963" s="91"/>
      <c r="B963" s="95"/>
      <c r="C963" s="180" t="s">
        <v>927</v>
      </c>
      <c r="D963" s="181" t="s">
        <v>25</v>
      </c>
      <c r="E963" s="130" t="s">
        <v>928</v>
      </c>
      <c r="F963" s="184" t="s">
        <v>992</v>
      </c>
      <c r="G963" s="185" t="s">
        <v>992</v>
      </c>
      <c r="H963" s="185" t="s">
        <v>992</v>
      </c>
      <c r="I963" s="185" t="s">
        <v>992</v>
      </c>
      <c r="J963" s="132">
        <v>0.9</v>
      </c>
      <c r="K963" s="133">
        <v>0.833333333333333</v>
      </c>
      <c r="L963" s="133">
        <v>0.842105263157895</v>
      </c>
      <c r="M963" s="134">
        <v>0.8</v>
      </c>
      <c r="N963" s="133">
        <v>0.835777126099707</v>
      </c>
      <c r="O963" s="135">
        <v>0.9</v>
      </c>
      <c r="P963" s="133">
        <v>0.98825831702544</v>
      </c>
      <c r="Q963" s="133">
        <v>0.988904299583911</v>
      </c>
      <c r="R963" s="133">
        <v>0.994318181818182</v>
      </c>
      <c r="S963" s="133">
        <v>0.98960378368731</v>
      </c>
      <c r="T963" s="135">
        <v>0.9</v>
      </c>
      <c r="U963" s="133">
        <v>0.911937377690802</v>
      </c>
      <c r="V963" s="133">
        <v>0.864077669902913</v>
      </c>
      <c r="W963" s="133">
        <v>0.929383116883117</v>
      </c>
      <c r="X963" s="133">
        <v>0.899205782616455</v>
      </c>
      <c r="Y963" s="135">
        <v>0.92</v>
      </c>
      <c r="Z963" s="135" t="s">
        <v>35</v>
      </c>
      <c r="AA963" s="135" t="s">
        <v>35</v>
      </c>
      <c r="AB963" s="135" t="s">
        <v>35</v>
      </c>
      <c r="AC963" s="135" t="s">
        <v>35</v>
      </c>
      <c r="AD963" s="135">
        <v>0.92</v>
      </c>
      <c r="AE963" s="133">
        <v>0.991596638655462</v>
      </c>
      <c r="AF963" s="133">
        <v>1</v>
      </c>
      <c r="AG963" s="133">
        <v>1</v>
      </c>
      <c r="AH963" s="133">
        <v>0.988011988011988</v>
      </c>
      <c r="AI963" s="135">
        <v>0.92</v>
      </c>
      <c r="AJ963" s="133">
        <v>0.927592954990215</v>
      </c>
      <c r="AK963" s="133">
        <v>0.902219140083218</v>
      </c>
      <c r="AL963" s="133">
        <v>0.960227272727273</v>
      </c>
      <c r="AM963" s="133">
        <v>0.936551847224701</v>
      </c>
      <c r="AN963" s="132">
        <v>0.99</v>
      </c>
      <c r="AO963" s="137">
        <v>1</v>
      </c>
      <c r="AP963" s="137">
        <v>1</v>
      </c>
      <c r="AQ963" s="137">
        <v>1</v>
      </c>
      <c r="AR963" s="137">
        <v>1</v>
      </c>
      <c r="AS963" s="158">
        <v>0.0656418488929858</v>
      </c>
      <c r="AT963" s="141">
        <v>0.25</v>
      </c>
      <c r="AU963" s="141">
        <v>0</v>
      </c>
      <c r="AV963" s="141">
        <v>0</v>
      </c>
      <c r="AW963" s="141">
        <v>0.0223880597014925</v>
      </c>
      <c r="AX963" s="95"/>
      <c r="AY963" s="93"/>
    </row>
    <row r="964" ht="14.5" spans="1:51">
      <c r="A964" s="91"/>
      <c r="B964" s="95"/>
      <c r="C964" s="180" t="s">
        <v>927</v>
      </c>
      <c r="D964" s="181" t="s">
        <v>25</v>
      </c>
      <c r="E964" s="130" t="s">
        <v>928</v>
      </c>
      <c r="F964" s="184" t="s">
        <v>993</v>
      </c>
      <c r="G964" s="185" t="s">
        <v>993</v>
      </c>
      <c r="H964" s="185" t="s">
        <v>993</v>
      </c>
      <c r="I964" s="185" t="s">
        <v>993</v>
      </c>
      <c r="J964" s="132">
        <v>0.9</v>
      </c>
      <c r="K964" s="133">
        <v>0.685714285714286</v>
      </c>
      <c r="L964" s="133">
        <v>0.75</v>
      </c>
      <c r="M964" s="134">
        <v>0.736842105263158</v>
      </c>
      <c r="N964" s="133">
        <v>0.761702127659574</v>
      </c>
      <c r="O964" s="135">
        <v>0.9</v>
      </c>
      <c r="P964" s="133">
        <v>0.92904073587385</v>
      </c>
      <c r="Q964" s="133">
        <v>0.9174053182917</v>
      </c>
      <c r="R964" s="133">
        <v>0.843761434321259</v>
      </c>
      <c r="S964" s="133">
        <v>0.920073864434676</v>
      </c>
      <c r="T964" s="135">
        <v>0.9</v>
      </c>
      <c r="U964" s="133">
        <v>0.9053876478318</v>
      </c>
      <c r="V964" s="133">
        <v>0.872683319903304</v>
      </c>
      <c r="W964" s="133">
        <v>0.78046103183315</v>
      </c>
      <c r="X964" s="133">
        <v>0.84994279520684</v>
      </c>
      <c r="Y964" s="135">
        <v>0.92</v>
      </c>
      <c r="Z964" s="135">
        <v>0.92896174863388</v>
      </c>
      <c r="AA964" s="135">
        <v>0.934010152284264</v>
      </c>
      <c r="AB964" s="135">
        <v>0.895652173913044</v>
      </c>
      <c r="AC964" s="135">
        <v>0.925167569552842</v>
      </c>
      <c r="AD964" s="135">
        <v>0.92</v>
      </c>
      <c r="AE964" s="133">
        <v>0.993814432989691</v>
      </c>
      <c r="AF964" s="133">
        <v>0.999223602484472</v>
      </c>
      <c r="AG964" s="133">
        <v>0.999491611591256</v>
      </c>
      <c r="AH964" s="133">
        <v>0.994701328807385</v>
      </c>
      <c r="AI964" s="135">
        <v>0.92</v>
      </c>
      <c r="AJ964" s="133">
        <v>0.955532027527793</v>
      </c>
      <c r="AK964" s="133">
        <v>0.963851233924227</v>
      </c>
      <c r="AL964" s="133">
        <v>0.948004836759371</v>
      </c>
      <c r="AM964" s="133">
        <v>0.959798415652432</v>
      </c>
      <c r="AN964" s="132">
        <v>0.99</v>
      </c>
      <c r="AO964" s="137">
        <v>1</v>
      </c>
      <c r="AP964" s="137">
        <v>1</v>
      </c>
      <c r="AQ964" s="137">
        <v>1</v>
      </c>
      <c r="AR964" s="137">
        <v>1</v>
      </c>
      <c r="AS964" s="158">
        <v>0.0656418488929858</v>
      </c>
      <c r="AT964" s="141">
        <v>0</v>
      </c>
      <c r="AU964" s="141">
        <v>0.111111111111111</v>
      </c>
      <c r="AV964" s="141">
        <v>0.0454545454545455</v>
      </c>
      <c r="AW964" s="141">
        <v>0.0310262529832936</v>
      </c>
      <c r="AX964" s="95"/>
      <c r="AY964" s="93"/>
    </row>
    <row r="965" ht="14.5" spans="1:51">
      <c r="A965" s="91"/>
      <c r="B965" s="95"/>
      <c r="C965" s="180" t="s">
        <v>927</v>
      </c>
      <c r="D965" s="181" t="s">
        <v>25</v>
      </c>
      <c r="E965" s="130" t="s">
        <v>928</v>
      </c>
      <c r="F965" s="184" t="s">
        <v>994</v>
      </c>
      <c r="G965" s="185" t="s">
        <v>994</v>
      </c>
      <c r="H965" s="185" t="s">
        <v>994</v>
      </c>
      <c r="I965" s="185" t="s">
        <v>994</v>
      </c>
      <c r="J965" s="132">
        <v>0.9</v>
      </c>
      <c r="K965" s="133">
        <v>0.731707317073171</v>
      </c>
      <c r="L965" s="133">
        <v>0.761904761904762</v>
      </c>
      <c r="M965" s="134">
        <v>0.717948717948718</v>
      </c>
      <c r="N965" s="133">
        <v>0.818766066838046</v>
      </c>
      <c r="O965" s="135">
        <v>0.9</v>
      </c>
      <c r="P965" s="133">
        <v>0.992419825072886</v>
      </c>
      <c r="Q965" s="133">
        <v>0.991287512100678</v>
      </c>
      <c r="R965" s="133">
        <v>0.985298275374611</v>
      </c>
      <c r="S965" s="133">
        <v>0.983444903852464</v>
      </c>
      <c r="T965" s="135">
        <v>0.9</v>
      </c>
      <c r="U965" s="133">
        <v>0.901457725947522</v>
      </c>
      <c r="V965" s="133">
        <v>0.88351080993869</v>
      </c>
      <c r="W965" s="133">
        <v>0.818207520497597</v>
      </c>
      <c r="X965" s="133">
        <v>0.854662991402507</v>
      </c>
      <c r="Y965" s="135">
        <v>0.92</v>
      </c>
      <c r="Z965" s="135">
        <v>0.885245901639344</v>
      </c>
      <c r="AA965" s="135">
        <v>0.821752265861027</v>
      </c>
      <c r="AB965" s="135">
        <v>0.79568345323741</v>
      </c>
      <c r="AC965" s="135">
        <v>0.865437211846527</v>
      </c>
      <c r="AD965" s="135">
        <v>0.92</v>
      </c>
      <c r="AE965" s="133">
        <v>0.999534450651769</v>
      </c>
      <c r="AF965" s="133">
        <v>0.956989247311828</v>
      </c>
      <c r="AG965" s="133">
        <v>0.984409799554566</v>
      </c>
      <c r="AH965" s="133">
        <v>0.994003288519199</v>
      </c>
      <c r="AI965" s="135">
        <v>0.92</v>
      </c>
      <c r="AJ965" s="133">
        <v>0.946778711484594</v>
      </c>
      <c r="AK965" s="133">
        <v>0.947813411078717</v>
      </c>
      <c r="AL965" s="133">
        <v>0.933364839319471</v>
      </c>
      <c r="AM965" s="133">
        <v>0.949435231263645</v>
      </c>
      <c r="AN965" s="132">
        <v>0.99</v>
      </c>
      <c r="AO965" s="137">
        <v>1</v>
      </c>
      <c r="AP965" s="137">
        <v>1</v>
      </c>
      <c r="AQ965" s="137">
        <v>1</v>
      </c>
      <c r="AR965" s="137">
        <v>1</v>
      </c>
      <c r="AS965" s="158">
        <v>0.0656418488929858</v>
      </c>
      <c r="AT965" s="141">
        <v>0.0434782608695652</v>
      </c>
      <c r="AU965" s="141">
        <v>0.0952380952380952</v>
      </c>
      <c r="AV965" s="141">
        <v>0.0294117647058824</v>
      </c>
      <c r="AW965" s="141">
        <v>0.0427553444180523</v>
      </c>
      <c r="AX965" s="95"/>
      <c r="AY965" s="93"/>
    </row>
    <row r="966" ht="14.5" spans="1:51">
      <c r="A966" s="91"/>
      <c r="B966" s="95"/>
      <c r="C966" s="180" t="s">
        <v>927</v>
      </c>
      <c r="D966" s="181" t="s">
        <v>25</v>
      </c>
      <c r="E966" s="130" t="s">
        <v>928</v>
      </c>
      <c r="F966" s="184" t="s">
        <v>995</v>
      </c>
      <c r="G966" s="185" t="s">
        <v>995</v>
      </c>
      <c r="H966" s="185" t="s">
        <v>995</v>
      </c>
      <c r="I966" s="185" t="s">
        <v>995</v>
      </c>
      <c r="J966" s="132">
        <v>0.9</v>
      </c>
      <c r="K966" s="133">
        <v>0.85</v>
      </c>
      <c r="L966" s="133">
        <v>0.789473684210526</v>
      </c>
      <c r="M966" s="134">
        <v>0.7</v>
      </c>
      <c r="N966" s="133">
        <v>0.834688346883469</v>
      </c>
      <c r="O966" s="135">
        <v>0.9</v>
      </c>
      <c r="P966" s="133">
        <v>0.915413533834586</v>
      </c>
      <c r="Q966" s="133">
        <v>0.867340868530637</v>
      </c>
      <c r="R966" s="133">
        <v>0.894793926247288</v>
      </c>
      <c r="S966" s="133">
        <v>0.898234043208925</v>
      </c>
      <c r="T966" s="135">
        <v>0.9</v>
      </c>
      <c r="U966" s="133">
        <v>0.917293233082707</v>
      </c>
      <c r="V966" s="133">
        <v>0.895895300416419</v>
      </c>
      <c r="W966" s="133">
        <v>0.905097613882863</v>
      </c>
      <c r="X966" s="133">
        <v>0.901963201528647</v>
      </c>
      <c r="Y966" s="135">
        <v>0.92</v>
      </c>
      <c r="Z966" s="135">
        <v>0.995901639344262</v>
      </c>
      <c r="AA966" s="135">
        <v>0.850678733031674</v>
      </c>
      <c r="AB966" s="135">
        <v>0.880903490759754</v>
      </c>
      <c r="AC966" s="135">
        <v>0.895738779626828</v>
      </c>
      <c r="AD966" s="135">
        <v>0.92</v>
      </c>
      <c r="AE966" s="133">
        <v>0.971696074900972</v>
      </c>
      <c r="AF966" s="133">
        <v>0.998391959798995</v>
      </c>
      <c r="AG966" s="133">
        <v>0.998282770463652</v>
      </c>
      <c r="AH966" s="133">
        <v>0.982149872005733</v>
      </c>
      <c r="AI966" s="135">
        <v>0.92</v>
      </c>
      <c r="AJ966" s="133">
        <v>0.962680883472963</v>
      </c>
      <c r="AK966" s="133">
        <v>0.938550420168067</v>
      </c>
      <c r="AL966" s="133">
        <v>0.933962264150943</v>
      </c>
      <c r="AM966" s="133">
        <v>0.952734288046301</v>
      </c>
      <c r="AN966" s="132">
        <v>0.99</v>
      </c>
      <c r="AO966" s="137">
        <v>1</v>
      </c>
      <c r="AP966" s="137">
        <v>1</v>
      </c>
      <c r="AQ966" s="137">
        <v>1</v>
      </c>
      <c r="AR966" s="137">
        <v>1</v>
      </c>
      <c r="AS966" s="158">
        <v>0.0656418488929858</v>
      </c>
      <c r="AT966" s="141">
        <v>0</v>
      </c>
      <c r="AU966" s="141">
        <v>0.0588235294117647</v>
      </c>
      <c r="AV966" s="141">
        <v>0.0714285714285714</v>
      </c>
      <c r="AW966" s="141">
        <v>0.0342465753424658</v>
      </c>
      <c r="AX966" s="95"/>
      <c r="AY966" s="93"/>
    </row>
    <row r="967" ht="14.5" spans="1:51">
      <c r="A967" s="91"/>
      <c r="B967" s="95"/>
      <c r="C967" s="180" t="s">
        <v>927</v>
      </c>
      <c r="D967" s="181" t="s">
        <v>25</v>
      </c>
      <c r="E967" s="130" t="s">
        <v>928</v>
      </c>
      <c r="F967" s="184" t="s">
        <v>996</v>
      </c>
      <c r="G967" s="185" t="s">
        <v>996</v>
      </c>
      <c r="H967" s="185" t="s">
        <v>996</v>
      </c>
      <c r="I967" s="185" t="s">
        <v>996</v>
      </c>
      <c r="J967" s="132">
        <v>0.9</v>
      </c>
      <c r="K967" s="133">
        <v>0.848484848484849</v>
      </c>
      <c r="L967" s="133">
        <v>0.78125</v>
      </c>
      <c r="M967" s="134">
        <v>0.806451612903226</v>
      </c>
      <c r="N967" s="133">
        <v>0.854974704890388</v>
      </c>
      <c r="O967" s="135">
        <v>0.9</v>
      </c>
      <c r="P967" s="133">
        <v>0.918313570487484</v>
      </c>
      <c r="Q967" s="133">
        <v>0.854350325795324</v>
      </c>
      <c r="R967" s="133">
        <v>0.851449275362319</v>
      </c>
      <c r="S967" s="133">
        <v>0.885231529449271</v>
      </c>
      <c r="T967" s="135">
        <v>0.9</v>
      </c>
      <c r="U967" s="133">
        <v>0.895256916996047</v>
      </c>
      <c r="V967" s="133">
        <v>0.880797240321962</v>
      </c>
      <c r="W967" s="133">
        <v>0.801449275362319</v>
      </c>
      <c r="X967" s="133">
        <v>0.873575356658962</v>
      </c>
      <c r="Y967" s="135">
        <v>0.92</v>
      </c>
      <c r="Z967" s="135">
        <v>0.859884836852207</v>
      </c>
      <c r="AA967" s="135">
        <v>0.712074303405573</v>
      </c>
      <c r="AB967" s="135">
        <v>0.811320754716981</v>
      </c>
      <c r="AC967" s="135">
        <v>0.876369052834487</v>
      </c>
      <c r="AD967" s="135">
        <v>0.92</v>
      </c>
      <c r="AE967" s="133">
        <v>0.94180057684384</v>
      </c>
      <c r="AF967" s="133">
        <v>0.999046321525886</v>
      </c>
      <c r="AG967" s="133">
        <v>0.99012987012987</v>
      </c>
      <c r="AH967" s="133">
        <v>0.98970173277164</v>
      </c>
      <c r="AI967" s="135">
        <v>0.92</v>
      </c>
      <c r="AJ967" s="133">
        <v>0.935262383521334</v>
      </c>
      <c r="AK967" s="133">
        <v>0.923312883435583</v>
      </c>
      <c r="AL967" s="133">
        <v>0.91768115942029</v>
      </c>
      <c r="AM967" s="133">
        <v>0.948727520612868</v>
      </c>
      <c r="AN967" s="132">
        <v>0.99</v>
      </c>
      <c r="AO967" s="137">
        <v>1</v>
      </c>
      <c r="AP967" s="137">
        <v>1</v>
      </c>
      <c r="AQ967" s="137">
        <v>1</v>
      </c>
      <c r="AR967" s="137">
        <v>1</v>
      </c>
      <c r="AS967" s="158">
        <v>0.0656418488929858</v>
      </c>
      <c r="AT967" s="141">
        <v>0.0952380952380952</v>
      </c>
      <c r="AU967" s="141">
        <v>0.0555555555555556</v>
      </c>
      <c r="AV967" s="141">
        <v>0.03125</v>
      </c>
      <c r="AW967" s="141">
        <v>0.055452865064695</v>
      </c>
      <c r="AX967" s="95"/>
      <c r="AY967" s="93"/>
    </row>
    <row r="968" ht="14.5" spans="1:51">
      <c r="A968" s="91"/>
      <c r="B968" s="95"/>
      <c r="C968" s="180" t="s">
        <v>927</v>
      </c>
      <c r="D968" s="181" t="s">
        <v>25</v>
      </c>
      <c r="E968" s="130" t="s">
        <v>928</v>
      </c>
      <c r="F968" s="184" t="s">
        <v>997</v>
      </c>
      <c r="G968" s="185" t="s">
        <v>997</v>
      </c>
      <c r="H968" s="185" t="s">
        <v>997</v>
      </c>
      <c r="I968" s="185" t="s">
        <v>997</v>
      </c>
      <c r="J968" s="132">
        <v>0.9</v>
      </c>
      <c r="K968" s="133">
        <v>0.95</v>
      </c>
      <c r="L968" s="133">
        <v>0.789473684210526</v>
      </c>
      <c r="M968" s="134">
        <v>0.894736842105263</v>
      </c>
      <c r="N968" s="133">
        <v>0.908831908831909</v>
      </c>
      <c r="O968" s="135">
        <v>0.9</v>
      </c>
      <c r="P968" s="133">
        <v>0.993308550185874</v>
      </c>
      <c r="Q968" s="133">
        <v>0.952040816326531</v>
      </c>
      <c r="R968" s="133">
        <v>0.982336956521739</v>
      </c>
      <c r="S968" s="133">
        <v>0.977145377192072</v>
      </c>
      <c r="T968" s="135">
        <v>0.9</v>
      </c>
      <c r="U968" s="133">
        <v>0.915985130111524</v>
      </c>
      <c r="V968" s="133">
        <v>0.934183673469388</v>
      </c>
      <c r="W968" s="133">
        <v>0.816123188405797</v>
      </c>
      <c r="X968" s="133">
        <v>0.899475978001453</v>
      </c>
      <c r="Y968" s="135">
        <v>0.92</v>
      </c>
      <c r="Z968" s="135">
        <v>0.947939262472885</v>
      </c>
      <c r="AA968" s="135">
        <v>0.966804979253112</v>
      </c>
      <c r="AB968" s="135">
        <v>0.872659176029963</v>
      </c>
      <c r="AC968" s="135">
        <v>0.947796320068464</v>
      </c>
      <c r="AD968" s="135">
        <v>0.92</v>
      </c>
      <c r="AE968" s="133">
        <v>0.993908993192404</v>
      </c>
      <c r="AF968" s="133">
        <v>0.975718375569929</v>
      </c>
      <c r="AG968" s="133">
        <v>0.992717341829768</v>
      </c>
      <c r="AH968" s="133">
        <v>0.972212351645228</v>
      </c>
      <c r="AI968" s="135">
        <v>0.92</v>
      </c>
      <c r="AJ968" s="133">
        <v>0.96843853820598</v>
      </c>
      <c r="AK968" s="133">
        <v>0.975476839237057</v>
      </c>
      <c r="AL968" s="133">
        <v>0.942013129102845</v>
      </c>
      <c r="AM968" s="133">
        <v>0.972337627090336</v>
      </c>
      <c r="AN968" s="132">
        <v>0.99</v>
      </c>
      <c r="AO968" s="137">
        <v>1</v>
      </c>
      <c r="AP968" s="137">
        <v>1</v>
      </c>
      <c r="AQ968" s="137">
        <v>1</v>
      </c>
      <c r="AR968" s="137">
        <v>1</v>
      </c>
      <c r="AS968" s="158">
        <v>0.0656418488929858</v>
      </c>
      <c r="AT968" s="141">
        <v>0.0833333333333333</v>
      </c>
      <c r="AU968" s="141">
        <v>0</v>
      </c>
      <c r="AV968" s="141">
        <v>0.0588235294117647</v>
      </c>
      <c r="AW968" s="141">
        <v>0.0238095238095238</v>
      </c>
      <c r="AX968" s="95"/>
      <c r="AY968" s="93"/>
    </row>
    <row r="969" ht="14.5" spans="1:51">
      <c r="A969" s="91"/>
      <c r="B969" s="95"/>
      <c r="C969" s="180" t="s">
        <v>927</v>
      </c>
      <c r="D969" s="181" t="s">
        <v>25</v>
      </c>
      <c r="E969" s="130" t="s">
        <v>928</v>
      </c>
      <c r="F969" s="184" t="s">
        <v>998</v>
      </c>
      <c r="G969" s="185" t="s">
        <v>998</v>
      </c>
      <c r="H969" s="185" t="s">
        <v>998</v>
      </c>
      <c r="I969" s="185" t="s">
        <v>998</v>
      </c>
      <c r="J969" s="132">
        <v>0.9</v>
      </c>
      <c r="K969" s="133" t="s">
        <v>35</v>
      </c>
      <c r="L969" s="133" t="s">
        <v>35</v>
      </c>
      <c r="M969" s="134" t="s">
        <v>35</v>
      </c>
      <c r="N969" s="133" t="s">
        <v>35</v>
      </c>
      <c r="O969" s="135">
        <v>0.9</v>
      </c>
      <c r="P969" s="133" t="s">
        <v>35</v>
      </c>
      <c r="Q969" s="133" t="s">
        <v>35</v>
      </c>
      <c r="R969" s="133" t="s">
        <v>35</v>
      </c>
      <c r="S969" s="133" t="s">
        <v>35</v>
      </c>
      <c r="T969" s="135">
        <v>0.9</v>
      </c>
      <c r="U969" s="133" t="s">
        <v>35</v>
      </c>
      <c r="V969" s="133" t="s">
        <v>35</v>
      </c>
      <c r="W969" s="133" t="s">
        <v>35</v>
      </c>
      <c r="X969" s="133" t="s">
        <v>35</v>
      </c>
      <c r="Y969" s="135">
        <v>0.92</v>
      </c>
      <c r="Z969" s="135" t="s">
        <v>35</v>
      </c>
      <c r="AA969" s="135" t="s">
        <v>35</v>
      </c>
      <c r="AB969" s="135" t="s">
        <v>35</v>
      </c>
      <c r="AC969" s="135" t="s">
        <v>35</v>
      </c>
      <c r="AD969" s="135">
        <v>0.92</v>
      </c>
      <c r="AE969" s="133" t="s">
        <v>35</v>
      </c>
      <c r="AF969" s="133" t="s">
        <v>35</v>
      </c>
      <c r="AG969" s="133" t="s">
        <v>35</v>
      </c>
      <c r="AH969" s="133" t="s">
        <v>35</v>
      </c>
      <c r="AI969" s="135">
        <v>0.92</v>
      </c>
      <c r="AJ969" s="133" t="s">
        <v>35</v>
      </c>
      <c r="AK969" s="133" t="s">
        <v>35</v>
      </c>
      <c r="AL969" s="133" t="s">
        <v>35</v>
      </c>
      <c r="AM969" s="133" t="s">
        <v>35</v>
      </c>
      <c r="AN969" s="132">
        <v>0.99</v>
      </c>
      <c r="AO969" s="137" t="s">
        <v>35</v>
      </c>
      <c r="AP969" s="137" t="s">
        <v>35</v>
      </c>
      <c r="AQ969" s="137" t="s">
        <v>35</v>
      </c>
      <c r="AR969" s="137" t="s">
        <v>35</v>
      </c>
      <c r="AS969" s="158">
        <v>0.0656418488929858</v>
      </c>
      <c r="AT969" s="141" t="s">
        <v>35</v>
      </c>
      <c r="AU969" s="141" t="s">
        <v>35</v>
      </c>
      <c r="AV969" s="141" t="s">
        <v>35</v>
      </c>
      <c r="AW969" s="141" t="s">
        <v>35</v>
      </c>
      <c r="AX969" s="95"/>
      <c r="AY969" s="93"/>
    </row>
    <row r="970" ht="14.5" spans="1:51">
      <c r="A970" s="91"/>
      <c r="B970" s="95"/>
      <c r="C970" s="180" t="s">
        <v>927</v>
      </c>
      <c r="D970" s="181" t="s">
        <v>25</v>
      </c>
      <c r="E970" s="130" t="s">
        <v>928</v>
      </c>
      <c r="F970" s="184" t="s">
        <v>999</v>
      </c>
      <c r="G970" s="185" t="s">
        <v>999</v>
      </c>
      <c r="H970" s="185" t="s">
        <v>999</v>
      </c>
      <c r="I970" s="185" t="s">
        <v>999</v>
      </c>
      <c r="J970" s="132">
        <v>0.9</v>
      </c>
      <c r="K970" s="133">
        <v>0.84</v>
      </c>
      <c r="L970" s="133">
        <v>0.769230769230769</v>
      </c>
      <c r="M970" s="134">
        <v>0.739130434782609</v>
      </c>
      <c r="N970" s="133">
        <v>0.864978902953586</v>
      </c>
      <c r="O970" s="135">
        <v>0.9</v>
      </c>
      <c r="P970" s="133">
        <v>0.75933147632312</v>
      </c>
      <c r="Q970" s="133">
        <v>0.928189116859946</v>
      </c>
      <c r="R970" s="133">
        <v>0.844290657439446</v>
      </c>
      <c r="S970" s="133">
        <v>0.851097360309625</v>
      </c>
      <c r="T970" s="135">
        <v>0.9</v>
      </c>
      <c r="U970" s="133">
        <v>0.734261838440111</v>
      </c>
      <c r="V970" s="133">
        <v>0.924174843889384</v>
      </c>
      <c r="W970" s="133">
        <v>0.919117647058823</v>
      </c>
      <c r="X970" s="133">
        <v>0.884539618531136</v>
      </c>
      <c r="Y970" s="135">
        <v>0.92</v>
      </c>
      <c r="Z970" s="135">
        <v>0.957044673539519</v>
      </c>
      <c r="AA970" s="135">
        <v>0.942567567567568</v>
      </c>
      <c r="AB970" s="135">
        <v>0.912811387900356</v>
      </c>
      <c r="AC970" s="135">
        <v>0.939347408829175</v>
      </c>
      <c r="AD970" s="135">
        <v>0.92</v>
      </c>
      <c r="AE970" s="133">
        <v>0.998029417974523</v>
      </c>
      <c r="AF970" s="133">
        <v>0.997143731510762</v>
      </c>
      <c r="AG970" s="133">
        <v>0.977713874910137</v>
      </c>
      <c r="AH970" s="133">
        <v>0.784351548090055</v>
      </c>
      <c r="AI970" s="135">
        <v>0.92</v>
      </c>
      <c r="AJ970" s="133">
        <v>0.976030277544155</v>
      </c>
      <c r="AK970" s="133">
        <v>0.97832939322301</v>
      </c>
      <c r="AL970" s="133">
        <v>0.966272600834492</v>
      </c>
      <c r="AM970" s="133">
        <v>0.97503125758113</v>
      </c>
      <c r="AN970" s="132">
        <v>0.99</v>
      </c>
      <c r="AO970" s="137">
        <v>1</v>
      </c>
      <c r="AP970" s="137">
        <v>1</v>
      </c>
      <c r="AQ970" s="137">
        <v>1</v>
      </c>
      <c r="AR970" s="137">
        <v>1</v>
      </c>
      <c r="AS970" s="158">
        <v>0.0656418488929858</v>
      </c>
      <c r="AT970" s="141">
        <v>0</v>
      </c>
      <c r="AU970" s="141">
        <v>0</v>
      </c>
      <c r="AV970" s="141">
        <v>0.05</v>
      </c>
      <c r="AW970" s="141">
        <v>0.0189873417721519</v>
      </c>
      <c r="AX970" s="95"/>
      <c r="AY970" s="93"/>
    </row>
    <row r="971" ht="14.5" spans="1:51">
      <c r="A971" s="91"/>
      <c r="B971" s="95"/>
      <c r="C971" s="180" t="s">
        <v>927</v>
      </c>
      <c r="D971" s="181" t="s">
        <v>125</v>
      </c>
      <c r="E971" s="130" t="s">
        <v>928</v>
      </c>
      <c r="F971" s="184" t="s">
        <v>1000</v>
      </c>
      <c r="G971" s="185" t="s">
        <v>1000</v>
      </c>
      <c r="H971" s="185" t="s">
        <v>1000</v>
      </c>
      <c r="I971" s="185" t="s">
        <v>1000</v>
      </c>
      <c r="J971" s="132">
        <v>0.9</v>
      </c>
      <c r="K971" s="133" t="s">
        <v>35</v>
      </c>
      <c r="L971" s="133" t="s">
        <v>35</v>
      </c>
      <c r="M971" s="134" t="s">
        <v>35</v>
      </c>
      <c r="N971" s="133" t="s">
        <v>35</v>
      </c>
      <c r="O971" s="135">
        <v>0.9</v>
      </c>
      <c r="P971" s="133" t="s">
        <v>35</v>
      </c>
      <c r="Q971" s="133" t="s">
        <v>35</v>
      </c>
      <c r="R971" s="133" t="s">
        <v>35</v>
      </c>
      <c r="S971" s="133" t="s">
        <v>35</v>
      </c>
      <c r="T971" s="135">
        <v>0.9</v>
      </c>
      <c r="U971" s="133" t="s">
        <v>35</v>
      </c>
      <c r="V971" s="133" t="s">
        <v>35</v>
      </c>
      <c r="W971" s="133" t="s">
        <v>35</v>
      </c>
      <c r="X971" s="133" t="s">
        <v>35</v>
      </c>
      <c r="Y971" s="135">
        <v>0.92</v>
      </c>
      <c r="Z971" s="135" t="s">
        <v>35</v>
      </c>
      <c r="AA971" s="135" t="s">
        <v>35</v>
      </c>
      <c r="AB971" s="135" t="s">
        <v>35</v>
      </c>
      <c r="AC971" s="135" t="s">
        <v>35</v>
      </c>
      <c r="AD971" s="135">
        <v>0.92</v>
      </c>
      <c r="AE971" s="133" t="s">
        <v>35</v>
      </c>
      <c r="AF971" s="133" t="s">
        <v>35</v>
      </c>
      <c r="AG971" s="133" t="s">
        <v>35</v>
      </c>
      <c r="AH971" s="133" t="s">
        <v>35</v>
      </c>
      <c r="AI971" s="135">
        <v>0.92</v>
      </c>
      <c r="AJ971" s="133" t="s">
        <v>35</v>
      </c>
      <c r="AK971" s="133" t="s">
        <v>35</v>
      </c>
      <c r="AL971" s="133" t="s">
        <v>35</v>
      </c>
      <c r="AM971" s="133" t="s">
        <v>35</v>
      </c>
      <c r="AN971" s="132">
        <v>0.99</v>
      </c>
      <c r="AO971" s="137" t="s">
        <v>35</v>
      </c>
      <c r="AP971" s="137" t="s">
        <v>35</v>
      </c>
      <c r="AQ971" s="137" t="s">
        <v>35</v>
      </c>
      <c r="AR971" s="137" t="s">
        <v>35</v>
      </c>
      <c r="AS971" s="158">
        <v>0.0656418488929858</v>
      </c>
      <c r="AT971" s="141" t="s">
        <v>35</v>
      </c>
      <c r="AU971" s="141" t="s">
        <v>35</v>
      </c>
      <c r="AV971" s="141" t="s">
        <v>35</v>
      </c>
      <c r="AW971" s="141" t="s">
        <v>35</v>
      </c>
      <c r="AX971" s="95"/>
      <c r="AY971" s="93"/>
    </row>
    <row r="972" ht="14.5" spans="1:51">
      <c r="A972" s="91"/>
      <c r="B972" s="95"/>
      <c r="C972" s="180" t="s">
        <v>927</v>
      </c>
      <c r="D972" s="181" t="s">
        <v>25</v>
      </c>
      <c r="E972" s="130" t="s">
        <v>928</v>
      </c>
      <c r="F972" s="184" t="s">
        <v>1001</v>
      </c>
      <c r="G972" s="185" t="s">
        <v>1001</v>
      </c>
      <c r="H972" s="185" t="s">
        <v>1001</v>
      </c>
      <c r="I972" s="185" t="s">
        <v>1001</v>
      </c>
      <c r="J972" s="132">
        <v>0.9</v>
      </c>
      <c r="K972" s="133">
        <v>1</v>
      </c>
      <c r="L972" s="133">
        <v>0.842105263157895</v>
      </c>
      <c r="M972" s="134">
        <v>0.80952380952381</v>
      </c>
      <c r="N972" s="133">
        <v>0.869230769230769</v>
      </c>
      <c r="O972" s="135">
        <v>0.9</v>
      </c>
      <c r="P972" s="133">
        <v>0.902730375426621</v>
      </c>
      <c r="Q972" s="133">
        <v>0.964539007092199</v>
      </c>
      <c r="R972" s="133">
        <v>0.936976641692375</v>
      </c>
      <c r="S972" s="133">
        <v>0.896264821128696</v>
      </c>
      <c r="T972" s="135">
        <v>0.9</v>
      </c>
      <c r="U972" s="133">
        <v>0.88481228668942</v>
      </c>
      <c r="V972" s="133">
        <v>0.834346504559271</v>
      </c>
      <c r="W972" s="133">
        <v>0.789775231379462</v>
      </c>
      <c r="X972" s="133">
        <v>0.832680270724136</v>
      </c>
      <c r="Y972" s="135">
        <v>0.92</v>
      </c>
      <c r="Z972" s="135">
        <v>0.899497487437186</v>
      </c>
      <c r="AA972" s="135">
        <v>0.819852941176471</v>
      </c>
      <c r="AB972" s="135">
        <v>0.884210526315789</v>
      </c>
      <c r="AC972" s="135">
        <v>0.875387339530766</v>
      </c>
      <c r="AD972" s="135">
        <v>0.92</v>
      </c>
      <c r="AE972" s="133">
        <v>0.998687664041995</v>
      </c>
      <c r="AF972" s="133">
        <v>0.999208860759494</v>
      </c>
      <c r="AG972" s="133">
        <v>0.9985</v>
      </c>
      <c r="AH972" s="133">
        <v>0.987881607962937</v>
      </c>
      <c r="AI972" s="135">
        <v>0.92</v>
      </c>
      <c r="AJ972" s="133">
        <v>0.944585987261147</v>
      </c>
      <c r="AK972" s="133">
        <v>0.930543187889581</v>
      </c>
      <c r="AL972" s="133">
        <v>0.936224489795918</v>
      </c>
      <c r="AM972" s="133">
        <v>0.946968913524582</v>
      </c>
      <c r="AN972" s="132">
        <v>0.99</v>
      </c>
      <c r="AO972" s="137">
        <v>1</v>
      </c>
      <c r="AP972" s="137">
        <v>1</v>
      </c>
      <c r="AQ972" s="137">
        <v>1</v>
      </c>
      <c r="AR972" s="137">
        <v>1</v>
      </c>
      <c r="AS972" s="158">
        <v>0.0656418488929858</v>
      </c>
      <c r="AT972" s="141">
        <v>0.25</v>
      </c>
      <c r="AU972" s="141">
        <v>0.111111111111111</v>
      </c>
      <c r="AV972" s="141">
        <v>0.0714285714285714</v>
      </c>
      <c r="AW972" s="141">
        <v>0.0562913907284768</v>
      </c>
      <c r="AX972" s="95"/>
      <c r="AY972" s="93"/>
    </row>
    <row r="973" ht="14.5" spans="1:51">
      <c r="A973" s="91"/>
      <c r="B973" s="95"/>
      <c r="C973" s="180" t="s">
        <v>927</v>
      </c>
      <c r="D973" s="181" t="s">
        <v>25</v>
      </c>
      <c r="E973" s="130" t="s">
        <v>928</v>
      </c>
      <c r="F973" s="184" t="s">
        <v>1002</v>
      </c>
      <c r="G973" s="185" t="s">
        <v>1002</v>
      </c>
      <c r="H973" s="185" t="s">
        <v>1002</v>
      </c>
      <c r="I973" s="185" t="s">
        <v>1002</v>
      </c>
      <c r="J973" s="132">
        <v>0.9</v>
      </c>
      <c r="K973" s="133">
        <v>0.8</v>
      </c>
      <c r="L973" s="133">
        <v>0.95</v>
      </c>
      <c r="M973" s="134">
        <v>0.857142857142857</v>
      </c>
      <c r="N973" s="133">
        <v>0.888586956521739</v>
      </c>
      <c r="O973" s="135">
        <v>0.9</v>
      </c>
      <c r="P973" s="133">
        <v>0.913834951456311</v>
      </c>
      <c r="Q973" s="133">
        <v>0.941304347826087</v>
      </c>
      <c r="R973" s="133">
        <v>0.919354838709677</v>
      </c>
      <c r="S973" s="133">
        <v>0.929989358969655</v>
      </c>
      <c r="T973" s="135">
        <v>0.9</v>
      </c>
      <c r="U973" s="133">
        <v>0.919902912621359</v>
      </c>
      <c r="V973" s="133">
        <v>0.891304347826087</v>
      </c>
      <c r="W973" s="133">
        <v>0.892903225806452</v>
      </c>
      <c r="X973" s="133">
        <v>0.876527354786629</v>
      </c>
      <c r="Y973" s="135">
        <v>0.92</v>
      </c>
      <c r="Z973" s="135">
        <v>0.949820788530466</v>
      </c>
      <c r="AA973" s="135">
        <v>0.922535211267606</v>
      </c>
      <c r="AB973" s="135">
        <v>0.909638554216867</v>
      </c>
      <c r="AC973" s="135">
        <v>0.916080709263222</v>
      </c>
      <c r="AD973" s="135">
        <v>0.92</v>
      </c>
      <c r="AE973" s="133">
        <v>0.999886890623233</v>
      </c>
      <c r="AF973" s="133">
        <v>0.99904912836767</v>
      </c>
      <c r="AG973" s="133">
        <v>0.998897058823529</v>
      </c>
      <c r="AH973" s="133">
        <v>0.990234146341463</v>
      </c>
      <c r="AI973" s="135">
        <v>0.92</v>
      </c>
      <c r="AJ973" s="133">
        <v>0.970108695652174</v>
      </c>
      <c r="AK973" s="133">
        <v>0.967148488830486</v>
      </c>
      <c r="AL973" s="133">
        <v>0.963336875664187</v>
      </c>
      <c r="AM973" s="133">
        <v>0.964704142011834</v>
      </c>
      <c r="AN973" s="132">
        <v>0.99</v>
      </c>
      <c r="AO973" s="137">
        <v>1</v>
      </c>
      <c r="AP973" s="137">
        <v>1</v>
      </c>
      <c r="AQ973" s="137">
        <v>1</v>
      </c>
      <c r="AR973" s="137">
        <v>1</v>
      </c>
      <c r="AS973" s="158">
        <v>0.0656418488929858</v>
      </c>
      <c r="AT973" s="141">
        <v>0.0909090909090909</v>
      </c>
      <c r="AU973" s="141">
        <v>0.181818181818182</v>
      </c>
      <c r="AV973" s="141">
        <v>0</v>
      </c>
      <c r="AW973" s="141">
        <v>0.0610687022900763</v>
      </c>
      <c r="AX973" s="95"/>
      <c r="AY973" s="93"/>
    </row>
    <row r="974" ht="14.5" spans="1:51">
      <c r="A974" s="91"/>
      <c r="B974" s="95"/>
      <c r="C974" s="180" t="s">
        <v>927</v>
      </c>
      <c r="D974" s="181" t="s">
        <v>25</v>
      </c>
      <c r="E974" s="130" t="s">
        <v>928</v>
      </c>
      <c r="F974" s="186" t="s">
        <v>1003</v>
      </c>
      <c r="G974" s="187" t="s">
        <v>1003</v>
      </c>
      <c r="H974" s="187" t="s">
        <v>1003</v>
      </c>
      <c r="I974" s="187" t="s">
        <v>1003</v>
      </c>
      <c r="J974" s="132">
        <v>0.9</v>
      </c>
      <c r="K974" s="133">
        <v>0.8</v>
      </c>
      <c r="L974" s="133">
        <v>1</v>
      </c>
      <c r="M974" s="134">
        <v>0.785714285714286</v>
      </c>
      <c r="N974" s="133">
        <v>0.881679389312977</v>
      </c>
      <c r="O974" s="135">
        <v>0.9</v>
      </c>
      <c r="P974" s="133">
        <v>0.908783783783784</v>
      </c>
      <c r="Q974" s="133">
        <v>0.951509606587374</v>
      </c>
      <c r="R974" s="133">
        <v>0.916601714731099</v>
      </c>
      <c r="S974" s="133">
        <v>0.910495170133148</v>
      </c>
      <c r="T974" s="135">
        <v>0.9</v>
      </c>
      <c r="U974" s="133">
        <v>0.910472972972973</v>
      </c>
      <c r="V974" s="133">
        <v>0.920402561756633</v>
      </c>
      <c r="W974" s="133">
        <v>0.901013250194856</v>
      </c>
      <c r="X974" s="133">
        <v>0.922635105734923</v>
      </c>
      <c r="Y974" s="135">
        <v>0.92</v>
      </c>
      <c r="Z974" s="135">
        <v>0.935323383084577</v>
      </c>
      <c r="AA974" s="135">
        <v>0.902439024390244</v>
      </c>
      <c r="AB974" s="135">
        <v>0.932270916334661</v>
      </c>
      <c r="AC974" s="135">
        <v>0.936654936099278</v>
      </c>
      <c r="AD974" s="135">
        <v>0.92</v>
      </c>
      <c r="AE974" s="133">
        <v>1</v>
      </c>
      <c r="AF974" s="133">
        <v>0.998452012383901</v>
      </c>
      <c r="AG974" s="133">
        <v>0.999260355029586</v>
      </c>
      <c r="AH974" s="133">
        <v>0.999733861667209</v>
      </c>
      <c r="AI974" s="135">
        <v>0.92</v>
      </c>
      <c r="AJ974" s="133">
        <v>0.960907944514502</v>
      </c>
      <c r="AK974" s="133">
        <v>0.962171052631579</v>
      </c>
      <c r="AL974" s="133">
        <v>0.970013037809648</v>
      </c>
      <c r="AM974" s="133">
        <v>0.972733997956811</v>
      </c>
      <c r="AN974" s="132">
        <v>0.99</v>
      </c>
      <c r="AO974" s="137">
        <v>1</v>
      </c>
      <c r="AP974" s="137">
        <v>1</v>
      </c>
      <c r="AQ974" s="137">
        <v>1</v>
      </c>
      <c r="AR974" s="137">
        <v>1</v>
      </c>
      <c r="AS974" s="158">
        <v>0.0656418488929858</v>
      </c>
      <c r="AT974" s="141">
        <v>0</v>
      </c>
      <c r="AU974" s="141">
        <v>0.25</v>
      </c>
      <c r="AV974" s="141">
        <v>0</v>
      </c>
      <c r="AW974" s="141">
        <v>0.0388888888888889</v>
      </c>
      <c r="AX974" s="95"/>
      <c r="AY974" s="93"/>
    </row>
    <row r="975" ht="14.5" spans="1:51">
      <c r="A975" s="91"/>
      <c r="B975" s="95"/>
      <c r="C975" s="180" t="s">
        <v>927</v>
      </c>
      <c r="D975" s="181" t="s">
        <v>25</v>
      </c>
      <c r="E975" s="130" t="s">
        <v>928</v>
      </c>
      <c r="F975" s="192" t="s">
        <v>1004</v>
      </c>
      <c r="G975" s="193" t="s">
        <v>1004</v>
      </c>
      <c r="H975" s="193" t="s">
        <v>1004</v>
      </c>
      <c r="I975" s="193" t="s">
        <v>1004</v>
      </c>
      <c r="J975" s="132">
        <v>0.9</v>
      </c>
      <c r="K975" s="133">
        <v>0.846153846153846</v>
      </c>
      <c r="L975" s="133">
        <v>1</v>
      </c>
      <c r="M975" s="134">
        <v>0.769230769230769</v>
      </c>
      <c r="N975" s="133">
        <v>0.896103896103896</v>
      </c>
      <c r="O975" s="135">
        <v>0.9</v>
      </c>
      <c r="P975" s="133">
        <v>0.964052287581699</v>
      </c>
      <c r="Q975" s="133">
        <v>0.905353728489484</v>
      </c>
      <c r="R975" s="133">
        <v>0.951077943615257</v>
      </c>
      <c r="S975" s="133">
        <v>0.965640359825651</v>
      </c>
      <c r="T975" s="135">
        <v>0.9</v>
      </c>
      <c r="U975" s="133">
        <v>0.905228758169935</v>
      </c>
      <c r="V975" s="133">
        <v>0.841300191204589</v>
      </c>
      <c r="W975" s="133">
        <v>0.829187396351575</v>
      </c>
      <c r="X975" s="133">
        <v>0.853055735880553</v>
      </c>
      <c r="Y975" s="135">
        <v>0.92</v>
      </c>
      <c r="Z975" s="135">
        <v>0.957345971563981</v>
      </c>
      <c r="AA975" s="135">
        <v>0.826666666666667</v>
      </c>
      <c r="AB975" s="135">
        <v>0.859712230215827</v>
      </c>
      <c r="AC975" s="135">
        <v>0.865754437869823</v>
      </c>
      <c r="AD975" s="135">
        <v>0.92</v>
      </c>
      <c r="AE975" s="133">
        <v>1</v>
      </c>
      <c r="AF975" s="133">
        <v>1</v>
      </c>
      <c r="AG975" s="133">
        <v>0.999424294761082</v>
      </c>
      <c r="AH975" s="133">
        <v>0.999033690258553</v>
      </c>
      <c r="AI975" s="135">
        <v>0.92</v>
      </c>
      <c r="AJ975" s="133">
        <v>0.964763061968408</v>
      </c>
      <c r="AK975" s="133">
        <v>0.92809364548495</v>
      </c>
      <c r="AL975" s="133">
        <v>0.93800539083558</v>
      </c>
      <c r="AM975" s="133">
        <v>0.94951441915635</v>
      </c>
      <c r="AN975" s="132">
        <v>0.99</v>
      </c>
      <c r="AO975" s="137">
        <v>1</v>
      </c>
      <c r="AP975" s="137">
        <v>1</v>
      </c>
      <c r="AQ975" s="137">
        <v>1</v>
      </c>
      <c r="AR975" s="137">
        <v>1</v>
      </c>
      <c r="AS975" s="158">
        <v>0.0656418488929858</v>
      </c>
      <c r="AT975" s="141">
        <v>0</v>
      </c>
      <c r="AU975" s="141">
        <v>0</v>
      </c>
      <c r="AV975" s="141">
        <v>0</v>
      </c>
      <c r="AW975" s="141">
        <v>0.0337078651685393</v>
      </c>
      <c r="AX975" s="95"/>
      <c r="AY975" s="93"/>
    </row>
    <row r="976" ht="14.5" spans="1:51">
      <c r="A976" s="91"/>
      <c r="B976" s="95"/>
      <c r="C976" s="180" t="s">
        <v>927</v>
      </c>
      <c r="D976" s="181" t="s">
        <v>25</v>
      </c>
      <c r="E976" s="130" t="s">
        <v>928</v>
      </c>
      <c r="F976" s="182" t="s">
        <v>1005</v>
      </c>
      <c r="G976" s="183" t="s">
        <v>1005</v>
      </c>
      <c r="H976" s="183" t="s">
        <v>1005</v>
      </c>
      <c r="I976" s="183" t="s">
        <v>1005</v>
      </c>
      <c r="J976" s="132">
        <v>0.9</v>
      </c>
      <c r="K976" s="133">
        <v>0.918918918918919</v>
      </c>
      <c r="L976" s="133">
        <v>0.888888888888889</v>
      </c>
      <c r="M976" s="134">
        <v>0.875</v>
      </c>
      <c r="N976" s="133">
        <v>0.911854103343465</v>
      </c>
      <c r="O976" s="135">
        <v>0.9</v>
      </c>
      <c r="P976" s="133">
        <v>0.952025586353945</v>
      </c>
      <c r="Q976" s="133">
        <v>0.887300452704313</v>
      </c>
      <c r="R976" s="133">
        <v>0.90615748963884</v>
      </c>
      <c r="S976" s="133">
        <v>0.918540046157791</v>
      </c>
      <c r="T976" s="135">
        <v>0.9</v>
      </c>
      <c r="U976" s="133">
        <v>0.904051172707889</v>
      </c>
      <c r="V976" s="133">
        <v>0.847748391708363</v>
      </c>
      <c r="W976" s="133">
        <v>0.792184724689165</v>
      </c>
      <c r="X976" s="133">
        <v>0.871641450836254</v>
      </c>
      <c r="Y976" s="135">
        <v>0.92</v>
      </c>
      <c r="Z976" s="135" t="s">
        <v>35</v>
      </c>
      <c r="AA976" s="135" t="s">
        <v>35</v>
      </c>
      <c r="AB976" s="135" t="s">
        <v>35</v>
      </c>
      <c r="AC976" s="135" t="s">
        <v>35</v>
      </c>
      <c r="AD976" s="135">
        <v>0.92</v>
      </c>
      <c r="AE976" s="133">
        <v>0.955345060893099</v>
      </c>
      <c r="AF976" s="133">
        <v>0.988773747841105</v>
      </c>
      <c r="AG976" s="133">
        <v>0.996208530805687</v>
      </c>
      <c r="AH976" s="133">
        <v>0.981291534238659</v>
      </c>
      <c r="AI976" s="135">
        <v>0.92</v>
      </c>
      <c r="AJ976" s="133">
        <v>0.929637526652452</v>
      </c>
      <c r="AK976" s="133">
        <v>0.892780557541101</v>
      </c>
      <c r="AL976" s="133">
        <v>0.851391355831853</v>
      </c>
      <c r="AM976" s="133">
        <v>0.922075331927745</v>
      </c>
      <c r="AN976" s="132">
        <v>0.99</v>
      </c>
      <c r="AO976" s="137">
        <v>1</v>
      </c>
      <c r="AP976" s="137">
        <v>1</v>
      </c>
      <c r="AQ976" s="137">
        <v>1</v>
      </c>
      <c r="AR976" s="137">
        <v>1</v>
      </c>
      <c r="AS976" s="158">
        <v>0.0656418488929858</v>
      </c>
      <c r="AT976" s="141">
        <v>0.111111111111111</v>
      </c>
      <c r="AU976" s="141">
        <v>0</v>
      </c>
      <c r="AV976" s="141">
        <v>0.12</v>
      </c>
      <c r="AW976" s="141">
        <v>0.0397489539748954</v>
      </c>
      <c r="AX976" s="95"/>
      <c r="AY976" s="93"/>
    </row>
    <row r="977" ht="14.5" spans="1:51">
      <c r="A977" s="91"/>
      <c r="B977" s="95"/>
      <c r="C977" s="180" t="s">
        <v>927</v>
      </c>
      <c r="D977" s="181" t="s">
        <v>25</v>
      </c>
      <c r="E977" s="130" t="s">
        <v>928</v>
      </c>
      <c r="F977" s="182" t="s">
        <v>1006</v>
      </c>
      <c r="G977" s="183" t="s">
        <v>1006</v>
      </c>
      <c r="H977" s="183" t="s">
        <v>1006</v>
      </c>
      <c r="I977" s="183" t="s">
        <v>1006</v>
      </c>
      <c r="J977" s="132">
        <v>0.9</v>
      </c>
      <c r="K977" s="133">
        <v>0.926829268292683</v>
      </c>
      <c r="L977" s="133">
        <v>0.923076923076923</v>
      </c>
      <c r="M977" s="134">
        <v>0.951219512195122</v>
      </c>
      <c r="N977" s="133">
        <v>0.94973544973545</v>
      </c>
      <c r="O977" s="135">
        <v>0.9</v>
      </c>
      <c r="P977" s="133">
        <v>0.964487034949267</v>
      </c>
      <c r="Q977" s="133">
        <v>0.907916766323846</v>
      </c>
      <c r="R977" s="133">
        <v>0.950558659217877</v>
      </c>
      <c r="S977" s="133">
        <v>0.950678157051516</v>
      </c>
      <c r="T977" s="135">
        <v>0.9</v>
      </c>
      <c r="U977" s="133">
        <v>0.901916572717024</v>
      </c>
      <c r="V977" s="133">
        <v>0.887586701745994</v>
      </c>
      <c r="W977" s="133">
        <v>0.865642458100559</v>
      </c>
      <c r="X977" s="133">
        <v>0.9066967094386</v>
      </c>
      <c r="Y977" s="135">
        <v>0.92</v>
      </c>
      <c r="Z977" s="135" t="s">
        <v>35</v>
      </c>
      <c r="AA977" s="135" t="s">
        <v>35</v>
      </c>
      <c r="AB977" s="135" t="s">
        <v>35</v>
      </c>
      <c r="AC977" s="135" t="s">
        <v>35</v>
      </c>
      <c r="AD977" s="135">
        <v>0.92</v>
      </c>
      <c r="AE977" s="133">
        <v>0.9960362400906</v>
      </c>
      <c r="AF977" s="133">
        <v>0.982646420824295</v>
      </c>
      <c r="AG977" s="133">
        <v>0.979381443298969</v>
      </c>
      <c r="AH977" s="133">
        <v>0.990200963295134</v>
      </c>
      <c r="AI977" s="135">
        <v>0.92</v>
      </c>
      <c r="AJ977" s="133">
        <v>0.927846674182638</v>
      </c>
      <c r="AK977" s="133">
        <v>0.922745754604162</v>
      </c>
      <c r="AL977" s="133">
        <v>0.918994413407821</v>
      </c>
      <c r="AM977" s="133">
        <v>0.944620831931175</v>
      </c>
      <c r="AN977" s="132">
        <v>0.99</v>
      </c>
      <c r="AO977" s="137">
        <v>1</v>
      </c>
      <c r="AP977" s="137">
        <v>1</v>
      </c>
      <c r="AQ977" s="137">
        <v>1</v>
      </c>
      <c r="AR977" s="137">
        <v>1</v>
      </c>
      <c r="AS977" s="158">
        <v>0.0656418488929858</v>
      </c>
      <c r="AT977" s="141">
        <v>0.133333333333333</v>
      </c>
      <c r="AU977" s="141">
        <v>0.0555555555555556</v>
      </c>
      <c r="AV977" s="141">
        <v>0</v>
      </c>
      <c r="AW977" s="141">
        <v>0.054140127388535</v>
      </c>
      <c r="AX977" s="95"/>
      <c r="AY977" s="93"/>
    </row>
    <row r="978" ht="14.5" spans="1:51">
      <c r="A978" s="91"/>
      <c r="B978" s="95"/>
      <c r="C978" s="180" t="s">
        <v>927</v>
      </c>
      <c r="D978" s="181" t="s">
        <v>25</v>
      </c>
      <c r="E978" s="130" t="s">
        <v>928</v>
      </c>
      <c r="F978" s="184" t="s">
        <v>1007</v>
      </c>
      <c r="G978" s="185" t="s">
        <v>1007</v>
      </c>
      <c r="H978" s="185" t="s">
        <v>1007</v>
      </c>
      <c r="I978" s="185" t="s">
        <v>1007</v>
      </c>
      <c r="J978" s="132">
        <v>0.9</v>
      </c>
      <c r="K978" s="133">
        <v>0.959183673469388</v>
      </c>
      <c r="L978" s="133">
        <v>0.961538461538462</v>
      </c>
      <c r="M978" s="134">
        <v>0.872340425531915</v>
      </c>
      <c r="N978" s="133">
        <v>0.947970863683663</v>
      </c>
      <c r="O978" s="135">
        <v>0.9</v>
      </c>
      <c r="P978" s="133">
        <v>0.933207902163688</v>
      </c>
      <c r="Q978" s="133">
        <v>0.847526961695798</v>
      </c>
      <c r="R978" s="133">
        <v>0.914272474513438</v>
      </c>
      <c r="S978" s="133">
        <v>0.91803005604274</v>
      </c>
      <c r="T978" s="135">
        <v>0.9</v>
      </c>
      <c r="U978" s="133">
        <v>0.916745061147695</v>
      </c>
      <c r="V978" s="133">
        <v>0.856824098177761</v>
      </c>
      <c r="W978" s="133">
        <v>0.877201112140871</v>
      </c>
      <c r="X978" s="133">
        <v>0.896921813833395</v>
      </c>
      <c r="Y978" s="135">
        <v>0.92</v>
      </c>
      <c r="Z978" s="135" t="s">
        <v>35</v>
      </c>
      <c r="AA978" s="135" t="s">
        <v>35</v>
      </c>
      <c r="AB978" s="135" t="s">
        <v>35</v>
      </c>
      <c r="AC978" s="135">
        <v>1</v>
      </c>
      <c r="AD978" s="135">
        <v>0.92</v>
      </c>
      <c r="AE978" s="133">
        <v>0.957345971563981</v>
      </c>
      <c r="AF978" s="133">
        <v>0.986348122866894</v>
      </c>
      <c r="AG978" s="133">
        <v>0.965635738831615</v>
      </c>
      <c r="AH978" s="133">
        <v>0.965505822617142</v>
      </c>
      <c r="AI978" s="135">
        <v>0.92</v>
      </c>
      <c r="AJ978" s="133">
        <v>0.934179595674659</v>
      </c>
      <c r="AK978" s="133">
        <v>0.926552621792488</v>
      </c>
      <c r="AL978" s="133">
        <v>0.913345690454124</v>
      </c>
      <c r="AM978" s="133">
        <v>0.940497578735707</v>
      </c>
      <c r="AN978" s="132">
        <v>0.99</v>
      </c>
      <c r="AO978" s="137">
        <v>1</v>
      </c>
      <c r="AP978" s="137">
        <v>1</v>
      </c>
      <c r="AQ978" s="137">
        <v>1</v>
      </c>
      <c r="AR978" s="137">
        <v>1</v>
      </c>
      <c r="AS978" s="158">
        <v>0.0656418488929858</v>
      </c>
      <c r="AT978" s="141">
        <v>0.0714285714285714</v>
      </c>
      <c r="AU978" s="141">
        <v>0.0666666666666667</v>
      </c>
      <c r="AV978" s="141">
        <v>0.117647058823529</v>
      </c>
      <c r="AW978" s="141">
        <v>0.0574162679425837</v>
      </c>
      <c r="AX978" s="95"/>
      <c r="AY978" s="93"/>
    </row>
    <row r="979" ht="14.5" spans="1:51">
      <c r="A979" s="91"/>
      <c r="B979" s="95"/>
      <c r="C979" s="180" t="s">
        <v>927</v>
      </c>
      <c r="D979" s="181" t="s">
        <v>25</v>
      </c>
      <c r="E979" s="130" t="s">
        <v>928</v>
      </c>
      <c r="F979" s="184" t="s">
        <v>1008</v>
      </c>
      <c r="G979" s="185" t="s">
        <v>1008</v>
      </c>
      <c r="H979" s="185" t="s">
        <v>1008</v>
      </c>
      <c r="I979" s="185" t="s">
        <v>1008</v>
      </c>
      <c r="J979" s="132">
        <v>0.9</v>
      </c>
      <c r="K979" s="133">
        <v>0.857142857142857</v>
      </c>
      <c r="L979" s="133">
        <v>0.75</v>
      </c>
      <c r="M979" s="134">
        <v>0.935483870967742</v>
      </c>
      <c r="N979" s="133">
        <v>0.912186379928315</v>
      </c>
      <c r="O979" s="135">
        <v>0.9</v>
      </c>
      <c r="P979" s="133">
        <v>0.915942028985507</v>
      </c>
      <c r="Q979" s="133">
        <v>0.773291029708682</v>
      </c>
      <c r="R979" s="133">
        <v>0.933257918552036</v>
      </c>
      <c r="S979" s="133">
        <v>0.907233096255967</v>
      </c>
      <c r="T979" s="135">
        <v>0.9</v>
      </c>
      <c r="U979" s="133">
        <v>0.919565217391304</v>
      </c>
      <c r="V979" s="133">
        <v>0.913181424862994</v>
      </c>
      <c r="W979" s="133">
        <v>0.940422322775264</v>
      </c>
      <c r="X979" s="133">
        <v>0.918946379617737</v>
      </c>
      <c r="Y979" s="135">
        <v>0.92</v>
      </c>
      <c r="Z979" s="135" t="s">
        <v>35</v>
      </c>
      <c r="AA979" s="135" t="s">
        <v>35</v>
      </c>
      <c r="AB979" s="135" t="s">
        <v>35</v>
      </c>
      <c r="AC979" s="135" t="s">
        <v>35</v>
      </c>
      <c r="AD979" s="135">
        <v>0.92</v>
      </c>
      <c r="AE979" s="133">
        <v>0.985751295336788</v>
      </c>
      <c r="AF979" s="133">
        <v>0.976038338658147</v>
      </c>
      <c r="AG979" s="133">
        <v>0.986404833836858</v>
      </c>
      <c r="AH979" s="133">
        <v>0.976897160275951</v>
      </c>
      <c r="AI979" s="135">
        <v>0.92</v>
      </c>
      <c r="AJ979" s="133">
        <v>0.938405797101449</v>
      </c>
      <c r="AK979" s="133">
        <v>0.960207612456747</v>
      </c>
      <c r="AL979" s="133">
        <v>0.962669683257919</v>
      </c>
      <c r="AM979" s="133">
        <v>0.957713540867965</v>
      </c>
      <c r="AN979" s="132">
        <v>0.99</v>
      </c>
      <c r="AO979" s="137">
        <v>1</v>
      </c>
      <c r="AP979" s="137">
        <v>1</v>
      </c>
      <c r="AQ979" s="137">
        <v>1</v>
      </c>
      <c r="AR979" s="137">
        <v>1</v>
      </c>
      <c r="AS979" s="158">
        <v>0.0656418488929858</v>
      </c>
      <c r="AT979" s="141">
        <v>0</v>
      </c>
      <c r="AU979" s="141">
        <v>0</v>
      </c>
      <c r="AV979" s="141">
        <v>0.0833333333333333</v>
      </c>
      <c r="AW979" s="141">
        <v>0.0396039603960396</v>
      </c>
      <c r="AX979" s="95"/>
      <c r="AY979" s="93"/>
    </row>
    <row r="980" ht="14.5" spans="1:51">
      <c r="A980" s="91"/>
      <c r="B980" s="95"/>
      <c r="C980" s="180" t="s">
        <v>927</v>
      </c>
      <c r="D980" s="181" t="s">
        <v>25</v>
      </c>
      <c r="E980" s="130" t="s">
        <v>928</v>
      </c>
      <c r="F980" s="184" t="s">
        <v>1009</v>
      </c>
      <c r="G980" s="185" t="s">
        <v>1009</v>
      </c>
      <c r="H980" s="185" t="s">
        <v>1009</v>
      </c>
      <c r="I980" s="185" t="s">
        <v>1009</v>
      </c>
      <c r="J980" s="132">
        <v>0.9</v>
      </c>
      <c r="K980" s="133">
        <v>0.86046511627907</v>
      </c>
      <c r="L980" s="133">
        <v>0.883720930232558</v>
      </c>
      <c r="M980" s="134">
        <v>0.720930232558139</v>
      </c>
      <c r="N980" s="133">
        <v>0.890377588306943</v>
      </c>
      <c r="O980" s="135">
        <v>0.9</v>
      </c>
      <c r="P980" s="133">
        <v>0.924281984334204</v>
      </c>
      <c r="Q980" s="133">
        <v>0.854363535297387</v>
      </c>
      <c r="R980" s="133">
        <v>0.916159567275186</v>
      </c>
      <c r="S980" s="133">
        <v>0.934608298973594</v>
      </c>
      <c r="T980" s="135">
        <v>0.9</v>
      </c>
      <c r="U980" s="133">
        <v>0.906657963446475</v>
      </c>
      <c r="V980" s="133">
        <v>0.887437465258477</v>
      </c>
      <c r="W980" s="133">
        <v>0.828262339418526</v>
      </c>
      <c r="X980" s="133">
        <v>0.894710062286165</v>
      </c>
      <c r="Y980" s="135">
        <v>0.92</v>
      </c>
      <c r="Z980" s="135" t="s">
        <v>35</v>
      </c>
      <c r="AA980" s="135" t="s">
        <v>35</v>
      </c>
      <c r="AB980" s="135" t="s">
        <v>35</v>
      </c>
      <c r="AC980" s="135">
        <v>1</v>
      </c>
      <c r="AD980" s="135">
        <v>0.92</v>
      </c>
      <c r="AE980" s="133">
        <v>0.989375</v>
      </c>
      <c r="AF980" s="133">
        <v>0.988906497622821</v>
      </c>
      <c r="AG980" s="133">
        <v>0.966704936854191</v>
      </c>
      <c r="AH980" s="133">
        <v>0.974541436464088</v>
      </c>
      <c r="AI980" s="135">
        <v>0.92</v>
      </c>
      <c r="AJ980" s="133">
        <v>0.952349869451697</v>
      </c>
      <c r="AK980" s="133">
        <v>0.94858254585881</v>
      </c>
      <c r="AL980" s="133">
        <v>0.930043933761406</v>
      </c>
      <c r="AM980" s="133">
        <v>0.955762146991756</v>
      </c>
      <c r="AN980" s="132">
        <v>0.99</v>
      </c>
      <c r="AO980" s="137">
        <v>1</v>
      </c>
      <c r="AP980" s="137">
        <v>1</v>
      </c>
      <c r="AQ980" s="137">
        <v>1</v>
      </c>
      <c r="AR980" s="137">
        <v>1</v>
      </c>
      <c r="AS980" s="158">
        <v>0.0656418488929858</v>
      </c>
      <c r="AT980" s="141">
        <v>0.142857142857143</v>
      </c>
      <c r="AU980" s="141">
        <v>0.153846153846154</v>
      </c>
      <c r="AV980" s="141">
        <v>0</v>
      </c>
      <c r="AW980" s="141">
        <v>0.0384615384615385</v>
      </c>
      <c r="AX980" s="95"/>
      <c r="AY980" s="93"/>
    </row>
    <row r="981" ht="14.5" spans="1:51">
      <c r="A981" s="91"/>
      <c r="B981" s="95"/>
      <c r="C981" s="180" t="s">
        <v>927</v>
      </c>
      <c r="D981" s="181" t="s">
        <v>25</v>
      </c>
      <c r="E981" s="130" t="s">
        <v>928</v>
      </c>
      <c r="F981" s="184" t="s">
        <v>1010</v>
      </c>
      <c r="G981" s="185" t="s">
        <v>1010</v>
      </c>
      <c r="H981" s="185" t="s">
        <v>1010</v>
      </c>
      <c r="I981" s="185" t="s">
        <v>1010</v>
      </c>
      <c r="J981" s="132">
        <v>0.9</v>
      </c>
      <c r="K981" s="133">
        <v>0.892857142857143</v>
      </c>
      <c r="L981" s="133">
        <v>0.966666666666667</v>
      </c>
      <c r="M981" s="134">
        <v>0.931034482758621</v>
      </c>
      <c r="N981" s="133">
        <v>0.95</v>
      </c>
      <c r="O981" s="135">
        <v>0.9</v>
      </c>
      <c r="P981" s="133">
        <v>0.966964900206469</v>
      </c>
      <c r="Q981" s="133">
        <v>0.920069005175388</v>
      </c>
      <c r="R981" s="133">
        <v>0.966174883051457</v>
      </c>
      <c r="S981" s="133">
        <v>0.931129525570809</v>
      </c>
      <c r="T981" s="135">
        <v>0.9</v>
      </c>
      <c r="U981" s="133">
        <v>0.922918100481762</v>
      </c>
      <c r="V981" s="133">
        <v>0.907418056354227</v>
      </c>
      <c r="W981" s="133">
        <v>0.922993882691616</v>
      </c>
      <c r="X981" s="133">
        <v>0.908528344832492</v>
      </c>
      <c r="Y981" s="135">
        <v>0.92</v>
      </c>
      <c r="Z981" s="135" t="s">
        <v>35</v>
      </c>
      <c r="AA981" s="135" t="s">
        <v>35</v>
      </c>
      <c r="AB981" s="135" t="s">
        <v>35</v>
      </c>
      <c r="AC981" s="135">
        <v>1</v>
      </c>
      <c r="AD981" s="135">
        <v>0.92</v>
      </c>
      <c r="AE981" s="133">
        <v>0.966666666666667</v>
      </c>
      <c r="AF981" s="133">
        <v>0.960144927536232</v>
      </c>
      <c r="AG981" s="133">
        <v>0.983695652173913</v>
      </c>
      <c r="AH981" s="133">
        <v>0.978682390293684</v>
      </c>
      <c r="AI981" s="135">
        <v>0.92</v>
      </c>
      <c r="AJ981" s="133">
        <v>0.940123881624226</v>
      </c>
      <c r="AK981" s="133">
        <v>0.939350388042541</v>
      </c>
      <c r="AL981" s="133">
        <v>0.944964028776978</v>
      </c>
      <c r="AM981" s="133">
        <v>0.950462304409673</v>
      </c>
      <c r="AN981" s="132">
        <v>0.99</v>
      </c>
      <c r="AO981" s="137">
        <v>1</v>
      </c>
      <c r="AP981" s="137">
        <v>1</v>
      </c>
      <c r="AQ981" s="137">
        <v>1</v>
      </c>
      <c r="AR981" s="137">
        <v>1</v>
      </c>
      <c r="AS981" s="158">
        <v>0.0656418488929858</v>
      </c>
      <c r="AT981" s="141">
        <v>0.111111111111111</v>
      </c>
      <c r="AU981" s="141">
        <v>0.0666666666666667</v>
      </c>
      <c r="AV981" s="141">
        <v>0.125</v>
      </c>
      <c r="AW981" s="141">
        <v>0.052</v>
      </c>
      <c r="AX981" s="95"/>
      <c r="AY981" s="93"/>
    </row>
    <row r="982" ht="14.5" spans="1:51">
      <c r="A982" s="91"/>
      <c r="B982" s="95"/>
      <c r="C982" s="180" t="s">
        <v>927</v>
      </c>
      <c r="D982" s="181" t="s">
        <v>125</v>
      </c>
      <c r="E982" s="130" t="s">
        <v>928</v>
      </c>
      <c r="F982" s="184" t="s">
        <v>1011</v>
      </c>
      <c r="G982" s="185" t="s">
        <v>1011</v>
      </c>
      <c r="H982" s="185" t="s">
        <v>1011</v>
      </c>
      <c r="I982" s="185" t="s">
        <v>1011</v>
      </c>
      <c r="J982" s="132">
        <v>0.9</v>
      </c>
      <c r="K982" s="133" t="s">
        <v>35</v>
      </c>
      <c r="L982" s="133" t="s">
        <v>35</v>
      </c>
      <c r="M982" s="134" t="s">
        <v>35</v>
      </c>
      <c r="N982" s="133" t="s">
        <v>35</v>
      </c>
      <c r="O982" s="135">
        <v>0.9</v>
      </c>
      <c r="P982" s="133" t="s">
        <v>35</v>
      </c>
      <c r="Q982" s="133" t="s">
        <v>35</v>
      </c>
      <c r="R982" s="133" t="s">
        <v>35</v>
      </c>
      <c r="S982" s="133">
        <v>0</v>
      </c>
      <c r="T982" s="135">
        <v>0.9</v>
      </c>
      <c r="U982" s="133" t="s">
        <v>35</v>
      </c>
      <c r="V982" s="133" t="s">
        <v>35</v>
      </c>
      <c r="W982" s="133" t="s">
        <v>35</v>
      </c>
      <c r="X982" s="133">
        <v>1</v>
      </c>
      <c r="Y982" s="135">
        <v>0.92</v>
      </c>
      <c r="Z982" s="135" t="s">
        <v>35</v>
      </c>
      <c r="AA982" s="135" t="s">
        <v>35</v>
      </c>
      <c r="AB982" s="135" t="s">
        <v>35</v>
      </c>
      <c r="AC982" s="135" t="s">
        <v>35</v>
      </c>
      <c r="AD982" s="135">
        <v>0.92</v>
      </c>
      <c r="AE982" s="133">
        <v>0.973958333333333</v>
      </c>
      <c r="AF982" s="133">
        <v>0.906976744186046</v>
      </c>
      <c r="AG982" s="133">
        <v>0.917562724014337</v>
      </c>
      <c r="AH982" s="133">
        <v>0.927115503397159</v>
      </c>
      <c r="AI982" s="135">
        <v>0.92</v>
      </c>
      <c r="AJ982" s="133" t="s">
        <v>35</v>
      </c>
      <c r="AK982" s="133" t="s">
        <v>35</v>
      </c>
      <c r="AL982" s="133" t="s">
        <v>35</v>
      </c>
      <c r="AM982" s="133">
        <v>1</v>
      </c>
      <c r="AN982" s="132">
        <v>0.99</v>
      </c>
      <c r="AO982" s="137">
        <v>1</v>
      </c>
      <c r="AP982" s="137">
        <v>1</v>
      </c>
      <c r="AQ982" s="137">
        <v>1</v>
      </c>
      <c r="AR982" s="137">
        <v>1</v>
      </c>
      <c r="AS982" s="158">
        <v>0.0656418488929858</v>
      </c>
      <c r="AT982" s="141" t="s">
        <v>35</v>
      </c>
      <c r="AU982" s="141" t="s">
        <v>35</v>
      </c>
      <c r="AV982" s="141" t="s">
        <v>35</v>
      </c>
      <c r="AW982" s="141" t="s">
        <v>35</v>
      </c>
      <c r="AX982" s="95"/>
      <c r="AY982" s="93"/>
    </row>
    <row r="983" ht="14.5" spans="1:51">
      <c r="A983" s="91"/>
      <c r="B983" s="95"/>
      <c r="C983" s="180" t="s">
        <v>927</v>
      </c>
      <c r="D983" s="181" t="s">
        <v>25</v>
      </c>
      <c r="E983" s="130" t="s">
        <v>928</v>
      </c>
      <c r="F983" s="184" t="s">
        <v>1012</v>
      </c>
      <c r="G983" s="185" t="s">
        <v>1012</v>
      </c>
      <c r="H983" s="185" t="s">
        <v>1012</v>
      </c>
      <c r="I983" s="185" t="s">
        <v>1012</v>
      </c>
      <c r="J983" s="132">
        <v>0.9</v>
      </c>
      <c r="K983" s="133">
        <v>0.95</v>
      </c>
      <c r="L983" s="133">
        <v>0.88</v>
      </c>
      <c r="M983" s="134">
        <v>1</v>
      </c>
      <c r="N983" s="133">
        <v>0.926253687315634</v>
      </c>
      <c r="O983" s="135">
        <v>0.9</v>
      </c>
      <c r="P983" s="133">
        <v>0.95241116751269</v>
      </c>
      <c r="Q983" s="133">
        <v>0.875852272727273</v>
      </c>
      <c r="R983" s="133">
        <v>0.94222972972973</v>
      </c>
      <c r="S983" s="133">
        <v>0.941285792951542</v>
      </c>
      <c r="T983" s="135">
        <v>0.9</v>
      </c>
      <c r="U983" s="133">
        <v>0.904822335025381</v>
      </c>
      <c r="V983" s="133">
        <v>0.885227272727273</v>
      </c>
      <c r="W983" s="133">
        <v>0.90472972972973</v>
      </c>
      <c r="X983" s="133">
        <v>0.918312912995595</v>
      </c>
      <c r="Y983" s="135">
        <v>0.92</v>
      </c>
      <c r="Z983" s="135">
        <v>1</v>
      </c>
      <c r="AA983" s="135" t="s">
        <v>35</v>
      </c>
      <c r="AB983" s="135" t="s">
        <v>35</v>
      </c>
      <c r="AC983" s="135">
        <v>1</v>
      </c>
      <c r="AD983" s="135">
        <v>0.92</v>
      </c>
      <c r="AE983" s="133">
        <v>0.993185689948893</v>
      </c>
      <c r="AF983" s="133">
        <v>0.99163179916318</v>
      </c>
      <c r="AG983" s="133">
        <v>0.993630573248408</v>
      </c>
      <c r="AH983" s="133">
        <v>0.982085959073851</v>
      </c>
      <c r="AI983" s="135">
        <v>0.92</v>
      </c>
      <c r="AJ983" s="133">
        <v>0.953075459733672</v>
      </c>
      <c r="AK983" s="133">
        <v>0.918465909090909</v>
      </c>
      <c r="AL983" s="133">
        <v>0.929391891891892</v>
      </c>
      <c r="AM983" s="133">
        <v>0.955467607330293</v>
      </c>
      <c r="AN983" s="132">
        <v>0.99</v>
      </c>
      <c r="AO983" s="137">
        <v>1</v>
      </c>
      <c r="AP983" s="137">
        <v>1</v>
      </c>
      <c r="AQ983" s="137">
        <v>1</v>
      </c>
      <c r="AR983" s="137">
        <v>1</v>
      </c>
      <c r="AS983" s="158">
        <v>0.0656418488929858</v>
      </c>
      <c r="AT983" s="141">
        <v>0</v>
      </c>
      <c r="AU983" s="141">
        <v>0</v>
      </c>
      <c r="AV983" s="141">
        <v>0.117647058823529</v>
      </c>
      <c r="AW983" s="141">
        <v>0.0350877192982456</v>
      </c>
      <c r="AX983" s="95"/>
      <c r="AY983" s="93"/>
    </row>
    <row r="984" ht="14.5" spans="1:51">
      <c r="A984" s="91"/>
      <c r="B984" s="95"/>
      <c r="C984" s="180" t="s">
        <v>927</v>
      </c>
      <c r="D984" s="181" t="s">
        <v>25</v>
      </c>
      <c r="E984" s="130" t="s">
        <v>928</v>
      </c>
      <c r="F984" s="184" t="s">
        <v>1013</v>
      </c>
      <c r="G984" s="185" t="s">
        <v>1013</v>
      </c>
      <c r="H984" s="185" t="s">
        <v>1013</v>
      </c>
      <c r="I984" s="185" t="s">
        <v>1013</v>
      </c>
      <c r="J984" s="132">
        <v>0.9</v>
      </c>
      <c r="K984" s="133">
        <v>1</v>
      </c>
      <c r="L984" s="133">
        <v>0.980392156862745</v>
      </c>
      <c r="M984" s="134">
        <v>0.958333333333333</v>
      </c>
      <c r="N984" s="133">
        <v>0.985887096774194</v>
      </c>
      <c r="O984" s="135">
        <v>0.9</v>
      </c>
      <c r="P984" s="133">
        <v>0.958507963118189</v>
      </c>
      <c r="Q984" s="133">
        <v>0.934516188037315</v>
      </c>
      <c r="R984" s="133">
        <v>0.943569245238655</v>
      </c>
      <c r="S984" s="133">
        <v>0.95735466905388</v>
      </c>
      <c r="T984" s="135">
        <v>0.9</v>
      </c>
      <c r="U984" s="133">
        <v>0.932523051131601</v>
      </c>
      <c r="V984" s="133">
        <v>0.906895920980428</v>
      </c>
      <c r="W984" s="133">
        <v>0.917234893016694</v>
      </c>
      <c r="X984" s="133">
        <v>0.923773289319085</v>
      </c>
      <c r="Y984" s="135">
        <v>0.92</v>
      </c>
      <c r="Z984" s="135" t="s">
        <v>35</v>
      </c>
      <c r="AA984" s="135" t="s">
        <v>35</v>
      </c>
      <c r="AB984" s="135" t="s">
        <v>35</v>
      </c>
      <c r="AC984" s="135" t="s">
        <v>35</v>
      </c>
      <c r="AD984" s="135">
        <v>0.92</v>
      </c>
      <c r="AE984" s="133">
        <v>0.998266897746967</v>
      </c>
      <c r="AF984" s="133">
        <v>0.991349480968858</v>
      </c>
      <c r="AG984" s="133">
        <v>0.99616724738676</v>
      </c>
      <c r="AH984" s="133">
        <v>0.990592202716758</v>
      </c>
      <c r="AI984" s="135">
        <v>0.92</v>
      </c>
      <c r="AJ984" s="133">
        <v>0.962699077954736</v>
      </c>
      <c r="AK984" s="133">
        <v>0.950978598865923</v>
      </c>
      <c r="AL984" s="133">
        <v>0.950623089583823</v>
      </c>
      <c r="AM984" s="133">
        <v>0.971533116250965</v>
      </c>
      <c r="AN984" s="132">
        <v>0.99</v>
      </c>
      <c r="AO984" s="137">
        <v>1</v>
      </c>
      <c r="AP984" s="137">
        <v>1</v>
      </c>
      <c r="AQ984" s="137">
        <v>1</v>
      </c>
      <c r="AR984" s="137">
        <v>1</v>
      </c>
      <c r="AS984" s="158">
        <v>0.0656418488929858</v>
      </c>
      <c r="AT984" s="141">
        <v>0.0333333333333333</v>
      </c>
      <c r="AU984" s="141">
        <v>0.0540540540540541</v>
      </c>
      <c r="AV984" s="141">
        <v>0</v>
      </c>
      <c r="AW984" s="141">
        <v>0.0482142857142857</v>
      </c>
      <c r="AX984" s="95"/>
      <c r="AY984" s="93"/>
    </row>
    <row r="985" ht="14.5" spans="1:51">
      <c r="A985" s="91"/>
      <c r="B985" s="95"/>
      <c r="C985" s="180" t="s">
        <v>927</v>
      </c>
      <c r="D985" s="181" t="s">
        <v>25</v>
      </c>
      <c r="E985" s="130" t="s">
        <v>928</v>
      </c>
      <c r="F985" s="184" t="s">
        <v>1014</v>
      </c>
      <c r="G985" s="185" t="s">
        <v>1014</v>
      </c>
      <c r="H985" s="185" t="s">
        <v>1014</v>
      </c>
      <c r="I985" s="185" t="s">
        <v>1014</v>
      </c>
      <c r="J985" s="132">
        <v>0.9</v>
      </c>
      <c r="K985" s="133">
        <v>1</v>
      </c>
      <c r="L985" s="133">
        <v>0.923076923076923</v>
      </c>
      <c r="M985" s="134">
        <v>0.91304347826087</v>
      </c>
      <c r="N985" s="133">
        <v>0.956818181818182</v>
      </c>
      <c r="O985" s="135">
        <v>0.9</v>
      </c>
      <c r="P985" s="133">
        <v>0.924956369982548</v>
      </c>
      <c r="Q985" s="133">
        <v>0.961149961149961</v>
      </c>
      <c r="R985" s="133">
        <v>0.849065420560748</v>
      </c>
      <c r="S985" s="133">
        <v>0.948128457504131</v>
      </c>
      <c r="T985" s="135">
        <v>0.9</v>
      </c>
      <c r="U985" s="133">
        <v>0.904013961605585</v>
      </c>
      <c r="V985" s="133">
        <v>0.918414918414918</v>
      </c>
      <c r="W985" s="133">
        <v>0.914485981308411</v>
      </c>
      <c r="X985" s="133">
        <v>0.918600474171995</v>
      </c>
      <c r="Y985" s="135">
        <v>0.92</v>
      </c>
      <c r="Z985" s="135" t="s">
        <v>35</v>
      </c>
      <c r="AA985" s="135" t="s">
        <v>35</v>
      </c>
      <c r="AB985" s="135" t="s">
        <v>35</v>
      </c>
      <c r="AC985" s="135">
        <v>1</v>
      </c>
      <c r="AD985" s="135">
        <v>0.92</v>
      </c>
      <c r="AE985" s="133">
        <v>0.92910447761194</v>
      </c>
      <c r="AF985" s="133">
        <v>0.951724137931034</v>
      </c>
      <c r="AG985" s="133">
        <v>0.976303317535545</v>
      </c>
      <c r="AH985" s="133">
        <v>0.964066793489748</v>
      </c>
      <c r="AI985" s="135">
        <v>0.92</v>
      </c>
      <c r="AJ985" s="133">
        <v>0.947643979057592</v>
      </c>
      <c r="AK985" s="133">
        <v>0.961538461538462</v>
      </c>
      <c r="AL985" s="133">
        <v>0.961682242990654</v>
      </c>
      <c r="AM985" s="133">
        <v>0.968605570056754</v>
      </c>
      <c r="AN985" s="132">
        <v>0.99</v>
      </c>
      <c r="AO985" s="137">
        <v>1</v>
      </c>
      <c r="AP985" s="137">
        <v>1</v>
      </c>
      <c r="AQ985" s="137">
        <v>1</v>
      </c>
      <c r="AR985" s="137">
        <v>1</v>
      </c>
      <c r="AS985" s="158">
        <v>0.0656418488929858</v>
      </c>
      <c r="AT985" s="141">
        <v>0.111111111111111</v>
      </c>
      <c r="AU985" s="141">
        <v>0</v>
      </c>
      <c r="AV985" s="141">
        <v>0.05</v>
      </c>
      <c r="AW985" s="141">
        <v>0.0521739130434783</v>
      </c>
      <c r="AX985" s="95"/>
      <c r="AY985" s="93"/>
    </row>
    <row r="986" ht="14.5" spans="1:51">
      <c r="A986" s="91"/>
      <c r="B986" s="95"/>
      <c r="C986" s="180" t="s">
        <v>927</v>
      </c>
      <c r="D986" s="181" t="s">
        <v>25</v>
      </c>
      <c r="E986" s="130" t="s">
        <v>928</v>
      </c>
      <c r="F986" s="184" t="s">
        <v>1015</v>
      </c>
      <c r="G986" s="185" t="s">
        <v>1015</v>
      </c>
      <c r="H986" s="185" t="s">
        <v>1015</v>
      </c>
      <c r="I986" s="185" t="s">
        <v>1015</v>
      </c>
      <c r="J986" s="132">
        <v>0.9</v>
      </c>
      <c r="K986" s="133">
        <v>0.9</v>
      </c>
      <c r="L986" s="133">
        <v>1</v>
      </c>
      <c r="M986" s="134">
        <v>0.9375</v>
      </c>
      <c r="N986" s="133">
        <v>0.942122186495177</v>
      </c>
      <c r="O986" s="135">
        <v>0.9</v>
      </c>
      <c r="P986" s="133">
        <v>0.96028880866426</v>
      </c>
      <c r="Q986" s="133">
        <v>0.946736903716711</v>
      </c>
      <c r="R986" s="133">
        <v>0.903818953323904</v>
      </c>
      <c r="S986" s="133">
        <v>0.943528332833636</v>
      </c>
      <c r="T986" s="135">
        <v>0.9</v>
      </c>
      <c r="U986" s="133">
        <v>0.925631768953069</v>
      </c>
      <c r="V986" s="133">
        <v>0.884986830553117</v>
      </c>
      <c r="W986" s="133">
        <v>0.887906647807638</v>
      </c>
      <c r="X986" s="133">
        <v>0.905222130121162</v>
      </c>
      <c r="Y986" s="135">
        <v>0.92</v>
      </c>
      <c r="Z986" s="135" t="s">
        <v>35</v>
      </c>
      <c r="AA986" s="135" t="s">
        <v>35</v>
      </c>
      <c r="AB986" s="135" t="s">
        <v>35</v>
      </c>
      <c r="AC986" s="135" t="s">
        <v>35</v>
      </c>
      <c r="AD986" s="135">
        <v>0.92</v>
      </c>
      <c r="AE986" s="133">
        <v>0.994517543859649</v>
      </c>
      <c r="AF986" s="133">
        <v>0.972972972972973</v>
      </c>
      <c r="AG986" s="133">
        <v>0.983333333333333</v>
      </c>
      <c r="AH986" s="133">
        <v>0.981707317073171</v>
      </c>
      <c r="AI986" s="135">
        <v>0.92</v>
      </c>
      <c r="AJ986" s="133">
        <v>0.948736462093863</v>
      </c>
      <c r="AK986" s="133">
        <v>0.943225051214516</v>
      </c>
      <c r="AL986" s="133">
        <v>0.94978783592645</v>
      </c>
      <c r="AM986" s="133">
        <v>0.95772561330488</v>
      </c>
      <c r="AN986" s="132">
        <v>0.99</v>
      </c>
      <c r="AO986" s="137">
        <v>1</v>
      </c>
      <c r="AP986" s="137">
        <v>1</v>
      </c>
      <c r="AQ986" s="137">
        <v>1</v>
      </c>
      <c r="AR986" s="137">
        <v>1</v>
      </c>
      <c r="AS986" s="158">
        <v>0.0656418488929858</v>
      </c>
      <c r="AT986" s="141">
        <v>0</v>
      </c>
      <c r="AU986" s="141">
        <v>0.0555555555555556</v>
      </c>
      <c r="AV986" s="141">
        <v>0.05</v>
      </c>
      <c r="AW986" s="141">
        <v>0.0373134328358209</v>
      </c>
      <c r="AX986" s="95"/>
      <c r="AY986" s="93"/>
    </row>
    <row r="987" ht="14.5" spans="1:51">
      <c r="A987" s="91"/>
      <c r="B987" s="95"/>
      <c r="C987" s="180" t="s">
        <v>927</v>
      </c>
      <c r="D987" s="181" t="s">
        <v>25</v>
      </c>
      <c r="E987" s="130" t="s">
        <v>928</v>
      </c>
      <c r="F987" s="184" t="s">
        <v>1016</v>
      </c>
      <c r="G987" s="185" t="s">
        <v>1016</v>
      </c>
      <c r="H987" s="185" t="s">
        <v>1016</v>
      </c>
      <c r="I987" s="185" t="s">
        <v>1016</v>
      </c>
      <c r="J987" s="132">
        <v>0.9</v>
      </c>
      <c r="K987" s="133">
        <v>1</v>
      </c>
      <c r="L987" s="133">
        <v>0.911764705882353</v>
      </c>
      <c r="M987" s="134">
        <v>0.935483870967742</v>
      </c>
      <c r="N987" s="133">
        <v>0.939344262295082</v>
      </c>
      <c r="O987" s="135">
        <v>0.9</v>
      </c>
      <c r="P987" s="133">
        <v>0.95565749235474</v>
      </c>
      <c r="Q987" s="133">
        <v>0.94466837669476</v>
      </c>
      <c r="R987" s="133">
        <v>0.931590257879656</v>
      </c>
      <c r="S987" s="133">
        <v>0.960031288156288</v>
      </c>
      <c r="T987" s="135">
        <v>0.9</v>
      </c>
      <c r="U987" s="133">
        <v>0.888888888888889</v>
      </c>
      <c r="V987" s="133">
        <v>0.89813118358373</v>
      </c>
      <c r="W987" s="133">
        <v>0.837750716332378</v>
      </c>
      <c r="X987" s="133">
        <v>0.896615537240537</v>
      </c>
      <c r="Y987" s="135">
        <v>0.92</v>
      </c>
      <c r="Z987" s="135" t="s">
        <v>35</v>
      </c>
      <c r="AA987" s="135" t="s">
        <v>35</v>
      </c>
      <c r="AB987" s="135" t="s">
        <v>35</v>
      </c>
      <c r="AC987" s="135">
        <v>0</v>
      </c>
      <c r="AD987" s="135">
        <v>0.92</v>
      </c>
      <c r="AE987" s="133">
        <v>0.995515695067265</v>
      </c>
      <c r="AF987" s="133">
        <v>0.931958762886598</v>
      </c>
      <c r="AG987" s="133">
        <v>0.99800796812749</v>
      </c>
      <c r="AH987" s="133">
        <v>0.974082568807339</v>
      </c>
      <c r="AI987" s="135">
        <v>0.92</v>
      </c>
      <c r="AJ987" s="133">
        <v>0.935270132517839</v>
      </c>
      <c r="AK987" s="133">
        <v>0.94981684981685</v>
      </c>
      <c r="AL987" s="133">
        <v>0.919412607449857</v>
      </c>
      <c r="AM987" s="133">
        <v>0.957764212132774</v>
      </c>
      <c r="AN987" s="132">
        <v>0.99</v>
      </c>
      <c r="AO987" s="137">
        <v>1</v>
      </c>
      <c r="AP987" s="137">
        <v>1</v>
      </c>
      <c r="AQ987" s="137">
        <v>1</v>
      </c>
      <c r="AR987" s="137">
        <v>1</v>
      </c>
      <c r="AS987" s="158">
        <v>0.0656418488929858</v>
      </c>
      <c r="AT987" s="141">
        <v>0</v>
      </c>
      <c r="AU987" s="141">
        <v>0</v>
      </c>
      <c r="AV987" s="141">
        <v>0</v>
      </c>
      <c r="AW987" s="141">
        <v>0.0383480825958702</v>
      </c>
      <c r="AX987" s="95"/>
      <c r="AY987" s="93"/>
    </row>
    <row r="988" ht="14.5" spans="1:51">
      <c r="A988" s="91"/>
      <c r="B988" s="95"/>
      <c r="C988" s="180" t="s">
        <v>927</v>
      </c>
      <c r="D988" s="181" t="s">
        <v>25</v>
      </c>
      <c r="E988" s="130" t="s">
        <v>928</v>
      </c>
      <c r="F988" s="184" t="s">
        <v>1017</v>
      </c>
      <c r="G988" s="185" t="s">
        <v>1017</v>
      </c>
      <c r="H988" s="185" t="s">
        <v>1017</v>
      </c>
      <c r="I988" s="185" t="s">
        <v>1017</v>
      </c>
      <c r="J988" s="132">
        <v>0.9</v>
      </c>
      <c r="K988" s="133">
        <v>0.958333333333333</v>
      </c>
      <c r="L988" s="133">
        <v>0.961538461538462</v>
      </c>
      <c r="M988" s="134">
        <v>0.84</v>
      </c>
      <c r="N988" s="133">
        <v>0.919087136929461</v>
      </c>
      <c r="O988" s="135">
        <v>0.9</v>
      </c>
      <c r="P988" s="133">
        <v>0.978063540090772</v>
      </c>
      <c r="Q988" s="133">
        <v>0.962642122360585</v>
      </c>
      <c r="R988" s="133">
        <v>0.908992999461497</v>
      </c>
      <c r="S988" s="133">
        <v>0.96718338695525</v>
      </c>
      <c r="T988" s="135">
        <v>0.9</v>
      </c>
      <c r="U988" s="133">
        <v>0.910741301059002</v>
      </c>
      <c r="V988" s="133">
        <v>0.896047644829453</v>
      </c>
      <c r="W988" s="133">
        <v>0.894991922455573</v>
      </c>
      <c r="X988" s="133">
        <v>0.916525299795262</v>
      </c>
      <c r="Y988" s="135">
        <v>0.92</v>
      </c>
      <c r="Z988" s="135" t="s">
        <v>35</v>
      </c>
      <c r="AA988" s="135" t="s">
        <v>35</v>
      </c>
      <c r="AB988" s="135" t="s">
        <v>35</v>
      </c>
      <c r="AC988" s="135">
        <v>0</v>
      </c>
      <c r="AD988" s="135">
        <v>0.92</v>
      </c>
      <c r="AE988" s="133">
        <v>0.989384288747346</v>
      </c>
      <c r="AF988" s="133">
        <v>0.979865771812081</v>
      </c>
      <c r="AG988" s="133">
        <v>0.990338164251208</v>
      </c>
      <c r="AH988" s="133">
        <v>0.990765171503958</v>
      </c>
      <c r="AI988" s="135">
        <v>0.92</v>
      </c>
      <c r="AJ988" s="133">
        <v>0.944780635400908</v>
      </c>
      <c r="AK988" s="133">
        <v>0.937195452084461</v>
      </c>
      <c r="AL988" s="133">
        <v>0.928379106085083</v>
      </c>
      <c r="AM988" s="133">
        <v>0.953851552904018</v>
      </c>
      <c r="AN988" s="132">
        <v>0.99</v>
      </c>
      <c r="AO988" s="137">
        <v>1</v>
      </c>
      <c r="AP988" s="137">
        <v>1</v>
      </c>
      <c r="AQ988" s="137">
        <v>1</v>
      </c>
      <c r="AR988" s="137">
        <v>1</v>
      </c>
      <c r="AS988" s="158">
        <v>0.0656418488929858</v>
      </c>
      <c r="AT988" s="141">
        <v>0</v>
      </c>
      <c r="AU988" s="141">
        <v>0</v>
      </c>
      <c r="AV988" s="141">
        <v>0</v>
      </c>
      <c r="AW988" s="141">
        <v>0.0472972972972973</v>
      </c>
      <c r="AX988" s="95"/>
      <c r="AY988" s="93"/>
    </row>
    <row r="989" ht="14.5" spans="1:51">
      <c r="A989" s="91"/>
      <c r="B989" s="95"/>
      <c r="C989" s="180" t="s">
        <v>927</v>
      </c>
      <c r="D989" s="181" t="s">
        <v>25</v>
      </c>
      <c r="E989" s="130" t="s">
        <v>928</v>
      </c>
      <c r="F989" s="184" t="s">
        <v>1018</v>
      </c>
      <c r="G989" s="185" t="s">
        <v>1018</v>
      </c>
      <c r="H989" s="185" t="s">
        <v>1018</v>
      </c>
      <c r="I989" s="185" t="s">
        <v>1018</v>
      </c>
      <c r="J989" s="132">
        <v>0.9</v>
      </c>
      <c r="K989" s="133">
        <v>0.862068965517241</v>
      </c>
      <c r="L989" s="133">
        <v>0.970588235294118</v>
      </c>
      <c r="M989" s="134">
        <v>0.870967741935484</v>
      </c>
      <c r="N989" s="133">
        <v>0.927487352445194</v>
      </c>
      <c r="O989" s="135">
        <v>0.9</v>
      </c>
      <c r="P989" s="133">
        <v>0.934574168076706</v>
      </c>
      <c r="Q989" s="133">
        <v>0.953862660944206</v>
      </c>
      <c r="R989" s="133">
        <v>0.922542930215564</v>
      </c>
      <c r="S989" s="133">
        <v>0.955572409388472</v>
      </c>
      <c r="T989" s="135">
        <v>0.9</v>
      </c>
      <c r="U989" s="133">
        <v>0.900733220530175</v>
      </c>
      <c r="V989" s="133">
        <v>0.927038626609442</v>
      </c>
      <c r="W989" s="133">
        <v>0.908659115820241</v>
      </c>
      <c r="X989" s="133">
        <v>0.909867475650647</v>
      </c>
      <c r="Y989" s="135">
        <v>0.92</v>
      </c>
      <c r="Z989" s="135" t="s">
        <v>35</v>
      </c>
      <c r="AA989" s="135">
        <v>0</v>
      </c>
      <c r="AB989" s="135" t="s">
        <v>35</v>
      </c>
      <c r="AC989" s="135">
        <v>0</v>
      </c>
      <c r="AD989" s="135">
        <v>0.92</v>
      </c>
      <c r="AE989" s="133">
        <v>0.990632318501171</v>
      </c>
      <c r="AF989" s="133">
        <v>0.989520958083832</v>
      </c>
      <c r="AG989" s="133">
        <v>0.991293532338308</v>
      </c>
      <c r="AH989" s="133">
        <v>0.98626619026351</v>
      </c>
      <c r="AI989" s="135">
        <v>0.92</v>
      </c>
      <c r="AJ989" s="133">
        <v>0.946418499717992</v>
      </c>
      <c r="AK989" s="133">
        <v>0.949606862044317</v>
      </c>
      <c r="AL989" s="133">
        <v>0.948849104859335</v>
      </c>
      <c r="AM989" s="133">
        <v>0.952943524246657</v>
      </c>
      <c r="AN989" s="132">
        <v>0.99</v>
      </c>
      <c r="AO989" s="137">
        <v>1</v>
      </c>
      <c r="AP989" s="137">
        <v>1</v>
      </c>
      <c r="AQ989" s="137">
        <v>1</v>
      </c>
      <c r="AR989" s="137">
        <v>1</v>
      </c>
      <c r="AS989" s="158">
        <v>0.0656418488929858</v>
      </c>
      <c r="AT989" s="141">
        <v>0.0909090909090909</v>
      </c>
      <c r="AU989" s="141">
        <v>0</v>
      </c>
      <c r="AV989" s="141">
        <v>0.0909090909090909</v>
      </c>
      <c r="AW989" s="141">
        <v>0.0687830687830688</v>
      </c>
      <c r="AX989" s="95"/>
      <c r="AY989" s="93"/>
    </row>
    <row r="990" ht="14.5" spans="1:51">
      <c r="A990" s="91"/>
      <c r="B990" s="95"/>
      <c r="C990" s="180" t="s">
        <v>927</v>
      </c>
      <c r="D990" s="181" t="s">
        <v>25</v>
      </c>
      <c r="E990" s="130" t="s">
        <v>928</v>
      </c>
      <c r="F990" s="188" t="s">
        <v>1019</v>
      </c>
      <c r="G990" s="189" t="s">
        <v>1019</v>
      </c>
      <c r="H990" s="189" t="s">
        <v>1019</v>
      </c>
      <c r="I990" s="189" t="s">
        <v>1019</v>
      </c>
      <c r="J990" s="132">
        <v>0.9</v>
      </c>
      <c r="K990" s="133">
        <v>0.962962962962963</v>
      </c>
      <c r="L990" s="133">
        <v>0.9</v>
      </c>
      <c r="M990" s="134">
        <v>0.96551724137931</v>
      </c>
      <c r="N990" s="133">
        <v>0.960526315789474</v>
      </c>
      <c r="O990" s="135">
        <v>0.9</v>
      </c>
      <c r="P990" s="133">
        <v>0.900818926296633</v>
      </c>
      <c r="Q990" s="133">
        <v>0.977687626774848</v>
      </c>
      <c r="R990" s="133">
        <v>0.957869249394673</v>
      </c>
      <c r="S990" s="133">
        <v>0.960854192389718</v>
      </c>
      <c r="T990" s="135">
        <v>0.9</v>
      </c>
      <c r="U990" s="133">
        <v>0.872611464968153</v>
      </c>
      <c r="V990" s="133">
        <v>0.946754563894523</v>
      </c>
      <c r="W990" s="133">
        <v>0.898305084745763</v>
      </c>
      <c r="X990" s="133">
        <v>0.932091143787181</v>
      </c>
      <c r="Y990" s="135">
        <v>0.92</v>
      </c>
      <c r="Z990" s="135">
        <v>0.854922279792746</v>
      </c>
      <c r="AA990" s="135">
        <v>0.864440078585462</v>
      </c>
      <c r="AB990" s="135">
        <v>0.858672376873662</v>
      </c>
      <c r="AC990" s="135">
        <v>0.897500600817111</v>
      </c>
      <c r="AD990" s="135">
        <v>0.92</v>
      </c>
      <c r="AE990" s="133">
        <v>0.990253411306043</v>
      </c>
      <c r="AF990" s="133">
        <v>0.991304347826087</v>
      </c>
      <c r="AG990" s="133">
        <v>1</v>
      </c>
      <c r="AH990" s="133">
        <v>0.984387446232277</v>
      </c>
      <c r="AI990" s="135">
        <v>0.92</v>
      </c>
      <c r="AJ990" s="133">
        <v>0.93343653250774</v>
      </c>
      <c r="AK990" s="133">
        <v>0.958887545344619</v>
      </c>
      <c r="AL990" s="133">
        <v>0.952211690363349</v>
      </c>
      <c r="AM990" s="133">
        <v>0.965469393325903</v>
      </c>
      <c r="AN990" s="132">
        <v>0.99</v>
      </c>
      <c r="AO990" s="137">
        <v>1</v>
      </c>
      <c r="AP990" s="137">
        <v>1</v>
      </c>
      <c r="AQ990" s="137">
        <v>1</v>
      </c>
      <c r="AR990" s="137">
        <v>1</v>
      </c>
      <c r="AS990" s="158">
        <v>0.0656418488929858</v>
      </c>
      <c r="AT990" s="141">
        <v>0.2</v>
      </c>
      <c r="AU990" s="141">
        <v>0</v>
      </c>
      <c r="AV990" s="141">
        <v>0.222222222222222</v>
      </c>
      <c r="AW990" s="141">
        <v>0.0530973451327434</v>
      </c>
      <c r="AX990" s="95"/>
      <c r="AY990" s="93"/>
    </row>
    <row r="991" ht="14.5" spans="1:51">
      <c r="A991" s="91"/>
      <c r="B991" s="95"/>
      <c r="C991" s="180" t="s">
        <v>927</v>
      </c>
      <c r="D991" s="181" t="s">
        <v>25</v>
      </c>
      <c r="E991" s="130" t="s">
        <v>928</v>
      </c>
      <c r="F991" s="184" t="s">
        <v>1020</v>
      </c>
      <c r="G991" s="185" t="s">
        <v>1020</v>
      </c>
      <c r="H991" s="185" t="s">
        <v>1020</v>
      </c>
      <c r="I991" s="185" t="s">
        <v>1020</v>
      </c>
      <c r="J991" s="132">
        <v>0.9</v>
      </c>
      <c r="K991" s="133">
        <v>0.870967741935484</v>
      </c>
      <c r="L991" s="133">
        <v>0.857142857142857</v>
      </c>
      <c r="M991" s="134">
        <v>0.870967741935484</v>
      </c>
      <c r="N991" s="133">
        <v>0.930693069306931</v>
      </c>
      <c r="O991" s="135">
        <v>0.9</v>
      </c>
      <c r="P991" s="133">
        <v>0.957641196013289</v>
      </c>
      <c r="Q991" s="133">
        <v>0.983543078412391</v>
      </c>
      <c r="R991" s="133">
        <v>0.866729235100892</v>
      </c>
      <c r="S991" s="133">
        <v>0.951760395984228</v>
      </c>
      <c r="T991" s="135">
        <v>0.9</v>
      </c>
      <c r="U991" s="133">
        <v>0.877906976744186</v>
      </c>
      <c r="V991" s="133">
        <v>0.909486931268151</v>
      </c>
      <c r="W991" s="133">
        <v>0.885030502111685</v>
      </c>
      <c r="X991" s="133">
        <v>0.909756984255712</v>
      </c>
      <c r="Y991" s="135">
        <v>0.92</v>
      </c>
      <c r="Z991" s="135">
        <v>0.4</v>
      </c>
      <c r="AA991" s="135">
        <v>0.378698224852071</v>
      </c>
      <c r="AB991" s="135">
        <v>0.2578125</v>
      </c>
      <c r="AC991" s="135">
        <v>0.380923450789793</v>
      </c>
      <c r="AD991" s="135">
        <v>0.92</v>
      </c>
      <c r="AE991" s="133">
        <v>0.996655518394649</v>
      </c>
      <c r="AF991" s="133">
        <v>0.95364238410596</v>
      </c>
      <c r="AG991" s="133">
        <v>0.994565217391304</v>
      </c>
      <c r="AH991" s="133">
        <v>0.982347937048065</v>
      </c>
      <c r="AI991" s="135">
        <v>0.92</v>
      </c>
      <c r="AJ991" s="133">
        <v>0.854572713643178</v>
      </c>
      <c r="AK991" s="133">
        <v>0.832491255343957</v>
      </c>
      <c r="AL991" s="133">
        <v>0.802118804388952</v>
      </c>
      <c r="AM991" s="133">
        <v>0.844618706671213</v>
      </c>
      <c r="AN991" s="132">
        <v>0.99</v>
      </c>
      <c r="AO991" s="137">
        <v>1</v>
      </c>
      <c r="AP991" s="137">
        <v>1</v>
      </c>
      <c r="AQ991" s="137">
        <v>1</v>
      </c>
      <c r="AR991" s="137">
        <v>1</v>
      </c>
      <c r="AS991" s="158">
        <v>0.0656418488929858</v>
      </c>
      <c r="AT991" s="141">
        <v>0.25</v>
      </c>
      <c r="AU991" s="141">
        <v>0</v>
      </c>
      <c r="AV991" s="141">
        <v>0</v>
      </c>
      <c r="AW991" s="141">
        <v>0.0647058823529412</v>
      </c>
      <c r="AX991" s="95"/>
      <c r="AY991" s="93"/>
    </row>
    <row r="992" ht="14.5" spans="1:51">
      <c r="A992" s="91"/>
      <c r="B992" s="95"/>
      <c r="C992" s="180" t="s">
        <v>927</v>
      </c>
      <c r="D992" s="181" t="s">
        <v>25</v>
      </c>
      <c r="E992" s="130" t="s">
        <v>928</v>
      </c>
      <c r="F992" s="188" t="s">
        <v>1021</v>
      </c>
      <c r="G992" s="189" t="s">
        <v>1021</v>
      </c>
      <c r="H992" s="189" t="s">
        <v>1021</v>
      </c>
      <c r="I992" s="189" t="s">
        <v>1021</v>
      </c>
      <c r="J992" s="132">
        <v>0.9</v>
      </c>
      <c r="K992" s="133">
        <v>0.902439024390244</v>
      </c>
      <c r="L992" s="133">
        <v>0.928571428571429</v>
      </c>
      <c r="M992" s="134">
        <v>0.95</v>
      </c>
      <c r="N992" s="133">
        <v>0.955439056356488</v>
      </c>
      <c r="O992" s="135">
        <v>0.9</v>
      </c>
      <c r="P992" s="133">
        <v>0.991253644314869</v>
      </c>
      <c r="Q992" s="133">
        <v>0.99266862170088</v>
      </c>
      <c r="R992" s="133">
        <v>0.977228001124543</v>
      </c>
      <c r="S992" s="133">
        <v>0.985040567951318</v>
      </c>
      <c r="T992" s="135">
        <v>0.9</v>
      </c>
      <c r="U992" s="133">
        <v>0.926141885325559</v>
      </c>
      <c r="V992" s="133">
        <v>0.920821114369501</v>
      </c>
      <c r="W992" s="133">
        <v>0.913972448692719</v>
      </c>
      <c r="X992" s="133">
        <v>0.918499619675456</v>
      </c>
      <c r="Y992" s="135">
        <v>0.92</v>
      </c>
      <c r="Z992" s="135">
        <v>0.862694300518135</v>
      </c>
      <c r="AA992" s="135">
        <v>0.861993428258488</v>
      </c>
      <c r="AB992" s="135">
        <v>0.8729792147806</v>
      </c>
      <c r="AC992" s="135">
        <v>0.901510044492382</v>
      </c>
      <c r="AD992" s="135">
        <v>0.92</v>
      </c>
      <c r="AE992" s="133">
        <v>0.994645247657296</v>
      </c>
      <c r="AF992" s="133">
        <v>0.988142292490119</v>
      </c>
      <c r="AG992" s="133">
        <v>0.995085995085995</v>
      </c>
      <c r="AH992" s="133">
        <v>0.989961437228377</v>
      </c>
      <c r="AI992" s="135">
        <v>0.92</v>
      </c>
      <c r="AJ992" s="133">
        <v>0.949672667757774</v>
      </c>
      <c r="AK992" s="133">
        <v>0.941013185287994</v>
      </c>
      <c r="AL992" s="133">
        <v>0.945964277639611</v>
      </c>
      <c r="AM992" s="133">
        <v>0.960779534024428</v>
      </c>
      <c r="AN992" s="132">
        <v>0.99</v>
      </c>
      <c r="AO992" s="137">
        <v>1</v>
      </c>
      <c r="AP992" s="137">
        <v>1</v>
      </c>
      <c r="AQ992" s="137">
        <v>1</v>
      </c>
      <c r="AR992" s="137">
        <v>1</v>
      </c>
      <c r="AS992" s="158">
        <v>0.0656418488929858</v>
      </c>
      <c r="AT992" s="141">
        <v>0.181818181818182</v>
      </c>
      <c r="AU992" s="141">
        <v>0.0526315789473684</v>
      </c>
      <c r="AV992" s="141">
        <v>0.0526315789473684</v>
      </c>
      <c r="AW992" s="141">
        <v>0.0359897172236504</v>
      </c>
      <c r="AX992" s="95"/>
      <c r="AY992" s="93"/>
    </row>
    <row r="993" ht="14.5" spans="1:51">
      <c r="A993" s="91"/>
      <c r="B993" s="95"/>
      <c r="C993" s="180" t="s">
        <v>927</v>
      </c>
      <c r="D993" s="181" t="s">
        <v>25</v>
      </c>
      <c r="E993" s="130" t="s">
        <v>928</v>
      </c>
      <c r="F993" s="192" t="s">
        <v>1022</v>
      </c>
      <c r="G993" s="193" t="s">
        <v>1022</v>
      </c>
      <c r="H993" s="193" t="s">
        <v>1022</v>
      </c>
      <c r="I993" s="193" t="s">
        <v>1022</v>
      </c>
      <c r="J993" s="132">
        <v>0.9</v>
      </c>
      <c r="K993" s="133">
        <v>0.928571428571429</v>
      </c>
      <c r="L993" s="133">
        <v>1</v>
      </c>
      <c r="M993" s="134">
        <v>0.939393939393939</v>
      </c>
      <c r="N993" s="133">
        <v>0.932069510268562</v>
      </c>
      <c r="O993" s="135">
        <v>0.9</v>
      </c>
      <c r="P993" s="133">
        <v>0.98</v>
      </c>
      <c r="Q993" s="133">
        <v>0.985021398002853</v>
      </c>
      <c r="R993" s="133">
        <v>0.978017585931255</v>
      </c>
      <c r="S993" s="133">
        <v>0.982246109666654</v>
      </c>
      <c r="T993" s="135">
        <v>0.9</v>
      </c>
      <c r="U993" s="133">
        <v>0.933076923076923</v>
      </c>
      <c r="V993" s="133">
        <v>0.942582025677603</v>
      </c>
      <c r="W993" s="133">
        <v>0.943245403677058</v>
      </c>
      <c r="X993" s="133">
        <v>0.942527843532927</v>
      </c>
      <c r="Y993" s="135">
        <v>0.92</v>
      </c>
      <c r="Z993" s="135">
        <v>0.91651865008881</v>
      </c>
      <c r="AA993" s="135">
        <v>0.929906542056075</v>
      </c>
      <c r="AB993" s="135">
        <v>0.951834862385321</v>
      </c>
      <c r="AC993" s="135">
        <v>0.944251695316196</v>
      </c>
      <c r="AD993" s="135">
        <v>0.92</v>
      </c>
      <c r="AE993" s="133">
        <v>0.998058790904049</v>
      </c>
      <c r="AF993" s="133">
        <v>0.948051948051948</v>
      </c>
      <c r="AG993" s="133">
        <v>0.8509784244857</v>
      </c>
      <c r="AH993" s="133">
        <v>0.949520605550883</v>
      </c>
      <c r="AI993" s="135">
        <v>0.92</v>
      </c>
      <c r="AJ993" s="133">
        <v>0.950617283950617</v>
      </c>
      <c r="AK993" s="133">
        <v>0.963490099009901</v>
      </c>
      <c r="AL993" s="133">
        <v>0.971547125074096</v>
      </c>
      <c r="AM993" s="133">
        <v>0.971803135752876</v>
      </c>
      <c r="AN993" s="132">
        <v>0.99</v>
      </c>
      <c r="AO993" s="137">
        <v>1</v>
      </c>
      <c r="AP993" s="137">
        <v>1</v>
      </c>
      <c r="AQ993" s="137">
        <v>1</v>
      </c>
      <c r="AR993" s="137">
        <v>1</v>
      </c>
      <c r="AS993" s="158">
        <v>0.0656418488929858</v>
      </c>
      <c r="AT993" s="141">
        <v>0</v>
      </c>
      <c r="AU993" s="141">
        <v>0.0285714285714286</v>
      </c>
      <c r="AV993" s="141">
        <v>0.0789473684210526</v>
      </c>
      <c r="AW993" s="141">
        <v>0.0371959942775393</v>
      </c>
      <c r="AX993" s="95"/>
      <c r="AY993" s="93"/>
    </row>
    <row r="994" ht="14.5" spans="1:51">
      <c r="A994" s="91"/>
      <c r="B994" s="95"/>
      <c r="C994" s="180" t="s">
        <v>927</v>
      </c>
      <c r="D994" s="181" t="s">
        <v>25</v>
      </c>
      <c r="E994" s="130" t="s">
        <v>928</v>
      </c>
      <c r="F994" s="182" t="s">
        <v>1023</v>
      </c>
      <c r="G994" s="183" t="s">
        <v>1023</v>
      </c>
      <c r="H994" s="183" t="s">
        <v>1023</v>
      </c>
      <c r="I994" s="183" t="s">
        <v>1023</v>
      </c>
      <c r="J994" s="132">
        <v>0.9</v>
      </c>
      <c r="K994" s="133">
        <v>0.727272727272727</v>
      </c>
      <c r="L994" s="133">
        <v>0.761904761904762</v>
      </c>
      <c r="M994" s="134">
        <v>0.904761904761905</v>
      </c>
      <c r="N994" s="133">
        <v>0.845758354755784</v>
      </c>
      <c r="O994" s="135">
        <v>0.9</v>
      </c>
      <c r="P994" s="133">
        <v>0.968574635241302</v>
      </c>
      <c r="Q994" s="133">
        <v>0.969505178365938</v>
      </c>
      <c r="R994" s="133">
        <v>0.843986254295533</v>
      </c>
      <c r="S994" s="133">
        <v>0.880616527902016</v>
      </c>
      <c r="T994" s="135">
        <v>0.9</v>
      </c>
      <c r="U994" s="133">
        <v>0.939393939393939</v>
      </c>
      <c r="V994" s="133">
        <v>0.895857307249712</v>
      </c>
      <c r="W994" s="133">
        <v>0.903092783505155</v>
      </c>
      <c r="X994" s="133">
        <v>0.901981696827909</v>
      </c>
      <c r="Y994" s="135">
        <v>0.92</v>
      </c>
      <c r="Z994" s="135">
        <v>0.718181818181818</v>
      </c>
      <c r="AA994" s="135">
        <v>0.6875</v>
      </c>
      <c r="AB994" s="135">
        <v>0.617821782178218</v>
      </c>
      <c r="AC994" s="135">
        <v>0.736673773987207</v>
      </c>
      <c r="AD994" s="135">
        <v>0.92</v>
      </c>
      <c r="AE994" s="133">
        <v>0.997455470737914</v>
      </c>
      <c r="AF994" s="133">
        <v>0.468354430379747</v>
      </c>
      <c r="AG994" s="133">
        <v>0.990267639902676</v>
      </c>
      <c r="AH994" s="133">
        <v>0.885563853220867</v>
      </c>
      <c r="AI994" s="135">
        <v>0.92</v>
      </c>
      <c r="AJ994" s="133">
        <v>0.896805896805897</v>
      </c>
      <c r="AK994" s="133">
        <v>0.909227683049147</v>
      </c>
      <c r="AL994" s="133">
        <v>0.873469387755102</v>
      </c>
      <c r="AM994" s="133">
        <v>0.921987367039457</v>
      </c>
      <c r="AN994" s="132">
        <v>0.99</v>
      </c>
      <c r="AO994" s="137">
        <v>1</v>
      </c>
      <c r="AP994" s="137">
        <v>1</v>
      </c>
      <c r="AQ994" s="137">
        <v>1</v>
      </c>
      <c r="AR994" s="137">
        <v>1</v>
      </c>
      <c r="AS994" s="158">
        <v>0.0656418488929858</v>
      </c>
      <c r="AT994" s="141">
        <v>0</v>
      </c>
      <c r="AU994" s="141">
        <v>0</v>
      </c>
      <c r="AV994" s="141">
        <v>0.0555555555555556</v>
      </c>
      <c r="AW994" s="141">
        <v>0.0406091370558376</v>
      </c>
      <c r="AX994" s="95"/>
      <c r="AY994" s="93"/>
    </row>
    <row r="995" ht="14.5" spans="1:51">
      <c r="A995" s="91"/>
      <c r="B995" s="95"/>
      <c r="C995" s="180" t="s">
        <v>927</v>
      </c>
      <c r="D995" s="181" t="s">
        <v>25</v>
      </c>
      <c r="E995" s="130" t="s">
        <v>928</v>
      </c>
      <c r="F995" s="182" t="s">
        <v>1024</v>
      </c>
      <c r="G995" s="183" t="s">
        <v>1024</v>
      </c>
      <c r="H995" s="183" t="s">
        <v>1024</v>
      </c>
      <c r="I995" s="183" t="s">
        <v>1024</v>
      </c>
      <c r="J995" s="132">
        <v>0.9</v>
      </c>
      <c r="K995" s="133">
        <v>0.894736842105263</v>
      </c>
      <c r="L995" s="133">
        <v>1</v>
      </c>
      <c r="M995" s="134">
        <v>0.777777777777778</v>
      </c>
      <c r="N995" s="133">
        <v>0.91340782122905</v>
      </c>
      <c r="O995" s="135">
        <v>0.9</v>
      </c>
      <c r="P995" s="133">
        <v>0.987306064880113</v>
      </c>
      <c r="Q995" s="133">
        <v>0.96507723304231</v>
      </c>
      <c r="R995" s="133">
        <v>0.979913916786227</v>
      </c>
      <c r="S995" s="133">
        <v>0.946585124434389</v>
      </c>
      <c r="T995" s="135">
        <v>0.9</v>
      </c>
      <c r="U995" s="133">
        <v>0.937940761636107</v>
      </c>
      <c r="V995" s="133">
        <v>0.918737407656145</v>
      </c>
      <c r="W995" s="133">
        <v>0.822094691535151</v>
      </c>
      <c r="X995" s="133">
        <v>0.911941459276018</v>
      </c>
      <c r="Y995" s="135">
        <v>0.92</v>
      </c>
      <c r="Z995" s="135">
        <v>0.933130699088146</v>
      </c>
      <c r="AA995" s="135">
        <v>0.869402985074627</v>
      </c>
      <c r="AB995" s="135">
        <v>0.89237668161435</v>
      </c>
      <c r="AC995" s="135">
        <v>0.919907474338586</v>
      </c>
      <c r="AD995" s="135">
        <v>0.92</v>
      </c>
      <c r="AE995" s="133">
        <v>0.994075829383886</v>
      </c>
      <c r="AF995" s="133">
        <v>0.936962750716332</v>
      </c>
      <c r="AG995" s="133">
        <v>0.87122969837587</v>
      </c>
      <c r="AH995" s="133">
        <v>0.809168548149602</v>
      </c>
      <c r="AI995" s="135">
        <v>0.92</v>
      </c>
      <c r="AJ995" s="133">
        <v>0.952793834296724</v>
      </c>
      <c r="AK995" s="133">
        <v>0.943686006825939</v>
      </c>
      <c r="AL995" s="133">
        <v>0.916304347826087</v>
      </c>
      <c r="AM995" s="133">
        <v>0.95741902517955</v>
      </c>
      <c r="AN995" s="132">
        <v>0.99</v>
      </c>
      <c r="AO995" s="137">
        <v>1</v>
      </c>
      <c r="AP995" s="137">
        <v>1</v>
      </c>
      <c r="AQ995" s="137">
        <v>1</v>
      </c>
      <c r="AR995" s="137">
        <v>1</v>
      </c>
      <c r="AS995" s="158">
        <v>0.0656418488929858</v>
      </c>
      <c r="AT995" s="141">
        <v>0</v>
      </c>
      <c r="AU995" s="141">
        <v>0.0434782608695652</v>
      </c>
      <c r="AV995" s="141">
        <v>0</v>
      </c>
      <c r="AW995" s="141">
        <v>0.0356294536817102</v>
      </c>
      <c r="AX995" s="95"/>
      <c r="AY995" s="93"/>
    </row>
    <row r="996" ht="14.5" spans="1:51">
      <c r="A996" s="91"/>
      <c r="B996" s="95"/>
      <c r="C996" s="180" t="s">
        <v>927</v>
      </c>
      <c r="D996" s="181" t="s">
        <v>25</v>
      </c>
      <c r="E996" s="130" t="s">
        <v>928</v>
      </c>
      <c r="F996" s="192" t="s">
        <v>1025</v>
      </c>
      <c r="G996" s="193" t="s">
        <v>1025</v>
      </c>
      <c r="H996" s="193" t="s">
        <v>1025</v>
      </c>
      <c r="I996" s="193" t="s">
        <v>1025</v>
      </c>
      <c r="J996" s="132">
        <v>0.9</v>
      </c>
      <c r="K996" s="133">
        <v>0.714285714285714</v>
      </c>
      <c r="L996" s="133">
        <v>0.9</v>
      </c>
      <c r="M996" s="134">
        <v>0.7</v>
      </c>
      <c r="N996" s="133">
        <v>0.770491803278688</v>
      </c>
      <c r="O996" s="135">
        <v>0.9</v>
      </c>
      <c r="P996" s="133">
        <v>0.849557522123894</v>
      </c>
      <c r="Q996" s="133">
        <v>0.933601609657948</v>
      </c>
      <c r="R996" s="133">
        <v>0.954922894424674</v>
      </c>
      <c r="S996" s="133">
        <v>0.942126997426537</v>
      </c>
      <c r="T996" s="135">
        <v>0.9</v>
      </c>
      <c r="U996" s="133">
        <v>0.889380530973451</v>
      </c>
      <c r="V996" s="133">
        <v>0.789738430583501</v>
      </c>
      <c r="W996" s="133">
        <v>0.920521945432977</v>
      </c>
      <c r="X996" s="133">
        <v>0.913579508049554</v>
      </c>
      <c r="Y996" s="135">
        <v>0.92</v>
      </c>
      <c r="Z996" s="135">
        <v>0.900584795321637</v>
      </c>
      <c r="AA996" s="135">
        <v>0.897810218978102</v>
      </c>
      <c r="AB996" s="135">
        <v>0.929824561403509</v>
      </c>
      <c r="AC996" s="135">
        <v>0.895027624309392</v>
      </c>
      <c r="AD996" s="135">
        <v>0.92</v>
      </c>
      <c r="AE996" s="133">
        <v>1</v>
      </c>
      <c r="AF996" s="133">
        <v>0.757009345794392</v>
      </c>
      <c r="AG996" s="133">
        <v>0.993227990970655</v>
      </c>
      <c r="AH996" s="133">
        <v>0.876507124588966</v>
      </c>
      <c r="AI996" s="135">
        <v>0.92</v>
      </c>
      <c r="AJ996" s="133">
        <v>0.940609951845907</v>
      </c>
      <c r="AK996" s="133">
        <v>0.934571175950486</v>
      </c>
      <c r="AL996" s="133">
        <v>0.956560283687943</v>
      </c>
      <c r="AM996" s="133">
        <v>0.954297211842484</v>
      </c>
      <c r="AN996" s="132">
        <v>0.99</v>
      </c>
      <c r="AO996" s="137">
        <v>1</v>
      </c>
      <c r="AP996" s="137">
        <v>1</v>
      </c>
      <c r="AQ996" s="137">
        <v>1</v>
      </c>
      <c r="AR996" s="137">
        <v>1</v>
      </c>
      <c r="AS996" s="158">
        <v>0.0656418488929858</v>
      </c>
      <c r="AT996" s="141">
        <v>0</v>
      </c>
      <c r="AU996" s="141">
        <v>0</v>
      </c>
      <c r="AV996" s="141">
        <v>0</v>
      </c>
      <c r="AW996" s="141">
        <v>0.03125</v>
      </c>
      <c r="AX996" s="95"/>
      <c r="AY996" s="93"/>
    </row>
    <row r="997" ht="14.5" spans="1:51">
      <c r="A997" s="91"/>
      <c r="B997" s="95"/>
      <c r="C997" s="180" t="s">
        <v>927</v>
      </c>
      <c r="D997" s="181" t="s">
        <v>125</v>
      </c>
      <c r="E997" s="130" t="s">
        <v>928</v>
      </c>
      <c r="F997" s="182" t="s">
        <v>1026</v>
      </c>
      <c r="G997" s="183" t="s">
        <v>1026</v>
      </c>
      <c r="H997" s="183" t="s">
        <v>1026</v>
      </c>
      <c r="I997" s="183" t="s">
        <v>1026</v>
      </c>
      <c r="J997" s="132">
        <v>0.9</v>
      </c>
      <c r="K997" s="133" t="s">
        <v>35</v>
      </c>
      <c r="L997" s="133" t="s">
        <v>35</v>
      </c>
      <c r="M997" s="134" t="s">
        <v>35</v>
      </c>
      <c r="N997" s="133" t="s">
        <v>35</v>
      </c>
      <c r="O997" s="135">
        <v>0.9</v>
      </c>
      <c r="P997" s="133" t="s">
        <v>35</v>
      </c>
      <c r="Q997" s="133" t="s">
        <v>35</v>
      </c>
      <c r="R997" s="133" t="s">
        <v>35</v>
      </c>
      <c r="S997" s="133">
        <v>0</v>
      </c>
      <c r="T997" s="135">
        <v>0.9</v>
      </c>
      <c r="U997" s="133" t="s">
        <v>35</v>
      </c>
      <c r="V997" s="133" t="s">
        <v>35</v>
      </c>
      <c r="W997" s="133" t="s">
        <v>35</v>
      </c>
      <c r="X997" s="133">
        <v>0.666666666666667</v>
      </c>
      <c r="Y997" s="135">
        <v>0.92</v>
      </c>
      <c r="Z997" s="135" t="s">
        <v>35</v>
      </c>
      <c r="AA997" s="135" t="s">
        <v>35</v>
      </c>
      <c r="AB997" s="135" t="s">
        <v>35</v>
      </c>
      <c r="AC997" s="135" t="s">
        <v>35</v>
      </c>
      <c r="AD997" s="135">
        <v>0.92</v>
      </c>
      <c r="AE997" s="133">
        <v>0.96594982078853</v>
      </c>
      <c r="AF997" s="133">
        <v>0.729281767955801</v>
      </c>
      <c r="AG997" s="133">
        <v>0.808411214953271</v>
      </c>
      <c r="AH997" s="133">
        <v>0.782289827515958</v>
      </c>
      <c r="AI997" s="135">
        <v>0.92</v>
      </c>
      <c r="AJ997" s="133">
        <v>0</v>
      </c>
      <c r="AK997" s="133" t="s">
        <v>35</v>
      </c>
      <c r="AL997" s="133" t="s">
        <v>35</v>
      </c>
      <c r="AM997" s="133">
        <v>0.714285714285714</v>
      </c>
      <c r="AN997" s="132">
        <v>0.99</v>
      </c>
      <c r="AO997" s="137">
        <v>1</v>
      </c>
      <c r="AP997" s="137">
        <v>1</v>
      </c>
      <c r="AQ997" s="137">
        <v>1</v>
      </c>
      <c r="AR997" s="137">
        <v>1</v>
      </c>
      <c r="AS997" s="158">
        <v>0.0656418488929858</v>
      </c>
      <c r="AT997" s="141" t="s">
        <v>35</v>
      </c>
      <c r="AU997" s="141" t="s">
        <v>35</v>
      </c>
      <c r="AV997" s="141" t="s">
        <v>35</v>
      </c>
      <c r="AW997" s="141" t="s">
        <v>35</v>
      </c>
      <c r="AX997" s="95"/>
      <c r="AY997" s="93"/>
    </row>
    <row r="998" ht="14.5" spans="1:51">
      <c r="A998" s="91"/>
      <c r="B998" s="95"/>
      <c r="C998" s="180" t="s">
        <v>927</v>
      </c>
      <c r="D998" s="181" t="s">
        <v>25</v>
      </c>
      <c r="E998" s="130" t="s">
        <v>928</v>
      </c>
      <c r="F998" s="182" t="s">
        <v>1027</v>
      </c>
      <c r="G998" s="183" t="s">
        <v>1027</v>
      </c>
      <c r="H998" s="183" t="s">
        <v>1027</v>
      </c>
      <c r="I998" s="183" t="s">
        <v>1027</v>
      </c>
      <c r="J998" s="132">
        <v>0.9</v>
      </c>
      <c r="K998" s="133">
        <v>0.933333333333333</v>
      </c>
      <c r="L998" s="133">
        <v>0.818181818181818</v>
      </c>
      <c r="M998" s="134">
        <v>0.727272727272727</v>
      </c>
      <c r="N998" s="133">
        <v>0.845762711864407</v>
      </c>
      <c r="O998" s="135">
        <v>0.9</v>
      </c>
      <c r="P998" s="133">
        <v>0.947735191637631</v>
      </c>
      <c r="Q998" s="133">
        <v>0.929763779527559</v>
      </c>
      <c r="R998" s="133">
        <v>0.960014409221902</v>
      </c>
      <c r="S998" s="133">
        <v>0.940638461084558</v>
      </c>
      <c r="T998" s="135">
        <v>0.9</v>
      </c>
      <c r="U998" s="133">
        <v>0.904529616724739</v>
      </c>
      <c r="V998" s="133">
        <v>0.851338582677165</v>
      </c>
      <c r="W998" s="133">
        <v>0.877881844380404</v>
      </c>
      <c r="X998" s="133">
        <v>0.872366790582404</v>
      </c>
      <c r="Y998" s="135">
        <v>0.92</v>
      </c>
      <c r="Z998" s="135">
        <v>0.894991922455573</v>
      </c>
      <c r="AA998" s="135">
        <v>0.875259875259875</v>
      </c>
      <c r="AB998" s="135">
        <v>0.798979591836735</v>
      </c>
      <c r="AC998" s="135">
        <v>0.89148902067639</v>
      </c>
      <c r="AD998" s="135">
        <v>0.92</v>
      </c>
      <c r="AE998" s="133">
        <v>0.991376077990251</v>
      </c>
      <c r="AF998" s="133">
        <v>0.979359277574715</v>
      </c>
      <c r="AG998" s="133">
        <v>0.900774443368829</v>
      </c>
      <c r="AH998" s="133">
        <v>0.925444794565036</v>
      </c>
      <c r="AI998" s="135">
        <v>0.92</v>
      </c>
      <c r="AJ998" s="133">
        <v>0.928953771289538</v>
      </c>
      <c r="AK998" s="133">
        <v>0.913293216630197</v>
      </c>
      <c r="AL998" s="133">
        <v>0.902899707368981</v>
      </c>
      <c r="AM998" s="133">
        <v>0.940719941950342</v>
      </c>
      <c r="AN998" s="132">
        <v>0.99</v>
      </c>
      <c r="AO998" s="137">
        <v>1</v>
      </c>
      <c r="AP998" s="137">
        <v>1</v>
      </c>
      <c r="AQ998" s="137">
        <v>1</v>
      </c>
      <c r="AR998" s="137">
        <v>1</v>
      </c>
      <c r="AS998" s="158">
        <v>0.0656418488929858</v>
      </c>
      <c r="AT998" s="141">
        <v>0</v>
      </c>
      <c r="AU998" s="141">
        <v>0.0465116279069767</v>
      </c>
      <c r="AV998" s="141">
        <v>0.0588235294117647</v>
      </c>
      <c r="AW998" s="141">
        <v>0.0348993288590604</v>
      </c>
      <c r="AX998" s="95"/>
      <c r="AY998" s="93"/>
    </row>
    <row r="999" ht="14.5" spans="1:51">
      <c r="A999" s="91"/>
      <c r="B999" s="95"/>
      <c r="C999" s="180" t="s">
        <v>927</v>
      </c>
      <c r="D999" s="181" t="s">
        <v>125</v>
      </c>
      <c r="E999" s="130" t="s">
        <v>928</v>
      </c>
      <c r="F999" s="182" t="s">
        <v>1028</v>
      </c>
      <c r="G999" s="183" t="s">
        <v>1028</v>
      </c>
      <c r="H999" s="183" t="s">
        <v>1028</v>
      </c>
      <c r="I999" s="183" t="s">
        <v>1028</v>
      </c>
      <c r="J999" s="132">
        <v>0.9</v>
      </c>
      <c r="K999" s="133" t="s">
        <v>35</v>
      </c>
      <c r="L999" s="133" t="s">
        <v>35</v>
      </c>
      <c r="M999" s="134" t="s">
        <v>35</v>
      </c>
      <c r="N999" s="133" t="s">
        <v>35</v>
      </c>
      <c r="O999" s="135">
        <v>0.9</v>
      </c>
      <c r="P999" s="133" t="s">
        <v>35</v>
      </c>
      <c r="Q999" s="133" t="s">
        <v>35</v>
      </c>
      <c r="R999" s="133">
        <v>0</v>
      </c>
      <c r="S999" s="133">
        <v>0</v>
      </c>
      <c r="T999" s="135">
        <v>0.9</v>
      </c>
      <c r="U999" s="133" t="s">
        <v>35</v>
      </c>
      <c r="V999" s="133" t="s">
        <v>35</v>
      </c>
      <c r="W999" s="133">
        <v>0</v>
      </c>
      <c r="X999" s="133">
        <v>0.5</v>
      </c>
      <c r="Y999" s="135">
        <v>0.92</v>
      </c>
      <c r="Z999" s="135" t="s">
        <v>35</v>
      </c>
      <c r="AA999" s="135" t="s">
        <v>35</v>
      </c>
      <c r="AB999" s="135" t="s">
        <v>35</v>
      </c>
      <c r="AC999" s="135" t="s">
        <v>35</v>
      </c>
      <c r="AD999" s="135">
        <v>0.92</v>
      </c>
      <c r="AE999" s="133">
        <v>0.99236641221374</v>
      </c>
      <c r="AF999" s="133">
        <v>1</v>
      </c>
      <c r="AG999" s="133">
        <v>0.804597701149425</v>
      </c>
      <c r="AH999" s="133">
        <v>0.897914379802415</v>
      </c>
      <c r="AI999" s="135">
        <v>0.92</v>
      </c>
      <c r="AJ999" s="133" t="s">
        <v>35</v>
      </c>
      <c r="AK999" s="133" t="s">
        <v>35</v>
      </c>
      <c r="AL999" s="133">
        <v>0</v>
      </c>
      <c r="AM999" s="133">
        <v>0.5</v>
      </c>
      <c r="AN999" s="132">
        <v>0.99</v>
      </c>
      <c r="AO999" s="137">
        <v>1</v>
      </c>
      <c r="AP999" s="137" t="s">
        <v>35</v>
      </c>
      <c r="AQ999" s="137" t="s">
        <v>35</v>
      </c>
      <c r="AR999" s="137">
        <v>1</v>
      </c>
      <c r="AS999" s="158">
        <v>0.0656418488929858</v>
      </c>
      <c r="AT999" s="141" t="s">
        <v>35</v>
      </c>
      <c r="AU999" s="141" t="s">
        <v>35</v>
      </c>
      <c r="AV999" s="141" t="s">
        <v>35</v>
      </c>
      <c r="AW999" s="141" t="s">
        <v>35</v>
      </c>
      <c r="AX999" s="95"/>
      <c r="AY999" s="93"/>
    </row>
    <row r="1000" ht="14.5" spans="1:51">
      <c r="A1000" s="91"/>
      <c r="B1000" s="95"/>
      <c r="C1000" s="180" t="s">
        <v>927</v>
      </c>
      <c r="D1000" s="181" t="s">
        <v>25</v>
      </c>
      <c r="E1000" s="130" t="s">
        <v>928</v>
      </c>
      <c r="F1000" s="182" t="s">
        <v>1029</v>
      </c>
      <c r="G1000" s="183" t="s">
        <v>1029</v>
      </c>
      <c r="H1000" s="183" t="s">
        <v>1029</v>
      </c>
      <c r="I1000" s="183" t="s">
        <v>1029</v>
      </c>
      <c r="J1000" s="132">
        <v>0.9</v>
      </c>
      <c r="K1000" s="133" t="s">
        <v>35</v>
      </c>
      <c r="L1000" s="133" t="s">
        <v>35</v>
      </c>
      <c r="M1000" s="134" t="s">
        <v>35</v>
      </c>
      <c r="N1000" s="133">
        <v>1</v>
      </c>
      <c r="O1000" s="135">
        <v>0.9</v>
      </c>
      <c r="P1000" s="133">
        <v>0</v>
      </c>
      <c r="Q1000" s="133">
        <v>0</v>
      </c>
      <c r="R1000" s="133">
        <v>0.00478468899521531</v>
      </c>
      <c r="S1000" s="133">
        <v>0.276379396566094</v>
      </c>
      <c r="T1000" s="135">
        <v>0.9</v>
      </c>
      <c r="U1000" s="133">
        <v>1</v>
      </c>
      <c r="V1000" s="133">
        <v>1</v>
      </c>
      <c r="W1000" s="133">
        <v>1</v>
      </c>
      <c r="X1000" s="133">
        <v>0.963160526754459</v>
      </c>
      <c r="Y1000" s="135">
        <v>0.92</v>
      </c>
      <c r="Z1000" s="135">
        <v>1</v>
      </c>
      <c r="AA1000" s="135">
        <v>1</v>
      </c>
      <c r="AB1000" s="135">
        <v>1</v>
      </c>
      <c r="AC1000" s="135">
        <v>0.964583333333333</v>
      </c>
      <c r="AD1000" s="135">
        <v>0.92</v>
      </c>
      <c r="AE1000" s="133">
        <v>1</v>
      </c>
      <c r="AF1000" s="133">
        <v>0.96875</v>
      </c>
      <c r="AG1000" s="133">
        <v>0.583333333333333</v>
      </c>
      <c r="AH1000" s="133">
        <v>0.953100209430729</v>
      </c>
      <c r="AI1000" s="135">
        <v>0.92</v>
      </c>
      <c r="AJ1000" s="133">
        <v>1</v>
      </c>
      <c r="AK1000" s="133">
        <v>1</v>
      </c>
      <c r="AL1000" s="133">
        <v>1</v>
      </c>
      <c r="AM1000" s="133">
        <v>0.982590062943619</v>
      </c>
      <c r="AN1000" s="132">
        <v>0.99</v>
      </c>
      <c r="AO1000" s="137" t="s">
        <v>35</v>
      </c>
      <c r="AP1000" s="137">
        <v>1</v>
      </c>
      <c r="AQ1000" s="137" t="s">
        <v>35</v>
      </c>
      <c r="AR1000" s="137">
        <v>1</v>
      </c>
      <c r="AS1000" s="158">
        <v>0.0656418488929858</v>
      </c>
      <c r="AT1000" s="141" t="s">
        <v>35</v>
      </c>
      <c r="AU1000" s="141" t="s">
        <v>35</v>
      </c>
      <c r="AV1000" s="141" t="s">
        <v>35</v>
      </c>
      <c r="AW1000" s="141">
        <v>0.0454545454545455</v>
      </c>
      <c r="AX1000" s="95"/>
      <c r="AY1000" s="93"/>
    </row>
    <row r="1001" ht="14.5" spans="1:51">
      <c r="A1001" s="91"/>
      <c r="B1001" s="95"/>
      <c r="C1001" s="180" t="s">
        <v>927</v>
      </c>
      <c r="D1001" s="181" t="s">
        <v>25</v>
      </c>
      <c r="E1001" s="130" t="s">
        <v>928</v>
      </c>
      <c r="F1001" s="182" t="s">
        <v>1030</v>
      </c>
      <c r="G1001" s="183" t="s">
        <v>1030</v>
      </c>
      <c r="H1001" s="183" t="s">
        <v>1030</v>
      </c>
      <c r="I1001" s="183" t="s">
        <v>1030</v>
      </c>
      <c r="J1001" s="132">
        <v>0.9</v>
      </c>
      <c r="K1001" s="133">
        <v>0.9375</v>
      </c>
      <c r="L1001" s="133">
        <v>1</v>
      </c>
      <c r="M1001" s="134">
        <v>0.882352941176471</v>
      </c>
      <c r="N1001" s="133">
        <v>0.946107784431138</v>
      </c>
      <c r="O1001" s="135">
        <v>0.9</v>
      </c>
      <c r="P1001" s="133">
        <v>0.935643564356436</v>
      </c>
      <c r="Q1001" s="133">
        <v>0.807575097953853</v>
      </c>
      <c r="R1001" s="133">
        <v>0.841569026999491</v>
      </c>
      <c r="S1001" s="133">
        <v>0.848025832195737</v>
      </c>
      <c r="T1001" s="135">
        <v>0.9</v>
      </c>
      <c r="U1001" s="133">
        <v>0.931518151815181</v>
      </c>
      <c r="V1001" s="133">
        <v>0.895080539834567</v>
      </c>
      <c r="W1001" s="133">
        <v>0.935303107488538</v>
      </c>
      <c r="X1001" s="133">
        <v>0.922057124855613</v>
      </c>
      <c r="Y1001" s="135">
        <v>0.92</v>
      </c>
      <c r="Z1001" s="135">
        <v>0.933444259567388</v>
      </c>
      <c r="AA1001" s="135">
        <v>0.926701570680628</v>
      </c>
      <c r="AB1001" s="135">
        <v>0.916149068322981</v>
      </c>
      <c r="AC1001" s="135">
        <v>0.929511278195489</v>
      </c>
      <c r="AD1001" s="135">
        <v>0.92</v>
      </c>
      <c r="AE1001" s="133">
        <v>0.993694167104572</v>
      </c>
      <c r="AF1001" s="133">
        <v>0.991964644435516</v>
      </c>
      <c r="AG1001" s="133">
        <v>0.986653645833333</v>
      </c>
      <c r="AH1001" s="133">
        <v>0.973236614166708</v>
      </c>
      <c r="AI1001" s="135">
        <v>0.92</v>
      </c>
      <c r="AJ1001" s="133">
        <v>0.956569543705333</v>
      </c>
      <c r="AK1001" s="133">
        <v>0.957494407158837</v>
      </c>
      <c r="AL1001" s="133">
        <v>0.959386973180077</v>
      </c>
      <c r="AM1001" s="133">
        <v>0.966765155801429</v>
      </c>
      <c r="AN1001" s="132">
        <v>0.99</v>
      </c>
      <c r="AO1001" s="137">
        <v>0.895652173913044</v>
      </c>
      <c r="AP1001" s="137">
        <v>1</v>
      </c>
      <c r="AQ1001" s="137">
        <v>1</v>
      </c>
      <c r="AR1001" s="137">
        <v>0.995820271682341</v>
      </c>
      <c r="AS1001" s="158">
        <v>0.0656418488929858</v>
      </c>
      <c r="AT1001" s="141">
        <v>0</v>
      </c>
      <c r="AU1001" s="141">
        <v>0.0169491525423729</v>
      </c>
      <c r="AV1001" s="141">
        <v>0.0434782608695652</v>
      </c>
      <c r="AW1001" s="141">
        <v>0.0263157894736842</v>
      </c>
      <c r="AX1001" s="95"/>
      <c r="AY1001" s="93"/>
    </row>
    <row r="1002" ht="14.5" spans="1:51">
      <c r="A1002" s="91"/>
      <c r="B1002" s="95"/>
      <c r="C1002" s="180" t="s">
        <v>927</v>
      </c>
      <c r="D1002" s="181" t="s">
        <v>125</v>
      </c>
      <c r="E1002" s="130" t="s">
        <v>928</v>
      </c>
      <c r="F1002" s="192" t="s">
        <v>1031</v>
      </c>
      <c r="G1002" s="193" t="s">
        <v>1031</v>
      </c>
      <c r="H1002" s="193" t="s">
        <v>1031</v>
      </c>
      <c r="I1002" s="193" t="s">
        <v>1031</v>
      </c>
      <c r="J1002" s="132">
        <v>0.9</v>
      </c>
      <c r="K1002" s="133" t="s">
        <v>35</v>
      </c>
      <c r="L1002" s="133" t="s">
        <v>35</v>
      </c>
      <c r="M1002" s="134" t="s">
        <v>35</v>
      </c>
      <c r="N1002" s="133" t="s">
        <v>35</v>
      </c>
      <c r="O1002" s="135">
        <v>0.9</v>
      </c>
      <c r="P1002" s="133" t="s">
        <v>35</v>
      </c>
      <c r="Q1002" s="133" t="s">
        <v>35</v>
      </c>
      <c r="R1002" s="133" t="s">
        <v>35</v>
      </c>
      <c r="S1002" s="133">
        <v>0</v>
      </c>
      <c r="T1002" s="135">
        <v>0.9</v>
      </c>
      <c r="U1002" s="133" t="s">
        <v>35</v>
      </c>
      <c r="V1002" s="133" t="s">
        <v>35</v>
      </c>
      <c r="W1002" s="133" t="s">
        <v>35</v>
      </c>
      <c r="X1002" s="133">
        <v>0.666666666666667</v>
      </c>
      <c r="Y1002" s="135">
        <v>0.92</v>
      </c>
      <c r="Z1002" s="135" t="s">
        <v>35</v>
      </c>
      <c r="AA1002" s="135" t="s">
        <v>35</v>
      </c>
      <c r="AB1002" s="135" t="s">
        <v>35</v>
      </c>
      <c r="AC1002" s="135">
        <v>0</v>
      </c>
      <c r="AD1002" s="135">
        <v>0.92</v>
      </c>
      <c r="AE1002" s="133">
        <v>0.987421383647799</v>
      </c>
      <c r="AF1002" s="133">
        <v>0.886363636363636</v>
      </c>
      <c r="AG1002" s="133">
        <v>0.990521327014218</v>
      </c>
      <c r="AH1002" s="133">
        <v>0.929677819083023</v>
      </c>
      <c r="AI1002" s="135">
        <v>0.92</v>
      </c>
      <c r="AJ1002" s="133" t="s">
        <v>35</v>
      </c>
      <c r="AK1002" s="133" t="s">
        <v>35</v>
      </c>
      <c r="AL1002" s="133" t="s">
        <v>35</v>
      </c>
      <c r="AM1002" s="133">
        <v>0.625</v>
      </c>
      <c r="AN1002" s="132">
        <v>0.99</v>
      </c>
      <c r="AO1002" s="137">
        <v>1</v>
      </c>
      <c r="AP1002" s="137">
        <v>1</v>
      </c>
      <c r="AQ1002" s="137">
        <v>1</v>
      </c>
      <c r="AR1002" s="137">
        <v>1</v>
      </c>
      <c r="AS1002" s="158">
        <v>0.0656418488929858</v>
      </c>
      <c r="AT1002" s="141" t="s">
        <v>35</v>
      </c>
      <c r="AU1002" s="141" t="s">
        <v>35</v>
      </c>
      <c r="AV1002" s="141" t="s">
        <v>35</v>
      </c>
      <c r="AW1002" s="141" t="s">
        <v>35</v>
      </c>
      <c r="AX1002" s="95"/>
      <c r="AY1002" s="93"/>
    </row>
    <row r="1003" ht="14.5" spans="1:51">
      <c r="A1003" s="91"/>
      <c r="B1003" s="95"/>
      <c r="C1003" s="180" t="s">
        <v>927</v>
      </c>
      <c r="D1003" s="181" t="s">
        <v>25</v>
      </c>
      <c r="E1003" s="130" t="s">
        <v>928</v>
      </c>
      <c r="F1003" s="192" t="s">
        <v>1032</v>
      </c>
      <c r="G1003" s="193" t="s">
        <v>1032</v>
      </c>
      <c r="H1003" s="193" t="s">
        <v>1032</v>
      </c>
      <c r="I1003" s="193" t="s">
        <v>1032</v>
      </c>
      <c r="J1003" s="132">
        <v>0.9</v>
      </c>
      <c r="K1003" s="133">
        <v>0.846153846153846</v>
      </c>
      <c r="L1003" s="133">
        <v>0.692307692307692</v>
      </c>
      <c r="M1003" s="134">
        <v>0.692307692307692</v>
      </c>
      <c r="N1003" s="133">
        <v>0.752767527675277</v>
      </c>
      <c r="O1003" s="135">
        <v>0.9</v>
      </c>
      <c r="P1003" s="133">
        <v>0.929460580912863</v>
      </c>
      <c r="Q1003" s="133">
        <v>0.849107142857143</v>
      </c>
      <c r="R1003" s="133">
        <v>0.891630901287554</v>
      </c>
      <c r="S1003" s="133">
        <v>0.960403289399572</v>
      </c>
      <c r="T1003" s="135">
        <v>0.9</v>
      </c>
      <c r="U1003" s="133">
        <v>0.906639004149378</v>
      </c>
      <c r="V1003" s="133">
        <v>0.76875</v>
      </c>
      <c r="W1003" s="133">
        <v>0.850858369098712</v>
      </c>
      <c r="X1003" s="133">
        <v>0.873831249295933</v>
      </c>
      <c r="Y1003" s="135">
        <v>0.92</v>
      </c>
      <c r="Z1003" s="135">
        <v>0.588888888888889</v>
      </c>
      <c r="AA1003" s="135">
        <v>0.560283687943262</v>
      </c>
      <c r="AB1003" s="135">
        <v>0.409356725146199</v>
      </c>
      <c r="AC1003" s="135">
        <v>0.691282746160795</v>
      </c>
      <c r="AD1003" s="135">
        <v>0.92</v>
      </c>
      <c r="AE1003" s="133">
        <v>0.996879875195008</v>
      </c>
      <c r="AF1003" s="133">
        <v>0.835329341317365</v>
      </c>
      <c r="AG1003" s="133">
        <v>0.98981989036805</v>
      </c>
      <c r="AH1003" s="133">
        <v>0.890785503093852</v>
      </c>
      <c r="AI1003" s="135">
        <v>0.92</v>
      </c>
      <c r="AJ1003" s="133">
        <v>0.842900302114804</v>
      </c>
      <c r="AK1003" s="133">
        <v>0.875495638382236</v>
      </c>
      <c r="AL1003" s="133">
        <v>0.78021978021978</v>
      </c>
      <c r="AM1003" s="133">
        <v>0.903489001081861</v>
      </c>
      <c r="AN1003" s="132">
        <v>0.99</v>
      </c>
      <c r="AO1003" s="137">
        <v>1</v>
      </c>
      <c r="AP1003" s="137">
        <v>1</v>
      </c>
      <c r="AQ1003" s="137">
        <v>1</v>
      </c>
      <c r="AR1003" s="137">
        <v>1</v>
      </c>
      <c r="AS1003" s="158">
        <v>0.0656418488929858</v>
      </c>
      <c r="AT1003" s="141">
        <v>0</v>
      </c>
      <c r="AU1003" s="141">
        <v>0.0317460317460317</v>
      </c>
      <c r="AV1003" s="141">
        <v>0.02</v>
      </c>
      <c r="AW1003" s="141">
        <v>0.0248618784530387</v>
      </c>
      <c r="AX1003" s="95"/>
      <c r="AY1003" s="93"/>
    </row>
    <row r="1004" ht="14.5" spans="1:51">
      <c r="A1004" s="91"/>
      <c r="B1004" s="95"/>
      <c r="C1004" s="180" t="s">
        <v>927</v>
      </c>
      <c r="D1004" s="181" t="s">
        <v>25</v>
      </c>
      <c r="E1004" s="130" t="s">
        <v>928</v>
      </c>
      <c r="F1004" s="182" t="s">
        <v>1033</v>
      </c>
      <c r="G1004" s="183" t="s">
        <v>1033</v>
      </c>
      <c r="H1004" s="183" t="s">
        <v>1033</v>
      </c>
      <c r="I1004" s="183" t="s">
        <v>1033</v>
      </c>
      <c r="J1004" s="132">
        <v>0.9</v>
      </c>
      <c r="K1004" s="133">
        <v>0.958333333333333</v>
      </c>
      <c r="L1004" s="133">
        <v>1</v>
      </c>
      <c r="M1004" s="134">
        <v>0.888888888888889</v>
      </c>
      <c r="N1004" s="133">
        <v>0.945121951219512</v>
      </c>
      <c r="O1004" s="135">
        <v>0.9</v>
      </c>
      <c r="P1004" s="133">
        <v>0.976340694006309</v>
      </c>
      <c r="Q1004" s="133">
        <v>0.970367591897975</v>
      </c>
      <c r="R1004" s="133">
        <v>0.970443349753695</v>
      </c>
      <c r="S1004" s="133">
        <v>0.970318379772525</v>
      </c>
      <c r="T1004" s="135">
        <v>0.9</v>
      </c>
      <c r="U1004" s="133">
        <v>0.908517350157729</v>
      </c>
      <c r="V1004" s="133">
        <v>0.912228057014254</v>
      </c>
      <c r="W1004" s="133">
        <v>0.912972085385878</v>
      </c>
      <c r="X1004" s="133">
        <v>0.917318506617056</v>
      </c>
      <c r="Y1004" s="135">
        <v>0.92</v>
      </c>
      <c r="Z1004" s="135">
        <v>0.929889298892989</v>
      </c>
      <c r="AA1004" s="135">
        <v>0.90990990990991</v>
      </c>
      <c r="AB1004" s="135">
        <v>0.874006810442679</v>
      </c>
      <c r="AC1004" s="135">
        <v>0.917041309695479</v>
      </c>
      <c r="AD1004" s="135">
        <v>0.92</v>
      </c>
      <c r="AE1004" s="133">
        <v>0.973429951690821</v>
      </c>
      <c r="AF1004" s="133">
        <v>0.874476987447699</v>
      </c>
      <c r="AG1004" s="133">
        <v>0.910505836575875</v>
      </c>
      <c r="AH1004" s="133">
        <v>0.924212844771487</v>
      </c>
      <c r="AI1004" s="135">
        <v>0.92</v>
      </c>
      <c r="AJ1004" s="133">
        <v>0.942541436464088</v>
      </c>
      <c r="AK1004" s="133">
        <v>0.942765273311897</v>
      </c>
      <c r="AL1004" s="133">
        <v>0.9291742013261</v>
      </c>
      <c r="AM1004" s="133">
        <v>0.953713415665708</v>
      </c>
      <c r="AN1004" s="132">
        <v>0.99</v>
      </c>
      <c r="AO1004" s="137">
        <v>1</v>
      </c>
      <c r="AP1004" s="137">
        <v>1</v>
      </c>
      <c r="AQ1004" s="137">
        <v>1</v>
      </c>
      <c r="AR1004" s="137">
        <v>1</v>
      </c>
      <c r="AS1004" s="158">
        <v>0.0656418488929858</v>
      </c>
      <c r="AT1004" s="141">
        <v>0.0294117647058824</v>
      </c>
      <c r="AU1004" s="141">
        <v>0.0256410256410256</v>
      </c>
      <c r="AV1004" s="141">
        <v>0</v>
      </c>
      <c r="AW1004" s="141">
        <v>0.0340030911901082</v>
      </c>
      <c r="AX1004" s="95"/>
      <c r="AY1004" s="93"/>
    </row>
    <row r="1005" ht="14.5" spans="1:51">
      <c r="A1005" s="91"/>
      <c r="B1005" s="95"/>
      <c r="C1005" s="180" t="s">
        <v>927</v>
      </c>
      <c r="D1005" s="181" t="s">
        <v>25</v>
      </c>
      <c r="E1005" s="130" t="s">
        <v>928</v>
      </c>
      <c r="F1005" s="182" t="s">
        <v>1034</v>
      </c>
      <c r="G1005" s="183" t="s">
        <v>1034</v>
      </c>
      <c r="H1005" s="183" t="s">
        <v>1034</v>
      </c>
      <c r="I1005" s="183" t="s">
        <v>1034</v>
      </c>
      <c r="J1005" s="132">
        <v>0.9</v>
      </c>
      <c r="K1005" s="133">
        <v>0.846153846153846</v>
      </c>
      <c r="L1005" s="133">
        <v>0.75</v>
      </c>
      <c r="M1005" s="134">
        <v>0.625</v>
      </c>
      <c r="N1005" s="133">
        <v>0.807829181494662</v>
      </c>
      <c r="O1005" s="135">
        <v>0.9</v>
      </c>
      <c r="P1005" s="133">
        <v>0.984550561797753</v>
      </c>
      <c r="Q1005" s="133">
        <v>0.984300341296928</v>
      </c>
      <c r="R1005" s="133">
        <v>0.987596899224806</v>
      </c>
      <c r="S1005" s="133">
        <v>0.957223309501937</v>
      </c>
      <c r="T1005" s="135">
        <v>0.9</v>
      </c>
      <c r="U1005" s="133">
        <v>0.903089887640449</v>
      </c>
      <c r="V1005" s="133">
        <v>0.856655290102389</v>
      </c>
      <c r="W1005" s="133">
        <v>0.902325581395349</v>
      </c>
      <c r="X1005" s="133">
        <v>0.915125614091145</v>
      </c>
      <c r="Y1005" s="135">
        <v>0.92</v>
      </c>
      <c r="Z1005" s="135">
        <v>1</v>
      </c>
      <c r="AA1005" s="135" t="s">
        <v>35</v>
      </c>
      <c r="AB1005" s="135" t="s">
        <v>35</v>
      </c>
      <c r="AC1005" s="135">
        <v>0.25</v>
      </c>
      <c r="AD1005" s="135">
        <v>0.92</v>
      </c>
      <c r="AE1005" s="133">
        <v>0.985436893203884</v>
      </c>
      <c r="AF1005" s="133">
        <v>1</v>
      </c>
      <c r="AG1005" s="133">
        <v>0.964912280701754</v>
      </c>
      <c r="AH1005" s="133">
        <v>0.974878444084279</v>
      </c>
      <c r="AI1005" s="135">
        <v>0.92</v>
      </c>
      <c r="AJ1005" s="133">
        <v>0.942577030812325</v>
      </c>
      <c r="AK1005" s="133">
        <v>0.939931740614334</v>
      </c>
      <c r="AL1005" s="133">
        <v>0.94031007751938</v>
      </c>
      <c r="AM1005" s="133">
        <v>0.959273308045518</v>
      </c>
      <c r="AN1005" s="132">
        <v>0.99</v>
      </c>
      <c r="AO1005" s="137">
        <v>1</v>
      </c>
      <c r="AP1005" s="137">
        <v>1</v>
      </c>
      <c r="AQ1005" s="137">
        <v>1</v>
      </c>
      <c r="AR1005" s="137">
        <v>1</v>
      </c>
      <c r="AS1005" s="158">
        <v>0.0656418488929858</v>
      </c>
      <c r="AT1005" s="141">
        <v>0.0588235294117647</v>
      </c>
      <c r="AU1005" s="141">
        <v>0.0526315789473684</v>
      </c>
      <c r="AV1005" s="141">
        <v>0.0769230769230769</v>
      </c>
      <c r="AW1005" s="141">
        <v>0.0363636363636364</v>
      </c>
      <c r="AX1005" s="95"/>
      <c r="AY1005" s="93"/>
    </row>
    <row r="1006" ht="14.5" spans="1:51">
      <c r="A1006" s="91"/>
      <c r="B1006" s="95"/>
      <c r="C1006" s="180" t="s">
        <v>927</v>
      </c>
      <c r="D1006" s="181" t="s">
        <v>25</v>
      </c>
      <c r="E1006" s="130" t="s">
        <v>928</v>
      </c>
      <c r="F1006" s="192" t="s">
        <v>1035</v>
      </c>
      <c r="G1006" s="193" t="s">
        <v>1035</v>
      </c>
      <c r="H1006" s="193" t="s">
        <v>1035</v>
      </c>
      <c r="I1006" s="193" t="s">
        <v>1035</v>
      </c>
      <c r="J1006" s="132">
        <v>0.9</v>
      </c>
      <c r="K1006" s="133">
        <v>0.9</v>
      </c>
      <c r="L1006" s="133">
        <v>1</v>
      </c>
      <c r="M1006" s="134">
        <v>0.571428571428571</v>
      </c>
      <c r="N1006" s="133">
        <v>0.91025641025641</v>
      </c>
      <c r="O1006" s="135">
        <v>0.9</v>
      </c>
      <c r="P1006" s="133">
        <v>0.988108108108108</v>
      </c>
      <c r="Q1006" s="133">
        <v>0.97227626459144</v>
      </c>
      <c r="R1006" s="133">
        <v>0.977647684938797</v>
      </c>
      <c r="S1006" s="133">
        <v>0.974080172609584</v>
      </c>
      <c r="T1006" s="135">
        <v>0.9</v>
      </c>
      <c r="U1006" s="133">
        <v>0.932972972972973</v>
      </c>
      <c r="V1006" s="133">
        <v>0.923151750972763</v>
      </c>
      <c r="W1006" s="133">
        <v>0.928153273017563</v>
      </c>
      <c r="X1006" s="133">
        <v>0.933880308880309</v>
      </c>
      <c r="Y1006" s="135">
        <v>0.92</v>
      </c>
      <c r="Z1006" s="135">
        <v>0.854503464203233</v>
      </c>
      <c r="AA1006" s="135">
        <v>0.87125748502994</v>
      </c>
      <c r="AB1006" s="135">
        <v>0.86970684039088</v>
      </c>
      <c r="AC1006" s="135">
        <v>0.887872628726287</v>
      </c>
      <c r="AD1006" s="135">
        <v>0.92</v>
      </c>
      <c r="AE1006" s="133">
        <v>0.977003719986473</v>
      </c>
      <c r="AF1006" s="133">
        <v>0.964679911699779</v>
      </c>
      <c r="AG1006" s="133">
        <v>0.990563494203289</v>
      </c>
      <c r="AH1006" s="133">
        <v>0.982724664462167</v>
      </c>
      <c r="AI1006" s="135">
        <v>0.92</v>
      </c>
      <c r="AJ1006" s="133">
        <v>0.941133186166299</v>
      </c>
      <c r="AK1006" s="133">
        <v>0.948138854035968</v>
      </c>
      <c r="AL1006" s="133">
        <v>0.933413557962294</v>
      </c>
      <c r="AM1006" s="133">
        <v>0.953897090505023</v>
      </c>
      <c r="AN1006" s="132">
        <v>0.99</v>
      </c>
      <c r="AO1006" s="137">
        <v>1</v>
      </c>
      <c r="AP1006" s="137">
        <v>1</v>
      </c>
      <c r="AQ1006" s="137">
        <v>1</v>
      </c>
      <c r="AR1006" s="137">
        <v>0.999671592775041</v>
      </c>
      <c r="AS1006" s="158">
        <v>0.0656418488929858</v>
      </c>
      <c r="AT1006" s="141">
        <v>0.105263157894737</v>
      </c>
      <c r="AU1006" s="141">
        <v>0.032258064516129</v>
      </c>
      <c r="AV1006" s="141">
        <v>0</v>
      </c>
      <c r="AW1006" s="141">
        <v>0.05</v>
      </c>
      <c r="AX1006" s="95"/>
      <c r="AY1006" s="93"/>
    </row>
    <row r="1007" ht="14.5" spans="1:51">
      <c r="A1007" s="91"/>
      <c r="B1007" s="95"/>
      <c r="C1007" s="180" t="s">
        <v>927</v>
      </c>
      <c r="D1007" s="181" t="s">
        <v>25</v>
      </c>
      <c r="E1007" s="130" t="s">
        <v>928</v>
      </c>
      <c r="F1007" s="182" t="s">
        <v>1036</v>
      </c>
      <c r="G1007" s="183" t="s">
        <v>1036</v>
      </c>
      <c r="H1007" s="183" t="s">
        <v>1036</v>
      </c>
      <c r="I1007" s="183" t="s">
        <v>1036</v>
      </c>
      <c r="J1007" s="132">
        <v>0.9</v>
      </c>
      <c r="K1007" s="133">
        <v>0.76</v>
      </c>
      <c r="L1007" s="133">
        <v>0.782608695652174</v>
      </c>
      <c r="M1007" s="134">
        <v>0.769230769230769</v>
      </c>
      <c r="N1007" s="133">
        <v>0.780684104627767</v>
      </c>
      <c r="O1007" s="135">
        <v>0.9</v>
      </c>
      <c r="P1007" s="133">
        <v>0.942324755989352</v>
      </c>
      <c r="Q1007" s="133">
        <v>0.840142800476002</v>
      </c>
      <c r="R1007" s="133">
        <v>0.839527765631832</v>
      </c>
      <c r="S1007" s="133">
        <v>0.854181654676259</v>
      </c>
      <c r="T1007" s="135">
        <v>0.9</v>
      </c>
      <c r="U1007" s="133">
        <v>0.806566104702751</v>
      </c>
      <c r="V1007" s="133">
        <v>0.720745735819119</v>
      </c>
      <c r="W1007" s="133">
        <v>0.764320069960647</v>
      </c>
      <c r="X1007" s="133">
        <v>0.833250899280575</v>
      </c>
      <c r="Y1007" s="135">
        <v>0.92</v>
      </c>
      <c r="Z1007" s="135">
        <v>0.729787234042553</v>
      </c>
      <c r="AA1007" s="135">
        <v>0.600508905852417</v>
      </c>
      <c r="AB1007" s="135">
        <v>0.604828462515883</v>
      </c>
      <c r="AC1007" s="135">
        <v>0.765906362545018</v>
      </c>
      <c r="AD1007" s="135">
        <v>0.92</v>
      </c>
      <c r="AE1007" s="133">
        <v>0.98494983277592</v>
      </c>
      <c r="AF1007" s="133">
        <v>0.791593695271454</v>
      </c>
      <c r="AG1007" s="133">
        <v>0.989051094890511</v>
      </c>
      <c r="AH1007" s="133">
        <v>0.832795053981729</v>
      </c>
      <c r="AI1007" s="135">
        <v>0.92</v>
      </c>
      <c r="AJ1007" s="133">
        <v>0.811521603005636</v>
      </c>
      <c r="AK1007" s="133">
        <v>0.782772820864791</v>
      </c>
      <c r="AL1007" s="133">
        <v>0.785296031229668</v>
      </c>
      <c r="AM1007" s="133">
        <v>0.889694357366771</v>
      </c>
      <c r="AN1007" s="132">
        <v>0.99</v>
      </c>
      <c r="AO1007" s="137">
        <v>1</v>
      </c>
      <c r="AP1007" s="137">
        <v>1</v>
      </c>
      <c r="AQ1007" s="137">
        <v>1</v>
      </c>
      <c r="AR1007" s="137">
        <v>1</v>
      </c>
      <c r="AS1007" s="158">
        <v>0.0656418488929858</v>
      </c>
      <c r="AT1007" s="141">
        <v>0.0967741935483871</v>
      </c>
      <c r="AU1007" s="141">
        <v>0</v>
      </c>
      <c r="AV1007" s="141">
        <v>0</v>
      </c>
      <c r="AW1007" s="141">
        <v>0.0350467289719626</v>
      </c>
      <c r="AX1007" s="95"/>
      <c r="AY1007" s="93"/>
    </row>
    <row r="1008" ht="14.5" spans="1:51">
      <c r="A1008" s="91"/>
      <c r="B1008" s="95"/>
      <c r="C1008" s="180" t="s">
        <v>927</v>
      </c>
      <c r="D1008" s="181" t="s">
        <v>25</v>
      </c>
      <c r="E1008" s="130" t="s">
        <v>928</v>
      </c>
      <c r="F1008" s="182" t="s">
        <v>1037</v>
      </c>
      <c r="G1008" s="183" t="s">
        <v>1037</v>
      </c>
      <c r="H1008" s="183" t="s">
        <v>1037</v>
      </c>
      <c r="I1008" s="183" t="s">
        <v>1037</v>
      </c>
      <c r="J1008" s="132">
        <v>0.9</v>
      </c>
      <c r="K1008" s="133">
        <v>0.964285714285714</v>
      </c>
      <c r="L1008" s="133">
        <v>0.888888888888889</v>
      </c>
      <c r="M1008" s="134">
        <v>0.952380952380952</v>
      </c>
      <c r="N1008" s="133">
        <v>0.91701244813278</v>
      </c>
      <c r="O1008" s="135">
        <v>0.9</v>
      </c>
      <c r="P1008" s="133">
        <v>0.966834170854271</v>
      </c>
      <c r="Q1008" s="133">
        <v>0.969421882465361</v>
      </c>
      <c r="R1008" s="133">
        <v>0.950913242009132</v>
      </c>
      <c r="S1008" s="133">
        <v>0.957581018518519</v>
      </c>
      <c r="T1008" s="135">
        <v>0.9</v>
      </c>
      <c r="U1008" s="133">
        <v>0.864321608040201</v>
      </c>
      <c r="V1008" s="133">
        <v>0.836598184424271</v>
      </c>
      <c r="W1008" s="133">
        <v>0.66324200913242</v>
      </c>
      <c r="X1008" s="133">
        <v>0.830729166666667</v>
      </c>
      <c r="Y1008" s="135">
        <v>0.92</v>
      </c>
      <c r="Z1008" s="135">
        <v>0.782722513089005</v>
      </c>
      <c r="AA1008" s="135">
        <v>0.621794871794872</v>
      </c>
      <c r="AB1008" s="135">
        <v>0.303490136570561</v>
      </c>
      <c r="AC1008" s="135">
        <v>0.651988472622478</v>
      </c>
      <c r="AD1008" s="135">
        <v>0.92</v>
      </c>
      <c r="AE1008" s="133">
        <v>1</v>
      </c>
      <c r="AF1008" s="133">
        <v>0.850505050505051</v>
      </c>
      <c r="AG1008" s="133">
        <v>0.706267217630854</v>
      </c>
      <c r="AH1008" s="133">
        <v>0.664313961055213</v>
      </c>
      <c r="AI1008" s="135">
        <v>0.92</v>
      </c>
      <c r="AJ1008" s="133">
        <v>0.884531590413943</v>
      </c>
      <c r="AK1008" s="133">
        <v>0.869601328903654</v>
      </c>
      <c r="AL1008" s="133">
        <v>0.63376192451265</v>
      </c>
      <c r="AM1008" s="133">
        <v>0.861597854732073</v>
      </c>
      <c r="AN1008" s="132">
        <v>0.99</v>
      </c>
      <c r="AO1008" s="137">
        <v>1</v>
      </c>
      <c r="AP1008" s="137">
        <v>1</v>
      </c>
      <c r="AQ1008" s="137">
        <v>1</v>
      </c>
      <c r="AR1008" s="137">
        <v>1</v>
      </c>
      <c r="AS1008" s="158">
        <v>0.0656418488929858</v>
      </c>
      <c r="AT1008" s="141">
        <v>0.130434782608696</v>
      </c>
      <c r="AU1008" s="141">
        <v>0</v>
      </c>
      <c r="AV1008" s="141">
        <v>0</v>
      </c>
      <c r="AW1008" s="141">
        <v>0.0361990950226244</v>
      </c>
      <c r="AX1008" s="95"/>
      <c r="AY1008" s="93"/>
    </row>
    <row r="1009" ht="14.5" spans="1:51">
      <c r="A1009" s="91"/>
      <c r="B1009" s="95"/>
      <c r="C1009" s="180" t="s">
        <v>927</v>
      </c>
      <c r="D1009" s="181" t="s">
        <v>25</v>
      </c>
      <c r="E1009" s="130" t="s">
        <v>928</v>
      </c>
      <c r="F1009" s="182" t="s">
        <v>1038</v>
      </c>
      <c r="G1009" s="183" t="s">
        <v>1038</v>
      </c>
      <c r="H1009" s="183" t="s">
        <v>1038</v>
      </c>
      <c r="I1009" s="183" t="s">
        <v>1038</v>
      </c>
      <c r="J1009" s="132">
        <v>0.9</v>
      </c>
      <c r="K1009" s="133">
        <v>0.714285714285714</v>
      </c>
      <c r="L1009" s="133">
        <v>0.846153846153846</v>
      </c>
      <c r="M1009" s="134">
        <v>0.857142857142857</v>
      </c>
      <c r="N1009" s="133">
        <v>0.788235294117647</v>
      </c>
      <c r="O1009" s="135">
        <v>0.9</v>
      </c>
      <c r="P1009" s="133">
        <v>0.79320987654321</v>
      </c>
      <c r="Q1009" s="133">
        <v>0.612954186413902</v>
      </c>
      <c r="R1009" s="133">
        <v>0.764804003336113</v>
      </c>
      <c r="S1009" s="133">
        <v>0.797125727384941</v>
      </c>
      <c r="T1009" s="135">
        <v>0.9</v>
      </c>
      <c r="U1009" s="133">
        <v>0.845679012345679</v>
      </c>
      <c r="V1009" s="133">
        <v>0.834913112164297</v>
      </c>
      <c r="W1009" s="133">
        <v>0.824020016680567</v>
      </c>
      <c r="X1009" s="133">
        <v>0.853332745547522</v>
      </c>
      <c r="Y1009" s="135">
        <v>0.92</v>
      </c>
      <c r="Z1009" s="135">
        <v>0.900684931506849</v>
      </c>
      <c r="AA1009" s="135">
        <v>0.839285714285714</v>
      </c>
      <c r="AB1009" s="135">
        <v>0.526442307692308</v>
      </c>
      <c r="AC1009" s="135">
        <v>0.84639069449196</v>
      </c>
      <c r="AD1009" s="135">
        <v>0.92</v>
      </c>
      <c r="AE1009" s="133">
        <v>0.993704600484261</v>
      </c>
      <c r="AF1009" s="133">
        <v>0.775350370981039</v>
      </c>
      <c r="AG1009" s="133">
        <v>0.986471251409245</v>
      </c>
      <c r="AH1009" s="133">
        <v>0.879083629300249</v>
      </c>
      <c r="AI1009" s="135">
        <v>0.92</v>
      </c>
      <c r="AJ1009" s="133">
        <v>0.907446808510638</v>
      </c>
      <c r="AK1009" s="133">
        <v>0.886331938633194</v>
      </c>
      <c r="AL1009" s="133">
        <v>0.785139318885449</v>
      </c>
      <c r="AM1009" s="133">
        <v>0.905083914368803</v>
      </c>
      <c r="AN1009" s="132">
        <v>0.99</v>
      </c>
      <c r="AO1009" s="137">
        <v>1</v>
      </c>
      <c r="AP1009" s="137">
        <v>1</v>
      </c>
      <c r="AQ1009" s="137">
        <v>1</v>
      </c>
      <c r="AR1009" s="137">
        <v>1</v>
      </c>
      <c r="AS1009" s="158">
        <v>0.0656418488929858</v>
      </c>
      <c r="AT1009" s="141">
        <v>0</v>
      </c>
      <c r="AU1009" s="141">
        <v>0</v>
      </c>
      <c r="AV1009" s="141">
        <v>0</v>
      </c>
      <c r="AW1009" s="141">
        <v>0.026694045174538</v>
      </c>
      <c r="AX1009" s="95"/>
      <c r="AY1009" s="93"/>
    </row>
    <row r="1010" ht="14.5" spans="1:51">
      <c r="A1010" s="91"/>
      <c r="B1010" s="95"/>
      <c r="C1010" s="180" t="s">
        <v>927</v>
      </c>
      <c r="D1010" s="181" t="s">
        <v>25</v>
      </c>
      <c r="E1010" s="130" t="s">
        <v>928</v>
      </c>
      <c r="F1010" s="182" t="s">
        <v>1039</v>
      </c>
      <c r="G1010" s="183" t="s">
        <v>1039</v>
      </c>
      <c r="H1010" s="183" t="s">
        <v>1039</v>
      </c>
      <c r="I1010" s="183" t="s">
        <v>1039</v>
      </c>
      <c r="J1010" s="132">
        <v>0.9</v>
      </c>
      <c r="K1010" s="133">
        <v>0.625</v>
      </c>
      <c r="L1010" s="133">
        <v>0.555555555555556</v>
      </c>
      <c r="M1010" s="134">
        <v>0.428571428571429</v>
      </c>
      <c r="N1010" s="133">
        <v>0.710526315789474</v>
      </c>
      <c r="O1010" s="135">
        <v>0.9</v>
      </c>
      <c r="P1010" s="133">
        <v>0.562937062937063</v>
      </c>
      <c r="Q1010" s="133">
        <v>0.360482654600302</v>
      </c>
      <c r="R1010" s="133">
        <v>0.308394160583942</v>
      </c>
      <c r="S1010" s="133">
        <v>0.475527039413382</v>
      </c>
      <c r="T1010" s="135">
        <v>0.9</v>
      </c>
      <c r="U1010" s="133">
        <v>0.905594405594406</v>
      </c>
      <c r="V1010" s="133">
        <v>0.907993966817496</v>
      </c>
      <c r="W1010" s="133">
        <v>0.81021897810219</v>
      </c>
      <c r="X1010" s="133">
        <v>0.88295142071494</v>
      </c>
      <c r="Y1010" s="135">
        <v>0.92</v>
      </c>
      <c r="Z1010" s="135" t="s">
        <v>35</v>
      </c>
      <c r="AA1010" s="135" t="s">
        <v>35</v>
      </c>
      <c r="AB1010" s="135" t="s">
        <v>35</v>
      </c>
      <c r="AC1010" s="135" t="s">
        <v>35</v>
      </c>
      <c r="AD1010" s="135">
        <v>0.92</v>
      </c>
      <c r="AE1010" s="133">
        <v>0.941176470588235</v>
      </c>
      <c r="AF1010" s="133">
        <v>1</v>
      </c>
      <c r="AG1010" s="133">
        <v>0.714285714285714</v>
      </c>
      <c r="AH1010" s="133">
        <v>0.792065663474692</v>
      </c>
      <c r="AI1010" s="135">
        <v>0.92</v>
      </c>
      <c r="AJ1010" s="133">
        <v>0.961538461538462</v>
      </c>
      <c r="AK1010" s="133">
        <v>0.951734539969834</v>
      </c>
      <c r="AL1010" s="133">
        <v>0.950729927007299</v>
      </c>
      <c r="AM1010" s="133">
        <v>0.958940518742553</v>
      </c>
      <c r="AN1010" s="132">
        <v>0.99</v>
      </c>
      <c r="AO1010" s="137">
        <v>1</v>
      </c>
      <c r="AP1010" s="137">
        <v>1</v>
      </c>
      <c r="AQ1010" s="137" t="s">
        <v>35</v>
      </c>
      <c r="AR1010" s="137">
        <v>1</v>
      </c>
      <c r="AS1010" s="158">
        <v>0.0656418488929858</v>
      </c>
      <c r="AT1010" s="141">
        <v>0</v>
      </c>
      <c r="AU1010" s="141">
        <v>0</v>
      </c>
      <c r="AV1010" s="141">
        <v>0</v>
      </c>
      <c r="AW1010" s="141">
        <v>0.0232558139534884</v>
      </c>
      <c r="AX1010" s="95"/>
      <c r="AY1010" s="93"/>
    </row>
    <row r="1011" ht="14.5" spans="1:51">
      <c r="A1011" s="91"/>
      <c r="B1011" s="95"/>
      <c r="C1011" s="180" t="s">
        <v>927</v>
      </c>
      <c r="D1011" s="181" t="s">
        <v>25</v>
      </c>
      <c r="E1011" s="130" t="s">
        <v>928</v>
      </c>
      <c r="F1011" s="184" t="s">
        <v>1040</v>
      </c>
      <c r="G1011" s="185" t="s">
        <v>1040</v>
      </c>
      <c r="H1011" s="185" t="s">
        <v>1040</v>
      </c>
      <c r="I1011" s="185" t="s">
        <v>1040</v>
      </c>
      <c r="J1011" s="132">
        <v>0.9</v>
      </c>
      <c r="K1011" s="133">
        <v>0.761904761904762</v>
      </c>
      <c r="L1011" s="133">
        <v>0.869565217391304</v>
      </c>
      <c r="M1011" s="134">
        <v>0.7</v>
      </c>
      <c r="N1011" s="133">
        <v>0.817330210772834</v>
      </c>
      <c r="O1011" s="135">
        <v>0.9</v>
      </c>
      <c r="P1011" s="133">
        <v>0.971485742871436</v>
      </c>
      <c r="Q1011" s="133">
        <v>0.96067880794702</v>
      </c>
      <c r="R1011" s="133">
        <v>0.990566037735849</v>
      </c>
      <c r="S1011" s="133">
        <v>0.94087503229696</v>
      </c>
      <c r="T1011" s="135">
        <v>0.9</v>
      </c>
      <c r="U1011" s="133">
        <v>0.936968484242121</v>
      </c>
      <c r="V1011" s="133">
        <v>0.864652317880795</v>
      </c>
      <c r="W1011" s="133">
        <v>0.857311320754717</v>
      </c>
      <c r="X1011" s="133">
        <v>0.889544397554044</v>
      </c>
      <c r="Y1011" s="135">
        <v>0.92</v>
      </c>
      <c r="Z1011" s="135">
        <v>0.974522292993631</v>
      </c>
      <c r="AA1011" s="135">
        <v>0.885057471264368</v>
      </c>
      <c r="AB1011" s="135">
        <v>0.860703812316716</v>
      </c>
      <c r="AC1011" s="135">
        <v>0.940947436729397</v>
      </c>
      <c r="AD1011" s="135">
        <v>0.92</v>
      </c>
      <c r="AE1011" s="133">
        <v>0.963693764798737</v>
      </c>
      <c r="AF1011" s="133">
        <v>0.998506876227898</v>
      </c>
      <c r="AG1011" s="133">
        <v>1</v>
      </c>
      <c r="AH1011" s="133">
        <v>0.994072383283133</v>
      </c>
      <c r="AI1011" s="135">
        <v>0.92</v>
      </c>
      <c r="AJ1011" s="133">
        <v>0.972156196943973</v>
      </c>
      <c r="AK1011" s="133">
        <v>0.929783950617284</v>
      </c>
      <c r="AL1011" s="133">
        <v>0.914161760148745</v>
      </c>
      <c r="AM1011" s="133">
        <v>0.956587767071638</v>
      </c>
      <c r="AN1011" s="132">
        <v>0.99</v>
      </c>
      <c r="AO1011" s="137">
        <v>1</v>
      </c>
      <c r="AP1011" s="137">
        <v>1</v>
      </c>
      <c r="AQ1011" s="137">
        <v>1</v>
      </c>
      <c r="AR1011" s="137">
        <v>1</v>
      </c>
      <c r="AS1011" s="158">
        <v>0.0656418488929858</v>
      </c>
      <c r="AT1011" s="141">
        <v>0.115384615384615</v>
      </c>
      <c r="AU1011" s="141">
        <v>0.0526315789473684</v>
      </c>
      <c r="AV1011" s="141">
        <v>0.0967741935483871</v>
      </c>
      <c r="AW1011" s="141">
        <v>0.0441176470588235</v>
      </c>
      <c r="AX1011" s="95"/>
      <c r="AY1011" s="93"/>
    </row>
    <row r="1012" ht="14.5" spans="1:51">
      <c r="A1012" s="91"/>
      <c r="B1012" s="95"/>
      <c r="C1012" s="180" t="s">
        <v>927</v>
      </c>
      <c r="D1012" s="181" t="s">
        <v>125</v>
      </c>
      <c r="E1012" s="130" t="s">
        <v>928</v>
      </c>
      <c r="F1012" s="184" t="s">
        <v>1041</v>
      </c>
      <c r="G1012" s="185" t="s">
        <v>1041</v>
      </c>
      <c r="H1012" s="185" t="s">
        <v>1041</v>
      </c>
      <c r="I1012" s="185" t="s">
        <v>1041</v>
      </c>
      <c r="J1012" s="132">
        <v>0.9</v>
      </c>
      <c r="K1012" s="133" t="s">
        <v>35</v>
      </c>
      <c r="L1012" s="133" t="s">
        <v>35</v>
      </c>
      <c r="M1012" s="134" t="s">
        <v>35</v>
      </c>
      <c r="N1012" s="133" t="s">
        <v>35</v>
      </c>
      <c r="O1012" s="135">
        <v>0.9</v>
      </c>
      <c r="P1012" s="133" t="s">
        <v>35</v>
      </c>
      <c r="Q1012" s="133" t="s">
        <v>35</v>
      </c>
      <c r="R1012" s="133" t="s">
        <v>35</v>
      </c>
      <c r="S1012" s="133" t="s">
        <v>35</v>
      </c>
      <c r="T1012" s="135">
        <v>0.9</v>
      </c>
      <c r="U1012" s="133" t="s">
        <v>35</v>
      </c>
      <c r="V1012" s="133" t="s">
        <v>35</v>
      </c>
      <c r="W1012" s="133" t="s">
        <v>35</v>
      </c>
      <c r="X1012" s="133" t="s">
        <v>35</v>
      </c>
      <c r="Y1012" s="135">
        <v>0.92</v>
      </c>
      <c r="Z1012" s="135" t="s">
        <v>35</v>
      </c>
      <c r="AA1012" s="135" t="s">
        <v>35</v>
      </c>
      <c r="AB1012" s="135" t="s">
        <v>35</v>
      </c>
      <c r="AC1012" s="135" t="s">
        <v>35</v>
      </c>
      <c r="AD1012" s="135">
        <v>0.92</v>
      </c>
      <c r="AE1012" s="133" t="s">
        <v>35</v>
      </c>
      <c r="AF1012" s="133" t="s">
        <v>35</v>
      </c>
      <c r="AG1012" s="133" t="s">
        <v>35</v>
      </c>
      <c r="AH1012" s="133" t="s">
        <v>35</v>
      </c>
      <c r="AI1012" s="135">
        <v>0.92</v>
      </c>
      <c r="AJ1012" s="133" t="s">
        <v>35</v>
      </c>
      <c r="AK1012" s="133" t="s">
        <v>35</v>
      </c>
      <c r="AL1012" s="133" t="s">
        <v>35</v>
      </c>
      <c r="AM1012" s="133" t="s">
        <v>35</v>
      </c>
      <c r="AN1012" s="132">
        <v>0.99</v>
      </c>
      <c r="AO1012" s="137" t="s">
        <v>35</v>
      </c>
      <c r="AP1012" s="137" t="s">
        <v>35</v>
      </c>
      <c r="AQ1012" s="137" t="s">
        <v>35</v>
      </c>
      <c r="AR1012" s="137" t="s">
        <v>35</v>
      </c>
      <c r="AS1012" s="158">
        <v>0.0656418488929858</v>
      </c>
      <c r="AT1012" s="141" t="s">
        <v>35</v>
      </c>
      <c r="AU1012" s="141" t="s">
        <v>35</v>
      </c>
      <c r="AV1012" s="141" t="s">
        <v>35</v>
      </c>
      <c r="AW1012" s="141" t="s">
        <v>35</v>
      </c>
      <c r="AX1012" s="95"/>
      <c r="AY1012" s="93"/>
    </row>
    <row r="1013" ht="14.5" spans="1:51">
      <c r="A1013" s="91"/>
      <c r="B1013" s="95"/>
      <c r="C1013" s="180" t="s">
        <v>927</v>
      </c>
      <c r="D1013" s="181" t="s">
        <v>125</v>
      </c>
      <c r="E1013" s="130" t="s">
        <v>928</v>
      </c>
      <c r="F1013" s="186" t="s">
        <v>1042</v>
      </c>
      <c r="G1013" s="187" t="s">
        <v>1042</v>
      </c>
      <c r="H1013" s="187" t="s">
        <v>1042</v>
      </c>
      <c r="I1013" s="187" t="s">
        <v>1042</v>
      </c>
      <c r="J1013" s="132">
        <v>0.9</v>
      </c>
      <c r="K1013" s="133" t="s">
        <v>35</v>
      </c>
      <c r="L1013" s="133" t="s">
        <v>35</v>
      </c>
      <c r="M1013" s="134" t="s">
        <v>35</v>
      </c>
      <c r="N1013" s="133" t="s">
        <v>35</v>
      </c>
      <c r="O1013" s="135">
        <v>0.9</v>
      </c>
      <c r="P1013" s="133" t="s">
        <v>35</v>
      </c>
      <c r="Q1013" s="133" t="s">
        <v>35</v>
      </c>
      <c r="R1013" s="133">
        <v>0</v>
      </c>
      <c r="S1013" s="133">
        <v>0</v>
      </c>
      <c r="T1013" s="135">
        <v>0.9</v>
      </c>
      <c r="U1013" s="133" t="s">
        <v>35</v>
      </c>
      <c r="V1013" s="133" t="s">
        <v>35</v>
      </c>
      <c r="W1013" s="133">
        <v>0</v>
      </c>
      <c r="X1013" s="133">
        <v>0.333333333333333</v>
      </c>
      <c r="Y1013" s="135">
        <v>0.92</v>
      </c>
      <c r="Z1013" s="135" t="s">
        <v>35</v>
      </c>
      <c r="AA1013" s="135" t="s">
        <v>35</v>
      </c>
      <c r="AB1013" s="135" t="s">
        <v>35</v>
      </c>
      <c r="AC1013" s="135" t="s">
        <v>35</v>
      </c>
      <c r="AD1013" s="135">
        <v>0.92</v>
      </c>
      <c r="AE1013" s="133">
        <v>0.9957805907173</v>
      </c>
      <c r="AF1013" s="133">
        <v>0.988023952095808</v>
      </c>
      <c r="AG1013" s="133">
        <v>1</v>
      </c>
      <c r="AH1013" s="133">
        <v>0.991970021413276</v>
      </c>
      <c r="AI1013" s="135">
        <v>0.92</v>
      </c>
      <c r="AJ1013" s="133" t="s">
        <v>35</v>
      </c>
      <c r="AK1013" s="133" t="s">
        <v>35</v>
      </c>
      <c r="AL1013" s="133">
        <v>0</v>
      </c>
      <c r="AM1013" s="133">
        <v>0.666666666666667</v>
      </c>
      <c r="AN1013" s="132">
        <v>0.99</v>
      </c>
      <c r="AO1013" s="137" t="s">
        <v>35</v>
      </c>
      <c r="AP1013" s="137" t="s">
        <v>35</v>
      </c>
      <c r="AQ1013" s="137" t="s">
        <v>35</v>
      </c>
      <c r="AR1013" s="137">
        <v>1</v>
      </c>
      <c r="AS1013" s="158">
        <v>0.0656418488929858</v>
      </c>
      <c r="AT1013" s="141" t="s">
        <v>35</v>
      </c>
      <c r="AU1013" s="141" t="s">
        <v>35</v>
      </c>
      <c r="AV1013" s="141" t="s">
        <v>35</v>
      </c>
      <c r="AW1013" s="141" t="s">
        <v>35</v>
      </c>
      <c r="AX1013" s="95"/>
      <c r="AY1013" s="93"/>
    </row>
    <row r="1014" ht="14.5" spans="1:51">
      <c r="A1014" s="91"/>
      <c r="B1014" s="95"/>
      <c r="C1014" s="180" t="s">
        <v>927</v>
      </c>
      <c r="D1014" s="181" t="s">
        <v>125</v>
      </c>
      <c r="E1014" s="130" t="s">
        <v>928</v>
      </c>
      <c r="F1014" s="186" t="s">
        <v>1043</v>
      </c>
      <c r="G1014" s="187" t="s">
        <v>1043</v>
      </c>
      <c r="H1014" s="187" t="s">
        <v>1043</v>
      </c>
      <c r="I1014" s="187" t="s">
        <v>1043</v>
      </c>
      <c r="J1014" s="132">
        <v>0.9</v>
      </c>
      <c r="K1014" s="133" t="s">
        <v>35</v>
      </c>
      <c r="L1014" s="133" t="s">
        <v>35</v>
      </c>
      <c r="M1014" s="134" t="s">
        <v>35</v>
      </c>
      <c r="N1014" s="133" t="s">
        <v>35</v>
      </c>
      <c r="O1014" s="135">
        <v>0.9</v>
      </c>
      <c r="P1014" s="133">
        <v>0</v>
      </c>
      <c r="Q1014" s="133" t="s">
        <v>35</v>
      </c>
      <c r="R1014" s="133" t="s">
        <v>35</v>
      </c>
      <c r="S1014" s="133">
        <v>0</v>
      </c>
      <c r="T1014" s="135">
        <v>0.9</v>
      </c>
      <c r="U1014" s="133">
        <v>1</v>
      </c>
      <c r="V1014" s="133" t="s">
        <v>35</v>
      </c>
      <c r="W1014" s="133" t="s">
        <v>35</v>
      </c>
      <c r="X1014" s="133">
        <v>1</v>
      </c>
      <c r="Y1014" s="135">
        <v>0.92</v>
      </c>
      <c r="Z1014" s="135" t="s">
        <v>35</v>
      </c>
      <c r="AA1014" s="135" t="s">
        <v>35</v>
      </c>
      <c r="AB1014" s="135" t="s">
        <v>35</v>
      </c>
      <c r="AC1014" s="135" t="s">
        <v>35</v>
      </c>
      <c r="AD1014" s="135">
        <v>0.92</v>
      </c>
      <c r="AE1014" s="133">
        <v>1</v>
      </c>
      <c r="AF1014" s="133">
        <v>0.995049504950495</v>
      </c>
      <c r="AG1014" s="133">
        <v>1</v>
      </c>
      <c r="AH1014" s="133">
        <v>0.99265066144047</v>
      </c>
      <c r="AI1014" s="135">
        <v>0.92</v>
      </c>
      <c r="AJ1014" s="133">
        <v>1</v>
      </c>
      <c r="AK1014" s="133" t="s">
        <v>35</v>
      </c>
      <c r="AL1014" s="133" t="s">
        <v>35</v>
      </c>
      <c r="AM1014" s="133">
        <v>1</v>
      </c>
      <c r="AN1014" s="132">
        <v>0.99</v>
      </c>
      <c r="AO1014" s="137">
        <v>1</v>
      </c>
      <c r="AP1014" s="137">
        <v>1</v>
      </c>
      <c r="AQ1014" s="137">
        <v>1</v>
      </c>
      <c r="AR1014" s="137">
        <v>1</v>
      </c>
      <c r="AS1014" s="158">
        <v>0.0656418488929858</v>
      </c>
      <c r="AT1014" s="141" t="s">
        <v>35</v>
      </c>
      <c r="AU1014" s="141" t="s">
        <v>35</v>
      </c>
      <c r="AV1014" s="141" t="s">
        <v>35</v>
      </c>
      <c r="AW1014" s="141" t="s">
        <v>35</v>
      </c>
      <c r="AX1014" s="95"/>
      <c r="AY1014" s="93"/>
    </row>
    <row r="1015" ht="14.5" spans="1:51">
      <c r="A1015" s="91"/>
      <c r="B1015" s="95"/>
      <c r="C1015" s="180" t="s">
        <v>927</v>
      </c>
      <c r="D1015" s="181" t="s">
        <v>25</v>
      </c>
      <c r="E1015" s="130" t="s">
        <v>928</v>
      </c>
      <c r="F1015" s="184" t="s">
        <v>1044</v>
      </c>
      <c r="G1015" s="185" t="s">
        <v>1044</v>
      </c>
      <c r="H1015" s="185" t="s">
        <v>1044</v>
      </c>
      <c r="I1015" s="185" t="s">
        <v>1044</v>
      </c>
      <c r="J1015" s="132">
        <v>0.9</v>
      </c>
      <c r="K1015" s="133">
        <v>0.878787878787879</v>
      </c>
      <c r="L1015" s="133">
        <v>0.842105263157895</v>
      </c>
      <c r="M1015" s="134">
        <v>0.870967741935484</v>
      </c>
      <c r="N1015" s="133">
        <v>0.878917378917379</v>
      </c>
      <c r="O1015" s="135">
        <v>0.9</v>
      </c>
      <c r="P1015" s="133">
        <v>0.930872483221477</v>
      </c>
      <c r="Q1015" s="133">
        <v>0.928829045443616</v>
      </c>
      <c r="R1015" s="133">
        <v>0.896380090497738</v>
      </c>
      <c r="S1015" s="133">
        <v>0.915905741885918</v>
      </c>
      <c r="T1015" s="135">
        <v>0.9</v>
      </c>
      <c r="U1015" s="133">
        <v>0.926510067114094</v>
      </c>
      <c r="V1015" s="133">
        <v>0.88867516229863</v>
      </c>
      <c r="W1015" s="133">
        <v>0.834615384615385</v>
      </c>
      <c r="X1015" s="133">
        <v>0.888588017481328</v>
      </c>
      <c r="Y1015" s="135">
        <v>0.92</v>
      </c>
      <c r="Z1015" s="135">
        <v>0.924268502581756</v>
      </c>
      <c r="AA1015" s="135">
        <v>0.866556836902801</v>
      </c>
      <c r="AB1015" s="135">
        <v>0.801998183469573</v>
      </c>
      <c r="AC1015" s="135">
        <v>0.898870861653146</v>
      </c>
      <c r="AD1015" s="135">
        <v>0.92</v>
      </c>
      <c r="AE1015" s="133">
        <v>0.998754304975452</v>
      </c>
      <c r="AF1015" s="133">
        <v>0.99103393485416</v>
      </c>
      <c r="AG1015" s="133">
        <v>0.995351657235247</v>
      </c>
      <c r="AH1015" s="133">
        <v>0.992622361043414</v>
      </c>
      <c r="AI1015" s="135">
        <v>0.92</v>
      </c>
      <c r="AJ1015" s="133">
        <v>0.942168674698795</v>
      </c>
      <c r="AK1015" s="133">
        <v>0.918029350104822</v>
      </c>
      <c r="AL1015" s="133">
        <v>0.885228095582911</v>
      </c>
      <c r="AM1015" s="133">
        <v>0.943756523874823</v>
      </c>
      <c r="AN1015" s="132">
        <v>0.99</v>
      </c>
      <c r="AO1015" s="137">
        <v>1</v>
      </c>
      <c r="AP1015" s="137">
        <v>1</v>
      </c>
      <c r="AQ1015" s="137">
        <v>1</v>
      </c>
      <c r="AR1015" s="137">
        <v>1</v>
      </c>
      <c r="AS1015" s="158">
        <v>0.0656418488929858</v>
      </c>
      <c r="AT1015" s="141">
        <v>0.04</v>
      </c>
      <c r="AU1015" s="141">
        <v>0.117647058823529</v>
      </c>
      <c r="AV1015" s="141">
        <v>0</v>
      </c>
      <c r="AW1015" s="141">
        <v>0.065</v>
      </c>
      <c r="AX1015" s="95"/>
      <c r="AY1015" s="93"/>
    </row>
    <row r="1016" ht="14.5" spans="1:51">
      <c r="A1016" s="91"/>
      <c r="B1016" s="95"/>
      <c r="C1016" s="180" t="s">
        <v>927</v>
      </c>
      <c r="D1016" s="181" t="s">
        <v>125</v>
      </c>
      <c r="E1016" s="130" t="s">
        <v>928</v>
      </c>
      <c r="F1016" s="186" t="s">
        <v>1045</v>
      </c>
      <c r="G1016" s="187" t="s">
        <v>1045</v>
      </c>
      <c r="H1016" s="187" t="s">
        <v>1045</v>
      </c>
      <c r="I1016" s="187" t="s">
        <v>1045</v>
      </c>
      <c r="J1016" s="132">
        <v>0.9</v>
      </c>
      <c r="K1016" s="133" t="s">
        <v>35</v>
      </c>
      <c r="L1016" s="133" t="s">
        <v>35</v>
      </c>
      <c r="M1016" s="134" t="s">
        <v>35</v>
      </c>
      <c r="N1016" s="133" t="s">
        <v>35</v>
      </c>
      <c r="O1016" s="135">
        <v>0.9</v>
      </c>
      <c r="P1016" s="133" t="s">
        <v>35</v>
      </c>
      <c r="Q1016" s="133">
        <v>0</v>
      </c>
      <c r="R1016" s="133" t="s">
        <v>35</v>
      </c>
      <c r="S1016" s="133">
        <v>0</v>
      </c>
      <c r="T1016" s="135">
        <v>0.9</v>
      </c>
      <c r="U1016" s="133" t="s">
        <v>35</v>
      </c>
      <c r="V1016" s="133">
        <v>1</v>
      </c>
      <c r="W1016" s="133" t="s">
        <v>35</v>
      </c>
      <c r="X1016" s="133">
        <v>1</v>
      </c>
      <c r="Y1016" s="135">
        <v>0.92</v>
      </c>
      <c r="Z1016" s="135" t="s">
        <v>35</v>
      </c>
      <c r="AA1016" s="135">
        <v>1</v>
      </c>
      <c r="AB1016" s="135" t="s">
        <v>35</v>
      </c>
      <c r="AC1016" s="135">
        <v>1</v>
      </c>
      <c r="AD1016" s="135">
        <v>0.92</v>
      </c>
      <c r="AE1016" s="133">
        <v>1</v>
      </c>
      <c r="AF1016" s="133">
        <v>1</v>
      </c>
      <c r="AG1016" s="133">
        <v>1</v>
      </c>
      <c r="AH1016" s="133">
        <v>0.999827764381674</v>
      </c>
      <c r="AI1016" s="135">
        <v>0.92</v>
      </c>
      <c r="AJ1016" s="133" t="s">
        <v>35</v>
      </c>
      <c r="AK1016" s="133">
        <v>1</v>
      </c>
      <c r="AL1016" s="133" t="s">
        <v>35</v>
      </c>
      <c r="AM1016" s="133">
        <v>1</v>
      </c>
      <c r="AN1016" s="132">
        <v>0.99</v>
      </c>
      <c r="AO1016" s="137">
        <v>1</v>
      </c>
      <c r="AP1016" s="137">
        <v>1</v>
      </c>
      <c r="AQ1016" s="137">
        <v>1</v>
      </c>
      <c r="AR1016" s="137">
        <v>1</v>
      </c>
      <c r="AS1016" s="158">
        <v>0.0656418488929858</v>
      </c>
      <c r="AT1016" s="141" t="s">
        <v>35</v>
      </c>
      <c r="AU1016" s="141" t="s">
        <v>35</v>
      </c>
      <c r="AV1016" s="141" t="s">
        <v>35</v>
      </c>
      <c r="AW1016" s="141" t="s">
        <v>35</v>
      </c>
      <c r="AX1016" s="95"/>
      <c r="AY1016" s="93"/>
    </row>
    <row r="1017" ht="14.5" spans="1:51">
      <c r="A1017" s="91"/>
      <c r="B1017" s="95"/>
      <c r="C1017" s="180" t="s">
        <v>927</v>
      </c>
      <c r="D1017" s="181" t="s">
        <v>25</v>
      </c>
      <c r="E1017" s="130" t="s">
        <v>928</v>
      </c>
      <c r="F1017" s="186" t="s">
        <v>1046</v>
      </c>
      <c r="G1017" s="187" t="s">
        <v>1046</v>
      </c>
      <c r="H1017" s="187" t="s">
        <v>1046</v>
      </c>
      <c r="I1017" s="187" t="s">
        <v>1046</v>
      </c>
      <c r="J1017" s="132">
        <v>0.9</v>
      </c>
      <c r="K1017" s="133">
        <v>0.9</v>
      </c>
      <c r="L1017" s="133">
        <v>0.941176470588235</v>
      </c>
      <c r="M1017" s="134">
        <v>0.888888888888889</v>
      </c>
      <c r="N1017" s="133">
        <v>0.920962199312715</v>
      </c>
      <c r="O1017" s="135">
        <v>0.9</v>
      </c>
      <c r="P1017" s="133">
        <v>0.935775862068966</v>
      </c>
      <c r="Q1017" s="133">
        <v>0.943303204601479</v>
      </c>
      <c r="R1017" s="133">
        <v>0.911513859275053</v>
      </c>
      <c r="S1017" s="133">
        <v>0.929382184952112</v>
      </c>
      <c r="T1017" s="135">
        <v>0.9</v>
      </c>
      <c r="U1017" s="133">
        <v>0.906896551724138</v>
      </c>
      <c r="V1017" s="133">
        <v>0.890988770199945</v>
      </c>
      <c r="W1017" s="133">
        <v>0.832622601279318</v>
      </c>
      <c r="X1017" s="133">
        <v>0.90445739532315</v>
      </c>
      <c r="Y1017" s="135">
        <v>0.92</v>
      </c>
      <c r="Z1017" s="135">
        <v>0.925840092699884</v>
      </c>
      <c r="AA1017" s="135">
        <v>0.796498905908096</v>
      </c>
      <c r="AB1017" s="135">
        <v>0.683513838748496</v>
      </c>
      <c r="AC1017" s="135">
        <v>0.847406163188836</v>
      </c>
      <c r="AD1017" s="135">
        <v>0.92</v>
      </c>
      <c r="AE1017" s="133">
        <v>0.999546998867497</v>
      </c>
      <c r="AF1017" s="133">
        <v>0.993559017375674</v>
      </c>
      <c r="AG1017" s="133">
        <v>0.999224445478517</v>
      </c>
      <c r="AH1017" s="133">
        <v>0.97713318187047</v>
      </c>
      <c r="AI1017" s="135">
        <v>0.92</v>
      </c>
      <c r="AJ1017" s="133">
        <v>0.944218113444061</v>
      </c>
      <c r="AK1017" s="133">
        <v>0.920534629404617</v>
      </c>
      <c r="AL1017" s="133">
        <v>0.864705882352941</v>
      </c>
      <c r="AM1017" s="133">
        <v>0.936321648507816</v>
      </c>
      <c r="AN1017" s="132">
        <v>0.99</v>
      </c>
      <c r="AO1017" s="137">
        <v>1</v>
      </c>
      <c r="AP1017" s="137">
        <v>1</v>
      </c>
      <c r="AQ1017" s="137">
        <v>1</v>
      </c>
      <c r="AR1017" s="137">
        <v>1</v>
      </c>
      <c r="AS1017" s="158">
        <v>0.0656418488929858</v>
      </c>
      <c r="AT1017" s="141">
        <v>0.0714285714285714</v>
      </c>
      <c r="AU1017" s="141">
        <v>0.0882352941176471</v>
      </c>
      <c r="AV1017" s="141">
        <v>0.0416666666666667</v>
      </c>
      <c r="AW1017" s="141">
        <v>0.0681818181818182</v>
      </c>
      <c r="AX1017" s="95"/>
      <c r="AY1017" s="93"/>
    </row>
    <row r="1018" ht="14.5" spans="1:51">
      <c r="A1018" s="91"/>
      <c r="B1018" s="95"/>
      <c r="C1018" s="180" t="s">
        <v>927</v>
      </c>
      <c r="D1018" s="181" t="s">
        <v>125</v>
      </c>
      <c r="E1018" s="130" t="s">
        <v>928</v>
      </c>
      <c r="F1018" s="186" t="s">
        <v>1047</v>
      </c>
      <c r="G1018" s="187" t="s">
        <v>1047</v>
      </c>
      <c r="H1018" s="187" t="s">
        <v>1047</v>
      </c>
      <c r="I1018" s="187" t="s">
        <v>1047</v>
      </c>
      <c r="J1018" s="132">
        <v>0.9</v>
      </c>
      <c r="K1018" s="133" t="s">
        <v>35</v>
      </c>
      <c r="L1018" s="133" t="s">
        <v>35</v>
      </c>
      <c r="M1018" s="134" t="s">
        <v>35</v>
      </c>
      <c r="N1018" s="133" t="s">
        <v>35</v>
      </c>
      <c r="O1018" s="135">
        <v>0.9</v>
      </c>
      <c r="P1018" s="133" t="s">
        <v>35</v>
      </c>
      <c r="Q1018" s="133" t="s">
        <v>35</v>
      </c>
      <c r="R1018" s="133" t="s">
        <v>35</v>
      </c>
      <c r="S1018" s="133">
        <v>0</v>
      </c>
      <c r="T1018" s="135">
        <v>0.9</v>
      </c>
      <c r="U1018" s="133" t="s">
        <v>35</v>
      </c>
      <c r="V1018" s="133" t="s">
        <v>35</v>
      </c>
      <c r="W1018" s="133" t="s">
        <v>35</v>
      </c>
      <c r="X1018" s="133">
        <v>1</v>
      </c>
      <c r="Y1018" s="135">
        <v>0.92</v>
      </c>
      <c r="Z1018" s="135" t="s">
        <v>35</v>
      </c>
      <c r="AA1018" s="135" t="s">
        <v>35</v>
      </c>
      <c r="AB1018" s="135" t="s">
        <v>35</v>
      </c>
      <c r="AC1018" s="135">
        <v>1</v>
      </c>
      <c r="AD1018" s="135">
        <v>0.92</v>
      </c>
      <c r="AE1018" s="133">
        <v>1</v>
      </c>
      <c r="AF1018" s="133">
        <v>0.995145631067961</v>
      </c>
      <c r="AG1018" s="133">
        <v>1</v>
      </c>
      <c r="AH1018" s="133">
        <v>0.998878504672897</v>
      </c>
      <c r="AI1018" s="135">
        <v>0.92</v>
      </c>
      <c r="AJ1018" s="133" t="s">
        <v>35</v>
      </c>
      <c r="AK1018" s="133" t="s">
        <v>35</v>
      </c>
      <c r="AL1018" s="133" t="s">
        <v>35</v>
      </c>
      <c r="AM1018" s="133">
        <v>1</v>
      </c>
      <c r="AN1018" s="132">
        <v>0.99</v>
      </c>
      <c r="AO1018" s="137">
        <v>1</v>
      </c>
      <c r="AP1018" s="137">
        <v>1</v>
      </c>
      <c r="AQ1018" s="137">
        <v>1</v>
      </c>
      <c r="AR1018" s="137">
        <v>1</v>
      </c>
      <c r="AS1018" s="158">
        <v>0.0656418488929858</v>
      </c>
      <c r="AT1018" s="141" t="s">
        <v>35</v>
      </c>
      <c r="AU1018" s="141" t="s">
        <v>35</v>
      </c>
      <c r="AV1018" s="141" t="s">
        <v>35</v>
      </c>
      <c r="AW1018" s="141" t="s">
        <v>35</v>
      </c>
      <c r="AX1018" s="95"/>
      <c r="AY1018" s="93"/>
    </row>
    <row r="1019" ht="14.5" spans="1:51">
      <c r="A1019" s="91"/>
      <c r="B1019" s="95"/>
      <c r="C1019" s="180" t="s">
        <v>927</v>
      </c>
      <c r="D1019" s="181" t="s">
        <v>125</v>
      </c>
      <c r="E1019" s="130" t="s">
        <v>928</v>
      </c>
      <c r="F1019" s="186" t="s">
        <v>1048</v>
      </c>
      <c r="G1019" s="187" t="s">
        <v>1048</v>
      </c>
      <c r="H1019" s="187" t="s">
        <v>1048</v>
      </c>
      <c r="I1019" s="187" t="s">
        <v>1048</v>
      </c>
      <c r="J1019" s="132">
        <v>0.9</v>
      </c>
      <c r="K1019" s="133" t="s">
        <v>35</v>
      </c>
      <c r="L1019" s="133" t="s">
        <v>35</v>
      </c>
      <c r="M1019" s="134" t="s">
        <v>35</v>
      </c>
      <c r="N1019" s="133" t="s">
        <v>35</v>
      </c>
      <c r="O1019" s="135">
        <v>0.9</v>
      </c>
      <c r="P1019" s="133">
        <v>0</v>
      </c>
      <c r="Q1019" s="133" t="s">
        <v>35</v>
      </c>
      <c r="R1019" s="133" t="s">
        <v>35</v>
      </c>
      <c r="S1019" s="133">
        <v>0</v>
      </c>
      <c r="T1019" s="135">
        <v>0.9</v>
      </c>
      <c r="U1019" s="133">
        <v>1</v>
      </c>
      <c r="V1019" s="133" t="s">
        <v>35</v>
      </c>
      <c r="W1019" s="133" t="s">
        <v>35</v>
      </c>
      <c r="X1019" s="133">
        <v>1</v>
      </c>
      <c r="Y1019" s="135">
        <v>0.92</v>
      </c>
      <c r="Z1019" s="135" t="s">
        <v>35</v>
      </c>
      <c r="AA1019" s="135" t="s">
        <v>35</v>
      </c>
      <c r="AB1019" s="135" t="s">
        <v>35</v>
      </c>
      <c r="AC1019" s="135" t="s">
        <v>35</v>
      </c>
      <c r="AD1019" s="135">
        <v>0.92</v>
      </c>
      <c r="AE1019" s="133">
        <v>0.992307692307692</v>
      </c>
      <c r="AF1019" s="133">
        <v>1</v>
      </c>
      <c r="AG1019" s="133">
        <v>1</v>
      </c>
      <c r="AH1019" s="133">
        <v>0.999478623566215</v>
      </c>
      <c r="AI1019" s="135">
        <v>0.92</v>
      </c>
      <c r="AJ1019" s="133">
        <v>1</v>
      </c>
      <c r="AK1019" s="133">
        <v>1</v>
      </c>
      <c r="AL1019" s="133" t="s">
        <v>35</v>
      </c>
      <c r="AM1019" s="133">
        <v>1</v>
      </c>
      <c r="AN1019" s="132">
        <v>0.99</v>
      </c>
      <c r="AO1019" s="137">
        <v>1</v>
      </c>
      <c r="AP1019" s="137">
        <v>1</v>
      </c>
      <c r="AQ1019" s="137">
        <v>1</v>
      </c>
      <c r="AR1019" s="137">
        <v>1</v>
      </c>
      <c r="AS1019" s="158">
        <v>0.0656418488929858</v>
      </c>
      <c r="AT1019" s="141" t="s">
        <v>35</v>
      </c>
      <c r="AU1019" s="141" t="s">
        <v>35</v>
      </c>
      <c r="AV1019" s="141" t="s">
        <v>35</v>
      </c>
      <c r="AW1019" s="141" t="s">
        <v>35</v>
      </c>
      <c r="AX1019" s="95"/>
      <c r="AY1019" s="93"/>
    </row>
    <row r="1020" ht="14.5" spans="1:51">
      <c r="A1020" s="91"/>
      <c r="B1020" s="95"/>
      <c r="C1020" s="180" t="s">
        <v>927</v>
      </c>
      <c r="D1020" s="181" t="s">
        <v>125</v>
      </c>
      <c r="E1020" s="130" t="s">
        <v>928</v>
      </c>
      <c r="F1020" s="186" t="s">
        <v>1049</v>
      </c>
      <c r="G1020" s="187" t="s">
        <v>1049</v>
      </c>
      <c r="H1020" s="187" t="s">
        <v>1049</v>
      </c>
      <c r="I1020" s="187" t="s">
        <v>1049</v>
      </c>
      <c r="J1020" s="132">
        <v>0.9</v>
      </c>
      <c r="K1020" s="133" t="s">
        <v>35</v>
      </c>
      <c r="L1020" s="133" t="s">
        <v>35</v>
      </c>
      <c r="M1020" s="134" t="s">
        <v>35</v>
      </c>
      <c r="N1020" s="133" t="s">
        <v>35</v>
      </c>
      <c r="O1020" s="135">
        <v>0.9</v>
      </c>
      <c r="P1020" s="133" t="s">
        <v>35</v>
      </c>
      <c r="Q1020" s="133" t="s">
        <v>35</v>
      </c>
      <c r="R1020" s="133" t="s">
        <v>35</v>
      </c>
      <c r="S1020" s="133">
        <v>0</v>
      </c>
      <c r="T1020" s="135">
        <v>0.9</v>
      </c>
      <c r="U1020" s="133" t="s">
        <v>35</v>
      </c>
      <c r="V1020" s="133" t="s">
        <v>35</v>
      </c>
      <c r="W1020" s="133" t="s">
        <v>35</v>
      </c>
      <c r="X1020" s="133">
        <v>1</v>
      </c>
      <c r="Y1020" s="135">
        <v>0.92</v>
      </c>
      <c r="Z1020" s="135" t="s">
        <v>35</v>
      </c>
      <c r="AA1020" s="135" t="s">
        <v>35</v>
      </c>
      <c r="AB1020" s="135" t="s">
        <v>35</v>
      </c>
      <c r="AC1020" s="135" t="s">
        <v>35</v>
      </c>
      <c r="AD1020" s="135">
        <v>0.92</v>
      </c>
      <c r="AE1020" s="133">
        <v>1</v>
      </c>
      <c r="AF1020" s="133" t="s">
        <v>35</v>
      </c>
      <c r="AG1020" s="133" t="s">
        <v>35</v>
      </c>
      <c r="AH1020" s="133">
        <v>1</v>
      </c>
      <c r="AI1020" s="135">
        <v>0.92</v>
      </c>
      <c r="AJ1020" s="133" t="s">
        <v>35</v>
      </c>
      <c r="AK1020" s="133" t="s">
        <v>35</v>
      </c>
      <c r="AL1020" s="133" t="s">
        <v>35</v>
      </c>
      <c r="AM1020" s="133">
        <v>1</v>
      </c>
      <c r="AN1020" s="132">
        <v>0.99</v>
      </c>
      <c r="AO1020" s="137" t="s">
        <v>35</v>
      </c>
      <c r="AP1020" s="137" t="s">
        <v>35</v>
      </c>
      <c r="AQ1020" s="137" t="s">
        <v>35</v>
      </c>
      <c r="AR1020" s="137" t="s">
        <v>35</v>
      </c>
      <c r="AS1020" s="158">
        <v>0.0656418488929858</v>
      </c>
      <c r="AT1020" s="141" t="s">
        <v>35</v>
      </c>
      <c r="AU1020" s="141" t="s">
        <v>35</v>
      </c>
      <c r="AV1020" s="141" t="s">
        <v>35</v>
      </c>
      <c r="AW1020" s="141" t="s">
        <v>35</v>
      </c>
      <c r="AX1020" s="95"/>
      <c r="AY1020" s="93"/>
    </row>
    <row r="1021" ht="14.5" spans="1:51">
      <c r="A1021" s="91"/>
      <c r="B1021" s="95"/>
      <c r="C1021" s="180" t="s">
        <v>927</v>
      </c>
      <c r="D1021" s="181" t="s">
        <v>25</v>
      </c>
      <c r="E1021" s="130" t="s">
        <v>928</v>
      </c>
      <c r="F1021" s="186" t="s">
        <v>1050</v>
      </c>
      <c r="G1021" s="187" t="s">
        <v>1050</v>
      </c>
      <c r="H1021" s="187" t="s">
        <v>1050</v>
      </c>
      <c r="I1021" s="187" t="s">
        <v>1050</v>
      </c>
      <c r="J1021" s="132">
        <v>0.9</v>
      </c>
      <c r="K1021" s="133">
        <v>0.875</v>
      </c>
      <c r="L1021" s="133">
        <v>1</v>
      </c>
      <c r="M1021" s="134">
        <v>1</v>
      </c>
      <c r="N1021" s="133">
        <v>0.946043165467626</v>
      </c>
      <c r="O1021" s="135">
        <v>0.9</v>
      </c>
      <c r="P1021" s="133">
        <v>0.942028985507246</v>
      </c>
      <c r="Q1021" s="133">
        <v>0.957649092480553</v>
      </c>
      <c r="R1021" s="133">
        <v>0.881777777777778</v>
      </c>
      <c r="S1021" s="133">
        <v>0.931745009658725</v>
      </c>
      <c r="T1021" s="135">
        <v>0.9</v>
      </c>
      <c r="U1021" s="133">
        <v>0.893280632411067</v>
      </c>
      <c r="V1021" s="133">
        <v>0.822817631806396</v>
      </c>
      <c r="W1021" s="133">
        <v>0.716444444444444</v>
      </c>
      <c r="X1021" s="133">
        <v>0.845966332444117</v>
      </c>
      <c r="Y1021" s="135">
        <v>0.92</v>
      </c>
      <c r="Z1021" s="135">
        <v>0.886904761904762</v>
      </c>
      <c r="AA1021" s="135">
        <v>0.745454545454545</v>
      </c>
      <c r="AB1021" s="135">
        <v>0.704268292682927</v>
      </c>
      <c r="AC1021" s="135">
        <v>0.851216022889843</v>
      </c>
      <c r="AD1021" s="135">
        <v>0.92</v>
      </c>
      <c r="AE1021" s="133">
        <v>0.998465498465498</v>
      </c>
      <c r="AF1021" s="133">
        <v>0.988434663882419</v>
      </c>
      <c r="AG1021" s="133">
        <v>0.997437092264678</v>
      </c>
      <c r="AH1021" s="133">
        <v>0.988147105783022</v>
      </c>
      <c r="AI1021" s="135">
        <v>0.92</v>
      </c>
      <c r="AJ1021" s="133">
        <v>0.911415525114155</v>
      </c>
      <c r="AK1021" s="133">
        <v>0.861070911722142</v>
      </c>
      <c r="AL1021" s="133">
        <v>0.824621733149931</v>
      </c>
      <c r="AM1021" s="133">
        <v>0.914058219803499</v>
      </c>
      <c r="AN1021" s="132">
        <v>0.99</v>
      </c>
      <c r="AO1021" s="137">
        <v>1</v>
      </c>
      <c r="AP1021" s="137">
        <v>1</v>
      </c>
      <c r="AQ1021" s="137">
        <v>1</v>
      </c>
      <c r="AR1021" s="137">
        <v>1</v>
      </c>
      <c r="AS1021" s="158">
        <v>0.0656418488929858</v>
      </c>
      <c r="AT1021" s="141">
        <v>0.0714285714285714</v>
      </c>
      <c r="AU1021" s="141">
        <v>0.0833333333333333</v>
      </c>
      <c r="AV1021" s="141">
        <v>0</v>
      </c>
      <c r="AW1021" s="141">
        <v>0.0413223140495868</v>
      </c>
      <c r="AX1021" s="95"/>
      <c r="AY1021" s="93"/>
    </row>
    <row r="1022" ht="14.5" spans="1:51">
      <c r="A1022" s="91"/>
      <c r="B1022" s="95"/>
      <c r="C1022" s="180" t="s">
        <v>927</v>
      </c>
      <c r="D1022" s="181" t="s">
        <v>125</v>
      </c>
      <c r="E1022" s="130" t="s">
        <v>928</v>
      </c>
      <c r="F1022" s="184" t="s">
        <v>1051</v>
      </c>
      <c r="G1022" s="185" t="s">
        <v>1051</v>
      </c>
      <c r="H1022" s="185" t="s">
        <v>1051</v>
      </c>
      <c r="I1022" s="185" t="s">
        <v>1051</v>
      </c>
      <c r="J1022" s="132">
        <v>0.9</v>
      </c>
      <c r="K1022" s="133" t="s">
        <v>35</v>
      </c>
      <c r="L1022" s="133" t="s">
        <v>35</v>
      </c>
      <c r="M1022" s="134" t="s">
        <v>35</v>
      </c>
      <c r="N1022" s="133" t="s">
        <v>35</v>
      </c>
      <c r="O1022" s="135">
        <v>0.9</v>
      </c>
      <c r="P1022" s="133" t="s">
        <v>35</v>
      </c>
      <c r="Q1022" s="133" t="s">
        <v>35</v>
      </c>
      <c r="R1022" s="133" t="s">
        <v>35</v>
      </c>
      <c r="S1022" s="133">
        <v>0.75</v>
      </c>
      <c r="T1022" s="135">
        <v>0.9</v>
      </c>
      <c r="U1022" s="133" t="s">
        <v>35</v>
      </c>
      <c r="V1022" s="133" t="s">
        <v>35</v>
      </c>
      <c r="W1022" s="133" t="s">
        <v>35</v>
      </c>
      <c r="X1022" s="133">
        <v>1</v>
      </c>
      <c r="Y1022" s="135">
        <v>0.92</v>
      </c>
      <c r="Z1022" s="135" t="s">
        <v>35</v>
      </c>
      <c r="AA1022" s="135" t="s">
        <v>35</v>
      </c>
      <c r="AB1022" s="135" t="s">
        <v>35</v>
      </c>
      <c r="AC1022" s="135">
        <v>0</v>
      </c>
      <c r="AD1022" s="135">
        <v>0.92</v>
      </c>
      <c r="AE1022" s="133">
        <v>0.998305084745763</v>
      </c>
      <c r="AF1022" s="133">
        <v>0.991103202846975</v>
      </c>
      <c r="AG1022" s="133">
        <v>0.410169491525424</v>
      </c>
      <c r="AH1022" s="133">
        <v>0.98523915109281</v>
      </c>
      <c r="AI1022" s="135">
        <v>0.92</v>
      </c>
      <c r="AJ1022" s="133" t="s">
        <v>35</v>
      </c>
      <c r="AK1022" s="133" t="s">
        <v>35</v>
      </c>
      <c r="AL1022" s="133" t="s">
        <v>35</v>
      </c>
      <c r="AM1022" s="133">
        <v>0.8</v>
      </c>
      <c r="AN1022" s="132">
        <v>0.99</v>
      </c>
      <c r="AO1022" s="137">
        <v>1</v>
      </c>
      <c r="AP1022" s="137">
        <v>1</v>
      </c>
      <c r="AQ1022" s="137">
        <v>1</v>
      </c>
      <c r="AR1022" s="137">
        <v>1</v>
      </c>
      <c r="AS1022" s="158">
        <v>0.0656418488929858</v>
      </c>
      <c r="AT1022" s="141" t="s">
        <v>35</v>
      </c>
      <c r="AU1022" s="141" t="s">
        <v>35</v>
      </c>
      <c r="AV1022" s="141">
        <v>0</v>
      </c>
      <c r="AW1022" s="141">
        <v>0.032258064516129</v>
      </c>
      <c r="AX1022" s="95"/>
      <c r="AY1022" s="93"/>
    </row>
    <row r="1023" ht="14.5" spans="1:51">
      <c r="A1023" s="91"/>
      <c r="B1023" s="95"/>
      <c r="C1023" s="180" t="s">
        <v>927</v>
      </c>
      <c r="D1023" s="181" t="s">
        <v>125</v>
      </c>
      <c r="E1023" s="130" t="s">
        <v>928</v>
      </c>
      <c r="F1023" s="184" t="s">
        <v>1052</v>
      </c>
      <c r="G1023" s="185" t="s">
        <v>1052</v>
      </c>
      <c r="H1023" s="185" t="s">
        <v>1052</v>
      </c>
      <c r="I1023" s="185" t="s">
        <v>1052</v>
      </c>
      <c r="J1023" s="132">
        <v>0.9</v>
      </c>
      <c r="K1023" s="133" t="s">
        <v>35</v>
      </c>
      <c r="L1023" s="133" t="s">
        <v>35</v>
      </c>
      <c r="M1023" s="134" t="s">
        <v>35</v>
      </c>
      <c r="N1023" s="133" t="s">
        <v>35</v>
      </c>
      <c r="O1023" s="135">
        <v>0.9</v>
      </c>
      <c r="P1023" s="133" t="s">
        <v>35</v>
      </c>
      <c r="Q1023" s="133" t="s">
        <v>35</v>
      </c>
      <c r="R1023" s="133" t="s">
        <v>35</v>
      </c>
      <c r="S1023" s="133">
        <v>0</v>
      </c>
      <c r="T1023" s="135">
        <v>0.9</v>
      </c>
      <c r="U1023" s="133" t="s">
        <v>35</v>
      </c>
      <c r="V1023" s="133" t="s">
        <v>35</v>
      </c>
      <c r="W1023" s="133" t="s">
        <v>35</v>
      </c>
      <c r="X1023" s="133">
        <v>1</v>
      </c>
      <c r="Y1023" s="135">
        <v>0.92</v>
      </c>
      <c r="Z1023" s="135" t="s">
        <v>35</v>
      </c>
      <c r="AA1023" s="135" t="s">
        <v>35</v>
      </c>
      <c r="AB1023" s="135" t="s">
        <v>35</v>
      </c>
      <c r="AC1023" s="135" t="s">
        <v>35</v>
      </c>
      <c r="AD1023" s="135">
        <v>0.92</v>
      </c>
      <c r="AE1023" s="133">
        <v>1</v>
      </c>
      <c r="AF1023" s="133">
        <v>1</v>
      </c>
      <c r="AG1023" s="133">
        <v>1</v>
      </c>
      <c r="AH1023" s="133">
        <v>0.999513476695534</v>
      </c>
      <c r="AI1023" s="135">
        <v>0.92</v>
      </c>
      <c r="AJ1023" s="133" t="s">
        <v>35</v>
      </c>
      <c r="AK1023" s="133" t="s">
        <v>35</v>
      </c>
      <c r="AL1023" s="133" t="s">
        <v>35</v>
      </c>
      <c r="AM1023" s="133">
        <v>1</v>
      </c>
      <c r="AN1023" s="132">
        <v>0.99</v>
      </c>
      <c r="AO1023" s="137">
        <v>1</v>
      </c>
      <c r="AP1023" s="137" t="s">
        <v>35</v>
      </c>
      <c r="AQ1023" s="137" t="s">
        <v>35</v>
      </c>
      <c r="AR1023" s="137">
        <v>1</v>
      </c>
      <c r="AS1023" s="158">
        <v>0.0656418488929858</v>
      </c>
      <c r="AT1023" s="141" t="s">
        <v>35</v>
      </c>
      <c r="AU1023" s="141" t="s">
        <v>35</v>
      </c>
      <c r="AV1023" s="141" t="s">
        <v>35</v>
      </c>
      <c r="AW1023" s="141" t="s">
        <v>35</v>
      </c>
      <c r="AX1023" s="95"/>
      <c r="AY1023" s="93"/>
    </row>
    <row r="1024" ht="14.5" spans="1:51">
      <c r="A1024" s="91"/>
      <c r="B1024" s="95"/>
      <c r="C1024" s="180" t="s">
        <v>927</v>
      </c>
      <c r="D1024" s="181" t="s">
        <v>125</v>
      </c>
      <c r="E1024" s="130" t="s">
        <v>928</v>
      </c>
      <c r="F1024" s="184" t="s">
        <v>1053</v>
      </c>
      <c r="G1024" s="185" t="s">
        <v>1053</v>
      </c>
      <c r="H1024" s="185" t="s">
        <v>1053</v>
      </c>
      <c r="I1024" s="185" t="s">
        <v>1053</v>
      </c>
      <c r="J1024" s="132">
        <v>0.9</v>
      </c>
      <c r="K1024" s="133" t="s">
        <v>35</v>
      </c>
      <c r="L1024" s="133" t="s">
        <v>35</v>
      </c>
      <c r="M1024" s="134" t="s">
        <v>35</v>
      </c>
      <c r="N1024" s="133" t="s">
        <v>35</v>
      </c>
      <c r="O1024" s="135">
        <v>0.9</v>
      </c>
      <c r="P1024" s="133" t="s">
        <v>35</v>
      </c>
      <c r="Q1024" s="133" t="s">
        <v>35</v>
      </c>
      <c r="R1024" s="133" t="s">
        <v>35</v>
      </c>
      <c r="S1024" s="133">
        <v>0</v>
      </c>
      <c r="T1024" s="135">
        <v>0.9</v>
      </c>
      <c r="U1024" s="133" t="s">
        <v>35</v>
      </c>
      <c r="V1024" s="133" t="s">
        <v>35</v>
      </c>
      <c r="W1024" s="133" t="s">
        <v>35</v>
      </c>
      <c r="X1024" s="133">
        <v>1</v>
      </c>
      <c r="Y1024" s="135">
        <v>0.92</v>
      </c>
      <c r="Z1024" s="135" t="s">
        <v>35</v>
      </c>
      <c r="AA1024" s="135" t="s">
        <v>35</v>
      </c>
      <c r="AB1024" s="135" t="s">
        <v>35</v>
      </c>
      <c r="AC1024" s="135" t="s">
        <v>35</v>
      </c>
      <c r="AD1024" s="135">
        <v>0.92</v>
      </c>
      <c r="AE1024" s="133">
        <v>1</v>
      </c>
      <c r="AF1024" s="133">
        <v>1</v>
      </c>
      <c r="AG1024" s="133">
        <v>1</v>
      </c>
      <c r="AH1024" s="133">
        <v>0.999883361520966</v>
      </c>
      <c r="AI1024" s="135">
        <v>0.92</v>
      </c>
      <c r="AJ1024" s="133" t="s">
        <v>35</v>
      </c>
      <c r="AK1024" s="133" t="s">
        <v>35</v>
      </c>
      <c r="AL1024" s="133" t="s">
        <v>35</v>
      </c>
      <c r="AM1024" s="133">
        <v>1</v>
      </c>
      <c r="AN1024" s="132">
        <v>0.99</v>
      </c>
      <c r="AO1024" s="137">
        <v>1</v>
      </c>
      <c r="AP1024" s="137">
        <v>1</v>
      </c>
      <c r="AQ1024" s="137">
        <v>1</v>
      </c>
      <c r="AR1024" s="137">
        <v>1</v>
      </c>
      <c r="AS1024" s="158">
        <v>0.0656418488929858</v>
      </c>
      <c r="AT1024" s="141" t="s">
        <v>35</v>
      </c>
      <c r="AU1024" s="141" t="s">
        <v>35</v>
      </c>
      <c r="AV1024" s="141" t="s">
        <v>35</v>
      </c>
      <c r="AW1024" s="141" t="s">
        <v>35</v>
      </c>
      <c r="AX1024" s="95"/>
      <c r="AY1024" s="93"/>
    </row>
    <row r="1025" ht="14.5" spans="1:51">
      <c r="A1025" s="91"/>
      <c r="B1025" s="95"/>
      <c r="C1025" s="180" t="s">
        <v>927</v>
      </c>
      <c r="D1025" s="181" t="s">
        <v>125</v>
      </c>
      <c r="E1025" s="130" t="s">
        <v>928</v>
      </c>
      <c r="F1025" s="186" t="s">
        <v>1054</v>
      </c>
      <c r="G1025" s="187" t="s">
        <v>1054</v>
      </c>
      <c r="H1025" s="187" t="s">
        <v>1054</v>
      </c>
      <c r="I1025" s="187" t="s">
        <v>1054</v>
      </c>
      <c r="J1025" s="132">
        <v>0.9</v>
      </c>
      <c r="K1025" s="133" t="s">
        <v>35</v>
      </c>
      <c r="L1025" s="133" t="s">
        <v>35</v>
      </c>
      <c r="M1025" s="134" t="s">
        <v>35</v>
      </c>
      <c r="N1025" s="133" t="s">
        <v>35</v>
      </c>
      <c r="O1025" s="135">
        <v>0.9</v>
      </c>
      <c r="P1025" s="133" t="s">
        <v>35</v>
      </c>
      <c r="Q1025" s="133" t="s">
        <v>35</v>
      </c>
      <c r="R1025" s="133" t="s">
        <v>35</v>
      </c>
      <c r="S1025" s="133">
        <v>0</v>
      </c>
      <c r="T1025" s="135">
        <v>0.9</v>
      </c>
      <c r="U1025" s="133" t="s">
        <v>35</v>
      </c>
      <c r="V1025" s="133" t="s">
        <v>35</v>
      </c>
      <c r="W1025" s="133" t="s">
        <v>35</v>
      </c>
      <c r="X1025" s="133">
        <v>1</v>
      </c>
      <c r="Y1025" s="135">
        <v>0.92</v>
      </c>
      <c r="Z1025" s="135" t="s">
        <v>35</v>
      </c>
      <c r="AA1025" s="135" t="s">
        <v>35</v>
      </c>
      <c r="AB1025" s="135" t="s">
        <v>35</v>
      </c>
      <c r="AC1025" s="135" t="s">
        <v>35</v>
      </c>
      <c r="AD1025" s="135">
        <v>0.92</v>
      </c>
      <c r="AE1025" s="133">
        <v>1</v>
      </c>
      <c r="AF1025" s="133">
        <v>1</v>
      </c>
      <c r="AG1025" s="133">
        <v>1</v>
      </c>
      <c r="AH1025" s="133">
        <v>0.999875745526839</v>
      </c>
      <c r="AI1025" s="135">
        <v>0.92</v>
      </c>
      <c r="AJ1025" s="133" t="s">
        <v>35</v>
      </c>
      <c r="AK1025" s="133" t="s">
        <v>35</v>
      </c>
      <c r="AL1025" s="133" t="s">
        <v>35</v>
      </c>
      <c r="AM1025" s="133">
        <v>1</v>
      </c>
      <c r="AN1025" s="132">
        <v>0.99</v>
      </c>
      <c r="AO1025" s="137" t="s">
        <v>35</v>
      </c>
      <c r="AP1025" s="137" t="s">
        <v>35</v>
      </c>
      <c r="AQ1025" s="137">
        <v>1</v>
      </c>
      <c r="AR1025" s="137">
        <v>1</v>
      </c>
      <c r="AS1025" s="158">
        <v>0.0656418488929858</v>
      </c>
      <c r="AT1025" s="141" t="s">
        <v>35</v>
      </c>
      <c r="AU1025" s="141" t="s">
        <v>35</v>
      </c>
      <c r="AV1025" s="141" t="s">
        <v>35</v>
      </c>
      <c r="AW1025" s="141" t="s">
        <v>35</v>
      </c>
      <c r="AX1025" s="95"/>
      <c r="AY1025" s="93"/>
    </row>
    <row r="1026" ht="14.5" spans="1:51">
      <c r="A1026" s="91"/>
      <c r="B1026" s="95"/>
      <c r="C1026" s="180" t="s">
        <v>927</v>
      </c>
      <c r="D1026" s="181" t="s">
        <v>25</v>
      </c>
      <c r="E1026" s="130" t="s">
        <v>928</v>
      </c>
      <c r="F1026" s="186" t="s">
        <v>1055</v>
      </c>
      <c r="G1026" s="187" t="s">
        <v>1055</v>
      </c>
      <c r="H1026" s="187" t="s">
        <v>1055</v>
      </c>
      <c r="I1026" s="187" t="s">
        <v>1055</v>
      </c>
      <c r="J1026" s="132">
        <v>0.9</v>
      </c>
      <c r="K1026" s="133">
        <v>0.9375</v>
      </c>
      <c r="L1026" s="133">
        <v>0.80952380952381</v>
      </c>
      <c r="M1026" s="134">
        <v>0.647058823529412</v>
      </c>
      <c r="N1026" s="133">
        <v>0.907514450867052</v>
      </c>
      <c r="O1026" s="135">
        <v>0.9</v>
      </c>
      <c r="P1026" s="133">
        <v>0.965645311049211</v>
      </c>
      <c r="Q1026" s="133">
        <v>0.977873718294657</v>
      </c>
      <c r="R1026" s="133">
        <v>0.851267336202774</v>
      </c>
      <c r="S1026" s="133">
        <v>0.958835576360445</v>
      </c>
      <c r="T1026" s="135">
        <v>0.9</v>
      </c>
      <c r="U1026" s="133">
        <v>0.901578458681523</v>
      </c>
      <c r="V1026" s="133">
        <v>0.812196438208311</v>
      </c>
      <c r="W1026" s="133">
        <v>0.747489239598278</v>
      </c>
      <c r="X1026" s="133">
        <v>0.863341135166764</v>
      </c>
      <c r="Y1026" s="135">
        <v>0.92</v>
      </c>
      <c r="Z1026" s="135">
        <v>0.963793103448276</v>
      </c>
      <c r="AA1026" s="135">
        <v>0.924528301886792</v>
      </c>
      <c r="AB1026" s="135">
        <v>0.741865509761388</v>
      </c>
      <c r="AC1026" s="135">
        <v>0.905037566202734</v>
      </c>
      <c r="AD1026" s="135">
        <v>0.92</v>
      </c>
      <c r="AE1026" s="133">
        <v>0.992649830380701</v>
      </c>
      <c r="AF1026" s="133">
        <v>0.992580601645757</v>
      </c>
      <c r="AG1026" s="133">
        <v>0.994631737169852</v>
      </c>
      <c r="AH1026" s="133">
        <v>0.983668239505369</v>
      </c>
      <c r="AI1026" s="135">
        <v>0.92</v>
      </c>
      <c r="AJ1026" s="133">
        <v>0.956574185765983</v>
      </c>
      <c r="AK1026" s="133">
        <v>0.878186968838527</v>
      </c>
      <c r="AL1026" s="133">
        <v>0.825831702544031</v>
      </c>
      <c r="AM1026" s="133">
        <v>0.928498853996834</v>
      </c>
      <c r="AN1026" s="132">
        <v>0.99</v>
      </c>
      <c r="AO1026" s="137">
        <v>1</v>
      </c>
      <c r="AP1026" s="137">
        <v>1</v>
      </c>
      <c r="AQ1026" s="137">
        <v>1</v>
      </c>
      <c r="AR1026" s="137">
        <v>1</v>
      </c>
      <c r="AS1026" s="158">
        <v>0.0656418488929858</v>
      </c>
      <c r="AT1026" s="141">
        <v>0.0714285714285714</v>
      </c>
      <c r="AU1026" s="141">
        <v>0.0555555555555556</v>
      </c>
      <c r="AV1026" s="141">
        <v>0</v>
      </c>
      <c r="AW1026" s="141">
        <v>0.0606060606060606</v>
      </c>
      <c r="AX1026" s="95"/>
      <c r="AY1026" s="93"/>
    </row>
    <row r="1027" ht="14.5" spans="1:51">
      <c r="A1027" s="91"/>
      <c r="B1027" s="95"/>
      <c r="C1027" s="180" t="s">
        <v>927</v>
      </c>
      <c r="D1027" s="181" t="s">
        <v>25</v>
      </c>
      <c r="E1027" s="130" t="s">
        <v>928</v>
      </c>
      <c r="F1027" s="184" t="s">
        <v>1056</v>
      </c>
      <c r="G1027" s="185" t="s">
        <v>1056</v>
      </c>
      <c r="H1027" s="185" t="s">
        <v>1056</v>
      </c>
      <c r="I1027" s="185" t="s">
        <v>1056</v>
      </c>
      <c r="J1027" s="132">
        <v>0.9</v>
      </c>
      <c r="K1027" s="133">
        <v>0.961538461538462</v>
      </c>
      <c r="L1027" s="133">
        <v>0.962962962962963</v>
      </c>
      <c r="M1027" s="134">
        <v>1</v>
      </c>
      <c r="N1027" s="133">
        <v>0.973484848484849</v>
      </c>
      <c r="O1027" s="135">
        <v>0.9</v>
      </c>
      <c r="P1027" s="133">
        <v>0.971525423728814</v>
      </c>
      <c r="Q1027" s="133">
        <v>0.980443285528031</v>
      </c>
      <c r="R1027" s="133">
        <v>0.973554301833568</v>
      </c>
      <c r="S1027" s="133">
        <v>0.979285184269107</v>
      </c>
      <c r="T1027" s="135">
        <v>0.9</v>
      </c>
      <c r="U1027" s="133">
        <v>0.929491525423729</v>
      </c>
      <c r="V1027" s="133">
        <v>0.907866145154281</v>
      </c>
      <c r="W1027" s="133">
        <v>0.858603667136812</v>
      </c>
      <c r="X1027" s="133">
        <v>0.921592876576799</v>
      </c>
      <c r="Y1027" s="135">
        <v>0.92</v>
      </c>
      <c r="Z1027" s="135">
        <v>0.936746987951807</v>
      </c>
      <c r="AA1027" s="135">
        <v>0.901960784313726</v>
      </c>
      <c r="AB1027" s="135">
        <v>0.882736156351791</v>
      </c>
      <c r="AC1027" s="135">
        <v>0.93046533915451</v>
      </c>
      <c r="AD1027" s="135">
        <v>0.92</v>
      </c>
      <c r="AE1027" s="133">
        <v>0.998556165174704</v>
      </c>
      <c r="AF1027" s="133">
        <v>0.99601593625498</v>
      </c>
      <c r="AG1027" s="133">
        <v>0.996638655462185</v>
      </c>
      <c r="AH1027" s="133">
        <v>0.993088869013741</v>
      </c>
      <c r="AI1027" s="135">
        <v>0.92</v>
      </c>
      <c r="AJ1027" s="133">
        <v>0.961836283185841</v>
      </c>
      <c r="AK1027" s="133">
        <v>0.940555338287055</v>
      </c>
      <c r="AL1027" s="133">
        <v>0.923790205737467</v>
      </c>
      <c r="AM1027" s="133">
        <v>0.96411247863838</v>
      </c>
      <c r="AN1027" s="132">
        <v>0.99</v>
      </c>
      <c r="AO1027" s="137">
        <v>1</v>
      </c>
      <c r="AP1027" s="137">
        <v>1</v>
      </c>
      <c r="AQ1027" s="137">
        <v>1</v>
      </c>
      <c r="AR1027" s="137">
        <v>1</v>
      </c>
      <c r="AS1027" s="158">
        <v>0.0656418488929858</v>
      </c>
      <c r="AT1027" s="141">
        <v>0</v>
      </c>
      <c r="AU1027" s="141">
        <v>0.0555555555555556</v>
      </c>
      <c r="AV1027" s="141">
        <v>0</v>
      </c>
      <c r="AW1027" s="141">
        <v>0.026525198938992</v>
      </c>
      <c r="AX1027" s="95"/>
      <c r="AY1027" s="93"/>
    </row>
    <row r="1028" ht="14.5" spans="1:51">
      <c r="A1028" s="91"/>
      <c r="B1028" s="95"/>
      <c r="C1028" s="180" t="s">
        <v>927</v>
      </c>
      <c r="D1028" s="181" t="s">
        <v>25</v>
      </c>
      <c r="E1028" s="130" t="s">
        <v>928</v>
      </c>
      <c r="F1028" s="184" t="s">
        <v>1057</v>
      </c>
      <c r="G1028" s="185" t="s">
        <v>1057</v>
      </c>
      <c r="H1028" s="185" t="s">
        <v>1057</v>
      </c>
      <c r="I1028" s="185" t="s">
        <v>1057</v>
      </c>
      <c r="J1028" s="132">
        <v>0.9</v>
      </c>
      <c r="K1028" s="133">
        <v>0.769230769230769</v>
      </c>
      <c r="L1028" s="133">
        <v>0.846153846153846</v>
      </c>
      <c r="M1028" s="134">
        <v>0.88</v>
      </c>
      <c r="N1028" s="133">
        <v>0.819565217391304</v>
      </c>
      <c r="O1028" s="135">
        <v>0.9</v>
      </c>
      <c r="P1028" s="133">
        <v>0.526903553299492</v>
      </c>
      <c r="Q1028" s="133">
        <v>0.425306392845313</v>
      </c>
      <c r="R1028" s="133">
        <v>0.451226309921962</v>
      </c>
      <c r="S1028" s="133">
        <v>0.400344821814164</v>
      </c>
      <c r="T1028" s="135">
        <v>0.9</v>
      </c>
      <c r="U1028" s="133">
        <v>0.686802030456853</v>
      </c>
      <c r="V1028" s="133">
        <v>0.550513415038092</v>
      </c>
      <c r="W1028" s="133">
        <v>0.510869565217391</v>
      </c>
      <c r="X1028" s="133">
        <v>0.539378316399123</v>
      </c>
      <c r="Y1028" s="135">
        <v>0.92</v>
      </c>
      <c r="Z1028" s="135">
        <v>0.779891304347826</v>
      </c>
      <c r="AA1028" s="135">
        <v>0.6801872074883</v>
      </c>
      <c r="AB1028" s="135">
        <v>0.563944530046225</v>
      </c>
      <c r="AC1028" s="135">
        <v>0.613243287761489</v>
      </c>
      <c r="AD1028" s="135">
        <v>0.92</v>
      </c>
      <c r="AE1028" s="133">
        <v>0.991378130559737</v>
      </c>
      <c r="AF1028" s="133">
        <v>0.997483546264034</v>
      </c>
      <c r="AG1028" s="133">
        <v>0.981022667369531</v>
      </c>
      <c r="AH1028" s="133">
        <v>0.980950101233755</v>
      </c>
      <c r="AI1028" s="135">
        <v>0.92</v>
      </c>
      <c r="AJ1028" s="133">
        <v>0.828485885372113</v>
      </c>
      <c r="AK1028" s="133">
        <v>0.768369298006009</v>
      </c>
      <c r="AL1028" s="133">
        <v>0.714083510261854</v>
      </c>
      <c r="AM1028" s="133">
        <v>0.792030598052851</v>
      </c>
      <c r="AN1028" s="132">
        <v>0.99</v>
      </c>
      <c r="AO1028" s="137">
        <v>1</v>
      </c>
      <c r="AP1028" s="137">
        <v>1</v>
      </c>
      <c r="AQ1028" s="137">
        <v>1</v>
      </c>
      <c r="AR1028" s="137">
        <v>1</v>
      </c>
      <c r="AS1028" s="158">
        <v>0.0656418488929858</v>
      </c>
      <c r="AT1028" s="141">
        <v>0.1</v>
      </c>
      <c r="AU1028" s="141">
        <v>0.0625</v>
      </c>
      <c r="AV1028" s="141">
        <v>0</v>
      </c>
      <c r="AW1028" s="141">
        <v>0.0472727272727273</v>
      </c>
      <c r="AX1028" s="95"/>
      <c r="AY1028" s="93"/>
    </row>
    <row r="1029" ht="14.5" spans="1:51">
      <c r="A1029" s="91"/>
      <c r="B1029" s="95"/>
      <c r="C1029" s="180" t="s">
        <v>927</v>
      </c>
      <c r="D1029" s="181" t="s">
        <v>25</v>
      </c>
      <c r="E1029" s="130" t="s">
        <v>928</v>
      </c>
      <c r="F1029" s="184" t="s">
        <v>1058</v>
      </c>
      <c r="G1029" s="185" t="s">
        <v>1058</v>
      </c>
      <c r="H1029" s="185" t="s">
        <v>1058</v>
      </c>
      <c r="I1029" s="185" t="s">
        <v>1058</v>
      </c>
      <c r="J1029" s="132">
        <v>0.9</v>
      </c>
      <c r="K1029" s="133">
        <v>0.88</v>
      </c>
      <c r="L1029" s="133">
        <v>0.884615384615385</v>
      </c>
      <c r="M1029" s="134">
        <v>0.96</v>
      </c>
      <c r="N1029" s="133">
        <v>0.927194860813705</v>
      </c>
      <c r="O1029" s="135">
        <v>0.9</v>
      </c>
      <c r="P1029" s="133">
        <v>0.947658402203857</v>
      </c>
      <c r="Q1029" s="133">
        <v>0.947974413646055</v>
      </c>
      <c r="R1029" s="133">
        <v>0.937384898710866</v>
      </c>
      <c r="S1029" s="133">
        <v>0.897507267891384</v>
      </c>
      <c r="T1029" s="135">
        <v>0.9</v>
      </c>
      <c r="U1029" s="133">
        <v>0.894628099173554</v>
      </c>
      <c r="V1029" s="133">
        <v>0.897228144989339</v>
      </c>
      <c r="W1029" s="133">
        <v>0.847145488029466</v>
      </c>
      <c r="X1029" s="133">
        <v>0.857673037669326</v>
      </c>
      <c r="Y1029" s="135">
        <v>0.92</v>
      </c>
      <c r="Z1029" s="135">
        <v>0.891238670694864</v>
      </c>
      <c r="AA1029" s="135">
        <v>0.69047619047619</v>
      </c>
      <c r="AB1029" s="135">
        <v>0.86986301369863</v>
      </c>
      <c r="AC1029" s="135">
        <v>0.861945786930027</v>
      </c>
      <c r="AD1029" s="135">
        <v>0.92</v>
      </c>
      <c r="AE1029" s="133">
        <v>0.998672331386086</v>
      </c>
      <c r="AF1029" s="133">
        <v>0.995955510616785</v>
      </c>
      <c r="AG1029" s="133">
        <v>0.999321804001356</v>
      </c>
      <c r="AH1029" s="133">
        <v>0.996591694931999</v>
      </c>
      <c r="AI1029" s="135">
        <v>0.92</v>
      </c>
      <c r="AJ1029" s="133">
        <v>0.953449242849131</v>
      </c>
      <c r="AK1029" s="133">
        <v>0.918398768283295</v>
      </c>
      <c r="AL1029" s="133">
        <v>0.946666666666667</v>
      </c>
      <c r="AM1029" s="133">
        <v>0.949712197980216</v>
      </c>
      <c r="AN1029" s="132">
        <v>0.99</v>
      </c>
      <c r="AO1029" s="137">
        <v>1</v>
      </c>
      <c r="AP1029" s="137">
        <v>1</v>
      </c>
      <c r="AQ1029" s="137">
        <v>1</v>
      </c>
      <c r="AR1029" s="137">
        <v>1</v>
      </c>
      <c r="AS1029" s="158">
        <v>0.0656418488929858</v>
      </c>
      <c r="AT1029" s="141">
        <v>0</v>
      </c>
      <c r="AU1029" s="141">
        <v>0</v>
      </c>
      <c r="AV1029" s="141">
        <v>0.111111111111111</v>
      </c>
      <c r="AW1029" s="141">
        <v>0.00584795321637427</v>
      </c>
      <c r="AX1029" s="95"/>
      <c r="AY1029" s="93"/>
    </row>
    <row r="1030" ht="14.5" spans="1:51">
      <c r="A1030" s="91"/>
      <c r="B1030" s="95"/>
      <c r="C1030" s="180" t="s">
        <v>927</v>
      </c>
      <c r="D1030" s="181" t="s">
        <v>25</v>
      </c>
      <c r="E1030" s="130" t="s">
        <v>928</v>
      </c>
      <c r="F1030" s="184" t="s">
        <v>1059</v>
      </c>
      <c r="G1030" s="185" t="s">
        <v>1059</v>
      </c>
      <c r="H1030" s="185" t="s">
        <v>1059</v>
      </c>
      <c r="I1030" s="185" t="s">
        <v>1059</v>
      </c>
      <c r="J1030" s="132">
        <v>0.9</v>
      </c>
      <c r="K1030" s="133">
        <v>1</v>
      </c>
      <c r="L1030" s="133">
        <v>1</v>
      </c>
      <c r="M1030" s="134">
        <v>0.96875</v>
      </c>
      <c r="N1030" s="133">
        <v>0.966666666666667</v>
      </c>
      <c r="O1030" s="135">
        <v>0.9</v>
      </c>
      <c r="P1030" s="133">
        <v>0.941430332922318</v>
      </c>
      <c r="Q1030" s="133">
        <v>0.95610278372591</v>
      </c>
      <c r="R1030" s="133">
        <v>0.924778761061947</v>
      </c>
      <c r="S1030" s="133">
        <v>0.941561203871105</v>
      </c>
      <c r="T1030" s="135">
        <v>0.9</v>
      </c>
      <c r="U1030" s="133">
        <v>0.912453760789149</v>
      </c>
      <c r="V1030" s="133">
        <v>0.912919343326196</v>
      </c>
      <c r="W1030" s="133">
        <v>0.903286978508217</v>
      </c>
      <c r="X1030" s="133">
        <v>0.896079265482647</v>
      </c>
      <c r="Y1030" s="135">
        <v>0.92</v>
      </c>
      <c r="Z1030" s="135">
        <v>0.900398406374502</v>
      </c>
      <c r="AA1030" s="135">
        <v>0.932673267326733</v>
      </c>
      <c r="AB1030" s="135">
        <v>0.917207792207792</v>
      </c>
      <c r="AC1030" s="135">
        <v>0.93154708919352</v>
      </c>
      <c r="AD1030" s="135">
        <v>0.92</v>
      </c>
      <c r="AE1030" s="133">
        <v>0.986232790988736</v>
      </c>
      <c r="AF1030" s="133">
        <v>1</v>
      </c>
      <c r="AG1030" s="133">
        <v>0.997557997557998</v>
      </c>
      <c r="AH1030" s="133">
        <v>0.992099880087466</v>
      </c>
      <c r="AI1030" s="135">
        <v>0.92</v>
      </c>
      <c r="AJ1030" s="133">
        <v>0.967431927389215</v>
      </c>
      <c r="AK1030" s="133">
        <v>0.971575446023586</v>
      </c>
      <c r="AL1030" s="133">
        <v>0.968526844750066</v>
      </c>
      <c r="AM1030" s="133">
        <v>0.970941232115407</v>
      </c>
      <c r="AN1030" s="132">
        <v>0.99</v>
      </c>
      <c r="AO1030" s="137">
        <v>1</v>
      </c>
      <c r="AP1030" s="137">
        <v>1</v>
      </c>
      <c r="AQ1030" s="137">
        <v>1</v>
      </c>
      <c r="AR1030" s="137">
        <v>1</v>
      </c>
      <c r="AS1030" s="158">
        <v>0.0656418488929858</v>
      </c>
      <c r="AT1030" s="141">
        <v>0.0769230769230769</v>
      </c>
      <c r="AU1030" s="141">
        <v>0.285714285714286</v>
      </c>
      <c r="AV1030" s="141">
        <v>0.125</v>
      </c>
      <c r="AW1030" s="141">
        <v>0.0515021459227468</v>
      </c>
      <c r="AX1030" s="95"/>
      <c r="AY1030" s="93"/>
    </row>
    <row r="1031" ht="14.5" spans="1:51">
      <c r="A1031" s="91"/>
      <c r="B1031" s="95"/>
      <c r="C1031" s="180" t="s">
        <v>927</v>
      </c>
      <c r="D1031" s="181" t="s">
        <v>25</v>
      </c>
      <c r="E1031" s="130" t="s">
        <v>928</v>
      </c>
      <c r="F1031" s="184" t="s">
        <v>1060</v>
      </c>
      <c r="G1031" s="185" t="s">
        <v>1060</v>
      </c>
      <c r="H1031" s="185" t="s">
        <v>1060</v>
      </c>
      <c r="I1031" s="185" t="s">
        <v>1060</v>
      </c>
      <c r="J1031" s="132">
        <v>0.9</v>
      </c>
      <c r="K1031" s="133">
        <v>0.868421052631579</v>
      </c>
      <c r="L1031" s="133">
        <v>0.904761904761905</v>
      </c>
      <c r="M1031" s="134">
        <v>0.902439024390244</v>
      </c>
      <c r="N1031" s="133">
        <v>0.873862158647594</v>
      </c>
      <c r="O1031" s="135">
        <v>0.9</v>
      </c>
      <c r="P1031" s="133">
        <v>0.98284802552852</v>
      </c>
      <c r="Q1031" s="133">
        <v>0.968360071301248</v>
      </c>
      <c r="R1031" s="133">
        <v>0.951103024789629</v>
      </c>
      <c r="S1031" s="133">
        <v>0.971463435261142</v>
      </c>
      <c r="T1031" s="135">
        <v>0.9</v>
      </c>
      <c r="U1031" s="133">
        <v>0.952134024730754</v>
      </c>
      <c r="V1031" s="133">
        <v>0.960338680926916</v>
      </c>
      <c r="W1031" s="133">
        <v>0.92926995678872</v>
      </c>
      <c r="X1031" s="133">
        <v>0.943832984982663</v>
      </c>
      <c r="Y1031" s="135">
        <v>0.92</v>
      </c>
      <c r="Z1031" s="135">
        <v>0</v>
      </c>
      <c r="AA1031" s="135" t="s">
        <v>35</v>
      </c>
      <c r="AB1031" s="135" t="s">
        <v>35</v>
      </c>
      <c r="AC1031" s="135">
        <v>0.25</v>
      </c>
      <c r="AD1031" s="135">
        <v>0.92</v>
      </c>
      <c r="AE1031" s="133">
        <v>0.999330506583352</v>
      </c>
      <c r="AF1031" s="133">
        <v>0.999626587005228</v>
      </c>
      <c r="AG1031" s="133">
        <v>0.998131714152265</v>
      </c>
      <c r="AH1031" s="133">
        <v>0.99493195682778</v>
      </c>
      <c r="AI1031" s="135">
        <v>0.92</v>
      </c>
      <c r="AJ1031" s="133">
        <v>0.982882165605096</v>
      </c>
      <c r="AK1031" s="133">
        <v>0.988643954575818</v>
      </c>
      <c r="AL1031" s="133">
        <v>0.982496021823142</v>
      </c>
      <c r="AM1031" s="133">
        <v>0.986524343122102</v>
      </c>
      <c r="AN1031" s="132">
        <v>0.99</v>
      </c>
      <c r="AO1031" s="137">
        <v>1</v>
      </c>
      <c r="AP1031" s="137">
        <v>1</v>
      </c>
      <c r="AQ1031" s="137">
        <v>1</v>
      </c>
      <c r="AR1031" s="137">
        <v>1</v>
      </c>
      <c r="AS1031" s="158">
        <v>0.0656418488929858</v>
      </c>
      <c r="AT1031" s="141">
        <v>0</v>
      </c>
      <c r="AU1031" s="141">
        <v>0</v>
      </c>
      <c r="AV1031" s="141">
        <v>0</v>
      </c>
      <c r="AW1031" s="141">
        <v>0.0681818181818182</v>
      </c>
      <c r="AX1031" s="95"/>
      <c r="AY1031" s="93"/>
    </row>
    <row r="1032" ht="14.5" spans="1:51">
      <c r="A1032" s="91"/>
      <c r="B1032" s="95"/>
      <c r="C1032" s="180" t="s">
        <v>927</v>
      </c>
      <c r="D1032" s="181" t="s">
        <v>25</v>
      </c>
      <c r="E1032" s="130" t="s">
        <v>928</v>
      </c>
      <c r="F1032" s="184" t="s">
        <v>1061</v>
      </c>
      <c r="G1032" s="185" t="s">
        <v>1061</v>
      </c>
      <c r="H1032" s="185" t="s">
        <v>1061</v>
      </c>
      <c r="I1032" s="185" t="s">
        <v>1061</v>
      </c>
      <c r="J1032" s="132">
        <v>0.9</v>
      </c>
      <c r="K1032" s="133">
        <v>0.878787878787879</v>
      </c>
      <c r="L1032" s="133">
        <v>0.971428571428571</v>
      </c>
      <c r="M1032" s="134">
        <v>0.885714285714286</v>
      </c>
      <c r="N1032" s="133">
        <v>0.889967637540453</v>
      </c>
      <c r="O1032" s="135">
        <v>0.9</v>
      </c>
      <c r="P1032" s="133">
        <v>0.922439024390244</v>
      </c>
      <c r="Q1032" s="133">
        <v>0.923845530650824</v>
      </c>
      <c r="R1032" s="133">
        <v>0.914724576271186</v>
      </c>
      <c r="S1032" s="133">
        <v>0.909536903039074</v>
      </c>
      <c r="T1032" s="135">
        <v>0.9</v>
      </c>
      <c r="U1032" s="133">
        <v>0.872682926829268</v>
      </c>
      <c r="V1032" s="133">
        <v>0.860383472859843</v>
      </c>
      <c r="W1032" s="133">
        <v>0.857256355932203</v>
      </c>
      <c r="X1032" s="133">
        <v>0.808046309696093</v>
      </c>
      <c r="Y1032" s="135">
        <v>0.92</v>
      </c>
      <c r="Z1032" s="135">
        <v>0</v>
      </c>
      <c r="AA1032" s="135" t="s">
        <v>35</v>
      </c>
      <c r="AB1032" s="135" t="s">
        <v>35</v>
      </c>
      <c r="AC1032" s="135">
        <v>0</v>
      </c>
      <c r="AD1032" s="135">
        <v>0.92</v>
      </c>
      <c r="AE1032" s="133">
        <v>0.998900293255132</v>
      </c>
      <c r="AF1032" s="133">
        <v>0.998583569405099</v>
      </c>
      <c r="AG1032" s="133">
        <v>0.998287671232877</v>
      </c>
      <c r="AH1032" s="133">
        <v>0.993291816015539</v>
      </c>
      <c r="AI1032" s="135">
        <v>0.92</v>
      </c>
      <c r="AJ1032" s="133">
        <v>0.958556801560214</v>
      </c>
      <c r="AK1032" s="133">
        <v>0.959222252227923</v>
      </c>
      <c r="AL1032" s="133">
        <v>0.961080222398729</v>
      </c>
      <c r="AM1032" s="133">
        <v>0.959369709597604</v>
      </c>
      <c r="AN1032" s="132">
        <v>0.99</v>
      </c>
      <c r="AO1032" s="137">
        <v>1</v>
      </c>
      <c r="AP1032" s="137">
        <v>1</v>
      </c>
      <c r="AQ1032" s="137">
        <v>1</v>
      </c>
      <c r="AR1032" s="137">
        <v>1</v>
      </c>
      <c r="AS1032" s="158">
        <v>0.0656418488929858</v>
      </c>
      <c r="AT1032" s="141">
        <v>0</v>
      </c>
      <c r="AU1032" s="141">
        <v>0</v>
      </c>
      <c r="AV1032" s="141">
        <v>0</v>
      </c>
      <c r="AW1032" s="141">
        <v>0.0230769230769231</v>
      </c>
      <c r="AX1032" s="95"/>
      <c r="AY1032" s="93"/>
    </row>
    <row r="1033" ht="14.5" spans="1:51">
      <c r="A1033" s="91"/>
      <c r="B1033" s="95"/>
      <c r="C1033" s="180" t="s">
        <v>927</v>
      </c>
      <c r="D1033" s="181" t="s">
        <v>25</v>
      </c>
      <c r="E1033" s="130" t="s">
        <v>928</v>
      </c>
      <c r="F1033" s="188" t="s">
        <v>1062</v>
      </c>
      <c r="G1033" s="189" t="s">
        <v>1062</v>
      </c>
      <c r="H1033" s="189" t="s">
        <v>1062</v>
      </c>
      <c r="I1033" s="189" t="s">
        <v>1062</v>
      </c>
      <c r="J1033" s="132">
        <v>0.9</v>
      </c>
      <c r="K1033" s="133">
        <v>0.863636363636364</v>
      </c>
      <c r="L1033" s="133">
        <v>0.904761904761905</v>
      </c>
      <c r="M1033" s="134">
        <v>0.956521739130435</v>
      </c>
      <c r="N1033" s="133">
        <v>0.939172749391727</v>
      </c>
      <c r="O1033" s="135">
        <v>0.9</v>
      </c>
      <c r="P1033" s="133">
        <v>0.921454545454545</v>
      </c>
      <c r="Q1033" s="133">
        <v>0.943334881560613</v>
      </c>
      <c r="R1033" s="133">
        <v>0.915309446254072</v>
      </c>
      <c r="S1033" s="133">
        <v>0.945694662220357</v>
      </c>
      <c r="T1033" s="135">
        <v>0.9</v>
      </c>
      <c r="U1033" s="133">
        <v>0.892363636363636</v>
      </c>
      <c r="V1033" s="133">
        <v>0.890849976776591</v>
      </c>
      <c r="W1033" s="133">
        <v>0.846498371335505</v>
      </c>
      <c r="X1033" s="133">
        <v>0.894503213268258</v>
      </c>
      <c r="Y1033" s="135">
        <v>0.92</v>
      </c>
      <c r="Z1033" s="135">
        <v>0.952107279693487</v>
      </c>
      <c r="AA1033" s="135">
        <v>0.895622895622896</v>
      </c>
      <c r="AB1033" s="135">
        <v>0.875912408759124</v>
      </c>
      <c r="AC1033" s="135">
        <v>0.902879198831629</v>
      </c>
      <c r="AD1033" s="135">
        <v>0.92</v>
      </c>
      <c r="AE1033" s="133">
        <v>0.993312464428002</v>
      </c>
      <c r="AF1033" s="133">
        <v>0.850314257360238</v>
      </c>
      <c r="AG1033" s="133">
        <v>0.999147485080989</v>
      </c>
      <c r="AH1033" s="133">
        <v>0.933340554592721</v>
      </c>
      <c r="AI1033" s="135">
        <v>0.92</v>
      </c>
      <c r="AJ1033" s="133">
        <v>0.95100105374078</v>
      </c>
      <c r="AK1033" s="133">
        <v>0.943673469387755</v>
      </c>
      <c r="AL1033" s="133">
        <v>0.931424766977364</v>
      </c>
      <c r="AM1033" s="133">
        <v>0.956853670535503</v>
      </c>
      <c r="AN1033" s="132">
        <v>0.99</v>
      </c>
      <c r="AO1033" s="137">
        <v>1</v>
      </c>
      <c r="AP1033" s="137">
        <v>1</v>
      </c>
      <c r="AQ1033" s="137">
        <v>1</v>
      </c>
      <c r="AR1033" s="137">
        <v>1</v>
      </c>
      <c r="AS1033" s="158">
        <v>0.0656418488929858</v>
      </c>
      <c r="AT1033" s="141">
        <v>0</v>
      </c>
      <c r="AU1033" s="141">
        <v>0.125</v>
      </c>
      <c r="AV1033" s="141">
        <v>0</v>
      </c>
      <c r="AW1033" s="141">
        <v>0.0130718954248366</v>
      </c>
      <c r="AX1033" s="95"/>
      <c r="AY1033" s="93"/>
    </row>
    <row r="1034" ht="14.5" spans="1:51">
      <c r="A1034" s="91"/>
      <c r="B1034" s="95"/>
      <c r="C1034" s="180" t="s">
        <v>927</v>
      </c>
      <c r="D1034" s="181" t="s">
        <v>25</v>
      </c>
      <c r="E1034" s="130" t="s">
        <v>928</v>
      </c>
      <c r="F1034" s="184" t="s">
        <v>1063</v>
      </c>
      <c r="G1034" s="185" t="s">
        <v>1063</v>
      </c>
      <c r="H1034" s="185" t="s">
        <v>1063</v>
      </c>
      <c r="I1034" s="185" t="s">
        <v>1063</v>
      </c>
      <c r="J1034" s="132">
        <v>0.9</v>
      </c>
      <c r="K1034" s="133">
        <v>0.945945945945946</v>
      </c>
      <c r="L1034" s="133">
        <v>0.971428571428571</v>
      </c>
      <c r="M1034" s="134">
        <v>1</v>
      </c>
      <c r="N1034" s="133">
        <v>0.968970380818054</v>
      </c>
      <c r="O1034" s="135">
        <v>0.9</v>
      </c>
      <c r="P1034" s="133">
        <v>0.975868725868726</v>
      </c>
      <c r="Q1034" s="133">
        <v>0.9564875491481</v>
      </c>
      <c r="R1034" s="133">
        <v>0.936394069823051</v>
      </c>
      <c r="S1034" s="133">
        <v>0.944100361067918</v>
      </c>
      <c r="T1034" s="135">
        <v>0.9</v>
      </c>
      <c r="U1034" s="133">
        <v>0.936776061776062</v>
      </c>
      <c r="V1034" s="133">
        <v>0.927129750982962</v>
      </c>
      <c r="W1034" s="133">
        <v>0.900765184122429</v>
      </c>
      <c r="X1034" s="133">
        <v>0.913976227499143</v>
      </c>
      <c r="Y1034" s="135">
        <v>0.92</v>
      </c>
      <c r="Z1034" s="135">
        <v>0</v>
      </c>
      <c r="AA1034" s="135" t="s">
        <v>35</v>
      </c>
      <c r="AB1034" s="135" t="s">
        <v>35</v>
      </c>
      <c r="AC1034" s="135">
        <v>0</v>
      </c>
      <c r="AD1034" s="135">
        <v>0.92</v>
      </c>
      <c r="AE1034" s="133">
        <v>0.999512789281364</v>
      </c>
      <c r="AF1034" s="133">
        <v>0.998413957176844</v>
      </c>
      <c r="AG1034" s="133">
        <v>1</v>
      </c>
      <c r="AH1034" s="133">
        <v>0.997182962557548</v>
      </c>
      <c r="AI1034" s="135">
        <v>0.92</v>
      </c>
      <c r="AJ1034" s="133">
        <v>0.975926817525277</v>
      </c>
      <c r="AK1034" s="133">
        <v>0.967234600262123</v>
      </c>
      <c r="AL1034" s="133">
        <v>0.967479674796748</v>
      </c>
      <c r="AM1034" s="133">
        <v>0.973772262619876</v>
      </c>
      <c r="AN1034" s="132">
        <v>0.99</v>
      </c>
      <c r="AO1034" s="137">
        <v>1</v>
      </c>
      <c r="AP1034" s="137">
        <v>1</v>
      </c>
      <c r="AQ1034" s="137">
        <v>1</v>
      </c>
      <c r="AR1034" s="137">
        <v>1</v>
      </c>
      <c r="AS1034" s="158">
        <v>0.0656418488929858</v>
      </c>
      <c r="AT1034" s="141">
        <v>0</v>
      </c>
      <c r="AU1034" s="141">
        <v>0</v>
      </c>
      <c r="AV1034" s="141">
        <v>0</v>
      </c>
      <c r="AW1034" s="141">
        <v>0.0258899676375405</v>
      </c>
      <c r="AX1034" s="95"/>
      <c r="AY1034" s="93"/>
    </row>
    <row r="1035" ht="14.5" spans="1:51">
      <c r="A1035" s="91"/>
      <c r="B1035" s="95"/>
      <c r="C1035" s="180" t="s">
        <v>927</v>
      </c>
      <c r="D1035" s="181" t="s">
        <v>125</v>
      </c>
      <c r="E1035" s="130" t="s">
        <v>928</v>
      </c>
      <c r="F1035" s="184" t="s">
        <v>1064</v>
      </c>
      <c r="G1035" s="185" t="s">
        <v>1064</v>
      </c>
      <c r="H1035" s="185" t="s">
        <v>1064</v>
      </c>
      <c r="I1035" s="185" t="s">
        <v>1064</v>
      </c>
      <c r="J1035" s="132">
        <v>0.9</v>
      </c>
      <c r="K1035" s="133" t="s">
        <v>35</v>
      </c>
      <c r="L1035" s="133" t="s">
        <v>35</v>
      </c>
      <c r="M1035" s="134" t="s">
        <v>35</v>
      </c>
      <c r="N1035" s="133" t="s">
        <v>35</v>
      </c>
      <c r="O1035" s="135">
        <v>0.9</v>
      </c>
      <c r="P1035" s="133">
        <v>0</v>
      </c>
      <c r="Q1035" s="133" t="s">
        <v>35</v>
      </c>
      <c r="R1035" s="133">
        <v>0</v>
      </c>
      <c r="S1035" s="133">
        <v>0.222222222222222</v>
      </c>
      <c r="T1035" s="135">
        <v>0.9</v>
      </c>
      <c r="U1035" s="133">
        <v>1</v>
      </c>
      <c r="V1035" s="133" t="s">
        <v>35</v>
      </c>
      <c r="W1035" s="133">
        <v>1</v>
      </c>
      <c r="X1035" s="133">
        <v>1</v>
      </c>
      <c r="Y1035" s="135">
        <v>0.92</v>
      </c>
      <c r="Z1035" s="135" t="s">
        <v>35</v>
      </c>
      <c r="AA1035" s="135" t="s">
        <v>35</v>
      </c>
      <c r="AB1035" s="135" t="s">
        <v>35</v>
      </c>
      <c r="AC1035" s="135" t="s">
        <v>35</v>
      </c>
      <c r="AD1035" s="135">
        <v>0.92</v>
      </c>
      <c r="AE1035" s="133">
        <v>0.998754669987547</v>
      </c>
      <c r="AF1035" s="133">
        <v>1</v>
      </c>
      <c r="AG1035" s="133">
        <v>1</v>
      </c>
      <c r="AH1035" s="133">
        <v>0.999366727882971</v>
      </c>
      <c r="AI1035" s="135">
        <v>0.92</v>
      </c>
      <c r="AJ1035" s="133">
        <v>1</v>
      </c>
      <c r="AK1035" s="133" t="s">
        <v>35</v>
      </c>
      <c r="AL1035" s="133">
        <v>1</v>
      </c>
      <c r="AM1035" s="133">
        <v>1</v>
      </c>
      <c r="AN1035" s="132">
        <v>0.99</v>
      </c>
      <c r="AO1035" s="137">
        <v>1</v>
      </c>
      <c r="AP1035" s="137" t="s">
        <v>35</v>
      </c>
      <c r="AQ1035" s="137">
        <v>1</v>
      </c>
      <c r="AR1035" s="137">
        <v>1</v>
      </c>
      <c r="AS1035" s="158">
        <v>0.0656418488929858</v>
      </c>
      <c r="AT1035" s="141" t="s">
        <v>35</v>
      </c>
      <c r="AU1035" s="141" t="s">
        <v>35</v>
      </c>
      <c r="AV1035" s="141" t="s">
        <v>35</v>
      </c>
      <c r="AW1035" s="141" t="s">
        <v>35</v>
      </c>
      <c r="AX1035" s="95"/>
      <c r="AY1035" s="93"/>
    </row>
    <row r="1036" ht="14.5" spans="1:51">
      <c r="A1036" s="91"/>
      <c r="B1036" s="95"/>
      <c r="C1036" s="180" t="s">
        <v>927</v>
      </c>
      <c r="D1036" s="181" t="s">
        <v>25</v>
      </c>
      <c r="E1036" s="130" t="s">
        <v>928</v>
      </c>
      <c r="F1036" s="184" t="s">
        <v>1065</v>
      </c>
      <c r="G1036" s="185" t="s">
        <v>1065</v>
      </c>
      <c r="H1036" s="185" t="s">
        <v>1065</v>
      </c>
      <c r="I1036" s="185" t="s">
        <v>1065</v>
      </c>
      <c r="J1036" s="132">
        <v>0.9</v>
      </c>
      <c r="K1036" s="133">
        <v>0.909090909090909</v>
      </c>
      <c r="L1036" s="133">
        <v>0.8</v>
      </c>
      <c r="M1036" s="134">
        <v>0.727272727272727</v>
      </c>
      <c r="N1036" s="133">
        <v>0.94949494949495</v>
      </c>
      <c r="O1036" s="135">
        <v>0.9</v>
      </c>
      <c r="P1036" s="133">
        <v>0.989910313901345</v>
      </c>
      <c r="Q1036" s="133">
        <v>0.993438320209974</v>
      </c>
      <c r="R1036" s="133">
        <v>0.991706979958535</v>
      </c>
      <c r="S1036" s="133">
        <v>0.992492659902628</v>
      </c>
      <c r="T1036" s="135">
        <v>0.9</v>
      </c>
      <c r="U1036" s="133">
        <v>0.967488789237668</v>
      </c>
      <c r="V1036" s="133">
        <v>0.942257217847769</v>
      </c>
      <c r="W1036" s="133">
        <v>0.953006219765031</v>
      </c>
      <c r="X1036" s="133">
        <v>0.931802133273869</v>
      </c>
      <c r="Y1036" s="135">
        <v>0.92</v>
      </c>
      <c r="Z1036" s="135">
        <v>0.967336683417085</v>
      </c>
      <c r="AA1036" s="135">
        <v>0.960591133004926</v>
      </c>
      <c r="AB1036" s="135">
        <v>0.906329113924051</v>
      </c>
      <c r="AC1036" s="135">
        <v>0.94705613874943</v>
      </c>
      <c r="AD1036" s="135">
        <v>0.92</v>
      </c>
      <c r="AE1036" s="133">
        <v>0.999320454324823</v>
      </c>
      <c r="AF1036" s="133">
        <v>0.998478856099787</v>
      </c>
      <c r="AG1036" s="133">
        <v>0.999184339314845</v>
      </c>
      <c r="AH1036" s="133">
        <v>0.998294399312706</v>
      </c>
      <c r="AI1036" s="135">
        <v>0.92</v>
      </c>
      <c r="AJ1036" s="133">
        <v>0.971317829457364</v>
      </c>
      <c r="AK1036" s="133">
        <v>0.972206137811233</v>
      </c>
      <c r="AL1036" s="133">
        <v>0.960912052117264</v>
      </c>
      <c r="AM1036" s="133">
        <v>0.971510481992474</v>
      </c>
      <c r="AN1036" s="132">
        <v>0.99</v>
      </c>
      <c r="AO1036" s="137">
        <v>1</v>
      </c>
      <c r="AP1036" s="137">
        <v>1</v>
      </c>
      <c r="AQ1036" s="137">
        <v>1</v>
      </c>
      <c r="AR1036" s="137">
        <v>1</v>
      </c>
      <c r="AS1036" s="158">
        <v>0.0656418488929858</v>
      </c>
      <c r="AT1036" s="141">
        <v>0</v>
      </c>
      <c r="AU1036" s="141">
        <v>0</v>
      </c>
      <c r="AV1036" s="141">
        <v>0.0357142857142857</v>
      </c>
      <c r="AW1036" s="141">
        <v>0.027972027972028</v>
      </c>
      <c r="AX1036" s="95"/>
      <c r="AY1036" s="93"/>
    </row>
    <row r="1037" ht="14.5" spans="1:51">
      <c r="A1037" s="91"/>
      <c r="B1037" s="95"/>
      <c r="C1037" s="180" t="s">
        <v>927</v>
      </c>
      <c r="D1037" s="181" t="s">
        <v>25</v>
      </c>
      <c r="E1037" s="130" t="s">
        <v>928</v>
      </c>
      <c r="F1037" s="184" t="s">
        <v>1066</v>
      </c>
      <c r="G1037" s="185" t="s">
        <v>1066</v>
      </c>
      <c r="H1037" s="185" t="s">
        <v>1066</v>
      </c>
      <c r="I1037" s="185" t="s">
        <v>1066</v>
      </c>
      <c r="J1037" s="132">
        <v>0.9</v>
      </c>
      <c r="K1037" s="133">
        <v>0.966666666666667</v>
      </c>
      <c r="L1037" s="133">
        <v>0.84375</v>
      </c>
      <c r="M1037" s="134">
        <v>0.966666666666667</v>
      </c>
      <c r="N1037" s="133">
        <v>0.918625678119349</v>
      </c>
      <c r="O1037" s="135">
        <v>0.9</v>
      </c>
      <c r="P1037" s="133">
        <v>0.928786964393482</v>
      </c>
      <c r="Q1037" s="133">
        <v>0.851699663802764</v>
      </c>
      <c r="R1037" s="133">
        <v>0.937416777629827</v>
      </c>
      <c r="S1037" s="133">
        <v>0.849995381062356</v>
      </c>
      <c r="T1037" s="135">
        <v>0.9</v>
      </c>
      <c r="U1037" s="133">
        <v>0.886541943270972</v>
      </c>
      <c r="V1037" s="133">
        <v>0.843107956667912</v>
      </c>
      <c r="W1037" s="133">
        <v>0.804926764314248</v>
      </c>
      <c r="X1037" s="133">
        <v>0.845136258660508</v>
      </c>
      <c r="Y1037" s="135">
        <v>0.92</v>
      </c>
      <c r="Z1037" s="135">
        <v>0.940350877192982</v>
      </c>
      <c r="AA1037" s="135">
        <v>0.905325443786982</v>
      </c>
      <c r="AB1037" s="135">
        <v>0.786795048143054</v>
      </c>
      <c r="AC1037" s="135">
        <v>0.891498043134316</v>
      </c>
      <c r="AD1037" s="135">
        <v>0.92</v>
      </c>
      <c r="AE1037" s="133">
        <v>0.995583449558345</v>
      </c>
      <c r="AF1037" s="133">
        <v>0.995160314579552</v>
      </c>
      <c r="AG1037" s="133">
        <v>0.996782496782497</v>
      </c>
      <c r="AH1037" s="133">
        <v>0.92852608413509</v>
      </c>
      <c r="AI1037" s="135">
        <v>0.92</v>
      </c>
      <c r="AJ1037" s="133">
        <v>0.957475380483438</v>
      </c>
      <c r="AK1037" s="133">
        <v>0.952317880794702</v>
      </c>
      <c r="AL1037" s="133">
        <v>0.894004282655246</v>
      </c>
      <c r="AM1037" s="133">
        <v>0.942417788250933</v>
      </c>
      <c r="AN1037" s="132">
        <v>0.99</v>
      </c>
      <c r="AO1037" s="137">
        <v>1</v>
      </c>
      <c r="AP1037" s="137">
        <v>1</v>
      </c>
      <c r="AQ1037" s="137">
        <v>1</v>
      </c>
      <c r="AR1037" s="137">
        <v>1</v>
      </c>
      <c r="AS1037" s="158">
        <v>0.0656418488929858</v>
      </c>
      <c r="AT1037" s="141">
        <v>0.04</v>
      </c>
      <c r="AU1037" s="141">
        <v>0</v>
      </c>
      <c r="AV1037" s="141">
        <v>0.0833333333333333</v>
      </c>
      <c r="AW1037" s="141">
        <v>0.0278330019880716</v>
      </c>
      <c r="AX1037" s="95"/>
      <c r="AY1037" s="93"/>
    </row>
    <row r="1038" ht="14.5" spans="1:51">
      <c r="A1038" s="91"/>
      <c r="B1038" s="95"/>
      <c r="C1038" s="180" t="s">
        <v>927</v>
      </c>
      <c r="D1038" s="181" t="s">
        <v>25</v>
      </c>
      <c r="E1038" s="130" t="s">
        <v>928</v>
      </c>
      <c r="F1038" s="184" t="s">
        <v>1067</v>
      </c>
      <c r="G1038" s="185" t="s">
        <v>1067</v>
      </c>
      <c r="H1038" s="185" t="s">
        <v>1067</v>
      </c>
      <c r="I1038" s="185" t="s">
        <v>1067</v>
      </c>
      <c r="J1038" s="132">
        <v>0.9</v>
      </c>
      <c r="K1038" s="133">
        <v>0.892857142857143</v>
      </c>
      <c r="L1038" s="133">
        <v>0.888888888888889</v>
      </c>
      <c r="M1038" s="134">
        <v>0.92</v>
      </c>
      <c r="N1038" s="133">
        <v>0.942740286298569</v>
      </c>
      <c r="O1038" s="135">
        <v>0.9</v>
      </c>
      <c r="P1038" s="133">
        <v>0.964335664335664</v>
      </c>
      <c r="Q1038" s="133">
        <v>0.92</v>
      </c>
      <c r="R1038" s="133">
        <v>0.763588157313301</v>
      </c>
      <c r="S1038" s="133">
        <v>0.934540808657748</v>
      </c>
      <c r="T1038" s="135">
        <v>0.9</v>
      </c>
      <c r="U1038" s="133">
        <v>0.924475524475525</v>
      </c>
      <c r="V1038" s="133">
        <v>0.926511627906977</v>
      </c>
      <c r="W1038" s="133">
        <v>0.832523199292974</v>
      </c>
      <c r="X1038" s="133">
        <v>0.866025351971542</v>
      </c>
      <c r="Y1038" s="135">
        <v>0.92</v>
      </c>
      <c r="Z1038" s="135">
        <v>0.957547169811321</v>
      </c>
      <c r="AA1038" s="135">
        <v>0.912234042553192</v>
      </c>
      <c r="AB1038" s="135">
        <v>0.833333333333333</v>
      </c>
      <c r="AC1038" s="135">
        <v>0.893466626274866</v>
      </c>
      <c r="AD1038" s="135">
        <v>0.92</v>
      </c>
      <c r="AE1038" s="133">
        <v>0.991112141587449</v>
      </c>
      <c r="AF1038" s="133">
        <v>0.993959610530112</v>
      </c>
      <c r="AG1038" s="133">
        <v>0.991776975531488</v>
      </c>
      <c r="AH1038" s="133">
        <v>0.976480407661219</v>
      </c>
      <c r="AI1038" s="135">
        <v>0.92</v>
      </c>
      <c r="AJ1038" s="133">
        <v>0.959341723136496</v>
      </c>
      <c r="AK1038" s="133">
        <v>0.961203483768804</v>
      </c>
      <c r="AL1038" s="133">
        <v>0.945180938731637</v>
      </c>
      <c r="AM1038" s="133">
        <v>0.949667864095206</v>
      </c>
      <c r="AN1038" s="132">
        <v>0.99</v>
      </c>
      <c r="AO1038" s="137">
        <v>1</v>
      </c>
      <c r="AP1038" s="137">
        <v>1</v>
      </c>
      <c r="AQ1038" s="137">
        <v>1</v>
      </c>
      <c r="AR1038" s="137">
        <v>1</v>
      </c>
      <c r="AS1038" s="158">
        <v>0.0656418488929858</v>
      </c>
      <c r="AT1038" s="141">
        <v>0.0434782608695652</v>
      </c>
      <c r="AU1038" s="141">
        <v>0</v>
      </c>
      <c r="AV1038" s="141">
        <v>0</v>
      </c>
      <c r="AW1038" s="141">
        <v>0.0144578313253012</v>
      </c>
      <c r="AX1038" s="95"/>
      <c r="AY1038" s="93"/>
    </row>
    <row r="1039" ht="14.5" spans="1:51">
      <c r="A1039" s="91"/>
      <c r="B1039" s="95"/>
      <c r="C1039" s="180" t="s">
        <v>927</v>
      </c>
      <c r="D1039" s="181" t="s">
        <v>125</v>
      </c>
      <c r="E1039" s="130" t="s">
        <v>928</v>
      </c>
      <c r="F1039" s="184" t="s">
        <v>1068</v>
      </c>
      <c r="G1039" s="185" t="s">
        <v>1068</v>
      </c>
      <c r="H1039" s="185" t="s">
        <v>1068</v>
      </c>
      <c r="I1039" s="185" t="s">
        <v>1068</v>
      </c>
      <c r="J1039" s="132">
        <v>0.9</v>
      </c>
      <c r="K1039" s="133" t="s">
        <v>35</v>
      </c>
      <c r="L1039" s="133" t="s">
        <v>35</v>
      </c>
      <c r="M1039" s="134" t="s">
        <v>35</v>
      </c>
      <c r="N1039" s="133" t="s">
        <v>35</v>
      </c>
      <c r="O1039" s="135">
        <v>0.9</v>
      </c>
      <c r="P1039" s="133" t="s">
        <v>35</v>
      </c>
      <c r="Q1039" s="133" t="s">
        <v>35</v>
      </c>
      <c r="R1039" s="133" t="s">
        <v>35</v>
      </c>
      <c r="S1039" s="133" t="s">
        <v>35</v>
      </c>
      <c r="T1039" s="135">
        <v>0.9</v>
      </c>
      <c r="U1039" s="133" t="s">
        <v>35</v>
      </c>
      <c r="V1039" s="133" t="s">
        <v>35</v>
      </c>
      <c r="W1039" s="133" t="s">
        <v>35</v>
      </c>
      <c r="X1039" s="133" t="s">
        <v>35</v>
      </c>
      <c r="Y1039" s="135">
        <v>0.92</v>
      </c>
      <c r="Z1039" s="135" t="s">
        <v>35</v>
      </c>
      <c r="AA1039" s="135" t="s">
        <v>35</v>
      </c>
      <c r="AB1039" s="135" t="s">
        <v>35</v>
      </c>
      <c r="AC1039" s="135" t="s">
        <v>35</v>
      </c>
      <c r="AD1039" s="135">
        <v>0.92</v>
      </c>
      <c r="AE1039" s="133">
        <v>0.991573033707865</v>
      </c>
      <c r="AF1039" s="133">
        <v>1</v>
      </c>
      <c r="AG1039" s="133">
        <v>1</v>
      </c>
      <c r="AH1039" s="133">
        <v>0.997604790419162</v>
      </c>
      <c r="AI1039" s="135">
        <v>0.92</v>
      </c>
      <c r="AJ1039" s="133" t="s">
        <v>35</v>
      </c>
      <c r="AK1039" s="133" t="s">
        <v>35</v>
      </c>
      <c r="AL1039" s="133" t="s">
        <v>35</v>
      </c>
      <c r="AM1039" s="133" t="s">
        <v>35</v>
      </c>
      <c r="AN1039" s="132">
        <v>0.99</v>
      </c>
      <c r="AO1039" s="137" t="s">
        <v>35</v>
      </c>
      <c r="AP1039" s="137" t="s">
        <v>35</v>
      </c>
      <c r="AQ1039" s="137" t="s">
        <v>35</v>
      </c>
      <c r="AR1039" s="137">
        <v>1</v>
      </c>
      <c r="AS1039" s="158">
        <v>0.0656418488929858</v>
      </c>
      <c r="AT1039" s="141" t="s">
        <v>35</v>
      </c>
      <c r="AU1039" s="141" t="s">
        <v>35</v>
      </c>
      <c r="AV1039" s="141" t="s">
        <v>35</v>
      </c>
      <c r="AW1039" s="141" t="s">
        <v>35</v>
      </c>
      <c r="AX1039" s="95"/>
      <c r="AY1039" s="93"/>
    </row>
    <row r="1040" ht="14.5" spans="1:51">
      <c r="A1040" s="91"/>
      <c r="B1040" s="95"/>
      <c r="C1040" s="180" t="s">
        <v>927</v>
      </c>
      <c r="D1040" s="181" t="s">
        <v>25</v>
      </c>
      <c r="E1040" s="130" t="s">
        <v>928</v>
      </c>
      <c r="F1040" s="184" t="s">
        <v>1069</v>
      </c>
      <c r="G1040" s="185" t="s">
        <v>1069</v>
      </c>
      <c r="H1040" s="185" t="s">
        <v>1069</v>
      </c>
      <c r="I1040" s="185" t="s">
        <v>1069</v>
      </c>
      <c r="J1040" s="132">
        <v>0.9</v>
      </c>
      <c r="K1040" s="133">
        <v>0.944444444444444</v>
      </c>
      <c r="L1040" s="133">
        <v>0.735294117647059</v>
      </c>
      <c r="M1040" s="134">
        <v>0.59375</v>
      </c>
      <c r="N1040" s="133">
        <v>0.861198738170347</v>
      </c>
      <c r="O1040" s="135">
        <v>0.9</v>
      </c>
      <c r="P1040" s="133">
        <v>0.905767250257467</v>
      </c>
      <c r="Q1040" s="133">
        <v>0.873614958448753</v>
      </c>
      <c r="R1040" s="133">
        <v>0.820024198427102</v>
      </c>
      <c r="S1040" s="133">
        <v>0.810672054585804</v>
      </c>
      <c r="T1040" s="135">
        <v>0.9</v>
      </c>
      <c r="U1040" s="133">
        <v>0.877445932028836</v>
      </c>
      <c r="V1040" s="133">
        <v>0.795706371191136</v>
      </c>
      <c r="W1040" s="133">
        <v>0.735632183908046</v>
      </c>
      <c r="X1040" s="133">
        <v>0.826719883408963</v>
      </c>
      <c r="Y1040" s="135">
        <v>0.92</v>
      </c>
      <c r="Z1040" s="135">
        <v>0.929799426934097</v>
      </c>
      <c r="AA1040" s="135">
        <v>0.837974683544304</v>
      </c>
      <c r="AB1040" s="135">
        <v>0.713698630136986</v>
      </c>
      <c r="AC1040" s="135">
        <v>0.883319820151839</v>
      </c>
      <c r="AD1040" s="135">
        <v>0.92</v>
      </c>
      <c r="AE1040" s="133">
        <v>0.997365501941209</v>
      </c>
      <c r="AF1040" s="133">
        <v>0.993259732713539</v>
      </c>
      <c r="AG1040" s="133">
        <v>0.998164014687883</v>
      </c>
      <c r="AH1040" s="133">
        <v>0.968955711305075</v>
      </c>
      <c r="AI1040" s="135">
        <v>0.92</v>
      </c>
      <c r="AJ1040" s="133">
        <v>0.954975406734771</v>
      </c>
      <c r="AK1040" s="133">
        <v>0.910583941605839</v>
      </c>
      <c r="AL1040" s="133">
        <v>0.837007678969532</v>
      </c>
      <c r="AM1040" s="133">
        <v>0.941321945484276</v>
      </c>
      <c r="AN1040" s="132">
        <v>0.99</v>
      </c>
      <c r="AO1040" s="137">
        <v>1</v>
      </c>
      <c r="AP1040" s="137">
        <v>1</v>
      </c>
      <c r="AQ1040" s="137">
        <v>1</v>
      </c>
      <c r="AR1040" s="137">
        <v>1</v>
      </c>
      <c r="AS1040" s="158">
        <v>0.0656418488929858</v>
      </c>
      <c r="AT1040" s="141">
        <v>0.0769230769230769</v>
      </c>
      <c r="AU1040" s="141">
        <v>0.0666666666666667</v>
      </c>
      <c r="AV1040" s="141">
        <v>0.0967741935483871</v>
      </c>
      <c r="AW1040" s="141">
        <v>0.048526863084922</v>
      </c>
      <c r="AX1040" s="95"/>
      <c r="AY1040" s="93"/>
    </row>
    <row r="1041" ht="14.5" spans="1:51">
      <c r="A1041" s="91"/>
      <c r="B1041" s="95"/>
      <c r="C1041" s="180" t="s">
        <v>927</v>
      </c>
      <c r="D1041" s="181" t="s">
        <v>25</v>
      </c>
      <c r="E1041" s="130" t="s">
        <v>928</v>
      </c>
      <c r="F1041" s="184" t="s">
        <v>1070</v>
      </c>
      <c r="G1041" s="185" t="s">
        <v>1070</v>
      </c>
      <c r="H1041" s="185" t="s">
        <v>1070</v>
      </c>
      <c r="I1041" s="185" t="s">
        <v>1070</v>
      </c>
      <c r="J1041" s="132">
        <v>0.9</v>
      </c>
      <c r="K1041" s="133">
        <v>0.947368421052632</v>
      </c>
      <c r="L1041" s="133">
        <v>1</v>
      </c>
      <c r="M1041" s="134">
        <v>0.909090909090909</v>
      </c>
      <c r="N1041" s="133">
        <v>0.955026455026455</v>
      </c>
      <c r="O1041" s="135">
        <v>0.9</v>
      </c>
      <c r="P1041" s="133">
        <v>0.988526037069726</v>
      </c>
      <c r="Q1041" s="133">
        <v>0.995614035087719</v>
      </c>
      <c r="R1041" s="133">
        <v>0.983510638297872</v>
      </c>
      <c r="S1041" s="133">
        <v>0.99076147022983</v>
      </c>
      <c r="T1041" s="135">
        <v>0.9</v>
      </c>
      <c r="U1041" s="133">
        <v>0.932038834951456</v>
      </c>
      <c r="V1041" s="133">
        <v>0.919407894736842</v>
      </c>
      <c r="W1041" s="133">
        <v>0.912234042553192</v>
      </c>
      <c r="X1041" s="133">
        <v>0.903080454558336</v>
      </c>
      <c r="Y1041" s="135">
        <v>0.92</v>
      </c>
      <c r="Z1041" s="135">
        <v>0.932584269662921</v>
      </c>
      <c r="AA1041" s="135">
        <v>0.955752212389381</v>
      </c>
      <c r="AB1041" s="135">
        <v>0.875894988066826</v>
      </c>
      <c r="AC1041" s="135">
        <v>0.924295335495136</v>
      </c>
      <c r="AD1041" s="135">
        <v>0.92</v>
      </c>
      <c r="AE1041" s="133">
        <v>0.99527209571594</v>
      </c>
      <c r="AF1041" s="133">
        <v>0.995496246872394</v>
      </c>
      <c r="AG1041" s="133">
        <v>0.976073953235454</v>
      </c>
      <c r="AH1041" s="133">
        <v>0.959129092077752</v>
      </c>
      <c r="AI1041" s="135">
        <v>0.92</v>
      </c>
      <c r="AJ1041" s="133">
        <v>0.952348993288591</v>
      </c>
      <c r="AK1041" s="133">
        <v>0.955121951219512</v>
      </c>
      <c r="AL1041" s="133">
        <v>0.943018703784254</v>
      </c>
      <c r="AM1041" s="133">
        <v>0.962130833352576</v>
      </c>
      <c r="AN1041" s="132">
        <v>0.99</v>
      </c>
      <c r="AO1041" s="137">
        <v>1</v>
      </c>
      <c r="AP1041" s="137">
        <v>1</v>
      </c>
      <c r="AQ1041" s="137">
        <v>1</v>
      </c>
      <c r="AR1041" s="137">
        <v>1</v>
      </c>
      <c r="AS1041" s="158">
        <v>0.0656418488929858</v>
      </c>
      <c r="AT1041" s="141">
        <v>0</v>
      </c>
      <c r="AU1041" s="141">
        <v>0</v>
      </c>
      <c r="AV1041" s="141">
        <v>0</v>
      </c>
      <c r="AW1041" s="141">
        <v>0.0264026402640264</v>
      </c>
      <c r="AX1041" s="95"/>
      <c r="AY1041" s="93"/>
    </row>
    <row r="1042" ht="14.5" spans="1:51">
      <c r="A1042" s="91"/>
      <c r="B1042" s="95"/>
      <c r="C1042" s="180" t="s">
        <v>927</v>
      </c>
      <c r="D1042" s="181" t="s">
        <v>25</v>
      </c>
      <c r="E1042" s="130" t="s">
        <v>928</v>
      </c>
      <c r="F1042" s="184" t="s">
        <v>1071</v>
      </c>
      <c r="G1042" s="185" t="s">
        <v>1071</v>
      </c>
      <c r="H1042" s="185" t="s">
        <v>1071</v>
      </c>
      <c r="I1042" s="185" t="s">
        <v>1071</v>
      </c>
      <c r="J1042" s="132">
        <v>0.9</v>
      </c>
      <c r="K1042" s="133">
        <v>0.891891891891892</v>
      </c>
      <c r="L1042" s="133">
        <v>0.948717948717949</v>
      </c>
      <c r="M1042" s="134">
        <v>1</v>
      </c>
      <c r="N1042" s="133">
        <v>0.963715529753266</v>
      </c>
      <c r="O1042" s="135">
        <v>0.9</v>
      </c>
      <c r="P1042" s="133">
        <v>0.954566744730679</v>
      </c>
      <c r="Q1042" s="133">
        <v>0.876703439325114</v>
      </c>
      <c r="R1042" s="133">
        <v>0.709508578075022</v>
      </c>
      <c r="S1042" s="133">
        <v>0.846104137385095</v>
      </c>
      <c r="T1042" s="135">
        <v>0.9</v>
      </c>
      <c r="U1042" s="133">
        <v>0.874941451990632</v>
      </c>
      <c r="V1042" s="133">
        <v>0.865671641791045</v>
      </c>
      <c r="W1042" s="133">
        <v>0.740913056120965</v>
      </c>
      <c r="X1042" s="133">
        <v>0.843745456307856</v>
      </c>
      <c r="Y1042" s="135">
        <v>0.92</v>
      </c>
      <c r="Z1042" s="135">
        <v>0.918238993710692</v>
      </c>
      <c r="AA1042" s="135">
        <v>0.833746898263027</v>
      </c>
      <c r="AB1042" s="135">
        <v>0.630512514898689</v>
      </c>
      <c r="AC1042" s="135">
        <v>0.874338157430286</v>
      </c>
      <c r="AD1042" s="135">
        <v>0.92</v>
      </c>
      <c r="AE1042" s="133">
        <v>0.999779662884213</v>
      </c>
      <c r="AF1042" s="133">
        <v>0.998595176773589</v>
      </c>
      <c r="AG1042" s="133">
        <v>0.995444444444444</v>
      </c>
      <c r="AH1042" s="133">
        <v>0.982057601446538</v>
      </c>
      <c r="AI1042" s="135">
        <v>0.92</v>
      </c>
      <c r="AJ1042" s="133">
        <v>0.946757679180887</v>
      </c>
      <c r="AK1042" s="133">
        <v>0.927403156384505</v>
      </c>
      <c r="AL1042" s="133">
        <v>0.826086956521739</v>
      </c>
      <c r="AM1042" s="133">
        <v>0.938698778708244</v>
      </c>
      <c r="AN1042" s="132">
        <v>0.99</v>
      </c>
      <c r="AO1042" s="137">
        <v>1</v>
      </c>
      <c r="AP1042" s="137">
        <v>1</v>
      </c>
      <c r="AQ1042" s="137">
        <v>1</v>
      </c>
      <c r="AR1042" s="137">
        <v>0.999552572706935</v>
      </c>
      <c r="AS1042" s="158">
        <v>0.0656418488929858</v>
      </c>
      <c r="AT1042" s="141">
        <v>0.19047619047619</v>
      </c>
      <c r="AU1042" s="141">
        <v>0.0740740740740741</v>
      </c>
      <c r="AV1042" s="141">
        <v>0.0476190476190476</v>
      </c>
      <c r="AW1042" s="141">
        <v>0.0563106796116505</v>
      </c>
      <c r="AX1042" s="95"/>
      <c r="AY1042" s="93"/>
    </row>
    <row r="1043" ht="14.5" spans="1:51">
      <c r="A1043" s="91"/>
      <c r="B1043" s="95"/>
      <c r="C1043" s="180" t="s">
        <v>927</v>
      </c>
      <c r="D1043" s="181" t="s">
        <v>25</v>
      </c>
      <c r="E1043" s="130" t="s">
        <v>928</v>
      </c>
      <c r="F1043" s="184" t="s">
        <v>1072</v>
      </c>
      <c r="G1043" s="185" t="s">
        <v>1072</v>
      </c>
      <c r="H1043" s="185" t="s">
        <v>1072</v>
      </c>
      <c r="I1043" s="185" t="s">
        <v>1072</v>
      </c>
      <c r="J1043" s="132">
        <v>0.9</v>
      </c>
      <c r="K1043" s="133">
        <v>0.948717948717949</v>
      </c>
      <c r="L1043" s="133">
        <v>0.975609756097561</v>
      </c>
      <c r="M1043" s="134">
        <v>0.975</v>
      </c>
      <c r="N1043" s="133">
        <v>0.967567567567568</v>
      </c>
      <c r="O1043" s="135">
        <v>0.9</v>
      </c>
      <c r="P1043" s="133">
        <v>0.948350071736011</v>
      </c>
      <c r="Q1043" s="133">
        <v>0.912890967553347</v>
      </c>
      <c r="R1043" s="133">
        <v>0.767630370170224</v>
      </c>
      <c r="S1043" s="133">
        <v>0.901395417156287</v>
      </c>
      <c r="T1043" s="135">
        <v>0.9</v>
      </c>
      <c r="U1043" s="133">
        <v>0.895743663318986</v>
      </c>
      <c r="V1043" s="133">
        <v>0.804735457468576</v>
      </c>
      <c r="W1043" s="133">
        <v>0.665495811942718</v>
      </c>
      <c r="X1043" s="133">
        <v>0.778642773207991</v>
      </c>
      <c r="Y1043" s="135">
        <v>0.92</v>
      </c>
      <c r="Z1043" s="135">
        <v>0.921363040629096</v>
      </c>
      <c r="AA1043" s="135">
        <v>0.865525672371638</v>
      </c>
      <c r="AB1043" s="135">
        <v>0.710743801652893</v>
      </c>
      <c r="AC1043" s="135">
        <v>0.855268286345329</v>
      </c>
      <c r="AD1043" s="135">
        <v>0.92</v>
      </c>
      <c r="AE1043" s="133">
        <v>0.999596122778675</v>
      </c>
      <c r="AF1043" s="133">
        <v>0.999106584472438</v>
      </c>
      <c r="AG1043" s="133">
        <v>0.99860529986053</v>
      </c>
      <c r="AH1043" s="133">
        <v>0.987766283476977</v>
      </c>
      <c r="AI1043" s="135">
        <v>0.92</v>
      </c>
      <c r="AJ1043" s="133">
        <v>0.955897794889744</v>
      </c>
      <c r="AK1043" s="133">
        <v>0.94598121085595</v>
      </c>
      <c r="AL1043" s="133">
        <v>0.876236535502308</v>
      </c>
      <c r="AM1043" s="133">
        <v>0.939473053892216</v>
      </c>
      <c r="AN1043" s="132">
        <v>0.99</v>
      </c>
      <c r="AO1043" s="137">
        <v>1</v>
      </c>
      <c r="AP1043" s="137">
        <v>1</v>
      </c>
      <c r="AQ1043" s="137">
        <v>1</v>
      </c>
      <c r="AR1043" s="137">
        <v>1</v>
      </c>
      <c r="AS1043" s="158">
        <v>0.0656418488929858</v>
      </c>
      <c r="AT1043" s="141">
        <v>0</v>
      </c>
      <c r="AU1043" s="141">
        <v>0.0384615384615385</v>
      </c>
      <c r="AV1043" s="141">
        <v>0.0384615384615385</v>
      </c>
      <c r="AW1043" s="141">
        <v>0.0335820895522388</v>
      </c>
      <c r="AX1043" s="95"/>
      <c r="AY1043" s="93"/>
    </row>
    <row r="1044" ht="14.5" spans="1:51">
      <c r="A1044" s="91"/>
      <c r="B1044" s="95"/>
      <c r="C1044" s="180" t="s">
        <v>927</v>
      </c>
      <c r="D1044" s="181" t="s">
        <v>25</v>
      </c>
      <c r="E1044" s="130" t="s">
        <v>928</v>
      </c>
      <c r="F1044" s="184" t="s">
        <v>1073</v>
      </c>
      <c r="G1044" s="185" t="s">
        <v>1073</v>
      </c>
      <c r="H1044" s="185" t="s">
        <v>1073</v>
      </c>
      <c r="I1044" s="185" t="s">
        <v>1073</v>
      </c>
      <c r="J1044" s="132">
        <v>0.9</v>
      </c>
      <c r="K1044" s="133">
        <v>1</v>
      </c>
      <c r="L1044" s="133">
        <v>1</v>
      </c>
      <c r="M1044" s="134">
        <v>0.9</v>
      </c>
      <c r="N1044" s="133">
        <v>0.919003115264797</v>
      </c>
      <c r="O1044" s="135">
        <v>0.9</v>
      </c>
      <c r="P1044" s="133">
        <v>0.908902691511387</v>
      </c>
      <c r="Q1044" s="133">
        <v>0.926620246384574</v>
      </c>
      <c r="R1044" s="133">
        <v>0.931551804969526</v>
      </c>
      <c r="S1044" s="133">
        <v>0.898333588136371</v>
      </c>
      <c r="T1044" s="135">
        <v>0.9</v>
      </c>
      <c r="U1044" s="133">
        <v>0.822981366459627</v>
      </c>
      <c r="V1044" s="133">
        <v>0.863417246920193</v>
      </c>
      <c r="W1044" s="133">
        <v>0.839193624003751</v>
      </c>
      <c r="X1044" s="133">
        <v>0.812847169138256</v>
      </c>
      <c r="Y1044" s="135">
        <v>0.92</v>
      </c>
      <c r="Z1044" s="135" t="s">
        <v>35</v>
      </c>
      <c r="AA1044" s="135" t="s">
        <v>35</v>
      </c>
      <c r="AB1044" s="135" t="s">
        <v>35</v>
      </c>
      <c r="AC1044" s="135" t="s">
        <v>35</v>
      </c>
      <c r="AD1044" s="135">
        <v>0.92</v>
      </c>
      <c r="AE1044" s="133">
        <v>0.997955010224949</v>
      </c>
      <c r="AF1044" s="133">
        <v>1</v>
      </c>
      <c r="AG1044" s="133">
        <v>0.993362831858407</v>
      </c>
      <c r="AH1044" s="133">
        <v>0.995708154506438</v>
      </c>
      <c r="AI1044" s="135">
        <v>0.92</v>
      </c>
      <c r="AJ1044" s="133">
        <v>0.870600414078675</v>
      </c>
      <c r="AK1044" s="133">
        <v>0.954472415640064</v>
      </c>
      <c r="AL1044" s="133">
        <v>0.952180028129395</v>
      </c>
      <c r="AM1044" s="133">
        <v>0.949856039952098</v>
      </c>
      <c r="AN1044" s="132">
        <v>0.99</v>
      </c>
      <c r="AO1044" s="137">
        <v>1</v>
      </c>
      <c r="AP1044" s="137">
        <v>1</v>
      </c>
      <c r="AQ1044" s="137">
        <v>1</v>
      </c>
      <c r="AR1044" s="137">
        <v>1</v>
      </c>
      <c r="AS1044" s="158">
        <v>0.0656418488929858</v>
      </c>
      <c r="AT1044" s="141">
        <v>0</v>
      </c>
      <c r="AU1044" s="141">
        <v>0</v>
      </c>
      <c r="AV1044" s="141">
        <v>0.2</v>
      </c>
      <c r="AW1044" s="141">
        <v>0.0673076923076923</v>
      </c>
      <c r="AX1044" s="95"/>
      <c r="AY1044" s="93"/>
    </row>
    <row r="1045" ht="14.5" spans="1:51">
      <c r="A1045" s="91"/>
      <c r="B1045" s="95"/>
      <c r="C1045" s="180" t="s">
        <v>927</v>
      </c>
      <c r="D1045" s="181" t="s">
        <v>25</v>
      </c>
      <c r="E1045" s="130" t="s">
        <v>928</v>
      </c>
      <c r="F1045" s="184" t="s">
        <v>1074</v>
      </c>
      <c r="G1045" s="185" t="s">
        <v>1074</v>
      </c>
      <c r="H1045" s="185" t="s">
        <v>1074</v>
      </c>
      <c r="I1045" s="185" t="s">
        <v>1074</v>
      </c>
      <c r="J1045" s="132">
        <v>0.9</v>
      </c>
      <c r="K1045" s="133">
        <v>0.961538461538462</v>
      </c>
      <c r="L1045" s="133">
        <v>0.962962962962963</v>
      </c>
      <c r="M1045" s="134">
        <v>0.928571428571429</v>
      </c>
      <c r="N1045" s="133">
        <v>0.963114754098361</v>
      </c>
      <c r="O1045" s="135">
        <v>0.9</v>
      </c>
      <c r="P1045" s="133">
        <v>0.89242745930644</v>
      </c>
      <c r="Q1045" s="133">
        <v>0.935120435120435</v>
      </c>
      <c r="R1045" s="133">
        <v>0.947966919365955</v>
      </c>
      <c r="S1045" s="133">
        <v>0.955895154270239</v>
      </c>
      <c r="T1045" s="135">
        <v>0.9</v>
      </c>
      <c r="U1045" s="133">
        <v>0.925690021231423</v>
      </c>
      <c r="V1045" s="133">
        <v>0.938616938616939</v>
      </c>
      <c r="W1045" s="133">
        <v>0.93762922122674</v>
      </c>
      <c r="X1045" s="133">
        <v>0.925099139181739</v>
      </c>
      <c r="Y1045" s="135">
        <v>0.92</v>
      </c>
      <c r="Z1045" s="135" t="s">
        <v>35</v>
      </c>
      <c r="AA1045" s="135" t="s">
        <v>35</v>
      </c>
      <c r="AB1045" s="135" t="s">
        <v>35</v>
      </c>
      <c r="AC1045" s="135" t="s">
        <v>35</v>
      </c>
      <c r="AD1045" s="135">
        <v>0.92</v>
      </c>
      <c r="AE1045" s="133">
        <v>1</v>
      </c>
      <c r="AF1045" s="133">
        <v>0.98729792147806</v>
      </c>
      <c r="AG1045" s="133">
        <v>0.995037220843672</v>
      </c>
      <c r="AH1045" s="133">
        <v>0.986870897155361</v>
      </c>
      <c r="AI1045" s="135">
        <v>0.92</v>
      </c>
      <c r="AJ1045" s="133">
        <v>0.94692144373673</v>
      </c>
      <c r="AK1045" s="133">
        <v>0.963092463092463</v>
      </c>
      <c r="AL1045" s="133">
        <v>0.964162646450724</v>
      </c>
      <c r="AM1045" s="133">
        <v>0.965414522805524</v>
      </c>
      <c r="AN1045" s="132">
        <v>0.99</v>
      </c>
      <c r="AO1045" s="137">
        <v>1</v>
      </c>
      <c r="AP1045" s="137">
        <v>1</v>
      </c>
      <c r="AQ1045" s="137">
        <v>1</v>
      </c>
      <c r="AR1045" s="137">
        <v>1</v>
      </c>
      <c r="AS1045" s="158">
        <v>0.0656418488929858</v>
      </c>
      <c r="AT1045" s="141">
        <v>0</v>
      </c>
      <c r="AU1045" s="141">
        <v>0</v>
      </c>
      <c r="AV1045" s="141">
        <v>0</v>
      </c>
      <c r="AW1045" s="141">
        <v>0.0588235294117647</v>
      </c>
      <c r="AX1045" s="95"/>
      <c r="AY1045" s="93"/>
    </row>
    <row r="1046" ht="14.5" spans="1:51">
      <c r="A1046" s="91"/>
      <c r="B1046" s="95"/>
      <c r="C1046" s="180" t="s">
        <v>927</v>
      </c>
      <c r="D1046" s="181" t="s">
        <v>25</v>
      </c>
      <c r="E1046" s="130" t="s">
        <v>928</v>
      </c>
      <c r="F1046" s="188" t="s">
        <v>1075</v>
      </c>
      <c r="G1046" s="189" t="s">
        <v>1075</v>
      </c>
      <c r="H1046" s="189" t="s">
        <v>1075</v>
      </c>
      <c r="I1046" s="189" t="s">
        <v>1075</v>
      </c>
      <c r="J1046" s="132">
        <v>0.9</v>
      </c>
      <c r="K1046" s="133">
        <v>1</v>
      </c>
      <c r="L1046" s="133">
        <v>0.966666666666667</v>
      </c>
      <c r="M1046" s="134">
        <v>1</v>
      </c>
      <c r="N1046" s="133">
        <v>0.984962406015038</v>
      </c>
      <c r="O1046" s="135">
        <v>0.9</v>
      </c>
      <c r="P1046" s="133">
        <v>0.941625750136388</v>
      </c>
      <c r="Q1046" s="133">
        <v>0.938479065793221</v>
      </c>
      <c r="R1046" s="133">
        <v>0.945264765784114</v>
      </c>
      <c r="S1046" s="133">
        <v>0.951539952616843</v>
      </c>
      <c r="T1046" s="135">
        <v>0.9</v>
      </c>
      <c r="U1046" s="133">
        <v>0.929078014184397</v>
      </c>
      <c r="V1046" s="133">
        <v>0.917117630304756</v>
      </c>
      <c r="W1046" s="133">
        <v>0.904276985743381</v>
      </c>
      <c r="X1046" s="133">
        <v>0.91402110704286</v>
      </c>
      <c r="Y1046" s="135">
        <v>0.92</v>
      </c>
      <c r="Z1046" s="135" t="s">
        <v>35</v>
      </c>
      <c r="AA1046" s="135" t="s">
        <v>35</v>
      </c>
      <c r="AB1046" s="135" t="s">
        <v>35</v>
      </c>
      <c r="AC1046" s="135">
        <v>1</v>
      </c>
      <c r="AD1046" s="135">
        <v>0.92</v>
      </c>
      <c r="AE1046" s="133">
        <v>1</v>
      </c>
      <c r="AF1046" s="133">
        <v>1</v>
      </c>
      <c r="AG1046" s="133">
        <v>0.999357945425361</v>
      </c>
      <c r="AH1046" s="133">
        <v>0.997365691423679</v>
      </c>
      <c r="AI1046" s="135">
        <v>0.92</v>
      </c>
      <c r="AJ1046" s="133">
        <v>0.955810147299509</v>
      </c>
      <c r="AK1046" s="133">
        <v>0.963553530751708</v>
      </c>
      <c r="AL1046" s="133">
        <v>0.955725190839695</v>
      </c>
      <c r="AM1046" s="133">
        <v>0.970279971284996</v>
      </c>
      <c r="AN1046" s="132">
        <v>0.99</v>
      </c>
      <c r="AO1046" s="137">
        <v>1</v>
      </c>
      <c r="AP1046" s="137">
        <v>1</v>
      </c>
      <c r="AQ1046" s="137">
        <v>1</v>
      </c>
      <c r="AR1046" s="137">
        <v>1</v>
      </c>
      <c r="AS1046" s="158">
        <v>0.0656418488929858</v>
      </c>
      <c r="AT1046" s="141">
        <v>0</v>
      </c>
      <c r="AU1046" s="141">
        <v>0.0555555555555556</v>
      </c>
      <c r="AV1046" s="141">
        <v>0</v>
      </c>
      <c r="AW1046" s="141">
        <v>0.0609137055837563</v>
      </c>
      <c r="AX1046" s="95"/>
      <c r="AY1046" s="93"/>
    </row>
    <row r="1047" ht="14.5" spans="1:51">
      <c r="A1047" s="91"/>
      <c r="B1047" s="95"/>
      <c r="C1047" s="180" t="s">
        <v>927</v>
      </c>
      <c r="D1047" s="181" t="s">
        <v>25</v>
      </c>
      <c r="E1047" s="130" t="s">
        <v>928</v>
      </c>
      <c r="F1047" s="184" t="s">
        <v>1076</v>
      </c>
      <c r="G1047" s="185" t="s">
        <v>1076</v>
      </c>
      <c r="H1047" s="185" t="s">
        <v>1076</v>
      </c>
      <c r="I1047" s="185" t="s">
        <v>1076</v>
      </c>
      <c r="J1047" s="132">
        <v>0.9</v>
      </c>
      <c r="K1047" s="133">
        <v>0.857142857142857</v>
      </c>
      <c r="L1047" s="133">
        <v>0.941176470588235</v>
      </c>
      <c r="M1047" s="134">
        <v>1</v>
      </c>
      <c r="N1047" s="133">
        <v>0.903448275862069</v>
      </c>
      <c r="O1047" s="135">
        <v>0.9</v>
      </c>
      <c r="P1047" s="133">
        <v>0.934143870314083</v>
      </c>
      <c r="Q1047" s="133">
        <v>0.952066115702479</v>
      </c>
      <c r="R1047" s="133">
        <v>0.973537604456824</v>
      </c>
      <c r="S1047" s="133">
        <v>0.942784689753546</v>
      </c>
      <c r="T1047" s="135">
        <v>0.9</v>
      </c>
      <c r="U1047" s="133">
        <v>0.850050658561297</v>
      </c>
      <c r="V1047" s="133">
        <v>0.928374655647383</v>
      </c>
      <c r="W1047" s="133">
        <v>0.915041782729805</v>
      </c>
      <c r="X1047" s="133">
        <v>0.904297752066989</v>
      </c>
      <c r="Y1047" s="135">
        <v>0.92</v>
      </c>
      <c r="Z1047" s="135" t="s">
        <v>35</v>
      </c>
      <c r="AA1047" s="135" t="s">
        <v>35</v>
      </c>
      <c r="AB1047" s="135" t="s">
        <v>35</v>
      </c>
      <c r="AC1047" s="135" t="s">
        <v>35</v>
      </c>
      <c r="AD1047" s="135">
        <v>0.92</v>
      </c>
      <c r="AE1047" s="133">
        <v>1</v>
      </c>
      <c r="AF1047" s="133">
        <v>1</v>
      </c>
      <c r="AG1047" s="133">
        <v>1</v>
      </c>
      <c r="AH1047" s="133">
        <v>0.995546896743668</v>
      </c>
      <c r="AI1047" s="135">
        <v>0.92</v>
      </c>
      <c r="AJ1047" s="133">
        <v>0.924012158054711</v>
      </c>
      <c r="AK1047" s="133">
        <v>0.966942148760331</v>
      </c>
      <c r="AL1047" s="133">
        <v>0.970287836583101</v>
      </c>
      <c r="AM1047" s="133">
        <v>0.965501756610402</v>
      </c>
      <c r="AN1047" s="132">
        <v>0.99</v>
      </c>
      <c r="AO1047" s="137">
        <v>1</v>
      </c>
      <c r="AP1047" s="137">
        <v>1</v>
      </c>
      <c r="AQ1047" s="137">
        <v>1</v>
      </c>
      <c r="AR1047" s="137">
        <v>1</v>
      </c>
      <c r="AS1047" s="158">
        <v>0.0656418488929858</v>
      </c>
      <c r="AT1047" s="141" t="s">
        <v>35</v>
      </c>
      <c r="AU1047" s="141">
        <v>0.666666666666667</v>
      </c>
      <c r="AV1047" s="141">
        <v>0</v>
      </c>
      <c r="AW1047" s="141">
        <v>0.0377358490566038</v>
      </c>
      <c r="AX1047" s="95"/>
      <c r="AY1047" s="93"/>
    </row>
    <row r="1048" ht="14.5" spans="1:51">
      <c r="A1048" s="91"/>
      <c r="B1048" s="95"/>
      <c r="C1048" s="180" t="s">
        <v>927</v>
      </c>
      <c r="D1048" s="181" t="s">
        <v>25</v>
      </c>
      <c r="E1048" s="130" t="s">
        <v>928</v>
      </c>
      <c r="F1048" s="184" t="s">
        <v>1077</v>
      </c>
      <c r="G1048" s="185" t="s">
        <v>1077</v>
      </c>
      <c r="H1048" s="185" t="s">
        <v>1077</v>
      </c>
      <c r="I1048" s="185" t="s">
        <v>1077</v>
      </c>
      <c r="J1048" s="132">
        <v>0.9</v>
      </c>
      <c r="K1048" s="133">
        <v>1</v>
      </c>
      <c r="L1048" s="133">
        <v>0.909090909090909</v>
      </c>
      <c r="M1048" s="134">
        <v>0.818181818181818</v>
      </c>
      <c r="N1048" s="133">
        <v>0.964102564102564</v>
      </c>
      <c r="O1048" s="135">
        <v>0.9</v>
      </c>
      <c r="P1048" s="133">
        <v>0.90916955017301</v>
      </c>
      <c r="Q1048" s="133">
        <v>0.924100542138985</v>
      </c>
      <c r="R1048" s="133">
        <v>0.79012894619831</v>
      </c>
      <c r="S1048" s="133">
        <v>0.932154541205795</v>
      </c>
      <c r="T1048" s="135">
        <v>0.9</v>
      </c>
      <c r="U1048" s="133">
        <v>0.910899653979239</v>
      </c>
      <c r="V1048" s="133">
        <v>0.914736323311976</v>
      </c>
      <c r="W1048" s="133">
        <v>0.900400177856825</v>
      </c>
      <c r="X1048" s="133">
        <v>0.897673573246092</v>
      </c>
      <c r="Y1048" s="135">
        <v>0.92</v>
      </c>
      <c r="Z1048" s="135" t="s">
        <v>35</v>
      </c>
      <c r="AA1048" s="135" t="s">
        <v>35</v>
      </c>
      <c r="AB1048" s="135" t="s">
        <v>35</v>
      </c>
      <c r="AC1048" s="135" t="s">
        <v>35</v>
      </c>
      <c r="AD1048" s="135">
        <v>0.92</v>
      </c>
      <c r="AE1048" s="133">
        <v>0.995056497175141</v>
      </c>
      <c r="AF1048" s="133">
        <v>0.998262380538662</v>
      </c>
      <c r="AG1048" s="133">
        <v>0.998587570621469</v>
      </c>
      <c r="AH1048" s="133">
        <v>0.996297702677046</v>
      </c>
      <c r="AI1048" s="135">
        <v>0.92</v>
      </c>
      <c r="AJ1048" s="133">
        <v>0.963667820069204</v>
      </c>
      <c r="AK1048" s="133">
        <v>0.96256157635468</v>
      </c>
      <c r="AL1048" s="133">
        <v>0.971098265895954</v>
      </c>
      <c r="AM1048" s="133">
        <v>0.964484137286463</v>
      </c>
      <c r="AN1048" s="132">
        <v>0.99</v>
      </c>
      <c r="AO1048" s="137">
        <v>1</v>
      </c>
      <c r="AP1048" s="137">
        <v>1</v>
      </c>
      <c r="AQ1048" s="137">
        <v>1</v>
      </c>
      <c r="AR1048" s="137">
        <v>1</v>
      </c>
      <c r="AS1048" s="158">
        <v>0.0656418488929858</v>
      </c>
      <c r="AT1048" s="141">
        <v>0.142857142857143</v>
      </c>
      <c r="AU1048" s="141">
        <v>0.428571428571429</v>
      </c>
      <c r="AV1048" s="141">
        <v>0</v>
      </c>
      <c r="AW1048" s="141">
        <v>0.0697674418604651</v>
      </c>
      <c r="AX1048" s="95"/>
      <c r="AY1048" s="93"/>
    </row>
    <row r="1049" ht="14.5" spans="1:51">
      <c r="A1049" s="91"/>
      <c r="B1049" s="95"/>
      <c r="C1049" s="180" t="s">
        <v>927</v>
      </c>
      <c r="D1049" s="181" t="s">
        <v>25</v>
      </c>
      <c r="E1049" s="130" t="s">
        <v>928</v>
      </c>
      <c r="F1049" s="184" t="s">
        <v>1078</v>
      </c>
      <c r="G1049" s="185" t="s">
        <v>1078</v>
      </c>
      <c r="H1049" s="185" t="s">
        <v>1078</v>
      </c>
      <c r="I1049" s="185" t="s">
        <v>1078</v>
      </c>
      <c r="J1049" s="132">
        <v>0.9</v>
      </c>
      <c r="K1049" s="133">
        <v>0.916666666666667</v>
      </c>
      <c r="L1049" s="133">
        <v>0.944444444444444</v>
      </c>
      <c r="M1049" s="134">
        <v>0.971428571428571</v>
      </c>
      <c r="N1049" s="133">
        <v>0.965909090909091</v>
      </c>
      <c r="O1049" s="135">
        <v>0.9</v>
      </c>
      <c r="P1049" s="133">
        <v>0.925692083535697</v>
      </c>
      <c r="Q1049" s="133">
        <v>0.943331576172905</v>
      </c>
      <c r="R1049" s="133">
        <v>0.930922693266833</v>
      </c>
      <c r="S1049" s="133">
        <v>0.955386692790384</v>
      </c>
      <c r="T1049" s="135">
        <v>0.9</v>
      </c>
      <c r="U1049" s="133">
        <v>0.901894123360855</v>
      </c>
      <c r="V1049" s="133">
        <v>0.921982076963627</v>
      </c>
      <c r="W1049" s="133">
        <v>0.906982543640898</v>
      </c>
      <c r="X1049" s="133">
        <v>0.924157377743652</v>
      </c>
      <c r="Y1049" s="135">
        <v>0.92</v>
      </c>
      <c r="Z1049" s="135" t="s">
        <v>35</v>
      </c>
      <c r="AA1049" s="135" t="s">
        <v>35</v>
      </c>
      <c r="AB1049" s="135" t="s">
        <v>35</v>
      </c>
      <c r="AC1049" s="135" t="s">
        <v>35</v>
      </c>
      <c r="AD1049" s="135">
        <v>0.92</v>
      </c>
      <c r="AE1049" s="133">
        <v>0.998663101604278</v>
      </c>
      <c r="AF1049" s="133">
        <v>0.998407643312102</v>
      </c>
      <c r="AG1049" s="133">
        <v>0.985479186834463</v>
      </c>
      <c r="AH1049" s="133">
        <v>0.995290173225832</v>
      </c>
      <c r="AI1049" s="135">
        <v>0.92</v>
      </c>
      <c r="AJ1049" s="133">
        <v>0.923749392909179</v>
      </c>
      <c r="AK1049" s="133">
        <v>0.945967316816025</v>
      </c>
      <c r="AL1049" s="133">
        <v>0.933183744702069</v>
      </c>
      <c r="AM1049" s="133">
        <v>0.961041539805671</v>
      </c>
      <c r="AN1049" s="132">
        <v>0.99</v>
      </c>
      <c r="AO1049" s="137">
        <v>1</v>
      </c>
      <c r="AP1049" s="137">
        <v>1</v>
      </c>
      <c r="AQ1049" s="137">
        <v>1</v>
      </c>
      <c r="AR1049" s="137">
        <v>1</v>
      </c>
      <c r="AS1049" s="158">
        <v>0.0656418488929858</v>
      </c>
      <c r="AT1049" s="141">
        <v>0</v>
      </c>
      <c r="AU1049" s="141">
        <v>0.142857142857143</v>
      </c>
      <c r="AV1049" s="141">
        <v>0</v>
      </c>
      <c r="AW1049" s="141">
        <v>0.0716612377850163</v>
      </c>
      <c r="AX1049" s="95"/>
      <c r="AY1049" s="93"/>
    </row>
    <row r="1050" ht="14.5" spans="1:51">
      <c r="A1050" s="91"/>
      <c r="B1050" s="95"/>
      <c r="C1050" s="180" t="s">
        <v>927</v>
      </c>
      <c r="D1050" s="181" t="s">
        <v>25</v>
      </c>
      <c r="E1050" s="130" t="s">
        <v>928</v>
      </c>
      <c r="F1050" s="184" t="s">
        <v>1079</v>
      </c>
      <c r="G1050" s="185" t="s">
        <v>1079</v>
      </c>
      <c r="H1050" s="185" t="s">
        <v>1079</v>
      </c>
      <c r="I1050" s="185" t="s">
        <v>1079</v>
      </c>
      <c r="J1050" s="132">
        <v>0.9</v>
      </c>
      <c r="K1050" s="133">
        <v>1</v>
      </c>
      <c r="L1050" s="133">
        <v>1</v>
      </c>
      <c r="M1050" s="134">
        <v>0.933333333333333</v>
      </c>
      <c r="N1050" s="133">
        <v>0.985355648535565</v>
      </c>
      <c r="O1050" s="135">
        <v>0.9</v>
      </c>
      <c r="P1050" s="133">
        <v>0.931600547195622</v>
      </c>
      <c r="Q1050" s="133">
        <v>0.96532012195122</v>
      </c>
      <c r="R1050" s="133">
        <v>0.915488099344602</v>
      </c>
      <c r="S1050" s="133">
        <v>0.957686484304027</v>
      </c>
      <c r="T1050" s="135">
        <v>0.9</v>
      </c>
      <c r="U1050" s="133">
        <v>0.918604651162791</v>
      </c>
      <c r="V1050" s="133">
        <v>0.908536585365854</v>
      </c>
      <c r="W1050" s="133">
        <v>0.924456709210072</v>
      </c>
      <c r="X1050" s="133">
        <v>0.924053699404461</v>
      </c>
      <c r="Y1050" s="135">
        <v>0.92</v>
      </c>
      <c r="Z1050" s="135" t="s">
        <v>35</v>
      </c>
      <c r="AA1050" s="135" t="s">
        <v>35</v>
      </c>
      <c r="AB1050" s="135" t="s">
        <v>35</v>
      </c>
      <c r="AC1050" s="135" t="s">
        <v>35</v>
      </c>
      <c r="AD1050" s="135">
        <v>0.92</v>
      </c>
      <c r="AE1050" s="133">
        <v>0.997242140099283</v>
      </c>
      <c r="AF1050" s="133">
        <v>0.997074801504388</v>
      </c>
      <c r="AG1050" s="133">
        <v>0.999623493975904</v>
      </c>
      <c r="AH1050" s="133">
        <v>0.995663254819748</v>
      </c>
      <c r="AI1050" s="135">
        <v>0.92</v>
      </c>
      <c r="AJ1050" s="133">
        <v>0.930916552667579</v>
      </c>
      <c r="AK1050" s="133">
        <v>0.964176829268293</v>
      </c>
      <c r="AL1050" s="133">
        <v>0.959296309072094</v>
      </c>
      <c r="AM1050" s="133">
        <v>0.965297965116279</v>
      </c>
      <c r="AN1050" s="132">
        <v>0.99</v>
      </c>
      <c r="AO1050" s="137">
        <v>1</v>
      </c>
      <c r="AP1050" s="137">
        <v>1</v>
      </c>
      <c r="AQ1050" s="137">
        <v>1</v>
      </c>
      <c r="AR1050" s="137">
        <v>1</v>
      </c>
      <c r="AS1050" s="158">
        <v>0.0656418488929858</v>
      </c>
      <c r="AT1050" s="141">
        <v>0.2</v>
      </c>
      <c r="AU1050" s="141">
        <v>1</v>
      </c>
      <c r="AV1050" s="141">
        <v>0</v>
      </c>
      <c r="AW1050" s="141">
        <v>0.110294117647059</v>
      </c>
      <c r="AX1050" s="95"/>
      <c r="AY1050" s="93"/>
    </row>
    <row r="1051" ht="14.5" spans="1:51">
      <c r="A1051" s="91"/>
      <c r="B1051" s="95"/>
      <c r="C1051" s="180" t="s">
        <v>927</v>
      </c>
      <c r="D1051" s="181" t="s">
        <v>25</v>
      </c>
      <c r="E1051" s="130" t="s">
        <v>928</v>
      </c>
      <c r="F1051" s="188" t="s">
        <v>1080</v>
      </c>
      <c r="G1051" s="189" t="s">
        <v>1080</v>
      </c>
      <c r="H1051" s="189" t="s">
        <v>1080</v>
      </c>
      <c r="I1051" s="189" t="s">
        <v>1080</v>
      </c>
      <c r="J1051" s="132">
        <v>0.9</v>
      </c>
      <c r="K1051" s="133">
        <v>0.875</v>
      </c>
      <c r="L1051" s="133">
        <v>0.888888888888889</v>
      </c>
      <c r="M1051" s="134">
        <v>0.736842105263158</v>
      </c>
      <c r="N1051" s="133">
        <v>0.889230769230769</v>
      </c>
      <c r="O1051" s="135">
        <v>0.9</v>
      </c>
      <c r="P1051" s="133">
        <v>0.95632183908046</v>
      </c>
      <c r="Q1051" s="133">
        <v>0.959677419354839</v>
      </c>
      <c r="R1051" s="133">
        <v>0.968553459119497</v>
      </c>
      <c r="S1051" s="133">
        <v>0.946757202690697</v>
      </c>
      <c r="T1051" s="135">
        <v>0.9</v>
      </c>
      <c r="U1051" s="133">
        <v>0.745977011494253</v>
      </c>
      <c r="V1051" s="133">
        <v>0.930779569892473</v>
      </c>
      <c r="W1051" s="133">
        <v>0.935391652372784</v>
      </c>
      <c r="X1051" s="133">
        <v>0.894783601979947</v>
      </c>
      <c r="Y1051" s="135">
        <v>0.92</v>
      </c>
      <c r="Z1051" s="135" t="s">
        <v>35</v>
      </c>
      <c r="AA1051" s="135" t="s">
        <v>35</v>
      </c>
      <c r="AB1051" s="135" t="s">
        <v>35</v>
      </c>
      <c r="AC1051" s="135" t="s">
        <v>35</v>
      </c>
      <c r="AD1051" s="135">
        <v>0.92</v>
      </c>
      <c r="AE1051" s="133">
        <v>1</v>
      </c>
      <c r="AF1051" s="133">
        <v>1</v>
      </c>
      <c r="AG1051" s="133">
        <v>0.983394833948339</v>
      </c>
      <c r="AH1051" s="133">
        <v>0.976998904709748</v>
      </c>
      <c r="AI1051" s="135">
        <v>0.92</v>
      </c>
      <c r="AJ1051" s="133">
        <v>0.919540229885057</v>
      </c>
      <c r="AK1051" s="133">
        <v>0.963709677419355</v>
      </c>
      <c r="AL1051" s="133">
        <v>0.964551172098342</v>
      </c>
      <c r="AM1051" s="133">
        <v>0.943996700088844</v>
      </c>
      <c r="AN1051" s="132">
        <v>0.99</v>
      </c>
      <c r="AO1051" s="137">
        <v>1</v>
      </c>
      <c r="AP1051" s="137">
        <v>1</v>
      </c>
      <c r="AQ1051" s="137">
        <v>1</v>
      </c>
      <c r="AR1051" s="137">
        <v>1</v>
      </c>
      <c r="AS1051" s="158">
        <v>0.0656418488929858</v>
      </c>
      <c r="AT1051" s="141">
        <v>0</v>
      </c>
      <c r="AU1051" s="141">
        <v>0</v>
      </c>
      <c r="AV1051" s="141">
        <v>0</v>
      </c>
      <c r="AW1051" s="141">
        <v>0.0348837209302326</v>
      </c>
      <c r="AX1051" s="95"/>
      <c r="AY1051" s="93"/>
    </row>
    <row r="1052" ht="14.5" spans="1:51">
      <c r="A1052" s="91"/>
      <c r="B1052" s="95"/>
      <c r="C1052" s="180" t="s">
        <v>927</v>
      </c>
      <c r="D1052" s="181" t="s">
        <v>25</v>
      </c>
      <c r="E1052" s="130" t="s">
        <v>928</v>
      </c>
      <c r="F1052" s="186" t="s">
        <v>1081</v>
      </c>
      <c r="G1052" s="187" t="s">
        <v>1081</v>
      </c>
      <c r="H1052" s="187" t="s">
        <v>1081</v>
      </c>
      <c r="I1052" s="187" t="s">
        <v>1081</v>
      </c>
      <c r="J1052" s="132">
        <v>0.9</v>
      </c>
      <c r="K1052" s="133">
        <v>1</v>
      </c>
      <c r="L1052" s="133">
        <v>1</v>
      </c>
      <c r="M1052" s="134">
        <v>1</v>
      </c>
      <c r="N1052" s="133">
        <v>0.989847715736041</v>
      </c>
      <c r="O1052" s="135">
        <v>0.9</v>
      </c>
      <c r="P1052" s="133">
        <v>0.938126104890984</v>
      </c>
      <c r="Q1052" s="133">
        <v>0.952145214521452</v>
      </c>
      <c r="R1052" s="133">
        <v>0.944897959183673</v>
      </c>
      <c r="S1052" s="133">
        <v>0.959286736523498</v>
      </c>
      <c r="T1052" s="135">
        <v>0.9</v>
      </c>
      <c r="U1052" s="133">
        <v>0.912787271655863</v>
      </c>
      <c r="V1052" s="133">
        <v>0.906270627062706</v>
      </c>
      <c r="W1052" s="133">
        <v>0.901457725947522</v>
      </c>
      <c r="X1052" s="133">
        <v>0.895609547465908</v>
      </c>
      <c r="Y1052" s="135">
        <v>0.92</v>
      </c>
      <c r="Z1052" s="135" t="s">
        <v>35</v>
      </c>
      <c r="AA1052" s="135" t="s">
        <v>35</v>
      </c>
      <c r="AB1052" s="135" t="s">
        <v>35</v>
      </c>
      <c r="AC1052" s="135" t="s">
        <v>35</v>
      </c>
      <c r="AD1052" s="135">
        <v>0.92</v>
      </c>
      <c r="AE1052" s="133">
        <v>0.999033349444176</v>
      </c>
      <c r="AF1052" s="133">
        <v>0.996907216494845</v>
      </c>
      <c r="AG1052" s="133">
        <v>0.999674902470741</v>
      </c>
      <c r="AH1052" s="133">
        <v>0.975153904070154</v>
      </c>
      <c r="AI1052" s="135">
        <v>0.92</v>
      </c>
      <c r="AJ1052" s="133">
        <v>0.965822038892163</v>
      </c>
      <c r="AK1052" s="133">
        <v>0.977227722772277</v>
      </c>
      <c r="AL1052" s="133">
        <v>0.973760932944606</v>
      </c>
      <c r="AM1052" s="133">
        <v>0.976708610905502</v>
      </c>
      <c r="AN1052" s="132">
        <v>0.99</v>
      </c>
      <c r="AO1052" s="137">
        <v>1</v>
      </c>
      <c r="AP1052" s="137">
        <v>1</v>
      </c>
      <c r="AQ1052" s="137">
        <v>1</v>
      </c>
      <c r="AR1052" s="137">
        <v>1</v>
      </c>
      <c r="AS1052" s="158">
        <v>0.0656418488929858</v>
      </c>
      <c r="AT1052" s="141">
        <v>0.166666666666667</v>
      </c>
      <c r="AU1052" s="141">
        <v>0</v>
      </c>
      <c r="AV1052" s="141">
        <v>0</v>
      </c>
      <c r="AW1052" s="141">
        <v>0.0340136054421769</v>
      </c>
      <c r="AX1052" s="95"/>
      <c r="AY1052" s="93"/>
    </row>
    <row r="1053" ht="14.5" spans="1:51">
      <c r="A1053" s="91"/>
      <c r="B1053" s="95"/>
      <c r="C1053" s="180" t="s">
        <v>927</v>
      </c>
      <c r="D1053" s="181" t="s">
        <v>25</v>
      </c>
      <c r="E1053" s="130" t="s">
        <v>928</v>
      </c>
      <c r="F1053" s="184" t="s">
        <v>1082</v>
      </c>
      <c r="G1053" s="185" t="s">
        <v>1082</v>
      </c>
      <c r="H1053" s="185" t="s">
        <v>1082</v>
      </c>
      <c r="I1053" s="185" t="s">
        <v>1082</v>
      </c>
      <c r="J1053" s="132">
        <v>0.9</v>
      </c>
      <c r="K1053" s="133">
        <v>0.8125</v>
      </c>
      <c r="L1053" s="133">
        <v>0.833333333333333</v>
      </c>
      <c r="M1053" s="134">
        <v>0.873239436619718</v>
      </c>
      <c r="N1053" s="133">
        <v>0.862182116488925</v>
      </c>
      <c r="O1053" s="135">
        <v>0.9</v>
      </c>
      <c r="P1053" s="133">
        <v>0.948275862068966</v>
      </c>
      <c r="Q1053" s="133">
        <v>0.835870076886866</v>
      </c>
      <c r="R1053" s="133">
        <v>0.906352087114338</v>
      </c>
      <c r="S1053" s="133">
        <v>0.925179562608033</v>
      </c>
      <c r="T1053" s="135">
        <v>0.9</v>
      </c>
      <c r="U1053" s="133">
        <v>0.892241379310345</v>
      </c>
      <c r="V1053" s="133">
        <v>0.892672210889691</v>
      </c>
      <c r="W1053" s="133">
        <v>0.887295825771325</v>
      </c>
      <c r="X1053" s="133">
        <v>0.890029309770997</v>
      </c>
      <c r="Y1053" s="135">
        <v>0.92</v>
      </c>
      <c r="Z1053" s="135" t="s">
        <v>35</v>
      </c>
      <c r="AA1053" s="135" t="s">
        <v>35</v>
      </c>
      <c r="AB1053" s="135" t="s">
        <v>35</v>
      </c>
      <c r="AC1053" s="135">
        <v>1</v>
      </c>
      <c r="AD1053" s="135">
        <v>0.92</v>
      </c>
      <c r="AE1053" s="133">
        <v>0.997011952191235</v>
      </c>
      <c r="AF1053" s="133">
        <v>0.964150943396226</v>
      </c>
      <c r="AG1053" s="133">
        <v>0.973856209150327</v>
      </c>
      <c r="AH1053" s="133">
        <v>0.970975273267537</v>
      </c>
      <c r="AI1053" s="135">
        <v>0.92</v>
      </c>
      <c r="AJ1053" s="133">
        <v>0.936128526645768</v>
      </c>
      <c r="AK1053" s="133">
        <v>0.941314922328574</v>
      </c>
      <c r="AL1053" s="133">
        <v>0.942286751361162</v>
      </c>
      <c r="AM1053" s="133">
        <v>0.949412749876538</v>
      </c>
      <c r="AN1053" s="132">
        <v>0.99</v>
      </c>
      <c r="AO1053" s="137">
        <v>1</v>
      </c>
      <c r="AP1053" s="137">
        <v>1</v>
      </c>
      <c r="AQ1053" s="137">
        <v>1</v>
      </c>
      <c r="AR1053" s="137">
        <v>1</v>
      </c>
      <c r="AS1053" s="158">
        <v>0.0656418488929858</v>
      </c>
      <c r="AT1053" s="141">
        <v>0.0476190476190476</v>
      </c>
      <c r="AU1053" s="141">
        <v>0.0454545454545455</v>
      </c>
      <c r="AV1053" s="141">
        <v>0</v>
      </c>
      <c r="AW1053" s="141">
        <v>0.0300925925925926</v>
      </c>
      <c r="AX1053" s="95"/>
      <c r="AY1053" s="93"/>
    </row>
    <row r="1054" ht="14.5" spans="1:51">
      <c r="A1054" s="91"/>
      <c r="B1054" s="95"/>
      <c r="C1054" s="180" t="s">
        <v>927</v>
      </c>
      <c r="D1054" s="181" t="s">
        <v>25</v>
      </c>
      <c r="E1054" s="130" t="s">
        <v>928</v>
      </c>
      <c r="F1054" s="184" t="s">
        <v>1083</v>
      </c>
      <c r="G1054" s="185" t="s">
        <v>1083</v>
      </c>
      <c r="H1054" s="185" t="s">
        <v>1083</v>
      </c>
      <c r="I1054" s="185" t="s">
        <v>1083</v>
      </c>
      <c r="J1054" s="132">
        <v>0.9</v>
      </c>
      <c r="K1054" s="133">
        <v>0.972972972972973</v>
      </c>
      <c r="L1054" s="133">
        <v>1</v>
      </c>
      <c r="M1054" s="134">
        <v>0.951219512195122</v>
      </c>
      <c r="N1054" s="133">
        <v>0.982028241335045</v>
      </c>
      <c r="O1054" s="135">
        <v>0.9</v>
      </c>
      <c r="P1054" s="133">
        <v>0.925961082107261</v>
      </c>
      <c r="Q1054" s="133">
        <v>0.953552450305058</v>
      </c>
      <c r="R1054" s="133">
        <v>0.951703219785348</v>
      </c>
      <c r="S1054" s="133">
        <v>0.965679239663156</v>
      </c>
      <c r="T1054" s="135">
        <v>0.9</v>
      </c>
      <c r="U1054" s="133">
        <v>0.900332225913621</v>
      </c>
      <c r="V1054" s="133">
        <v>0.921078527848849</v>
      </c>
      <c r="W1054" s="133">
        <v>0.932804479701353</v>
      </c>
      <c r="X1054" s="133">
        <v>0.927378083452926</v>
      </c>
      <c r="Y1054" s="135">
        <v>0.92</v>
      </c>
      <c r="Z1054" s="135" t="s">
        <v>35</v>
      </c>
      <c r="AA1054" s="135" t="s">
        <v>35</v>
      </c>
      <c r="AB1054" s="135" t="s">
        <v>35</v>
      </c>
      <c r="AC1054" s="135" t="s">
        <v>35</v>
      </c>
      <c r="AD1054" s="135">
        <v>0.92</v>
      </c>
      <c r="AE1054" s="133">
        <v>0.996039603960396</v>
      </c>
      <c r="AF1054" s="133">
        <v>0.981566820276498</v>
      </c>
      <c r="AG1054" s="133">
        <v>0.992779783393502</v>
      </c>
      <c r="AH1054" s="133">
        <v>0.994777777777778</v>
      </c>
      <c r="AI1054" s="135">
        <v>0.92</v>
      </c>
      <c r="AJ1054" s="133">
        <v>0.912672045562411</v>
      </c>
      <c r="AK1054" s="133">
        <v>0.955323755166306</v>
      </c>
      <c r="AL1054" s="133">
        <v>0.948436770881941</v>
      </c>
      <c r="AM1054" s="133">
        <v>0.956149732620321</v>
      </c>
      <c r="AN1054" s="132">
        <v>0.99</v>
      </c>
      <c r="AO1054" s="137">
        <v>1</v>
      </c>
      <c r="AP1054" s="137">
        <v>1</v>
      </c>
      <c r="AQ1054" s="137">
        <v>1</v>
      </c>
      <c r="AR1054" s="137">
        <v>1</v>
      </c>
      <c r="AS1054" s="158">
        <v>0.0656418488929858</v>
      </c>
      <c r="AT1054" s="141">
        <v>0.0625</v>
      </c>
      <c r="AU1054" s="141">
        <v>0</v>
      </c>
      <c r="AV1054" s="141">
        <v>0.0434782608695652</v>
      </c>
      <c r="AW1054" s="141">
        <v>0.0469208211143695</v>
      </c>
      <c r="AX1054" s="95"/>
      <c r="AY1054" s="93"/>
    </row>
    <row r="1055" ht="14.5" spans="1:51">
      <c r="A1055" s="91"/>
      <c r="B1055" s="95"/>
      <c r="C1055" s="180" t="s">
        <v>927</v>
      </c>
      <c r="D1055" s="181" t="s">
        <v>25</v>
      </c>
      <c r="E1055" s="130" t="s">
        <v>928</v>
      </c>
      <c r="F1055" s="184" t="s">
        <v>1084</v>
      </c>
      <c r="G1055" s="185" t="s">
        <v>1084</v>
      </c>
      <c r="H1055" s="185" t="s">
        <v>1084</v>
      </c>
      <c r="I1055" s="185" t="s">
        <v>1084</v>
      </c>
      <c r="J1055" s="132">
        <v>0.9</v>
      </c>
      <c r="K1055" s="133">
        <v>1</v>
      </c>
      <c r="L1055" s="133">
        <v>0.933333333333333</v>
      </c>
      <c r="M1055" s="134">
        <v>0.96551724137931</v>
      </c>
      <c r="N1055" s="133">
        <v>0.937842778793419</v>
      </c>
      <c r="O1055" s="135">
        <v>0.9</v>
      </c>
      <c r="P1055" s="133">
        <v>0.980440097799511</v>
      </c>
      <c r="Q1055" s="133">
        <v>0.892436974789916</v>
      </c>
      <c r="R1055" s="133">
        <v>0.882375189107413</v>
      </c>
      <c r="S1055" s="133">
        <v>0.951138386582966</v>
      </c>
      <c r="T1055" s="135">
        <v>0.9</v>
      </c>
      <c r="U1055" s="133">
        <v>0.923390383048085</v>
      </c>
      <c r="V1055" s="133">
        <v>0.916302521008403</v>
      </c>
      <c r="W1055" s="133">
        <v>0.907337367624811</v>
      </c>
      <c r="X1055" s="133">
        <v>0.89602267403729</v>
      </c>
      <c r="Y1055" s="135">
        <v>0.92</v>
      </c>
      <c r="Z1055" s="135" t="s">
        <v>35</v>
      </c>
      <c r="AA1055" s="135" t="s">
        <v>35</v>
      </c>
      <c r="AB1055" s="135" t="s">
        <v>35</v>
      </c>
      <c r="AC1055" s="135" t="s">
        <v>35</v>
      </c>
      <c r="AD1055" s="135">
        <v>0.92</v>
      </c>
      <c r="AE1055" s="133">
        <v>1</v>
      </c>
      <c r="AF1055" s="133">
        <v>0.934959349593496</v>
      </c>
      <c r="AG1055" s="133">
        <v>0.98876404494382</v>
      </c>
      <c r="AH1055" s="133">
        <v>0.979037703995498</v>
      </c>
      <c r="AI1055" s="135">
        <v>0.92</v>
      </c>
      <c r="AJ1055" s="133">
        <v>0.942950285248574</v>
      </c>
      <c r="AK1055" s="133">
        <v>0.960336134453782</v>
      </c>
      <c r="AL1055" s="133">
        <v>0.964447806354009</v>
      </c>
      <c r="AM1055" s="133">
        <v>0.963484330350869</v>
      </c>
      <c r="AN1055" s="132">
        <v>0.99</v>
      </c>
      <c r="AO1055" s="137">
        <v>1</v>
      </c>
      <c r="AP1055" s="137">
        <v>1</v>
      </c>
      <c r="AQ1055" s="137">
        <v>1</v>
      </c>
      <c r="AR1055" s="137">
        <v>1</v>
      </c>
      <c r="AS1055" s="158">
        <v>0.0656418488929858</v>
      </c>
      <c r="AT1055" s="141">
        <v>0.25</v>
      </c>
      <c r="AU1055" s="141">
        <v>0</v>
      </c>
      <c r="AV1055" s="141">
        <v>0</v>
      </c>
      <c r="AW1055" s="141">
        <v>0.054726368159204</v>
      </c>
      <c r="AX1055" s="95"/>
      <c r="AY1055" s="93"/>
    </row>
    <row r="1056" ht="14.5" spans="1:51">
      <c r="A1056" s="91"/>
      <c r="B1056" s="95"/>
      <c r="C1056" s="155"/>
      <c r="D1056" s="153"/>
      <c r="E1056" s="156"/>
      <c r="F1056" s="156"/>
      <c r="G1056" s="156"/>
      <c r="H1056" s="156"/>
      <c r="I1056" s="156"/>
      <c r="J1056" s="146"/>
      <c r="K1056" s="194"/>
      <c r="L1056" s="194"/>
      <c r="M1056" s="194"/>
      <c r="N1056" s="194"/>
      <c r="O1056" s="150"/>
      <c r="P1056" s="147"/>
      <c r="Q1056" s="147"/>
      <c r="R1056" s="133"/>
      <c r="S1056" s="147"/>
      <c r="T1056" s="150"/>
      <c r="U1056" s="147"/>
      <c r="V1056" s="147"/>
      <c r="W1056" s="133"/>
      <c r="X1056" s="147"/>
      <c r="Y1056" s="150"/>
      <c r="Z1056" s="150"/>
      <c r="AA1056" s="150"/>
      <c r="AB1056" s="135"/>
      <c r="AC1056" s="150"/>
      <c r="AD1056" s="147"/>
      <c r="AE1056" s="147"/>
      <c r="AF1056" s="147"/>
      <c r="AG1056" s="133"/>
      <c r="AH1056" s="147"/>
      <c r="AI1056" s="147"/>
      <c r="AJ1056" s="147"/>
      <c r="AK1056" s="147"/>
      <c r="AL1056" s="133"/>
      <c r="AM1056" s="147"/>
      <c r="AN1056" s="146"/>
      <c r="AO1056" s="146"/>
      <c r="AP1056" s="146"/>
      <c r="AQ1056" s="137"/>
      <c r="AR1056" s="146"/>
      <c r="AS1056" s="147"/>
      <c r="AT1056" s="146"/>
      <c r="AU1056" s="146"/>
      <c r="AV1056" s="141"/>
      <c r="AW1056" s="146"/>
      <c r="AX1056" s="95"/>
      <c r="AY1056" s="93"/>
    </row>
    <row r="1057" ht="14.5" spans="1:51">
      <c r="A1057" s="91"/>
      <c r="B1057" s="95"/>
      <c r="C1057" s="152" t="s">
        <v>1085</v>
      </c>
      <c r="D1057" s="153" t="s">
        <v>25</v>
      </c>
      <c r="E1057" s="130" t="s">
        <v>1086</v>
      </c>
      <c r="F1057" s="195" t="s">
        <v>1087</v>
      </c>
      <c r="G1057" s="195" t="s">
        <v>1087</v>
      </c>
      <c r="H1057" s="195" t="s">
        <v>1087</v>
      </c>
      <c r="I1057" s="195" t="s">
        <v>1087</v>
      </c>
      <c r="J1057" s="132">
        <v>0.9</v>
      </c>
      <c r="K1057" s="133">
        <v>0.961538461538462</v>
      </c>
      <c r="L1057" s="133">
        <v>0.931034482758621</v>
      </c>
      <c r="M1057" s="134">
        <v>1</v>
      </c>
      <c r="N1057" s="133">
        <v>0.948616600790514</v>
      </c>
      <c r="O1057" s="135">
        <v>0.9</v>
      </c>
      <c r="P1057" s="133">
        <v>0.868119266055046</v>
      </c>
      <c r="Q1057" s="133">
        <v>0.913134484563056</v>
      </c>
      <c r="R1057" s="133">
        <v>0.994943109987358</v>
      </c>
      <c r="S1057" s="133">
        <v>0.963953850951045</v>
      </c>
      <c r="T1057" s="135">
        <v>0.9</v>
      </c>
      <c r="U1057" s="133">
        <v>0.830275229357798</v>
      </c>
      <c r="V1057" s="133">
        <v>0.939298796441654</v>
      </c>
      <c r="W1057" s="133">
        <v>0.951327433628319</v>
      </c>
      <c r="X1057" s="133">
        <v>0.925569067664484</v>
      </c>
      <c r="Y1057" s="135">
        <v>0.92</v>
      </c>
      <c r="Z1057" s="135">
        <v>0.957169459962756</v>
      </c>
      <c r="AA1057" s="135">
        <v>0.958659217877095</v>
      </c>
      <c r="AB1057" s="135">
        <v>0.958404074702886</v>
      </c>
      <c r="AC1057" s="135">
        <v>0.956175514626219</v>
      </c>
      <c r="AD1057" s="135">
        <v>0.92</v>
      </c>
      <c r="AE1057" s="133">
        <v>1</v>
      </c>
      <c r="AF1057" s="133">
        <v>0.999128919860627</v>
      </c>
      <c r="AG1057" s="133">
        <v>0.999223602484472</v>
      </c>
      <c r="AH1057" s="133">
        <v>0.996683030383442</v>
      </c>
      <c r="AI1057" s="135">
        <v>0.92</v>
      </c>
      <c r="AJ1057" s="133">
        <v>0.896380411639461</v>
      </c>
      <c r="AK1057" s="133">
        <v>0.973637335233345</v>
      </c>
      <c r="AL1057" s="133">
        <v>0.97463768115942</v>
      </c>
      <c r="AM1057" s="133">
        <v>0.970514900858828</v>
      </c>
      <c r="AN1057" s="132">
        <v>0.99</v>
      </c>
      <c r="AO1057" s="137">
        <v>1</v>
      </c>
      <c r="AP1057" s="137">
        <v>1</v>
      </c>
      <c r="AQ1057" s="137">
        <v>1</v>
      </c>
      <c r="AR1057" s="137">
        <v>1</v>
      </c>
      <c r="AS1057" s="158">
        <v>0.0721861525408278</v>
      </c>
      <c r="AT1057" s="141">
        <v>0.125</v>
      </c>
      <c r="AU1057" s="141">
        <v>0.111111111111111</v>
      </c>
      <c r="AV1057" s="141">
        <v>0.0769230769230769</v>
      </c>
      <c r="AW1057" s="141">
        <v>0.0857142857142857</v>
      </c>
      <c r="AX1057" s="95"/>
      <c r="AY1057" s="93"/>
    </row>
    <row r="1058" ht="14.5" spans="1:51">
      <c r="A1058" s="91"/>
      <c r="B1058" s="95"/>
      <c r="C1058" s="152" t="s">
        <v>1085</v>
      </c>
      <c r="D1058" s="153" t="s">
        <v>25</v>
      </c>
      <c r="E1058" s="130" t="s">
        <v>1086</v>
      </c>
      <c r="F1058" s="195" t="s">
        <v>1088</v>
      </c>
      <c r="G1058" s="195" t="s">
        <v>1088</v>
      </c>
      <c r="H1058" s="195" t="s">
        <v>1088</v>
      </c>
      <c r="I1058" s="195" t="s">
        <v>1088</v>
      </c>
      <c r="J1058" s="132">
        <v>0.9</v>
      </c>
      <c r="K1058" s="133">
        <v>0.894736842105263</v>
      </c>
      <c r="L1058" s="133">
        <v>0.863636363636364</v>
      </c>
      <c r="M1058" s="134">
        <v>0.893617021276596</v>
      </c>
      <c r="N1058" s="133">
        <v>0.920731707317073</v>
      </c>
      <c r="O1058" s="135">
        <v>0.9</v>
      </c>
      <c r="P1058" s="133">
        <v>0.98705966930266</v>
      </c>
      <c r="Q1058" s="133">
        <v>0.961811422777965</v>
      </c>
      <c r="R1058" s="133">
        <v>0.988903115663679</v>
      </c>
      <c r="S1058" s="133">
        <v>0.979159691998661</v>
      </c>
      <c r="T1058" s="135">
        <v>0.9</v>
      </c>
      <c r="U1058" s="133">
        <v>0.941049604601007</v>
      </c>
      <c r="V1058" s="133">
        <v>0.888475836431227</v>
      </c>
      <c r="W1058" s="133">
        <v>0.920614596670935</v>
      </c>
      <c r="X1058" s="133">
        <v>0.901280549045865</v>
      </c>
      <c r="Y1058" s="135">
        <v>0.92</v>
      </c>
      <c r="Z1058" s="135">
        <v>0.950956937799043</v>
      </c>
      <c r="AA1058" s="135">
        <v>0.944193061840121</v>
      </c>
      <c r="AB1058" s="135">
        <v>0.935159306875349</v>
      </c>
      <c r="AC1058" s="135">
        <v>0.94546249407993</v>
      </c>
      <c r="AD1058" s="135">
        <v>0.92</v>
      </c>
      <c r="AE1058" s="133">
        <v>0.861586314152411</v>
      </c>
      <c r="AF1058" s="133">
        <v>0.980645161290323</v>
      </c>
      <c r="AG1058" s="133">
        <v>0.886842105263158</v>
      </c>
      <c r="AH1058" s="133">
        <v>0.890819262717846</v>
      </c>
      <c r="AI1058" s="135">
        <v>0.92</v>
      </c>
      <c r="AJ1058" s="133">
        <v>0.970812752581949</v>
      </c>
      <c r="AK1058" s="133">
        <v>0.966394399066511</v>
      </c>
      <c r="AL1058" s="133">
        <v>0.964908034849952</v>
      </c>
      <c r="AM1058" s="133">
        <v>0.966839887827115</v>
      </c>
      <c r="AN1058" s="132">
        <v>0.99</v>
      </c>
      <c r="AO1058" s="137">
        <v>1</v>
      </c>
      <c r="AP1058" s="137">
        <v>1</v>
      </c>
      <c r="AQ1058" s="137">
        <v>1</v>
      </c>
      <c r="AR1058" s="137">
        <v>1</v>
      </c>
      <c r="AS1058" s="158">
        <v>0.0721861525408278</v>
      </c>
      <c r="AT1058" s="141">
        <v>0.285714285714286</v>
      </c>
      <c r="AU1058" s="141">
        <v>0.0714285714285714</v>
      </c>
      <c r="AV1058" s="141">
        <v>0.181818181818182</v>
      </c>
      <c r="AW1058" s="141">
        <v>0.0467289719626168</v>
      </c>
      <c r="AX1058" s="95"/>
      <c r="AY1058" s="93"/>
    </row>
    <row r="1059" ht="14.5" spans="1:51">
      <c r="A1059" s="91"/>
      <c r="B1059" s="95"/>
      <c r="C1059" s="152" t="s">
        <v>1085</v>
      </c>
      <c r="D1059" s="153" t="s">
        <v>25</v>
      </c>
      <c r="E1059" s="130" t="s">
        <v>1086</v>
      </c>
      <c r="F1059" s="195" t="s">
        <v>1089</v>
      </c>
      <c r="G1059" s="195" t="s">
        <v>1089</v>
      </c>
      <c r="H1059" s="195" t="s">
        <v>1089</v>
      </c>
      <c r="I1059" s="195" t="s">
        <v>1089</v>
      </c>
      <c r="J1059" s="132">
        <v>0.9</v>
      </c>
      <c r="K1059" s="133">
        <v>0.875</v>
      </c>
      <c r="L1059" s="133">
        <v>0.86046511627907</v>
      </c>
      <c r="M1059" s="134">
        <v>0.837209302325581</v>
      </c>
      <c r="N1059" s="133">
        <v>0.838787878787879</v>
      </c>
      <c r="O1059" s="135">
        <v>0.9</v>
      </c>
      <c r="P1059" s="133">
        <v>0.950038431975403</v>
      </c>
      <c r="Q1059" s="133">
        <v>0.901290812452544</v>
      </c>
      <c r="R1059" s="133">
        <v>0.976128472222222</v>
      </c>
      <c r="S1059" s="133">
        <v>0.948643173571381</v>
      </c>
      <c r="T1059" s="135">
        <v>0.9</v>
      </c>
      <c r="U1059" s="133">
        <v>0.947732513451191</v>
      </c>
      <c r="V1059" s="133">
        <v>0.928246013667426</v>
      </c>
      <c r="W1059" s="133">
        <v>0.950520833333333</v>
      </c>
      <c r="X1059" s="133">
        <v>0.942298702166025</v>
      </c>
      <c r="Y1059" s="135">
        <v>0.92</v>
      </c>
      <c r="Z1059" s="135">
        <v>0.927989130434783</v>
      </c>
      <c r="AA1059" s="135">
        <v>0.920271416454623</v>
      </c>
      <c r="AB1059" s="135">
        <v>0.966765578635015</v>
      </c>
      <c r="AC1059" s="135">
        <v>0.956662277026218</v>
      </c>
      <c r="AD1059" s="135">
        <v>0.92</v>
      </c>
      <c r="AE1059" s="133">
        <v>0.992560446373218</v>
      </c>
      <c r="AF1059" s="133">
        <v>0.991729027176054</v>
      </c>
      <c r="AG1059" s="133">
        <v>0.986902423051735</v>
      </c>
      <c r="AH1059" s="133">
        <v>0.97919605077574</v>
      </c>
      <c r="AI1059" s="135">
        <v>0.92</v>
      </c>
      <c r="AJ1059" s="133">
        <v>0.960235640648012</v>
      </c>
      <c r="AK1059" s="133">
        <v>0.947023341201154</v>
      </c>
      <c r="AL1059" s="133">
        <v>0.975181749811983</v>
      </c>
      <c r="AM1059" s="133">
        <v>0.973007730448823</v>
      </c>
      <c r="AN1059" s="132">
        <v>0.99</v>
      </c>
      <c r="AO1059" s="137">
        <v>1</v>
      </c>
      <c r="AP1059" s="137">
        <v>1</v>
      </c>
      <c r="AQ1059" s="137">
        <v>1</v>
      </c>
      <c r="AR1059" s="137">
        <v>1</v>
      </c>
      <c r="AS1059" s="158">
        <v>0.0721861525408278</v>
      </c>
      <c r="AT1059" s="141">
        <v>0</v>
      </c>
      <c r="AU1059" s="141">
        <v>0</v>
      </c>
      <c r="AV1059" s="141">
        <v>0</v>
      </c>
      <c r="AW1059" s="141">
        <v>0.00947867298578199</v>
      </c>
      <c r="AX1059" s="95"/>
      <c r="AY1059" s="93"/>
    </row>
    <row r="1060" ht="14.5" spans="1:51">
      <c r="A1060" s="91"/>
      <c r="B1060" s="95"/>
      <c r="C1060" s="152" t="s">
        <v>1085</v>
      </c>
      <c r="D1060" s="153" t="s">
        <v>25</v>
      </c>
      <c r="E1060" s="130" t="s">
        <v>1086</v>
      </c>
      <c r="F1060" s="195" t="s">
        <v>1090</v>
      </c>
      <c r="G1060" s="195" t="s">
        <v>1090</v>
      </c>
      <c r="H1060" s="195" t="s">
        <v>1090</v>
      </c>
      <c r="I1060" s="195" t="s">
        <v>1090</v>
      </c>
      <c r="J1060" s="132">
        <v>0.9</v>
      </c>
      <c r="K1060" s="133">
        <v>0.878787878787879</v>
      </c>
      <c r="L1060" s="133">
        <v>0.934782608695652</v>
      </c>
      <c r="M1060" s="134">
        <v>0.906976744186046</v>
      </c>
      <c r="N1060" s="133">
        <v>0.930142302716688</v>
      </c>
      <c r="O1060" s="135">
        <v>0.9</v>
      </c>
      <c r="P1060" s="133">
        <v>0.96379821958457</v>
      </c>
      <c r="Q1060" s="133">
        <v>0.969642857142857</v>
      </c>
      <c r="R1060" s="133">
        <v>0.946607341490545</v>
      </c>
      <c r="S1060" s="133">
        <v>0.955411150021536</v>
      </c>
      <c r="T1060" s="135">
        <v>0.9</v>
      </c>
      <c r="U1060" s="133">
        <v>0.932937685459941</v>
      </c>
      <c r="V1060" s="133">
        <v>0.935119047619048</v>
      </c>
      <c r="W1060" s="133">
        <v>0.92695587690026</v>
      </c>
      <c r="X1060" s="133">
        <v>0.936759115339239</v>
      </c>
      <c r="Y1060" s="135">
        <v>0.92</v>
      </c>
      <c r="Z1060" s="135">
        <v>0.933541017653167</v>
      </c>
      <c r="AA1060" s="135">
        <v>0.9519368723099</v>
      </c>
      <c r="AB1060" s="135">
        <v>0.948230322239831</v>
      </c>
      <c r="AC1060" s="135">
        <v>0.956143310168005</v>
      </c>
      <c r="AD1060" s="135">
        <v>0.92</v>
      </c>
      <c r="AE1060" s="133">
        <v>0.994070309191021</v>
      </c>
      <c r="AF1060" s="133">
        <v>0.989280245022971</v>
      </c>
      <c r="AG1060" s="133">
        <v>0.982318271119843</v>
      </c>
      <c r="AH1060" s="133">
        <v>0.990221219270353</v>
      </c>
      <c r="AI1060" s="135">
        <v>0.92</v>
      </c>
      <c r="AJ1060" s="133">
        <v>0.958081570996979</v>
      </c>
      <c r="AK1060" s="133">
        <v>0.968868321413547</v>
      </c>
      <c r="AL1060" s="133">
        <v>0.962309368191721</v>
      </c>
      <c r="AM1060" s="133">
        <v>0.974352490698262</v>
      </c>
      <c r="AN1060" s="132">
        <v>0.99</v>
      </c>
      <c r="AO1060" s="137">
        <v>1</v>
      </c>
      <c r="AP1060" s="137">
        <v>1</v>
      </c>
      <c r="AQ1060" s="137">
        <v>1</v>
      </c>
      <c r="AR1060" s="137">
        <v>1</v>
      </c>
      <c r="AS1060" s="158">
        <v>0.0721861525408278</v>
      </c>
      <c r="AT1060" s="141">
        <v>0</v>
      </c>
      <c r="AU1060" s="141">
        <v>0</v>
      </c>
      <c r="AV1060" s="141">
        <v>0</v>
      </c>
      <c r="AW1060" s="141">
        <v>0.0194174757281553</v>
      </c>
      <c r="AX1060" s="95"/>
      <c r="AY1060" s="93"/>
    </row>
    <row r="1061" ht="14.5" spans="1:51">
      <c r="A1061" s="91"/>
      <c r="B1061" s="95"/>
      <c r="C1061" s="152" t="s">
        <v>1085</v>
      </c>
      <c r="D1061" s="153" t="s">
        <v>25</v>
      </c>
      <c r="E1061" s="130" t="s">
        <v>1086</v>
      </c>
      <c r="F1061" s="195" t="s">
        <v>1091</v>
      </c>
      <c r="G1061" s="195" t="s">
        <v>1091</v>
      </c>
      <c r="H1061" s="195" t="s">
        <v>1091</v>
      </c>
      <c r="I1061" s="195" t="s">
        <v>1091</v>
      </c>
      <c r="J1061" s="132">
        <v>0.9</v>
      </c>
      <c r="K1061" s="133">
        <v>0.911111111111111</v>
      </c>
      <c r="L1061" s="133">
        <v>0.958333333333333</v>
      </c>
      <c r="M1061" s="134">
        <v>0.869565217391304</v>
      </c>
      <c r="N1061" s="133">
        <v>0.935406698564593</v>
      </c>
      <c r="O1061" s="135">
        <v>0.9</v>
      </c>
      <c r="P1061" s="133">
        <v>0.974018794914317</v>
      </c>
      <c r="Q1061" s="133">
        <v>0.924407252440725</v>
      </c>
      <c r="R1061" s="133">
        <v>0.977389516957862</v>
      </c>
      <c r="S1061" s="133">
        <v>0.970283498601576</v>
      </c>
      <c r="T1061" s="135">
        <v>0.9</v>
      </c>
      <c r="U1061" s="133">
        <v>0.901050304035379</v>
      </c>
      <c r="V1061" s="133">
        <v>0.901813110181311</v>
      </c>
      <c r="W1061" s="133">
        <v>0.918807810894142</v>
      </c>
      <c r="X1061" s="133">
        <v>0.91553839308416</v>
      </c>
      <c r="Y1061" s="135">
        <v>0.92</v>
      </c>
      <c r="Z1061" s="135">
        <v>0.911154985192497</v>
      </c>
      <c r="AA1061" s="135">
        <v>0.900118906064209</v>
      </c>
      <c r="AB1061" s="135">
        <v>0.913955479452055</v>
      </c>
      <c r="AC1061" s="135">
        <v>0.937294731322275</v>
      </c>
      <c r="AD1061" s="135">
        <v>0.92</v>
      </c>
      <c r="AE1061" s="133">
        <v>0.958541815582559</v>
      </c>
      <c r="AF1061" s="133">
        <v>0.990521327014218</v>
      </c>
      <c r="AG1061" s="133">
        <v>0.915863840719332</v>
      </c>
      <c r="AH1061" s="133">
        <v>0.96989616080785</v>
      </c>
      <c r="AI1061" s="135">
        <v>0.92</v>
      </c>
      <c r="AJ1061" s="133">
        <v>0.941176470588235</v>
      </c>
      <c r="AK1061" s="133">
        <v>0.936586292006835</v>
      </c>
      <c r="AL1061" s="133">
        <v>0.937202664129401</v>
      </c>
      <c r="AM1061" s="133">
        <v>0.96051424250063</v>
      </c>
      <c r="AN1061" s="132">
        <v>0.99</v>
      </c>
      <c r="AO1061" s="137">
        <v>1</v>
      </c>
      <c r="AP1061" s="137">
        <v>1</v>
      </c>
      <c r="AQ1061" s="137">
        <v>1</v>
      </c>
      <c r="AR1061" s="137">
        <v>1</v>
      </c>
      <c r="AS1061" s="158">
        <v>0.0721861525408278</v>
      </c>
      <c r="AT1061" s="141">
        <v>0</v>
      </c>
      <c r="AU1061" s="141">
        <v>0.024390243902439</v>
      </c>
      <c r="AV1061" s="141">
        <v>0</v>
      </c>
      <c r="AW1061" s="141">
        <v>0.021978021978022</v>
      </c>
      <c r="AX1061" s="95"/>
      <c r="AY1061" s="93"/>
    </row>
    <row r="1062" ht="14.5" spans="1:51">
      <c r="A1062" s="91"/>
      <c r="B1062" s="95"/>
      <c r="C1062" s="152" t="s">
        <v>1085</v>
      </c>
      <c r="D1062" s="153" t="s">
        <v>25</v>
      </c>
      <c r="E1062" s="130" t="s">
        <v>1086</v>
      </c>
      <c r="F1062" s="195" t="s">
        <v>1092</v>
      </c>
      <c r="G1062" s="195" t="s">
        <v>1092</v>
      </c>
      <c r="H1062" s="195" t="s">
        <v>1092</v>
      </c>
      <c r="I1062" s="195" t="s">
        <v>1092</v>
      </c>
      <c r="J1062" s="132">
        <v>0.9</v>
      </c>
      <c r="K1062" s="133">
        <v>1</v>
      </c>
      <c r="L1062" s="133">
        <v>0.947368421052632</v>
      </c>
      <c r="M1062" s="134">
        <v>1</v>
      </c>
      <c r="N1062" s="133">
        <v>0.975069252077562</v>
      </c>
      <c r="O1062" s="135">
        <v>0.9</v>
      </c>
      <c r="P1062" s="133">
        <v>0.923898531375167</v>
      </c>
      <c r="Q1062" s="133">
        <v>0.923493568043331</v>
      </c>
      <c r="R1062" s="133">
        <v>0.982879377431907</v>
      </c>
      <c r="S1062" s="133">
        <v>0.951398700197796</v>
      </c>
      <c r="T1062" s="135">
        <v>0.9</v>
      </c>
      <c r="U1062" s="133">
        <v>0.927903871829105</v>
      </c>
      <c r="V1062" s="133">
        <v>0.944482058226134</v>
      </c>
      <c r="W1062" s="133">
        <v>0.949416342412451</v>
      </c>
      <c r="X1062" s="133">
        <v>0.942962095830138</v>
      </c>
      <c r="Y1062" s="135">
        <v>0.92</v>
      </c>
      <c r="Z1062" s="135">
        <v>0.938325991189427</v>
      </c>
      <c r="AA1062" s="135">
        <v>0.961300309597523</v>
      </c>
      <c r="AB1062" s="135">
        <v>0.969026548672566</v>
      </c>
      <c r="AC1062" s="135">
        <v>0.960941376621535</v>
      </c>
      <c r="AD1062" s="135">
        <v>0.92</v>
      </c>
      <c r="AE1062" s="133">
        <v>0.998459167950693</v>
      </c>
      <c r="AF1062" s="133">
        <v>0.997524752475248</v>
      </c>
      <c r="AG1062" s="133">
        <v>0.978260869565217</v>
      </c>
      <c r="AH1062" s="133">
        <v>0.986314299197735</v>
      </c>
      <c r="AI1062" s="135">
        <v>0.92</v>
      </c>
      <c r="AJ1062" s="133">
        <v>0.960931005818786</v>
      </c>
      <c r="AK1062" s="133">
        <v>0.976459510357815</v>
      </c>
      <c r="AL1062" s="133">
        <v>0.980813156692554</v>
      </c>
      <c r="AM1062" s="133">
        <v>0.978011521448411</v>
      </c>
      <c r="AN1062" s="132">
        <v>0.99</v>
      </c>
      <c r="AO1062" s="137">
        <v>1</v>
      </c>
      <c r="AP1062" s="137">
        <v>1</v>
      </c>
      <c r="AQ1062" s="137">
        <v>1</v>
      </c>
      <c r="AR1062" s="137">
        <v>1</v>
      </c>
      <c r="AS1062" s="158">
        <v>0.0721861525408278</v>
      </c>
      <c r="AT1062" s="141">
        <v>0.125</v>
      </c>
      <c r="AU1062" s="141">
        <v>0</v>
      </c>
      <c r="AV1062" s="141">
        <v>0.0833333333333333</v>
      </c>
      <c r="AW1062" s="141">
        <v>0.0404040404040404</v>
      </c>
      <c r="AX1062" s="95"/>
      <c r="AY1062" s="93"/>
    </row>
    <row r="1063" ht="14.5" spans="1:51">
      <c r="A1063" s="91"/>
      <c r="B1063" s="95"/>
      <c r="C1063" s="152" t="s">
        <v>1085</v>
      </c>
      <c r="D1063" s="153" t="s">
        <v>25</v>
      </c>
      <c r="E1063" s="130" t="s">
        <v>1086</v>
      </c>
      <c r="F1063" s="195" t="s">
        <v>1093</v>
      </c>
      <c r="G1063" s="195" t="s">
        <v>1093</v>
      </c>
      <c r="H1063" s="195" t="s">
        <v>1093</v>
      </c>
      <c r="I1063" s="195" t="s">
        <v>1093</v>
      </c>
      <c r="J1063" s="132">
        <v>0.9</v>
      </c>
      <c r="K1063" s="133">
        <v>0.888888888888889</v>
      </c>
      <c r="L1063" s="133">
        <v>0.976744186046512</v>
      </c>
      <c r="M1063" s="134">
        <v>0.933333333333333</v>
      </c>
      <c r="N1063" s="133">
        <v>0.953400503778338</v>
      </c>
      <c r="O1063" s="135">
        <v>0.9</v>
      </c>
      <c r="P1063" s="133">
        <v>0.928082191780822</v>
      </c>
      <c r="Q1063" s="133">
        <v>0.924366312346688</v>
      </c>
      <c r="R1063" s="133">
        <v>0.982197355035605</v>
      </c>
      <c r="S1063" s="133">
        <v>0.941195979386703</v>
      </c>
      <c r="T1063" s="135">
        <v>0.9</v>
      </c>
      <c r="U1063" s="133">
        <v>0.907534246575342</v>
      </c>
      <c r="V1063" s="133">
        <v>0.915780866721177</v>
      </c>
      <c r="W1063" s="133">
        <v>0.896744659206511</v>
      </c>
      <c r="X1063" s="133">
        <v>0.910607684065514</v>
      </c>
      <c r="Y1063" s="135">
        <v>0.92</v>
      </c>
      <c r="Z1063" s="135">
        <v>0.955459770114943</v>
      </c>
      <c r="AA1063" s="135">
        <v>0.974336283185841</v>
      </c>
      <c r="AB1063" s="135">
        <v>0.964095744680851</v>
      </c>
      <c r="AC1063" s="135">
        <v>0.97560645684913</v>
      </c>
      <c r="AD1063" s="135">
        <v>0.92</v>
      </c>
      <c r="AE1063" s="133">
        <v>0.997894736842105</v>
      </c>
      <c r="AF1063" s="133">
        <v>0.991031390134529</v>
      </c>
      <c r="AG1063" s="133">
        <v>0.99780701754386</v>
      </c>
      <c r="AH1063" s="133">
        <v>0.970991350632069</v>
      </c>
      <c r="AI1063" s="135">
        <v>0.92</v>
      </c>
      <c r="AJ1063" s="133">
        <v>0.969436997319035</v>
      </c>
      <c r="AK1063" s="133">
        <v>0.983221476510067</v>
      </c>
      <c r="AL1063" s="133">
        <v>0.976368876080692</v>
      </c>
      <c r="AM1063" s="133">
        <v>0.984106843654938</v>
      </c>
      <c r="AN1063" s="132">
        <v>0.99</v>
      </c>
      <c r="AO1063" s="137">
        <v>1</v>
      </c>
      <c r="AP1063" s="137">
        <v>1</v>
      </c>
      <c r="AQ1063" s="137">
        <v>1</v>
      </c>
      <c r="AR1063" s="137">
        <v>1</v>
      </c>
      <c r="AS1063" s="158">
        <v>0.0721861525408278</v>
      </c>
      <c r="AT1063" s="141">
        <v>0</v>
      </c>
      <c r="AU1063" s="141">
        <v>0</v>
      </c>
      <c r="AV1063" s="141">
        <v>0.1</v>
      </c>
      <c r="AW1063" s="141">
        <v>0.0272108843537415</v>
      </c>
      <c r="AX1063" s="95"/>
      <c r="AY1063" s="93"/>
    </row>
    <row r="1064" ht="14.5" spans="1:51">
      <c r="A1064" s="91"/>
      <c r="B1064" s="95"/>
      <c r="C1064" s="152" t="s">
        <v>1085</v>
      </c>
      <c r="D1064" s="153" t="s">
        <v>25</v>
      </c>
      <c r="E1064" s="130" t="s">
        <v>1086</v>
      </c>
      <c r="F1064" s="195" t="s">
        <v>1094</v>
      </c>
      <c r="G1064" s="195" t="s">
        <v>1094</v>
      </c>
      <c r="H1064" s="195" t="s">
        <v>1094</v>
      </c>
      <c r="I1064" s="195" t="s">
        <v>1094</v>
      </c>
      <c r="J1064" s="132">
        <v>0.9</v>
      </c>
      <c r="K1064" s="133">
        <v>0.895522388059702</v>
      </c>
      <c r="L1064" s="133">
        <v>0.88</v>
      </c>
      <c r="M1064" s="134">
        <v>0.915492957746479</v>
      </c>
      <c r="N1064" s="133">
        <v>0.886249100071994</v>
      </c>
      <c r="O1064" s="135">
        <v>0.9</v>
      </c>
      <c r="P1064" s="133">
        <v>0.964325529542921</v>
      </c>
      <c r="Q1064" s="133">
        <v>0.925632314080785</v>
      </c>
      <c r="R1064" s="133">
        <v>0.953491741524196</v>
      </c>
      <c r="S1064" s="133">
        <v>0.956379856790703</v>
      </c>
      <c r="T1064" s="135">
        <v>0.9</v>
      </c>
      <c r="U1064" s="133">
        <v>0.863545150501672</v>
      </c>
      <c r="V1064" s="133">
        <v>0.760790235308922</v>
      </c>
      <c r="W1064" s="133">
        <v>0.844827586206897</v>
      </c>
      <c r="X1064" s="133">
        <v>0.810689830574794</v>
      </c>
      <c r="Y1064" s="135">
        <v>0.92</v>
      </c>
      <c r="Z1064" s="135" t="s">
        <v>35</v>
      </c>
      <c r="AA1064" s="135" t="s">
        <v>35</v>
      </c>
      <c r="AB1064" s="135">
        <v>0</v>
      </c>
      <c r="AC1064" s="135">
        <v>0.8</v>
      </c>
      <c r="AD1064" s="135">
        <v>0.92</v>
      </c>
      <c r="AE1064" s="133">
        <v>0.994656133828996</v>
      </c>
      <c r="AF1064" s="133">
        <v>0.997789240972734</v>
      </c>
      <c r="AG1064" s="133">
        <v>0.979257641921397</v>
      </c>
      <c r="AH1064" s="133">
        <v>0.904734403146185</v>
      </c>
      <c r="AI1064" s="135">
        <v>0.92</v>
      </c>
      <c r="AJ1064" s="133">
        <v>0.946711259754738</v>
      </c>
      <c r="AK1064" s="133">
        <v>0.932678998364163</v>
      </c>
      <c r="AL1064" s="133">
        <v>0.954657395335361</v>
      </c>
      <c r="AM1064" s="133">
        <v>0.953869629861491</v>
      </c>
      <c r="AN1064" s="132">
        <v>0.99</v>
      </c>
      <c r="AO1064" s="137">
        <v>1</v>
      </c>
      <c r="AP1064" s="137">
        <v>1</v>
      </c>
      <c r="AQ1064" s="137">
        <v>1</v>
      </c>
      <c r="AR1064" s="137">
        <v>1</v>
      </c>
      <c r="AS1064" s="158">
        <v>0.0721861525408278</v>
      </c>
      <c r="AT1064" s="141">
        <v>0.05</v>
      </c>
      <c r="AU1064" s="141">
        <v>0.0434782608695652</v>
      </c>
      <c r="AV1064" s="141">
        <v>0</v>
      </c>
      <c r="AW1064" s="141">
        <v>0.0489296636085627</v>
      </c>
      <c r="AX1064" s="95"/>
      <c r="AY1064" s="93"/>
    </row>
    <row r="1065" ht="14.5" spans="1:51">
      <c r="A1065" s="91"/>
      <c r="B1065" s="95"/>
      <c r="C1065" s="152" t="s">
        <v>1085</v>
      </c>
      <c r="D1065" s="153" t="s">
        <v>25</v>
      </c>
      <c r="E1065" s="130" t="s">
        <v>1086</v>
      </c>
      <c r="F1065" s="195" t="s">
        <v>1095</v>
      </c>
      <c r="G1065" s="195" t="s">
        <v>1095</v>
      </c>
      <c r="H1065" s="195" t="s">
        <v>1095</v>
      </c>
      <c r="I1065" s="195" t="s">
        <v>1095</v>
      </c>
      <c r="J1065" s="132">
        <v>0.9</v>
      </c>
      <c r="K1065" s="133">
        <v>0.952380952380952</v>
      </c>
      <c r="L1065" s="133">
        <v>0.955555555555556</v>
      </c>
      <c r="M1065" s="134">
        <v>0.978260869565217</v>
      </c>
      <c r="N1065" s="133">
        <v>0.965060240963855</v>
      </c>
      <c r="O1065" s="135">
        <v>0.9</v>
      </c>
      <c r="P1065" s="133">
        <v>0.992211838006231</v>
      </c>
      <c r="Q1065" s="133">
        <v>0.975871313672922</v>
      </c>
      <c r="R1065" s="133">
        <v>0.989542483660131</v>
      </c>
      <c r="S1065" s="133">
        <v>0.971908033401445</v>
      </c>
      <c r="T1065" s="135">
        <v>0.9</v>
      </c>
      <c r="U1065" s="133">
        <v>0.963655244029076</v>
      </c>
      <c r="V1065" s="133">
        <v>0.942091152815013</v>
      </c>
      <c r="W1065" s="133">
        <v>0.943137254901961</v>
      </c>
      <c r="X1065" s="133">
        <v>0.950895371100349</v>
      </c>
      <c r="Y1065" s="135">
        <v>0.92</v>
      </c>
      <c r="Z1065" s="135">
        <v>0.962209302325581</v>
      </c>
      <c r="AA1065" s="135">
        <v>0.925506555423123</v>
      </c>
      <c r="AB1065" s="135">
        <v>0.957280661460726</v>
      </c>
      <c r="AC1065" s="135">
        <v>0.958957277335264</v>
      </c>
      <c r="AD1065" s="135">
        <v>0.92</v>
      </c>
      <c r="AE1065" s="133">
        <v>0.993886035705551</v>
      </c>
      <c r="AF1065" s="133">
        <v>0.995584102769972</v>
      </c>
      <c r="AG1065" s="133">
        <v>0.996886351842242</v>
      </c>
      <c r="AH1065" s="133">
        <v>0.993011278008711</v>
      </c>
      <c r="AI1065" s="135">
        <v>0.92</v>
      </c>
      <c r="AJ1065" s="133">
        <v>0.971264367816092</v>
      </c>
      <c r="AK1065" s="133">
        <v>0.960806063967462</v>
      </c>
      <c r="AL1065" s="133">
        <v>0.969830055375215</v>
      </c>
      <c r="AM1065" s="133">
        <v>0.976015637928181</v>
      </c>
      <c r="AN1065" s="132">
        <v>0.99</v>
      </c>
      <c r="AO1065" s="137">
        <v>1</v>
      </c>
      <c r="AP1065" s="137">
        <v>1</v>
      </c>
      <c r="AQ1065" s="137">
        <v>1</v>
      </c>
      <c r="AR1065" s="137">
        <v>1</v>
      </c>
      <c r="AS1065" s="158">
        <v>0.0721861525408278</v>
      </c>
      <c r="AT1065" s="141">
        <v>0.00735294117647059</v>
      </c>
      <c r="AU1065" s="141">
        <v>0.00706713780918728</v>
      </c>
      <c r="AV1065" s="141">
        <v>0.00353356890459364</v>
      </c>
      <c r="AW1065" s="141">
        <v>0.0035218562253988</v>
      </c>
      <c r="AX1065" s="95"/>
      <c r="AY1065" s="93"/>
    </row>
    <row r="1066" ht="14.5" spans="1:51">
      <c r="A1066" s="91"/>
      <c r="B1066" s="95"/>
      <c r="C1066" s="152" t="s">
        <v>1085</v>
      </c>
      <c r="D1066" s="153" t="s">
        <v>25</v>
      </c>
      <c r="E1066" s="130" t="s">
        <v>1086</v>
      </c>
      <c r="F1066" s="195" t="s">
        <v>1096</v>
      </c>
      <c r="G1066" s="195" t="s">
        <v>1096</v>
      </c>
      <c r="H1066" s="195" t="s">
        <v>1096</v>
      </c>
      <c r="I1066" s="195" t="s">
        <v>1096</v>
      </c>
      <c r="J1066" s="132">
        <v>0.9</v>
      </c>
      <c r="K1066" s="133">
        <v>0.833333333333333</v>
      </c>
      <c r="L1066" s="133">
        <v>0.825</v>
      </c>
      <c r="M1066" s="134">
        <v>0.846153846153846</v>
      </c>
      <c r="N1066" s="133">
        <v>0.887381275440977</v>
      </c>
      <c r="O1066" s="135">
        <v>0.9</v>
      </c>
      <c r="P1066" s="133">
        <v>0.985015772870662</v>
      </c>
      <c r="Q1066" s="133">
        <v>0.943625644804716</v>
      </c>
      <c r="R1066" s="133">
        <v>0.980952380952381</v>
      </c>
      <c r="S1066" s="133">
        <v>0.957271103481871</v>
      </c>
      <c r="T1066" s="135">
        <v>0.9</v>
      </c>
      <c r="U1066" s="133">
        <v>0.95583596214511</v>
      </c>
      <c r="V1066" s="133">
        <v>0.917833456153279</v>
      </c>
      <c r="W1066" s="133">
        <v>0.94047619047619</v>
      </c>
      <c r="X1066" s="133">
        <v>0.930084205154376</v>
      </c>
      <c r="Y1066" s="135">
        <v>0.92</v>
      </c>
      <c r="Z1066" s="135">
        <v>0.94125</v>
      </c>
      <c r="AA1066" s="135">
        <v>0.947712418300654</v>
      </c>
      <c r="AB1066" s="135">
        <v>0.955259975816203</v>
      </c>
      <c r="AC1066" s="135">
        <v>0.95252704666559</v>
      </c>
      <c r="AD1066" s="135">
        <v>0.92</v>
      </c>
      <c r="AE1066" s="133">
        <v>0.986206896551724</v>
      </c>
      <c r="AF1066" s="133">
        <v>0.922330097087379</v>
      </c>
      <c r="AG1066" s="133">
        <v>0.992647058823529</v>
      </c>
      <c r="AH1066" s="133">
        <v>0.94641638225256</v>
      </c>
      <c r="AI1066" s="135">
        <v>0.92</v>
      </c>
      <c r="AJ1066" s="133">
        <v>0.968085106382979</v>
      </c>
      <c r="AK1066" s="133">
        <v>0.972320975114271</v>
      </c>
      <c r="AL1066" s="133">
        <v>0.973894512519979</v>
      </c>
      <c r="AM1066" s="133">
        <v>0.974676271710788</v>
      </c>
      <c r="AN1066" s="132">
        <v>0.99</v>
      </c>
      <c r="AO1066" s="137">
        <v>1</v>
      </c>
      <c r="AP1066" s="137">
        <v>1</v>
      </c>
      <c r="AQ1066" s="137">
        <v>1</v>
      </c>
      <c r="AR1066" s="137">
        <v>1</v>
      </c>
      <c r="AS1066" s="158">
        <v>0.0721861525408278</v>
      </c>
      <c r="AT1066" s="141">
        <v>0</v>
      </c>
      <c r="AU1066" s="141">
        <v>0</v>
      </c>
      <c r="AV1066" s="141">
        <v>0.166666666666667</v>
      </c>
      <c r="AW1066" s="141">
        <v>0.0447761194029851</v>
      </c>
      <c r="AX1066" s="95"/>
      <c r="AY1066" s="93"/>
    </row>
    <row r="1067" ht="14.5" spans="1:51">
      <c r="A1067" s="91"/>
      <c r="B1067" s="95"/>
      <c r="C1067" s="152" t="s">
        <v>1085</v>
      </c>
      <c r="D1067" s="153" t="s">
        <v>25</v>
      </c>
      <c r="E1067" s="130" t="s">
        <v>1086</v>
      </c>
      <c r="F1067" s="195" t="s">
        <v>1097</v>
      </c>
      <c r="G1067" s="195" t="s">
        <v>1097</v>
      </c>
      <c r="H1067" s="195" t="s">
        <v>1097</v>
      </c>
      <c r="I1067" s="195" t="s">
        <v>1097</v>
      </c>
      <c r="J1067" s="132">
        <v>0.9</v>
      </c>
      <c r="K1067" s="133">
        <v>0.972972972972973</v>
      </c>
      <c r="L1067" s="133">
        <v>0.973684210526316</v>
      </c>
      <c r="M1067" s="134">
        <v>1</v>
      </c>
      <c r="N1067" s="133">
        <v>0.967966573816156</v>
      </c>
      <c r="O1067" s="135">
        <v>0.9</v>
      </c>
      <c r="P1067" s="133">
        <v>0.985282726568552</v>
      </c>
      <c r="Q1067" s="133">
        <v>0.990206746463547</v>
      </c>
      <c r="R1067" s="133">
        <v>0.947483588621444</v>
      </c>
      <c r="S1067" s="133">
        <v>0.98026880183014</v>
      </c>
      <c r="T1067" s="135">
        <v>0.9</v>
      </c>
      <c r="U1067" s="133">
        <v>0.955073586367157</v>
      </c>
      <c r="V1067" s="133">
        <v>0.953935437069278</v>
      </c>
      <c r="W1067" s="133">
        <v>0.931291028446389</v>
      </c>
      <c r="X1067" s="133">
        <v>0.94247816810013</v>
      </c>
      <c r="Y1067" s="135">
        <v>0.92</v>
      </c>
      <c r="Z1067" s="135">
        <v>0.936339522546419</v>
      </c>
      <c r="AA1067" s="135">
        <v>0.944182389937107</v>
      </c>
      <c r="AB1067" s="135">
        <v>0.943580886586068</v>
      </c>
      <c r="AC1067" s="135">
        <v>0.956184322899261</v>
      </c>
      <c r="AD1067" s="135">
        <v>0.92</v>
      </c>
      <c r="AE1067" s="133">
        <v>0.998394863563403</v>
      </c>
      <c r="AF1067" s="133">
        <v>0.992916174734357</v>
      </c>
      <c r="AG1067" s="133">
        <v>0.994152046783626</v>
      </c>
      <c r="AH1067" s="133">
        <v>0.995850622406639</v>
      </c>
      <c r="AI1067" s="135">
        <v>0.92</v>
      </c>
      <c r="AJ1067" s="133">
        <v>0.959902200488998</v>
      </c>
      <c r="AK1067" s="133">
        <v>0.970215934475056</v>
      </c>
      <c r="AL1067" s="133">
        <v>0.963202386872203</v>
      </c>
      <c r="AM1067" s="133">
        <v>0.97348139554156</v>
      </c>
      <c r="AN1067" s="132">
        <v>0.99</v>
      </c>
      <c r="AO1067" s="137">
        <v>1</v>
      </c>
      <c r="AP1067" s="137">
        <v>1</v>
      </c>
      <c r="AQ1067" s="137">
        <v>1</v>
      </c>
      <c r="AR1067" s="137">
        <v>1</v>
      </c>
      <c r="AS1067" s="158">
        <v>0.0721861525408278</v>
      </c>
      <c r="AT1067" s="141">
        <v>0</v>
      </c>
      <c r="AU1067" s="141">
        <v>0</v>
      </c>
      <c r="AV1067" s="141">
        <v>0.037037037037037</v>
      </c>
      <c r="AW1067" s="141">
        <v>0.0328767123287671</v>
      </c>
      <c r="AX1067" s="95"/>
      <c r="AY1067" s="93"/>
    </row>
    <row r="1068" ht="14.5" spans="1:51">
      <c r="A1068" s="91"/>
      <c r="B1068" s="95"/>
      <c r="C1068" s="152" t="s">
        <v>1085</v>
      </c>
      <c r="D1068" s="153" t="s">
        <v>25</v>
      </c>
      <c r="E1068" s="130" t="s">
        <v>1086</v>
      </c>
      <c r="F1068" s="195" t="s">
        <v>1098</v>
      </c>
      <c r="G1068" s="195" t="s">
        <v>1098</v>
      </c>
      <c r="H1068" s="195" t="s">
        <v>1098</v>
      </c>
      <c r="I1068" s="195" t="s">
        <v>1098</v>
      </c>
      <c r="J1068" s="132">
        <v>0.9</v>
      </c>
      <c r="K1068" s="133">
        <v>0.96078431372549</v>
      </c>
      <c r="L1068" s="133">
        <v>0.909090909090909</v>
      </c>
      <c r="M1068" s="134">
        <v>0.962962962962963</v>
      </c>
      <c r="N1068" s="133">
        <v>0.930443548387097</v>
      </c>
      <c r="O1068" s="135">
        <v>0.9</v>
      </c>
      <c r="P1068" s="133">
        <v>0.987833140208575</v>
      </c>
      <c r="Q1068" s="133">
        <v>0.938639652677279</v>
      </c>
      <c r="R1068" s="133">
        <v>0.942211055276382</v>
      </c>
      <c r="S1068" s="133">
        <v>0.976636366955062</v>
      </c>
      <c r="T1068" s="135">
        <v>0.9</v>
      </c>
      <c r="U1068" s="133">
        <v>0.948435689455388</v>
      </c>
      <c r="V1068" s="133">
        <v>0.923589001447178</v>
      </c>
      <c r="W1068" s="133">
        <v>0.951543431442929</v>
      </c>
      <c r="X1068" s="133">
        <v>0.940240207352243</v>
      </c>
      <c r="Y1068" s="135">
        <v>0.92</v>
      </c>
      <c r="Z1068" s="135">
        <v>0.957537154989384</v>
      </c>
      <c r="AA1068" s="135">
        <v>0.96900269541779</v>
      </c>
      <c r="AB1068" s="135">
        <v>0.967832167832168</v>
      </c>
      <c r="AC1068" s="135">
        <v>0.963279085321189</v>
      </c>
      <c r="AD1068" s="135">
        <v>0.92</v>
      </c>
      <c r="AE1068" s="133">
        <v>0.999781802312895</v>
      </c>
      <c r="AF1068" s="133">
        <v>0.995859213250518</v>
      </c>
      <c r="AG1068" s="133">
        <v>0.999363057324841</v>
      </c>
      <c r="AH1068" s="133">
        <v>0.994563607534282</v>
      </c>
      <c r="AI1068" s="135">
        <v>0.92</v>
      </c>
      <c r="AJ1068" s="133">
        <v>0.974512743628186</v>
      </c>
      <c r="AK1068" s="133">
        <v>0.980562866977121</v>
      </c>
      <c r="AL1068" s="133">
        <v>0.979720137903062</v>
      </c>
      <c r="AM1068" s="133">
        <v>0.979626170392974</v>
      </c>
      <c r="AN1068" s="132">
        <v>0.99</v>
      </c>
      <c r="AO1068" s="137">
        <v>1</v>
      </c>
      <c r="AP1068" s="137">
        <v>1</v>
      </c>
      <c r="AQ1068" s="137">
        <v>1</v>
      </c>
      <c r="AR1068" s="137">
        <v>1</v>
      </c>
      <c r="AS1068" s="158">
        <v>0.0721861525408278</v>
      </c>
      <c r="AT1068" s="141">
        <v>0</v>
      </c>
      <c r="AU1068" s="141">
        <v>0</v>
      </c>
      <c r="AV1068" s="141">
        <v>0</v>
      </c>
      <c r="AW1068" s="141">
        <v>0.0280701754385965</v>
      </c>
      <c r="AX1068" s="95"/>
      <c r="AY1068" s="93"/>
    </row>
    <row r="1069" ht="14.5" spans="1:51">
      <c r="A1069" s="91"/>
      <c r="B1069" s="95"/>
      <c r="C1069" s="152" t="s">
        <v>1085</v>
      </c>
      <c r="D1069" s="153" t="s">
        <v>25</v>
      </c>
      <c r="E1069" s="130" t="s">
        <v>1086</v>
      </c>
      <c r="F1069" s="195" t="s">
        <v>1099</v>
      </c>
      <c r="G1069" s="195" t="s">
        <v>1099</v>
      </c>
      <c r="H1069" s="195" t="s">
        <v>1099</v>
      </c>
      <c r="I1069" s="195" t="s">
        <v>1099</v>
      </c>
      <c r="J1069" s="132">
        <v>0.9</v>
      </c>
      <c r="K1069" s="133">
        <v>0.933333333333333</v>
      </c>
      <c r="L1069" s="133">
        <v>1</v>
      </c>
      <c r="M1069" s="134">
        <v>0.967741935483871</v>
      </c>
      <c r="N1069" s="133">
        <v>0.894545454545455</v>
      </c>
      <c r="O1069" s="135">
        <v>0.9</v>
      </c>
      <c r="P1069" s="133">
        <v>0.879294336118849</v>
      </c>
      <c r="Q1069" s="133">
        <v>0.974654377880184</v>
      </c>
      <c r="R1069" s="133">
        <v>0.981012658227848</v>
      </c>
      <c r="S1069" s="133">
        <v>0.955417477952125</v>
      </c>
      <c r="T1069" s="135">
        <v>0.9</v>
      </c>
      <c r="U1069" s="133">
        <v>0.89322191272052</v>
      </c>
      <c r="V1069" s="133">
        <v>0.949769585253456</v>
      </c>
      <c r="W1069" s="133">
        <v>0.967779056386651</v>
      </c>
      <c r="X1069" s="133">
        <v>0.940470736456305</v>
      </c>
      <c r="Y1069" s="135">
        <v>0.92</v>
      </c>
      <c r="Z1069" s="135">
        <v>0.939814814814815</v>
      </c>
      <c r="AA1069" s="135">
        <v>0.961460446247465</v>
      </c>
      <c r="AB1069" s="135">
        <v>0.952416918429003</v>
      </c>
      <c r="AC1069" s="135">
        <v>0.948993893282611</v>
      </c>
      <c r="AD1069" s="135">
        <v>0.92</v>
      </c>
      <c r="AE1069" s="133">
        <v>0.949914383561644</v>
      </c>
      <c r="AF1069" s="133">
        <v>0.984994337485844</v>
      </c>
      <c r="AG1069" s="133">
        <v>0.988929889298893</v>
      </c>
      <c r="AH1069" s="133">
        <v>0.785655966653775</v>
      </c>
      <c r="AI1069" s="135">
        <v>0.92</v>
      </c>
      <c r="AJ1069" s="133">
        <v>0.969855072463768</v>
      </c>
      <c r="AK1069" s="133">
        <v>0.980038022813688</v>
      </c>
      <c r="AL1069" s="133">
        <v>0.97420829252367</v>
      </c>
      <c r="AM1069" s="133">
        <v>0.973049257944095</v>
      </c>
      <c r="AN1069" s="132">
        <v>0.99</v>
      </c>
      <c r="AO1069" s="137">
        <v>1</v>
      </c>
      <c r="AP1069" s="137">
        <v>1</v>
      </c>
      <c r="AQ1069" s="137">
        <v>1</v>
      </c>
      <c r="AR1069" s="137">
        <v>1</v>
      </c>
      <c r="AS1069" s="158">
        <v>0.0721861525408278</v>
      </c>
      <c r="AT1069" s="141">
        <v>0.0769230769230769</v>
      </c>
      <c r="AU1069" s="141">
        <v>0</v>
      </c>
      <c r="AV1069" s="141">
        <v>0</v>
      </c>
      <c r="AW1069" s="141">
        <v>0.0337837837837838</v>
      </c>
      <c r="AX1069" s="95"/>
      <c r="AY1069" s="93"/>
    </row>
    <row r="1070" ht="14.5" spans="1:51">
      <c r="A1070" s="91"/>
      <c r="B1070" s="95"/>
      <c r="C1070" s="152" t="s">
        <v>1085</v>
      </c>
      <c r="D1070" s="153" t="s">
        <v>25</v>
      </c>
      <c r="E1070" s="130" t="s">
        <v>1086</v>
      </c>
      <c r="F1070" s="195" t="s">
        <v>1100</v>
      </c>
      <c r="G1070" s="195" t="s">
        <v>1100</v>
      </c>
      <c r="H1070" s="195" t="s">
        <v>1100</v>
      </c>
      <c r="I1070" s="195" t="s">
        <v>1100</v>
      </c>
      <c r="J1070" s="132">
        <v>0.9</v>
      </c>
      <c r="K1070" s="133">
        <v>0.975</v>
      </c>
      <c r="L1070" s="133">
        <v>0.976190476190476</v>
      </c>
      <c r="M1070" s="134">
        <v>1</v>
      </c>
      <c r="N1070" s="133">
        <v>0.991150442477876</v>
      </c>
      <c r="O1070" s="135">
        <v>0.9</v>
      </c>
      <c r="P1070" s="133">
        <v>0.979578392621871</v>
      </c>
      <c r="Q1070" s="133">
        <v>0.982674982674983</v>
      </c>
      <c r="R1070" s="133">
        <v>0.985209531635168</v>
      </c>
      <c r="S1070" s="133">
        <v>0.983182157720627</v>
      </c>
      <c r="T1070" s="135">
        <v>0.9</v>
      </c>
      <c r="U1070" s="133">
        <v>0.959156785243742</v>
      </c>
      <c r="V1070" s="133">
        <v>0.959112959112959</v>
      </c>
      <c r="W1070" s="133">
        <v>0.960147904683648</v>
      </c>
      <c r="X1070" s="133">
        <v>0.960025610927329</v>
      </c>
      <c r="Y1070" s="135">
        <v>0.92</v>
      </c>
      <c r="Z1070" s="135">
        <v>0.960714285714286</v>
      </c>
      <c r="AA1070" s="135">
        <v>0.965875370919881</v>
      </c>
      <c r="AB1070" s="135">
        <v>0.957446808510638</v>
      </c>
      <c r="AC1070" s="135">
        <v>0.968914234596891</v>
      </c>
      <c r="AD1070" s="135">
        <v>0.92</v>
      </c>
      <c r="AE1070" s="133">
        <v>1</v>
      </c>
      <c r="AF1070" s="133">
        <v>0.999172185430464</v>
      </c>
      <c r="AG1070" s="133">
        <v>0.996353691886964</v>
      </c>
      <c r="AH1070" s="133">
        <v>0.995621863738928</v>
      </c>
      <c r="AI1070" s="135">
        <v>0.92</v>
      </c>
      <c r="AJ1070" s="133">
        <v>0.978795589482612</v>
      </c>
      <c r="AK1070" s="133">
        <v>0.978507321681625</v>
      </c>
      <c r="AL1070" s="133">
        <v>0.974881516587678</v>
      </c>
      <c r="AM1070" s="133">
        <v>0.982833025730105</v>
      </c>
      <c r="AN1070" s="132">
        <v>0.99</v>
      </c>
      <c r="AO1070" s="137">
        <v>1</v>
      </c>
      <c r="AP1070" s="137">
        <v>1</v>
      </c>
      <c r="AQ1070" s="137">
        <v>1</v>
      </c>
      <c r="AR1070" s="137">
        <v>1</v>
      </c>
      <c r="AS1070" s="158">
        <v>0.0721861525408278</v>
      </c>
      <c r="AT1070" s="141">
        <v>0.032258064516129</v>
      </c>
      <c r="AU1070" s="141">
        <v>0.0158730158730159</v>
      </c>
      <c r="AV1070" s="141">
        <v>0.0123456790123457</v>
      </c>
      <c r="AW1070" s="141">
        <v>0.013648771610555</v>
      </c>
      <c r="AX1070" s="95"/>
      <c r="AY1070" s="93"/>
    </row>
    <row r="1071" ht="14.5" spans="1:51">
      <c r="A1071" s="91"/>
      <c r="B1071" s="95"/>
      <c r="C1071" s="152" t="s">
        <v>1085</v>
      </c>
      <c r="D1071" s="153" t="s">
        <v>25</v>
      </c>
      <c r="E1071" s="130" t="s">
        <v>1086</v>
      </c>
      <c r="F1071" s="195" t="s">
        <v>1101</v>
      </c>
      <c r="G1071" s="195" t="s">
        <v>1101</v>
      </c>
      <c r="H1071" s="195" t="s">
        <v>1101</v>
      </c>
      <c r="I1071" s="195" t="s">
        <v>1101</v>
      </c>
      <c r="J1071" s="132">
        <v>0.9</v>
      </c>
      <c r="K1071" s="133">
        <v>1</v>
      </c>
      <c r="L1071" s="133">
        <v>0.904761904761905</v>
      </c>
      <c r="M1071" s="134">
        <v>1</v>
      </c>
      <c r="N1071" s="133">
        <v>0.938931297709924</v>
      </c>
      <c r="O1071" s="135">
        <v>0.9</v>
      </c>
      <c r="P1071" s="133">
        <v>0.971397139713971</v>
      </c>
      <c r="Q1071" s="133">
        <v>0.977607864554888</v>
      </c>
      <c r="R1071" s="133">
        <v>0.981657179000633</v>
      </c>
      <c r="S1071" s="133">
        <v>0.962476302542982</v>
      </c>
      <c r="T1071" s="135">
        <v>0.9</v>
      </c>
      <c r="U1071" s="133">
        <v>0.95049504950495</v>
      </c>
      <c r="V1071" s="133">
        <v>0.943200436919716</v>
      </c>
      <c r="W1071" s="133">
        <v>0.950031625553447</v>
      </c>
      <c r="X1071" s="133">
        <v>0.936327384454468</v>
      </c>
      <c r="Y1071" s="135">
        <v>0.92</v>
      </c>
      <c r="Z1071" s="135">
        <v>0.947368421052632</v>
      </c>
      <c r="AA1071" s="135">
        <v>0.965393794749403</v>
      </c>
      <c r="AB1071" s="135">
        <v>0.969037656903766</v>
      </c>
      <c r="AC1071" s="135">
        <v>0.955397871262037</v>
      </c>
      <c r="AD1071" s="135">
        <v>0.92</v>
      </c>
      <c r="AE1071" s="133">
        <v>0.956204379562044</v>
      </c>
      <c r="AF1071" s="133">
        <v>0.945558739255014</v>
      </c>
      <c r="AG1071" s="133">
        <v>0.831157528285466</v>
      </c>
      <c r="AH1071" s="133">
        <v>0.937520882058136</v>
      </c>
      <c r="AI1071" s="135">
        <v>0.92</v>
      </c>
      <c r="AJ1071" s="133">
        <v>0.966438356164384</v>
      </c>
      <c r="AK1071" s="133">
        <v>0.979393031097789</v>
      </c>
      <c r="AL1071" s="133">
        <v>0.981268011527378</v>
      </c>
      <c r="AM1071" s="133">
        <v>0.976506111306434</v>
      </c>
      <c r="AN1071" s="132">
        <v>0.99</v>
      </c>
      <c r="AO1071" s="137">
        <v>1</v>
      </c>
      <c r="AP1071" s="137">
        <v>1</v>
      </c>
      <c r="AQ1071" s="137">
        <v>1</v>
      </c>
      <c r="AR1071" s="137">
        <v>1</v>
      </c>
      <c r="AS1071" s="158">
        <v>0.0721861525408278</v>
      </c>
      <c r="AT1071" s="141">
        <v>0</v>
      </c>
      <c r="AU1071" s="141">
        <v>0.0833333333333333</v>
      </c>
      <c r="AV1071" s="141">
        <v>0</v>
      </c>
      <c r="AW1071" s="141">
        <v>0.0463576158940397</v>
      </c>
      <c r="AX1071" s="95"/>
      <c r="AY1071" s="93"/>
    </row>
    <row r="1072" ht="14.5" spans="1:51">
      <c r="A1072" s="91"/>
      <c r="B1072" s="95"/>
      <c r="C1072" s="152" t="s">
        <v>1085</v>
      </c>
      <c r="D1072" s="153" t="s">
        <v>25</v>
      </c>
      <c r="E1072" s="130" t="s">
        <v>1086</v>
      </c>
      <c r="F1072" s="195" t="s">
        <v>1102</v>
      </c>
      <c r="G1072" s="195" t="s">
        <v>1102</v>
      </c>
      <c r="H1072" s="195" t="s">
        <v>1102</v>
      </c>
      <c r="I1072" s="195" t="s">
        <v>1102</v>
      </c>
      <c r="J1072" s="132">
        <v>0.9</v>
      </c>
      <c r="K1072" s="133">
        <v>1</v>
      </c>
      <c r="L1072" s="133">
        <v>1</v>
      </c>
      <c r="M1072" s="134">
        <v>1</v>
      </c>
      <c r="N1072" s="133">
        <v>0.975563909774436</v>
      </c>
      <c r="O1072" s="135">
        <v>0.9</v>
      </c>
      <c r="P1072" s="133">
        <v>0.940366972477064</v>
      </c>
      <c r="Q1072" s="133">
        <v>0.967656180770935</v>
      </c>
      <c r="R1072" s="133">
        <v>0.967379679144385</v>
      </c>
      <c r="S1072" s="133">
        <v>0.952965891518105</v>
      </c>
      <c r="T1072" s="135">
        <v>0.9</v>
      </c>
      <c r="U1072" s="133">
        <v>0.952293577981651</v>
      </c>
      <c r="V1072" s="133">
        <v>0.959237926451041</v>
      </c>
      <c r="W1072" s="133">
        <v>0.940641711229947</v>
      </c>
      <c r="X1072" s="133">
        <v>0.942812126163452</v>
      </c>
      <c r="Y1072" s="135">
        <v>0.92</v>
      </c>
      <c r="Z1072" s="135">
        <v>0.94077834179357</v>
      </c>
      <c r="AA1072" s="135">
        <v>0.953076120959333</v>
      </c>
      <c r="AB1072" s="135">
        <v>0.950070323488045</v>
      </c>
      <c r="AC1072" s="135">
        <v>0.953421910253196</v>
      </c>
      <c r="AD1072" s="135">
        <v>0.92</v>
      </c>
      <c r="AE1072" s="133">
        <v>0.999253174010456</v>
      </c>
      <c r="AF1072" s="133">
        <v>0.999335106382979</v>
      </c>
      <c r="AG1072" s="133">
        <v>0.998616874135546</v>
      </c>
      <c r="AH1072" s="133">
        <v>0.978232477144101</v>
      </c>
      <c r="AI1072" s="135">
        <v>0.92</v>
      </c>
      <c r="AJ1072" s="133">
        <v>0.969066032123736</v>
      </c>
      <c r="AK1072" s="133">
        <v>0.979483991296239</v>
      </c>
      <c r="AL1072" s="133">
        <v>0.9726609963548</v>
      </c>
      <c r="AM1072" s="133">
        <v>0.973810885081426</v>
      </c>
      <c r="AN1072" s="132">
        <v>0.99</v>
      </c>
      <c r="AO1072" s="137">
        <v>1</v>
      </c>
      <c r="AP1072" s="137">
        <v>1</v>
      </c>
      <c r="AQ1072" s="137">
        <v>1</v>
      </c>
      <c r="AR1072" s="137">
        <v>1</v>
      </c>
      <c r="AS1072" s="158">
        <v>0.0721861525408278</v>
      </c>
      <c r="AT1072" s="141">
        <v>0</v>
      </c>
      <c r="AU1072" s="141">
        <v>0</v>
      </c>
      <c r="AV1072" s="141">
        <v>0</v>
      </c>
      <c r="AW1072" s="141">
        <v>0.0163934426229508</v>
      </c>
      <c r="AX1072" s="95"/>
      <c r="AY1072" s="93"/>
    </row>
    <row r="1073" ht="14.5" spans="1:51">
      <c r="A1073" s="91"/>
      <c r="B1073" s="95"/>
      <c r="C1073" s="152" t="s">
        <v>1085</v>
      </c>
      <c r="D1073" s="153" t="s">
        <v>25</v>
      </c>
      <c r="E1073" s="130" t="s">
        <v>1086</v>
      </c>
      <c r="F1073" s="195" t="s">
        <v>1103</v>
      </c>
      <c r="G1073" s="195" t="s">
        <v>1103</v>
      </c>
      <c r="H1073" s="195" t="s">
        <v>1103</v>
      </c>
      <c r="I1073" s="195" t="s">
        <v>1103</v>
      </c>
      <c r="J1073" s="132">
        <v>0.9</v>
      </c>
      <c r="K1073" s="133">
        <v>0.914893617021277</v>
      </c>
      <c r="L1073" s="133">
        <v>0.98</v>
      </c>
      <c r="M1073" s="134">
        <v>0.98</v>
      </c>
      <c r="N1073" s="133">
        <v>0.981173864894795</v>
      </c>
      <c r="O1073" s="135">
        <v>0.9</v>
      </c>
      <c r="P1073" s="133">
        <v>0.931937172774869</v>
      </c>
      <c r="Q1073" s="133">
        <v>0.954929577464789</v>
      </c>
      <c r="R1073" s="133">
        <v>0.966153846153846</v>
      </c>
      <c r="S1073" s="133">
        <v>0.963057281002116</v>
      </c>
      <c r="T1073" s="135">
        <v>0.9</v>
      </c>
      <c r="U1073" s="133">
        <v>0.943571844095404</v>
      </c>
      <c r="V1073" s="133">
        <v>0.937183098591549</v>
      </c>
      <c r="W1073" s="133">
        <v>0.949401709401709</v>
      </c>
      <c r="X1073" s="133">
        <v>0.942151177796514</v>
      </c>
      <c r="Y1073" s="135">
        <v>0.92</v>
      </c>
      <c r="Z1073" s="135">
        <v>0.966403162055336</v>
      </c>
      <c r="AA1073" s="135">
        <v>0.948837209302326</v>
      </c>
      <c r="AB1073" s="135">
        <v>0.973209936678032</v>
      </c>
      <c r="AC1073" s="135">
        <v>0.966578769853437</v>
      </c>
      <c r="AD1073" s="135">
        <v>0.92</v>
      </c>
      <c r="AE1073" s="133">
        <v>0.998261625380269</v>
      </c>
      <c r="AF1073" s="133">
        <v>0.99800299550674</v>
      </c>
      <c r="AG1073" s="133">
        <v>0.99908024833295</v>
      </c>
      <c r="AH1073" s="133">
        <v>0.908125900821939</v>
      </c>
      <c r="AI1073" s="135">
        <v>0.92</v>
      </c>
      <c r="AJ1073" s="133">
        <v>0.97436836323691</v>
      </c>
      <c r="AK1073" s="133">
        <v>0.972700296735905</v>
      </c>
      <c r="AL1073" s="133">
        <v>0.981317798312575</v>
      </c>
      <c r="AM1073" s="133">
        <v>0.980019396504221</v>
      </c>
      <c r="AN1073" s="132">
        <v>0.99</v>
      </c>
      <c r="AO1073" s="137">
        <v>1</v>
      </c>
      <c r="AP1073" s="137">
        <v>1</v>
      </c>
      <c r="AQ1073" s="137">
        <v>1</v>
      </c>
      <c r="AR1073" s="137">
        <v>1</v>
      </c>
      <c r="AS1073" s="158">
        <v>0.0721861525408278</v>
      </c>
      <c r="AT1073" s="141">
        <v>0</v>
      </c>
      <c r="AU1073" s="141">
        <v>0</v>
      </c>
      <c r="AV1073" s="141">
        <v>0.0666666666666667</v>
      </c>
      <c r="AW1073" s="141">
        <v>0.0348837209302326</v>
      </c>
      <c r="AX1073" s="95"/>
      <c r="AY1073" s="93"/>
    </row>
    <row r="1074" ht="14.5" spans="1:51">
      <c r="A1074" s="91"/>
      <c r="B1074" s="95"/>
      <c r="C1074" s="152" t="s">
        <v>1085</v>
      </c>
      <c r="D1074" s="153" t="s">
        <v>25</v>
      </c>
      <c r="E1074" s="130" t="s">
        <v>1086</v>
      </c>
      <c r="F1074" s="195" t="s">
        <v>1104</v>
      </c>
      <c r="G1074" s="195" t="s">
        <v>1104</v>
      </c>
      <c r="H1074" s="195" t="s">
        <v>1104</v>
      </c>
      <c r="I1074" s="195" t="s">
        <v>1104</v>
      </c>
      <c r="J1074" s="132">
        <v>0.9</v>
      </c>
      <c r="K1074" s="133">
        <v>1</v>
      </c>
      <c r="L1074" s="133">
        <v>1</v>
      </c>
      <c r="M1074" s="134">
        <v>1</v>
      </c>
      <c r="N1074" s="133">
        <v>0.974182444061962</v>
      </c>
      <c r="O1074" s="135">
        <v>0.9</v>
      </c>
      <c r="P1074" s="133">
        <v>0.970389170896785</v>
      </c>
      <c r="Q1074" s="133">
        <v>0.982710092480901</v>
      </c>
      <c r="R1074" s="133">
        <v>0.959944751381215</v>
      </c>
      <c r="S1074" s="133">
        <v>0.97521869271643</v>
      </c>
      <c r="T1074" s="135">
        <v>0.9</v>
      </c>
      <c r="U1074" s="133">
        <v>0.958544839255499</v>
      </c>
      <c r="V1074" s="133">
        <v>0.947728186570165</v>
      </c>
      <c r="W1074" s="133">
        <v>0.952117863720074</v>
      </c>
      <c r="X1074" s="133">
        <v>0.94948604311205</v>
      </c>
      <c r="Y1074" s="135">
        <v>0.92</v>
      </c>
      <c r="Z1074" s="135">
        <v>0.95128552097429</v>
      </c>
      <c r="AA1074" s="135">
        <v>0.961799660441426</v>
      </c>
      <c r="AB1074" s="135">
        <v>0.947987616099071</v>
      </c>
      <c r="AC1074" s="135">
        <v>0.963541244220942</v>
      </c>
      <c r="AD1074" s="135">
        <v>0.92</v>
      </c>
      <c r="AE1074" s="133">
        <v>0.997357992073976</v>
      </c>
      <c r="AF1074" s="133">
        <v>1</v>
      </c>
      <c r="AG1074" s="133">
        <v>1</v>
      </c>
      <c r="AH1074" s="133">
        <v>0.996067031463748</v>
      </c>
      <c r="AI1074" s="135">
        <v>0.92</v>
      </c>
      <c r="AJ1074" s="133">
        <v>0.969286829776158</v>
      </c>
      <c r="AK1074" s="133">
        <v>0.973533424283765</v>
      </c>
      <c r="AL1074" s="133">
        <v>0.966737064413939</v>
      </c>
      <c r="AM1074" s="133">
        <v>0.97833657989493</v>
      </c>
      <c r="AN1074" s="132">
        <v>0.99</v>
      </c>
      <c r="AO1074" s="137">
        <v>1</v>
      </c>
      <c r="AP1074" s="137">
        <v>1</v>
      </c>
      <c r="AQ1074" s="137">
        <v>1</v>
      </c>
      <c r="AR1074" s="137">
        <v>1</v>
      </c>
      <c r="AS1074" s="158">
        <v>0.0721861525408278</v>
      </c>
      <c r="AT1074" s="141">
        <v>0</v>
      </c>
      <c r="AU1074" s="141">
        <v>0</v>
      </c>
      <c r="AV1074" s="141">
        <v>0</v>
      </c>
      <c r="AW1074" s="141">
        <v>0.0363636363636364</v>
      </c>
      <c r="AX1074" s="95"/>
      <c r="AY1074" s="93"/>
    </row>
    <row r="1075" ht="14.5" spans="1:51">
      <c r="A1075" s="91"/>
      <c r="B1075" s="95"/>
      <c r="C1075" s="152" t="s">
        <v>1085</v>
      </c>
      <c r="D1075" s="153" t="s">
        <v>25</v>
      </c>
      <c r="E1075" s="130" t="s">
        <v>1086</v>
      </c>
      <c r="F1075" s="195" t="s">
        <v>1105</v>
      </c>
      <c r="G1075" s="195" t="s">
        <v>1105</v>
      </c>
      <c r="H1075" s="195" t="s">
        <v>1105</v>
      </c>
      <c r="I1075" s="195" t="s">
        <v>1105</v>
      </c>
      <c r="J1075" s="132">
        <v>0.9</v>
      </c>
      <c r="K1075" s="133">
        <v>0.903225806451613</v>
      </c>
      <c r="L1075" s="133">
        <v>0.933333333333333</v>
      </c>
      <c r="M1075" s="134">
        <v>0.933333333333333</v>
      </c>
      <c r="N1075" s="133">
        <v>0.973021582733813</v>
      </c>
      <c r="O1075" s="135">
        <v>0.9</v>
      </c>
      <c r="P1075" s="133">
        <v>0.98256880733945</v>
      </c>
      <c r="Q1075" s="133">
        <v>0.973885637100405</v>
      </c>
      <c r="R1075" s="133">
        <v>0.994880546075085</v>
      </c>
      <c r="S1075" s="133">
        <v>0.987802966987046</v>
      </c>
      <c r="T1075" s="135">
        <v>0.9</v>
      </c>
      <c r="U1075" s="133">
        <v>0.943119266055046</v>
      </c>
      <c r="V1075" s="133">
        <v>0.916253939666817</v>
      </c>
      <c r="W1075" s="133">
        <v>0.931740614334471</v>
      </c>
      <c r="X1075" s="133">
        <v>0.939432720434601</v>
      </c>
      <c r="Y1075" s="135">
        <v>0.92</v>
      </c>
      <c r="Z1075" s="135">
        <v>0.973643410852713</v>
      </c>
      <c r="AA1075" s="135">
        <v>0.958904109589041</v>
      </c>
      <c r="AB1075" s="135">
        <v>0.96716630977873</v>
      </c>
      <c r="AC1075" s="135">
        <v>0.97515874377896</v>
      </c>
      <c r="AD1075" s="135">
        <v>0.92</v>
      </c>
      <c r="AE1075" s="133">
        <v>1</v>
      </c>
      <c r="AF1075" s="133">
        <v>0.99644128113879</v>
      </c>
      <c r="AG1075" s="133">
        <v>0.998721227621483</v>
      </c>
      <c r="AH1075" s="133">
        <v>0.978306216103463</v>
      </c>
      <c r="AI1075" s="135">
        <v>0.92</v>
      </c>
      <c r="AJ1075" s="133">
        <v>0.97521613832853</v>
      </c>
      <c r="AK1075" s="133">
        <v>0.973172987974098</v>
      </c>
      <c r="AL1075" s="133">
        <v>0.97562519784742</v>
      </c>
      <c r="AM1075" s="133">
        <v>0.983409090909091</v>
      </c>
      <c r="AN1075" s="132">
        <v>0.99</v>
      </c>
      <c r="AO1075" s="137">
        <v>1</v>
      </c>
      <c r="AP1075" s="137">
        <v>1</v>
      </c>
      <c r="AQ1075" s="137">
        <v>1</v>
      </c>
      <c r="AR1075" s="137">
        <v>1</v>
      </c>
      <c r="AS1075" s="158">
        <v>0.0721861525408278</v>
      </c>
      <c r="AT1075" s="141">
        <v>0</v>
      </c>
      <c r="AU1075" s="141">
        <v>0.0476190476190476</v>
      </c>
      <c r="AV1075" s="141">
        <v>0.0303030303030303</v>
      </c>
      <c r="AW1075" s="141">
        <v>0.0232558139534884</v>
      </c>
      <c r="AX1075" s="95"/>
      <c r="AY1075" s="93"/>
    </row>
    <row r="1076" ht="14.5" spans="1:51">
      <c r="A1076" s="91"/>
      <c r="B1076" s="95"/>
      <c r="C1076" s="152" t="s">
        <v>1085</v>
      </c>
      <c r="D1076" s="153" t="s">
        <v>25</v>
      </c>
      <c r="E1076" s="130" t="s">
        <v>1086</v>
      </c>
      <c r="F1076" s="195" t="s">
        <v>1106</v>
      </c>
      <c r="G1076" s="195" t="s">
        <v>1106</v>
      </c>
      <c r="H1076" s="195" t="s">
        <v>1106</v>
      </c>
      <c r="I1076" s="195" t="s">
        <v>1106</v>
      </c>
      <c r="J1076" s="132">
        <v>0.9</v>
      </c>
      <c r="K1076" s="133">
        <v>0.916666666666667</v>
      </c>
      <c r="L1076" s="133">
        <v>1</v>
      </c>
      <c r="M1076" s="134">
        <v>1</v>
      </c>
      <c r="N1076" s="133">
        <v>0.963636363636364</v>
      </c>
      <c r="O1076" s="135">
        <v>0.9</v>
      </c>
      <c r="P1076" s="133">
        <v>0.932712215320911</v>
      </c>
      <c r="Q1076" s="133">
        <v>0.923775870772337</v>
      </c>
      <c r="R1076" s="133">
        <v>0.971500949968334</v>
      </c>
      <c r="S1076" s="133">
        <v>0.956570657065707</v>
      </c>
      <c r="T1076" s="135">
        <v>0.9</v>
      </c>
      <c r="U1076" s="133">
        <v>0.922360248447205</v>
      </c>
      <c r="V1076" s="133">
        <v>0.917213528520949</v>
      </c>
      <c r="W1076" s="133">
        <v>0.930968967701077</v>
      </c>
      <c r="X1076" s="133">
        <v>0.929117911791179</v>
      </c>
      <c r="Y1076" s="135">
        <v>0.92</v>
      </c>
      <c r="Z1076" s="135">
        <v>0.962818003913894</v>
      </c>
      <c r="AA1076" s="135">
        <v>0.941675503711559</v>
      </c>
      <c r="AB1076" s="135">
        <v>0.958949096880131</v>
      </c>
      <c r="AC1076" s="135">
        <v>0.944771847112308</v>
      </c>
      <c r="AD1076" s="135">
        <v>0.92</v>
      </c>
      <c r="AE1076" s="133">
        <v>0.997124784358827</v>
      </c>
      <c r="AF1076" s="133">
        <v>0.996842936069455</v>
      </c>
      <c r="AG1076" s="133">
        <v>0.997474747474748</v>
      </c>
      <c r="AH1076" s="133">
        <v>0.994190682310058</v>
      </c>
      <c r="AI1076" s="135">
        <v>0.92</v>
      </c>
      <c r="AJ1076" s="133">
        <v>0.950575490859851</v>
      </c>
      <c r="AK1076" s="133">
        <v>0.957934336525308</v>
      </c>
      <c r="AL1076" s="133">
        <v>0.969610296746514</v>
      </c>
      <c r="AM1076" s="133">
        <v>0.965236051502146</v>
      </c>
      <c r="AN1076" s="132">
        <v>0.99</v>
      </c>
      <c r="AO1076" s="137">
        <v>1</v>
      </c>
      <c r="AP1076" s="137">
        <v>1</v>
      </c>
      <c r="AQ1076" s="137">
        <v>1</v>
      </c>
      <c r="AR1076" s="137">
        <v>1</v>
      </c>
      <c r="AS1076" s="158">
        <v>0.0721861525408278</v>
      </c>
      <c r="AT1076" s="141">
        <v>0</v>
      </c>
      <c r="AU1076" s="141">
        <v>0</v>
      </c>
      <c r="AV1076" s="141">
        <v>0</v>
      </c>
      <c r="AW1076" s="141">
        <v>0.024390243902439</v>
      </c>
      <c r="AX1076" s="95"/>
      <c r="AY1076" s="93"/>
    </row>
    <row r="1077" ht="14.5" spans="1:51">
      <c r="A1077" s="91"/>
      <c r="B1077" s="95"/>
      <c r="C1077" s="152" t="s">
        <v>1085</v>
      </c>
      <c r="D1077" s="153" t="s">
        <v>25</v>
      </c>
      <c r="E1077" s="130" t="s">
        <v>1086</v>
      </c>
      <c r="F1077" s="195" t="s">
        <v>1107</v>
      </c>
      <c r="G1077" s="195" t="s">
        <v>1107</v>
      </c>
      <c r="H1077" s="195" t="s">
        <v>1107</v>
      </c>
      <c r="I1077" s="195" t="s">
        <v>1107</v>
      </c>
      <c r="J1077" s="132">
        <v>0.9</v>
      </c>
      <c r="K1077" s="133">
        <v>0.968253968253968</v>
      </c>
      <c r="L1077" s="133">
        <v>0.892307692307692</v>
      </c>
      <c r="M1077" s="134">
        <v>0.9375</v>
      </c>
      <c r="N1077" s="133">
        <v>0.847315436241611</v>
      </c>
      <c r="O1077" s="135">
        <v>0.9</v>
      </c>
      <c r="P1077" s="133">
        <v>0.97554347826087</v>
      </c>
      <c r="Q1077" s="133">
        <v>0.979315532154945</v>
      </c>
      <c r="R1077" s="133">
        <v>0.965090447476991</v>
      </c>
      <c r="S1077" s="133">
        <v>0.925105279056131</v>
      </c>
      <c r="T1077" s="135">
        <v>0.9</v>
      </c>
      <c r="U1077" s="133">
        <v>0.939009661835749</v>
      </c>
      <c r="V1077" s="133">
        <v>0.905039488529522</v>
      </c>
      <c r="W1077" s="133">
        <v>0.910663281497937</v>
      </c>
      <c r="X1077" s="133">
        <v>0.883811012988859</v>
      </c>
      <c r="Y1077" s="135">
        <v>0.92</v>
      </c>
      <c r="Z1077" s="135">
        <v>0.928026172300981</v>
      </c>
      <c r="AA1077" s="135">
        <v>0.891666666666667</v>
      </c>
      <c r="AB1077" s="135">
        <v>0.910852713178295</v>
      </c>
      <c r="AC1077" s="135">
        <v>0.93623097862466</v>
      </c>
      <c r="AD1077" s="135">
        <v>0.92</v>
      </c>
      <c r="AE1077" s="133">
        <v>0.951632068218355</v>
      </c>
      <c r="AF1077" s="133">
        <v>0.697226938313526</v>
      </c>
      <c r="AG1077" s="133">
        <v>0.974458204334365</v>
      </c>
      <c r="AH1077" s="133">
        <v>0.877981309310465</v>
      </c>
      <c r="AI1077" s="135">
        <v>0.92</v>
      </c>
      <c r="AJ1077" s="133">
        <v>0.963584771813668</v>
      </c>
      <c r="AK1077" s="133">
        <v>0.954883406556269</v>
      </c>
      <c r="AL1077" s="133">
        <v>0.954689146469968</v>
      </c>
      <c r="AM1077" s="133">
        <v>0.968791667901271</v>
      </c>
      <c r="AN1077" s="132">
        <v>0.99</v>
      </c>
      <c r="AO1077" s="137">
        <v>1</v>
      </c>
      <c r="AP1077" s="137">
        <v>1</v>
      </c>
      <c r="AQ1077" s="137">
        <v>1</v>
      </c>
      <c r="AR1077" s="137">
        <v>1</v>
      </c>
      <c r="AS1077" s="158">
        <v>0.0721861525408278</v>
      </c>
      <c r="AT1077" s="141">
        <v>0</v>
      </c>
      <c r="AU1077" s="141">
        <v>0</v>
      </c>
      <c r="AV1077" s="141">
        <v>0.0232558139534884</v>
      </c>
      <c r="AW1077" s="141">
        <v>0.027190332326284</v>
      </c>
      <c r="AX1077" s="95"/>
      <c r="AY1077" s="93"/>
    </row>
    <row r="1078" ht="14.5" spans="1:51">
      <c r="A1078" s="91"/>
      <c r="B1078" s="95"/>
      <c r="C1078" s="152" t="s">
        <v>1085</v>
      </c>
      <c r="D1078" s="153" t="s">
        <v>25</v>
      </c>
      <c r="E1078" s="130" t="s">
        <v>1086</v>
      </c>
      <c r="F1078" s="195" t="s">
        <v>1108</v>
      </c>
      <c r="G1078" s="195" t="s">
        <v>1108</v>
      </c>
      <c r="H1078" s="195" t="s">
        <v>1108</v>
      </c>
      <c r="I1078" s="195" t="s">
        <v>1108</v>
      </c>
      <c r="J1078" s="132">
        <v>0.9</v>
      </c>
      <c r="K1078" s="133">
        <v>1</v>
      </c>
      <c r="L1078" s="133">
        <v>0.96875</v>
      </c>
      <c r="M1078" s="134">
        <v>0.941176470588235</v>
      </c>
      <c r="N1078" s="133">
        <v>0.953982300884956</v>
      </c>
      <c r="O1078" s="135">
        <v>0.9</v>
      </c>
      <c r="P1078" s="133">
        <v>0.956342182890855</v>
      </c>
      <c r="Q1078" s="133">
        <v>0.94897592526051</v>
      </c>
      <c r="R1078" s="133">
        <v>0.967122395833333</v>
      </c>
      <c r="S1078" s="133">
        <v>0.962506757278554</v>
      </c>
      <c r="T1078" s="135">
        <v>0.9</v>
      </c>
      <c r="U1078" s="133">
        <v>0.948082595870206</v>
      </c>
      <c r="V1078" s="133">
        <v>0.97197269134028</v>
      </c>
      <c r="W1078" s="133">
        <v>0.9541015625</v>
      </c>
      <c r="X1078" s="133">
        <v>0.962931500501969</v>
      </c>
      <c r="Y1078" s="135">
        <v>0.92</v>
      </c>
      <c r="Z1078" s="135">
        <v>0.929791271347249</v>
      </c>
      <c r="AA1078" s="135">
        <v>0.951289398280802</v>
      </c>
      <c r="AB1078" s="135">
        <v>0.905718701700155</v>
      </c>
      <c r="AC1078" s="135">
        <v>0.945910659330411</v>
      </c>
      <c r="AD1078" s="135">
        <v>0.92</v>
      </c>
      <c r="AE1078" s="133">
        <v>0.998294713612198</v>
      </c>
      <c r="AF1078" s="133">
        <v>0.997835497835498</v>
      </c>
      <c r="AG1078" s="133">
        <v>0.990650233744156</v>
      </c>
      <c r="AH1078" s="133">
        <v>0.994826487768558</v>
      </c>
      <c r="AI1078" s="135">
        <v>0.92</v>
      </c>
      <c r="AJ1078" s="133">
        <v>0.960846084608461</v>
      </c>
      <c r="AK1078" s="133">
        <v>0.984035759897829</v>
      </c>
      <c r="AL1078" s="133">
        <v>0.957515461145469</v>
      </c>
      <c r="AM1078" s="133">
        <v>0.980437946864153</v>
      </c>
      <c r="AN1078" s="132">
        <v>0.99</v>
      </c>
      <c r="AO1078" s="137">
        <v>1</v>
      </c>
      <c r="AP1078" s="137">
        <v>1</v>
      </c>
      <c r="AQ1078" s="137">
        <v>1</v>
      </c>
      <c r="AR1078" s="137">
        <v>1</v>
      </c>
      <c r="AS1078" s="158">
        <v>0.0721861525408278</v>
      </c>
      <c r="AT1078" s="141">
        <v>0</v>
      </c>
      <c r="AU1078" s="141">
        <v>0.153846153846154</v>
      </c>
      <c r="AV1078" s="141">
        <v>0</v>
      </c>
      <c r="AW1078" s="141">
        <v>0.0607476635514019</v>
      </c>
      <c r="AX1078" s="95"/>
      <c r="AY1078" s="93"/>
    </row>
    <row r="1079" ht="14.5" spans="1:51">
      <c r="A1079" s="91"/>
      <c r="B1079" s="95"/>
      <c r="C1079" s="152" t="s">
        <v>1085</v>
      </c>
      <c r="D1079" s="153" t="s">
        <v>25</v>
      </c>
      <c r="E1079" s="130" t="s">
        <v>1086</v>
      </c>
      <c r="F1079" s="195" t="s">
        <v>1109</v>
      </c>
      <c r="G1079" s="195" t="s">
        <v>1109</v>
      </c>
      <c r="H1079" s="195" t="s">
        <v>1109</v>
      </c>
      <c r="I1079" s="195" t="s">
        <v>1109</v>
      </c>
      <c r="J1079" s="132">
        <v>0.9</v>
      </c>
      <c r="K1079" s="133">
        <v>0.925</v>
      </c>
      <c r="L1079" s="133">
        <v>0.925</v>
      </c>
      <c r="M1079" s="134">
        <v>0.945945945945946</v>
      </c>
      <c r="N1079" s="133">
        <v>0.93888166449935</v>
      </c>
      <c r="O1079" s="135">
        <v>0.9</v>
      </c>
      <c r="P1079" s="133">
        <v>0.975049900199601</v>
      </c>
      <c r="Q1079" s="133">
        <v>0.969734403953057</v>
      </c>
      <c r="R1079" s="133">
        <v>0.834226031065881</v>
      </c>
      <c r="S1079" s="133">
        <v>0.914683547979615</v>
      </c>
      <c r="T1079" s="135">
        <v>0.9</v>
      </c>
      <c r="U1079" s="133">
        <v>0.903692614770459</v>
      </c>
      <c r="V1079" s="133">
        <v>0.858245830759728</v>
      </c>
      <c r="W1079" s="133">
        <v>0.765131226566685</v>
      </c>
      <c r="X1079" s="133">
        <v>0.830572212623234</v>
      </c>
      <c r="Y1079" s="135">
        <v>0.92</v>
      </c>
      <c r="Z1079" s="135">
        <v>0.902849740932642</v>
      </c>
      <c r="AA1079" s="135">
        <v>0.888421052631579</v>
      </c>
      <c r="AB1079" s="135">
        <v>0.884197828709288</v>
      </c>
      <c r="AC1079" s="135">
        <v>0.904393716249386</v>
      </c>
      <c r="AD1079" s="135">
        <v>0.92</v>
      </c>
      <c r="AE1079" s="133">
        <v>0.999633094844983</v>
      </c>
      <c r="AF1079" s="133">
        <v>0.977675640183848</v>
      </c>
      <c r="AG1079" s="133">
        <v>0.997843433254259</v>
      </c>
      <c r="AH1079" s="133">
        <v>0.995340957221516</v>
      </c>
      <c r="AI1079" s="135">
        <v>0.92</v>
      </c>
      <c r="AJ1079" s="133">
        <v>0.942363112391931</v>
      </c>
      <c r="AK1079" s="133">
        <v>0.941572428648358</v>
      </c>
      <c r="AL1079" s="133">
        <v>0.926145079991234</v>
      </c>
      <c r="AM1079" s="133">
        <v>0.95017258787893</v>
      </c>
      <c r="AN1079" s="132">
        <v>0.99</v>
      </c>
      <c r="AO1079" s="137">
        <v>1</v>
      </c>
      <c r="AP1079" s="137">
        <v>1</v>
      </c>
      <c r="AQ1079" s="137">
        <v>1</v>
      </c>
      <c r="AR1079" s="137">
        <v>1</v>
      </c>
      <c r="AS1079" s="158">
        <v>0.0721861525408278</v>
      </c>
      <c r="AT1079" s="141">
        <v>0.0487804878048781</v>
      </c>
      <c r="AU1079" s="141">
        <v>0.0638297872340425</v>
      </c>
      <c r="AV1079" s="141">
        <v>0</v>
      </c>
      <c r="AW1079" s="141">
        <v>0.019559902200489</v>
      </c>
      <c r="AX1079" s="95"/>
      <c r="AY1079" s="93"/>
    </row>
    <row r="1080" ht="14.5" spans="1:51">
      <c r="A1080" s="91"/>
      <c r="B1080" s="95"/>
      <c r="C1080" s="152" t="s">
        <v>1085</v>
      </c>
      <c r="D1080" s="153" t="s">
        <v>25</v>
      </c>
      <c r="E1080" s="130" t="s">
        <v>1086</v>
      </c>
      <c r="F1080" s="195" t="s">
        <v>1110</v>
      </c>
      <c r="G1080" s="195" t="s">
        <v>1110</v>
      </c>
      <c r="H1080" s="195" t="s">
        <v>1110</v>
      </c>
      <c r="I1080" s="195" t="s">
        <v>1110</v>
      </c>
      <c r="J1080" s="132">
        <v>0.9</v>
      </c>
      <c r="K1080" s="133" t="s">
        <v>35</v>
      </c>
      <c r="L1080" s="133" t="s">
        <v>35</v>
      </c>
      <c r="M1080" s="134" t="s">
        <v>35</v>
      </c>
      <c r="N1080" s="133" t="s">
        <v>35</v>
      </c>
      <c r="O1080" s="135">
        <v>0.9</v>
      </c>
      <c r="P1080" s="133">
        <v>0</v>
      </c>
      <c r="Q1080" s="133">
        <v>0</v>
      </c>
      <c r="R1080" s="133">
        <v>0</v>
      </c>
      <c r="S1080" s="133">
        <v>0</v>
      </c>
      <c r="T1080" s="135">
        <v>0.9</v>
      </c>
      <c r="U1080" s="133">
        <v>0</v>
      </c>
      <c r="V1080" s="133">
        <v>0</v>
      </c>
      <c r="W1080" s="133">
        <v>0</v>
      </c>
      <c r="X1080" s="133">
        <v>0.0625</v>
      </c>
      <c r="Y1080" s="135">
        <v>0.92</v>
      </c>
      <c r="Z1080" s="135" t="s">
        <v>35</v>
      </c>
      <c r="AA1080" s="135" t="s">
        <v>35</v>
      </c>
      <c r="AB1080" s="135" t="s">
        <v>35</v>
      </c>
      <c r="AC1080" s="135">
        <v>0</v>
      </c>
      <c r="AD1080" s="135">
        <v>0.92</v>
      </c>
      <c r="AE1080" s="133" t="s">
        <v>35</v>
      </c>
      <c r="AF1080" s="133" t="s">
        <v>35</v>
      </c>
      <c r="AG1080" s="133" t="s">
        <v>35</v>
      </c>
      <c r="AH1080" s="133">
        <v>0.666666666666667</v>
      </c>
      <c r="AI1080" s="135">
        <v>0.92</v>
      </c>
      <c r="AJ1080" s="133">
        <v>0.124852071005917</v>
      </c>
      <c r="AK1080" s="133">
        <v>0.0661641541038526</v>
      </c>
      <c r="AL1080" s="133">
        <v>0.137068692624248</v>
      </c>
      <c r="AM1080" s="133">
        <v>0.0455658900451239</v>
      </c>
      <c r="AN1080" s="132">
        <v>0.99</v>
      </c>
      <c r="AO1080" s="137" t="s">
        <v>35</v>
      </c>
      <c r="AP1080" s="137" t="s">
        <v>35</v>
      </c>
      <c r="AQ1080" s="137" t="s">
        <v>35</v>
      </c>
      <c r="AR1080" s="137" t="s">
        <v>35</v>
      </c>
      <c r="AS1080" s="158">
        <v>0.0721861525408278</v>
      </c>
      <c r="AT1080" s="141">
        <v>0.333333333333333</v>
      </c>
      <c r="AU1080" s="141">
        <v>1.5</v>
      </c>
      <c r="AV1080" s="141">
        <v>0</v>
      </c>
      <c r="AW1080" s="141">
        <v>0.0942028985507246</v>
      </c>
      <c r="AX1080" s="95"/>
      <c r="AY1080" s="93"/>
    </row>
    <row r="1081" ht="14.5" spans="1:51">
      <c r="A1081" s="91"/>
      <c r="B1081" s="95"/>
      <c r="C1081" s="152" t="s">
        <v>1085</v>
      </c>
      <c r="D1081" s="153" t="s">
        <v>25</v>
      </c>
      <c r="E1081" s="130" t="s">
        <v>1086</v>
      </c>
      <c r="F1081" s="195" t="s">
        <v>1111</v>
      </c>
      <c r="G1081" s="195" t="s">
        <v>1111</v>
      </c>
      <c r="H1081" s="195" t="s">
        <v>1111</v>
      </c>
      <c r="I1081" s="195" t="s">
        <v>1111</v>
      </c>
      <c r="J1081" s="132">
        <v>0.9</v>
      </c>
      <c r="K1081" s="133">
        <v>1</v>
      </c>
      <c r="L1081" s="133">
        <v>0.961538461538462</v>
      </c>
      <c r="M1081" s="134">
        <v>0.961538461538462</v>
      </c>
      <c r="N1081" s="133">
        <v>0.950592885375494</v>
      </c>
      <c r="O1081" s="135">
        <v>0.9</v>
      </c>
      <c r="P1081" s="133">
        <v>0.992877492877493</v>
      </c>
      <c r="Q1081" s="133">
        <v>0.992317541613316</v>
      </c>
      <c r="R1081" s="133">
        <v>0.986501687289089</v>
      </c>
      <c r="S1081" s="133">
        <v>0.98541311978477</v>
      </c>
      <c r="T1081" s="135">
        <v>0.9</v>
      </c>
      <c r="U1081" s="133">
        <v>0.959401709401709</v>
      </c>
      <c r="V1081" s="133">
        <v>0.932565087494665</v>
      </c>
      <c r="W1081" s="133">
        <v>0.947131608548931</v>
      </c>
      <c r="X1081" s="133">
        <v>0.947621750005255</v>
      </c>
      <c r="Y1081" s="135">
        <v>0.92</v>
      </c>
      <c r="Z1081" s="135">
        <v>0.950089126559715</v>
      </c>
      <c r="AA1081" s="135">
        <v>0.937321937321937</v>
      </c>
      <c r="AB1081" s="135">
        <v>0.950900163666121</v>
      </c>
      <c r="AC1081" s="135">
        <v>0.945809000343525</v>
      </c>
      <c r="AD1081" s="135">
        <v>0.92</v>
      </c>
      <c r="AE1081" s="133">
        <v>0.994733581164808</v>
      </c>
      <c r="AF1081" s="133">
        <v>0.982888663739728</v>
      </c>
      <c r="AG1081" s="133">
        <v>0.957439948412059</v>
      </c>
      <c r="AH1081" s="133">
        <v>0.985060367070737</v>
      </c>
      <c r="AI1081" s="135">
        <v>0.92</v>
      </c>
      <c r="AJ1081" s="133">
        <v>0.968447837150127</v>
      </c>
      <c r="AK1081" s="133">
        <v>0.965478841870824</v>
      </c>
      <c r="AL1081" s="133">
        <v>0.971323978035387</v>
      </c>
      <c r="AM1081" s="133">
        <v>0.975752663661078</v>
      </c>
      <c r="AN1081" s="132">
        <v>0.99</v>
      </c>
      <c r="AO1081" s="137">
        <v>1</v>
      </c>
      <c r="AP1081" s="137">
        <v>1</v>
      </c>
      <c r="AQ1081" s="137">
        <v>1</v>
      </c>
      <c r="AR1081" s="137">
        <v>1</v>
      </c>
      <c r="AS1081" s="158">
        <v>0.0721861525408278</v>
      </c>
      <c r="AT1081" s="141">
        <v>0</v>
      </c>
      <c r="AU1081" s="141">
        <v>0</v>
      </c>
      <c r="AV1081" s="141">
        <v>0</v>
      </c>
      <c r="AW1081" s="141">
        <v>0.0254545454545455</v>
      </c>
      <c r="AX1081" s="95"/>
      <c r="AY1081" s="93"/>
    </row>
    <row r="1082" ht="14.5" spans="1:51">
      <c r="A1082" s="91"/>
      <c r="B1082" s="95"/>
      <c r="C1082" s="152" t="s">
        <v>1085</v>
      </c>
      <c r="D1082" s="153" t="s">
        <v>25</v>
      </c>
      <c r="E1082" s="130" t="s">
        <v>1086</v>
      </c>
      <c r="F1082" s="195" t="s">
        <v>1112</v>
      </c>
      <c r="G1082" s="195" t="s">
        <v>1112</v>
      </c>
      <c r="H1082" s="195" t="s">
        <v>1112</v>
      </c>
      <c r="I1082" s="195" t="s">
        <v>1112</v>
      </c>
      <c r="J1082" s="132">
        <v>0.9</v>
      </c>
      <c r="K1082" s="133">
        <v>1</v>
      </c>
      <c r="L1082" s="133">
        <v>0.956521739130435</v>
      </c>
      <c r="M1082" s="134">
        <v>1</v>
      </c>
      <c r="N1082" s="133">
        <v>0.963414634146341</v>
      </c>
      <c r="O1082" s="135">
        <v>0.9</v>
      </c>
      <c r="P1082" s="133">
        <v>0.948231233822261</v>
      </c>
      <c r="Q1082" s="133">
        <v>0.980096826250672</v>
      </c>
      <c r="R1082" s="133">
        <v>0.984225621414914</v>
      </c>
      <c r="S1082" s="133">
        <v>0.940101699985044</v>
      </c>
      <c r="T1082" s="135">
        <v>0.9</v>
      </c>
      <c r="U1082" s="133">
        <v>0.917169974115617</v>
      </c>
      <c r="V1082" s="133">
        <v>0.968262506724045</v>
      </c>
      <c r="W1082" s="133">
        <v>0.952676864244742</v>
      </c>
      <c r="X1082" s="133">
        <v>0.950770227827908</v>
      </c>
      <c r="Y1082" s="135">
        <v>0.92</v>
      </c>
      <c r="Z1082" s="135">
        <v>0.95615866388309</v>
      </c>
      <c r="AA1082" s="135">
        <v>0.952054794520548</v>
      </c>
      <c r="AB1082" s="135">
        <v>0.976827094474153</v>
      </c>
      <c r="AC1082" s="135">
        <v>0.969364520803146</v>
      </c>
      <c r="AD1082" s="135">
        <v>0.92</v>
      </c>
      <c r="AE1082" s="133">
        <v>0.998450413223141</v>
      </c>
      <c r="AF1082" s="133">
        <v>0.996888612321095</v>
      </c>
      <c r="AG1082" s="133">
        <v>1</v>
      </c>
      <c r="AH1082" s="133">
        <v>0.995646730780174</v>
      </c>
      <c r="AI1082" s="135">
        <v>0.92</v>
      </c>
      <c r="AJ1082" s="133">
        <v>0.957264957264957</v>
      </c>
      <c r="AK1082" s="133">
        <v>0.98047419804742</v>
      </c>
      <c r="AL1082" s="133">
        <v>0.982661138333962</v>
      </c>
      <c r="AM1082" s="133">
        <v>0.982965730585352</v>
      </c>
      <c r="AN1082" s="132">
        <v>0.99</v>
      </c>
      <c r="AO1082" s="137">
        <v>1</v>
      </c>
      <c r="AP1082" s="137">
        <v>1</v>
      </c>
      <c r="AQ1082" s="137">
        <v>1</v>
      </c>
      <c r="AR1082" s="137">
        <v>1</v>
      </c>
      <c r="AS1082" s="158">
        <v>0.0721861525408278</v>
      </c>
      <c r="AT1082" s="141">
        <v>0</v>
      </c>
      <c r="AU1082" s="141">
        <v>0</v>
      </c>
      <c r="AV1082" s="141">
        <v>0</v>
      </c>
      <c r="AW1082" s="141">
        <v>0.0335051546391753</v>
      </c>
      <c r="AX1082" s="95"/>
      <c r="AY1082" s="93"/>
    </row>
    <row r="1083" ht="14.5" spans="1:51">
      <c r="A1083" s="91"/>
      <c r="B1083" s="95"/>
      <c r="C1083" s="152" t="s">
        <v>1085</v>
      </c>
      <c r="D1083" s="153" t="s">
        <v>25</v>
      </c>
      <c r="E1083" s="130" t="s">
        <v>1086</v>
      </c>
      <c r="F1083" s="195" t="s">
        <v>1113</v>
      </c>
      <c r="G1083" s="195" t="s">
        <v>1113</v>
      </c>
      <c r="H1083" s="195" t="s">
        <v>1113</v>
      </c>
      <c r="I1083" s="195" t="s">
        <v>1113</v>
      </c>
      <c r="J1083" s="132">
        <v>0.9</v>
      </c>
      <c r="K1083" s="133">
        <v>0.985074626865672</v>
      </c>
      <c r="L1083" s="133">
        <v>1</v>
      </c>
      <c r="M1083" s="134">
        <v>1</v>
      </c>
      <c r="N1083" s="133">
        <v>0.978358208955224</v>
      </c>
      <c r="O1083" s="135">
        <v>0.9</v>
      </c>
      <c r="P1083" s="133">
        <v>0.986187125358353</v>
      </c>
      <c r="Q1083" s="133">
        <v>0.982134746404239</v>
      </c>
      <c r="R1083" s="133">
        <v>0.96265172735761</v>
      </c>
      <c r="S1083" s="133">
        <v>0.953011275229155</v>
      </c>
      <c r="T1083" s="135">
        <v>0.9</v>
      </c>
      <c r="U1083" s="133">
        <v>0.945009121709669</v>
      </c>
      <c r="V1083" s="133">
        <v>0.926873580620742</v>
      </c>
      <c r="W1083" s="133">
        <v>0.921301854074963</v>
      </c>
      <c r="X1083" s="133">
        <v>0.915601701977037</v>
      </c>
      <c r="Y1083" s="135">
        <v>0.92</v>
      </c>
      <c r="Z1083" s="135">
        <v>0.925959780621572</v>
      </c>
      <c r="AA1083" s="135">
        <v>0.895213454075032</v>
      </c>
      <c r="AB1083" s="135">
        <v>0.948410317936413</v>
      </c>
      <c r="AC1083" s="135">
        <v>0.949018771331058</v>
      </c>
      <c r="AD1083" s="135">
        <v>0.92</v>
      </c>
      <c r="AE1083" s="133">
        <v>0.985627666741523</v>
      </c>
      <c r="AF1083" s="133">
        <v>0.991689750692521</v>
      </c>
      <c r="AG1083" s="133">
        <v>0.99759687593872</v>
      </c>
      <c r="AH1083" s="133">
        <v>0.996264156879195</v>
      </c>
      <c r="AI1083" s="135">
        <v>0.92</v>
      </c>
      <c r="AJ1083" s="133">
        <v>0.963901845467451</v>
      </c>
      <c r="AK1083" s="133">
        <v>0.968423905678276</v>
      </c>
      <c r="AL1083" s="133">
        <v>0.97479266695766</v>
      </c>
      <c r="AM1083" s="133">
        <v>0.976976396225839</v>
      </c>
      <c r="AN1083" s="132">
        <v>0.99</v>
      </c>
      <c r="AO1083" s="137">
        <v>1</v>
      </c>
      <c r="AP1083" s="137">
        <v>1</v>
      </c>
      <c r="AQ1083" s="137">
        <v>1</v>
      </c>
      <c r="AR1083" s="137">
        <v>1</v>
      </c>
      <c r="AS1083" s="158">
        <v>0.0721861525408278</v>
      </c>
      <c r="AT1083" s="141">
        <v>0.0606060606060606</v>
      </c>
      <c r="AU1083" s="141">
        <v>0.0294117647058824</v>
      </c>
      <c r="AV1083" s="141">
        <v>0.025</v>
      </c>
      <c r="AW1083" s="141">
        <v>0.0474631751227496</v>
      </c>
      <c r="AX1083" s="95"/>
      <c r="AY1083" s="93"/>
    </row>
    <row r="1084" ht="14.5" spans="1:51">
      <c r="A1084" s="91"/>
      <c r="B1084" s="95"/>
      <c r="C1084" s="152" t="s">
        <v>1085</v>
      </c>
      <c r="D1084" s="153" t="s">
        <v>25</v>
      </c>
      <c r="E1084" s="130" t="s">
        <v>1086</v>
      </c>
      <c r="F1084" s="195" t="s">
        <v>1114</v>
      </c>
      <c r="G1084" s="195" t="s">
        <v>1114</v>
      </c>
      <c r="H1084" s="195" t="s">
        <v>1114</v>
      </c>
      <c r="I1084" s="195" t="s">
        <v>1114</v>
      </c>
      <c r="J1084" s="132">
        <v>0.9</v>
      </c>
      <c r="K1084" s="133">
        <v>1</v>
      </c>
      <c r="L1084" s="133">
        <v>1</v>
      </c>
      <c r="M1084" s="134">
        <v>1</v>
      </c>
      <c r="N1084" s="133">
        <v>0.987654320987654</v>
      </c>
      <c r="O1084" s="135">
        <v>0.9</v>
      </c>
      <c r="P1084" s="133">
        <v>0.970511708586297</v>
      </c>
      <c r="Q1084" s="133">
        <v>0.979046621267679</v>
      </c>
      <c r="R1084" s="133">
        <v>0.971919530595138</v>
      </c>
      <c r="S1084" s="133">
        <v>0.966821601910583</v>
      </c>
      <c r="T1084" s="135">
        <v>0.9</v>
      </c>
      <c r="U1084" s="133">
        <v>0.965307892454467</v>
      </c>
      <c r="V1084" s="133">
        <v>0.962283918281823</v>
      </c>
      <c r="W1084" s="133">
        <v>0.948449287510478</v>
      </c>
      <c r="X1084" s="133">
        <v>0.944993708430703</v>
      </c>
      <c r="Y1084" s="135">
        <v>0.92</v>
      </c>
      <c r="Z1084" s="135">
        <v>0.955678670360111</v>
      </c>
      <c r="AA1084" s="135">
        <v>0.937007874015748</v>
      </c>
      <c r="AB1084" s="135">
        <v>0.94949494949495</v>
      </c>
      <c r="AC1084" s="135">
        <v>0.958215904913614</v>
      </c>
      <c r="AD1084" s="135">
        <v>0.92</v>
      </c>
      <c r="AE1084" s="133">
        <v>0.999177631578947</v>
      </c>
      <c r="AF1084" s="133">
        <v>1</v>
      </c>
      <c r="AG1084" s="133">
        <v>0.996610169491525</v>
      </c>
      <c r="AH1084" s="133">
        <v>0.996995326062764</v>
      </c>
      <c r="AI1084" s="135">
        <v>0.92</v>
      </c>
      <c r="AJ1084" s="133">
        <v>0.978203434610304</v>
      </c>
      <c r="AK1084" s="133">
        <v>0.980120203421174</v>
      </c>
      <c r="AL1084" s="133">
        <v>0.977438389448108</v>
      </c>
      <c r="AM1084" s="133">
        <v>0.982506793478261</v>
      </c>
      <c r="AN1084" s="132">
        <v>0.99</v>
      </c>
      <c r="AO1084" s="137">
        <v>1</v>
      </c>
      <c r="AP1084" s="137">
        <v>1</v>
      </c>
      <c r="AQ1084" s="137">
        <v>1</v>
      </c>
      <c r="AR1084" s="137">
        <v>1</v>
      </c>
      <c r="AS1084" s="158">
        <v>0.0721861525408278</v>
      </c>
      <c r="AT1084" s="141">
        <v>0</v>
      </c>
      <c r="AU1084" s="141">
        <v>0</v>
      </c>
      <c r="AV1084" s="141">
        <v>0.0833333333333333</v>
      </c>
      <c r="AW1084" s="141">
        <v>0.0571428571428571</v>
      </c>
      <c r="AX1084" s="95"/>
      <c r="AY1084" s="93"/>
    </row>
    <row r="1085" ht="14.5" spans="1:51">
      <c r="A1085" s="91"/>
      <c r="B1085" s="95"/>
      <c r="C1085" s="152" t="s">
        <v>1085</v>
      </c>
      <c r="D1085" s="153" t="s">
        <v>25</v>
      </c>
      <c r="E1085" s="130" t="s">
        <v>1086</v>
      </c>
      <c r="F1085" s="195" t="s">
        <v>1115</v>
      </c>
      <c r="G1085" s="195" t="s">
        <v>1115</v>
      </c>
      <c r="H1085" s="195" t="s">
        <v>1115</v>
      </c>
      <c r="I1085" s="195" t="s">
        <v>1115</v>
      </c>
      <c r="J1085" s="132">
        <v>0.9</v>
      </c>
      <c r="K1085" s="133">
        <v>1</v>
      </c>
      <c r="L1085" s="133">
        <v>0.909090909090909</v>
      </c>
      <c r="M1085" s="134">
        <v>0.954545454545455</v>
      </c>
      <c r="N1085" s="133">
        <v>0.949397590361446</v>
      </c>
      <c r="O1085" s="135">
        <v>0.9</v>
      </c>
      <c r="P1085" s="133">
        <v>0.976415094339623</v>
      </c>
      <c r="Q1085" s="133">
        <v>0.976594499707431</v>
      </c>
      <c r="R1085" s="133">
        <v>0.987869966035905</v>
      </c>
      <c r="S1085" s="133">
        <v>0.918682599825124</v>
      </c>
      <c r="T1085" s="135">
        <v>0.9</v>
      </c>
      <c r="U1085" s="133">
        <v>0.958490566037736</v>
      </c>
      <c r="V1085" s="133">
        <v>0.950848449385606</v>
      </c>
      <c r="W1085" s="133">
        <v>0.943231441048035</v>
      </c>
      <c r="X1085" s="133">
        <v>0.941241620518799</v>
      </c>
      <c r="Y1085" s="135">
        <v>0.92</v>
      </c>
      <c r="Z1085" s="135">
        <v>0.959459459459459</v>
      </c>
      <c r="AA1085" s="135">
        <v>0.946078431372549</v>
      </c>
      <c r="AB1085" s="135">
        <v>0.957871396895787</v>
      </c>
      <c r="AC1085" s="135">
        <v>0.963912756113681</v>
      </c>
      <c r="AD1085" s="135">
        <v>0.92</v>
      </c>
      <c r="AE1085" s="133">
        <v>0.985169491525424</v>
      </c>
      <c r="AF1085" s="133">
        <v>0.951882845188284</v>
      </c>
      <c r="AG1085" s="133">
        <v>0.999330879892941</v>
      </c>
      <c r="AH1085" s="133">
        <v>0.994623284118806</v>
      </c>
      <c r="AI1085" s="135">
        <v>0.92</v>
      </c>
      <c r="AJ1085" s="133">
        <v>0.973490427098675</v>
      </c>
      <c r="AK1085" s="133">
        <v>0.980135912179822</v>
      </c>
      <c r="AL1085" s="133">
        <v>0.982484076433121</v>
      </c>
      <c r="AM1085" s="133">
        <v>0.980994675644056</v>
      </c>
      <c r="AN1085" s="132">
        <v>0.99</v>
      </c>
      <c r="AO1085" s="137">
        <v>1</v>
      </c>
      <c r="AP1085" s="137">
        <v>1</v>
      </c>
      <c r="AQ1085" s="137">
        <v>1</v>
      </c>
      <c r="AR1085" s="137">
        <v>1</v>
      </c>
      <c r="AS1085" s="158">
        <v>0.0721861525408278</v>
      </c>
      <c r="AT1085" s="141">
        <v>0</v>
      </c>
      <c r="AU1085" s="141">
        <v>0</v>
      </c>
      <c r="AV1085" s="141">
        <v>0.0909090909090909</v>
      </c>
      <c r="AW1085" s="141">
        <v>0.024390243902439</v>
      </c>
      <c r="AX1085" s="95"/>
      <c r="AY1085" s="93"/>
    </row>
    <row r="1086" ht="14.5" spans="1:51">
      <c r="A1086" s="91"/>
      <c r="B1086" s="95"/>
      <c r="C1086" s="152" t="s">
        <v>1085</v>
      </c>
      <c r="D1086" s="153" t="s">
        <v>25</v>
      </c>
      <c r="E1086" s="130" t="s">
        <v>1086</v>
      </c>
      <c r="F1086" s="195" t="s">
        <v>1116</v>
      </c>
      <c r="G1086" s="195" t="s">
        <v>1116</v>
      </c>
      <c r="H1086" s="195" t="s">
        <v>1116</v>
      </c>
      <c r="I1086" s="195" t="s">
        <v>1116</v>
      </c>
      <c r="J1086" s="132">
        <v>0.9</v>
      </c>
      <c r="K1086" s="133">
        <v>1</v>
      </c>
      <c r="L1086" s="133">
        <v>1</v>
      </c>
      <c r="M1086" s="134">
        <v>1</v>
      </c>
      <c r="N1086" s="133">
        <v>0.978653530377668</v>
      </c>
      <c r="O1086" s="135">
        <v>0.9</v>
      </c>
      <c r="P1086" s="133">
        <v>0.974182444061962</v>
      </c>
      <c r="Q1086" s="133">
        <v>0.978723404255319</v>
      </c>
      <c r="R1086" s="133">
        <v>0.982603292948121</v>
      </c>
      <c r="S1086" s="133">
        <v>0.979388704565254</v>
      </c>
      <c r="T1086" s="135">
        <v>0.9</v>
      </c>
      <c r="U1086" s="133">
        <v>0.937464142283419</v>
      </c>
      <c r="V1086" s="133">
        <v>0.941489361702128</v>
      </c>
      <c r="W1086" s="133">
        <v>0.944703324013669</v>
      </c>
      <c r="X1086" s="133">
        <v>0.946488480287668</v>
      </c>
      <c r="Y1086" s="135">
        <v>0.92</v>
      </c>
      <c r="Z1086" s="135">
        <v>0.921787709497207</v>
      </c>
      <c r="AA1086" s="135">
        <v>0.904</v>
      </c>
      <c r="AB1086" s="135">
        <v>0.91</v>
      </c>
      <c r="AC1086" s="135">
        <v>0.925725571011506</v>
      </c>
      <c r="AD1086" s="135">
        <v>0.92</v>
      </c>
      <c r="AE1086" s="133">
        <v>0.999535747446611</v>
      </c>
      <c r="AF1086" s="133">
        <v>0.996644295302013</v>
      </c>
      <c r="AG1086" s="133">
        <v>0.998286981056026</v>
      </c>
      <c r="AH1086" s="133">
        <v>0.996855947005899</v>
      </c>
      <c r="AI1086" s="135">
        <v>0.92</v>
      </c>
      <c r="AJ1086" s="133">
        <v>0.95615957913196</v>
      </c>
      <c r="AK1086" s="133">
        <v>0.964824120603015</v>
      </c>
      <c r="AL1086" s="133">
        <v>0.965297269711661</v>
      </c>
      <c r="AM1086" s="133">
        <v>0.972941660696047</v>
      </c>
      <c r="AN1086" s="132">
        <v>0.99</v>
      </c>
      <c r="AO1086" s="137">
        <v>1</v>
      </c>
      <c r="AP1086" s="137">
        <v>1</v>
      </c>
      <c r="AQ1086" s="137">
        <v>1</v>
      </c>
      <c r="AR1086" s="137">
        <v>1</v>
      </c>
      <c r="AS1086" s="158">
        <v>0.0721861525408278</v>
      </c>
      <c r="AT1086" s="141">
        <v>0.0625</v>
      </c>
      <c r="AU1086" s="141">
        <v>0</v>
      </c>
      <c r="AV1086" s="141">
        <v>0</v>
      </c>
      <c r="AW1086" s="141">
        <v>0.021875</v>
      </c>
      <c r="AX1086" s="95"/>
      <c r="AY1086" s="93"/>
    </row>
    <row r="1087" ht="14.5" spans="1:51">
      <c r="A1087" s="91"/>
      <c r="B1087" s="95"/>
      <c r="C1087" s="152" t="s">
        <v>1085</v>
      </c>
      <c r="D1087" s="153" t="s">
        <v>25</v>
      </c>
      <c r="E1087" s="130" t="s">
        <v>1086</v>
      </c>
      <c r="F1087" s="195" t="s">
        <v>1117</v>
      </c>
      <c r="G1087" s="195" t="s">
        <v>1117</v>
      </c>
      <c r="H1087" s="195" t="s">
        <v>1117</v>
      </c>
      <c r="I1087" s="195" t="s">
        <v>1117</v>
      </c>
      <c r="J1087" s="132">
        <v>0.9</v>
      </c>
      <c r="K1087" s="133">
        <v>0.888888888888889</v>
      </c>
      <c r="L1087" s="133">
        <v>0.925925925925926</v>
      </c>
      <c r="M1087" s="134">
        <v>1</v>
      </c>
      <c r="N1087" s="133">
        <v>0.911111111111111</v>
      </c>
      <c r="O1087" s="135">
        <v>0.9</v>
      </c>
      <c r="P1087" s="133">
        <v>0.965587044534413</v>
      </c>
      <c r="Q1087" s="133">
        <v>0.974654377880184</v>
      </c>
      <c r="R1087" s="133">
        <v>0.842440496144821</v>
      </c>
      <c r="S1087" s="133">
        <v>0.872845697158338</v>
      </c>
      <c r="T1087" s="135">
        <v>0.9</v>
      </c>
      <c r="U1087" s="133">
        <v>0.937246963562753</v>
      </c>
      <c r="V1087" s="133">
        <v>0.932795698924731</v>
      </c>
      <c r="W1087" s="133">
        <v>0.894401609118337</v>
      </c>
      <c r="X1087" s="133">
        <v>0.91282878936346</v>
      </c>
      <c r="Y1087" s="135">
        <v>0.92</v>
      </c>
      <c r="Z1087" s="135">
        <v>0.871308016877637</v>
      </c>
      <c r="AA1087" s="135">
        <v>0.834319526627219</v>
      </c>
      <c r="AB1087" s="135">
        <v>0.832550860719875</v>
      </c>
      <c r="AC1087" s="135">
        <v>0.882232558139535</v>
      </c>
      <c r="AD1087" s="135">
        <v>0.92</v>
      </c>
      <c r="AE1087" s="133">
        <v>0.970819536423841</v>
      </c>
      <c r="AF1087" s="133">
        <v>0.995074946466809</v>
      </c>
      <c r="AG1087" s="133">
        <v>0.80952380952381</v>
      </c>
      <c r="AH1087" s="133">
        <v>0.983497129169749</v>
      </c>
      <c r="AI1087" s="135">
        <v>0.92</v>
      </c>
      <c r="AJ1087" s="133">
        <v>0.948364008179959</v>
      </c>
      <c r="AK1087" s="133">
        <v>0.949014276002719</v>
      </c>
      <c r="AL1087" s="133">
        <v>0.945057979017118</v>
      </c>
      <c r="AM1087" s="133">
        <v>0.959665605095541</v>
      </c>
      <c r="AN1087" s="132">
        <v>0.99</v>
      </c>
      <c r="AO1087" s="137">
        <v>1</v>
      </c>
      <c r="AP1087" s="137">
        <v>1</v>
      </c>
      <c r="AQ1087" s="137">
        <v>1</v>
      </c>
      <c r="AR1087" s="137">
        <v>1</v>
      </c>
      <c r="AS1087" s="158">
        <v>0.0721861525408278</v>
      </c>
      <c r="AT1087" s="141">
        <v>0</v>
      </c>
      <c r="AU1087" s="141">
        <v>0</v>
      </c>
      <c r="AV1087" s="141">
        <v>0.2</v>
      </c>
      <c r="AW1087" s="141">
        <v>0.0238095238095238</v>
      </c>
      <c r="AX1087" s="95"/>
      <c r="AY1087" s="93"/>
    </row>
    <row r="1088" ht="14.5" spans="1:51">
      <c r="A1088" s="91"/>
      <c r="B1088" s="95"/>
      <c r="C1088" s="152" t="s">
        <v>1085</v>
      </c>
      <c r="D1088" s="153" t="s">
        <v>25</v>
      </c>
      <c r="E1088" s="130" t="s">
        <v>1086</v>
      </c>
      <c r="F1088" s="195" t="s">
        <v>1118</v>
      </c>
      <c r="G1088" s="195" t="s">
        <v>1118</v>
      </c>
      <c r="H1088" s="195" t="s">
        <v>1118</v>
      </c>
      <c r="I1088" s="195" t="s">
        <v>1118</v>
      </c>
      <c r="J1088" s="132">
        <v>0.9</v>
      </c>
      <c r="K1088" s="133">
        <v>0.91304347826087</v>
      </c>
      <c r="L1088" s="133">
        <v>0.92156862745098</v>
      </c>
      <c r="M1088" s="134">
        <v>0.958333333333333</v>
      </c>
      <c r="N1088" s="133">
        <v>0.919603524229075</v>
      </c>
      <c r="O1088" s="135">
        <v>0.9</v>
      </c>
      <c r="P1088" s="133">
        <v>0.974937343358396</v>
      </c>
      <c r="Q1088" s="133">
        <v>0.977568960290997</v>
      </c>
      <c r="R1088" s="133">
        <v>0.976107516177203</v>
      </c>
      <c r="S1088" s="133">
        <v>0.939070099215356</v>
      </c>
      <c r="T1088" s="135">
        <v>0.9</v>
      </c>
      <c r="U1088" s="133">
        <v>0.930242272347536</v>
      </c>
      <c r="V1088" s="133">
        <v>0.949378599575629</v>
      </c>
      <c r="W1088" s="133">
        <v>0.933051269288203</v>
      </c>
      <c r="X1088" s="133">
        <v>0.931560858569483</v>
      </c>
      <c r="Y1088" s="135">
        <v>0.92</v>
      </c>
      <c r="Z1088" s="135">
        <v>0.907300115874855</v>
      </c>
      <c r="AA1088" s="135">
        <v>0.912028725314183</v>
      </c>
      <c r="AB1088" s="135">
        <v>0.904390243902439</v>
      </c>
      <c r="AC1088" s="135">
        <v>0.943248214672149</v>
      </c>
      <c r="AD1088" s="135">
        <v>0.92</v>
      </c>
      <c r="AE1088" s="133">
        <v>0.997650460871137</v>
      </c>
      <c r="AF1088" s="133">
        <v>0.920676202860858</v>
      </c>
      <c r="AG1088" s="133">
        <v>0.94853683148335</v>
      </c>
      <c r="AH1088" s="133">
        <v>0.94498415849143</v>
      </c>
      <c r="AI1088" s="135">
        <v>0.92</v>
      </c>
      <c r="AJ1088" s="133">
        <v>0.940761203192142</v>
      </c>
      <c r="AK1088" s="133">
        <v>0.956724540036279</v>
      </c>
      <c r="AL1088" s="133">
        <v>0.952220459952419</v>
      </c>
      <c r="AM1088" s="133">
        <v>0.969269068239823</v>
      </c>
      <c r="AN1088" s="132">
        <v>0.99</v>
      </c>
      <c r="AO1088" s="137">
        <v>1</v>
      </c>
      <c r="AP1088" s="137">
        <v>1</v>
      </c>
      <c r="AQ1088" s="137">
        <v>1</v>
      </c>
      <c r="AR1088" s="137">
        <v>1</v>
      </c>
      <c r="AS1088" s="158">
        <v>0.0721861525408278</v>
      </c>
      <c r="AT1088" s="141">
        <v>0</v>
      </c>
      <c r="AU1088" s="141">
        <v>0.0227272727272727</v>
      </c>
      <c r="AV1088" s="141">
        <v>0.0408163265306122</v>
      </c>
      <c r="AW1088" s="141">
        <v>0.0238993710691824</v>
      </c>
      <c r="AX1088" s="95"/>
      <c r="AY1088" s="93"/>
    </row>
    <row r="1089" ht="14.5" spans="1:51">
      <c r="A1089" s="91"/>
      <c r="B1089" s="95"/>
      <c r="C1089" s="152" t="s">
        <v>1085</v>
      </c>
      <c r="D1089" s="153" t="s">
        <v>25</v>
      </c>
      <c r="E1089" s="130" t="s">
        <v>1086</v>
      </c>
      <c r="F1089" s="195" t="s">
        <v>1119</v>
      </c>
      <c r="G1089" s="195" t="s">
        <v>1119</v>
      </c>
      <c r="H1089" s="195" t="s">
        <v>1119</v>
      </c>
      <c r="I1089" s="195" t="s">
        <v>1119</v>
      </c>
      <c r="J1089" s="132">
        <v>0.9</v>
      </c>
      <c r="K1089" s="133">
        <v>0.868421052631579</v>
      </c>
      <c r="L1089" s="133">
        <v>0.82051282051282</v>
      </c>
      <c r="M1089" s="134">
        <v>0.853658536585366</v>
      </c>
      <c r="N1089" s="133">
        <v>0.925207756232687</v>
      </c>
      <c r="O1089" s="135">
        <v>0.9</v>
      </c>
      <c r="P1089" s="133">
        <v>0.988511488511489</v>
      </c>
      <c r="Q1089" s="133">
        <v>0.984484777517564</v>
      </c>
      <c r="R1089" s="133">
        <v>0.979192469655685</v>
      </c>
      <c r="S1089" s="133">
        <v>0.951027711368728</v>
      </c>
      <c r="T1089" s="135">
        <v>0.9</v>
      </c>
      <c r="U1089" s="133">
        <v>0.945054945054945</v>
      </c>
      <c r="V1089" s="133">
        <v>0.969847775175644</v>
      </c>
      <c r="W1089" s="133">
        <v>0.953183056725291</v>
      </c>
      <c r="X1089" s="133">
        <v>0.957342836092441</v>
      </c>
      <c r="Y1089" s="135">
        <v>0.92</v>
      </c>
      <c r="Z1089" s="135">
        <v>0.939968404423381</v>
      </c>
      <c r="AA1089" s="135">
        <v>0.943444730077121</v>
      </c>
      <c r="AB1089" s="135">
        <v>0.964805825242718</v>
      </c>
      <c r="AC1089" s="135">
        <v>0.960678985818651</v>
      </c>
      <c r="AD1089" s="135">
        <v>0.92</v>
      </c>
      <c r="AE1089" s="133">
        <v>1</v>
      </c>
      <c r="AF1089" s="133">
        <v>0.999336429993364</v>
      </c>
      <c r="AG1089" s="133">
        <v>0.998975934459805</v>
      </c>
      <c r="AH1089" s="133">
        <v>0.993321159666808</v>
      </c>
      <c r="AI1089" s="135">
        <v>0.92</v>
      </c>
      <c r="AJ1089" s="133">
        <v>0.958254269449715</v>
      </c>
      <c r="AK1089" s="133">
        <v>0.982128777923785</v>
      </c>
      <c r="AL1089" s="133">
        <v>0.981485291092368</v>
      </c>
      <c r="AM1089" s="133">
        <v>0.983695584635077</v>
      </c>
      <c r="AN1089" s="132">
        <v>0.99</v>
      </c>
      <c r="AO1089" s="137">
        <v>1</v>
      </c>
      <c r="AP1089" s="137">
        <v>1</v>
      </c>
      <c r="AQ1089" s="137">
        <v>1</v>
      </c>
      <c r="AR1089" s="137">
        <v>1</v>
      </c>
      <c r="AS1089" s="158">
        <v>0.0721861525408278</v>
      </c>
      <c r="AT1089" s="141">
        <v>0.0555555555555556</v>
      </c>
      <c r="AU1089" s="141">
        <v>0.04</v>
      </c>
      <c r="AV1089" s="141">
        <v>0</v>
      </c>
      <c r="AW1089" s="141">
        <v>0.0190114068441065</v>
      </c>
      <c r="AX1089" s="95"/>
      <c r="AY1089" s="93"/>
    </row>
    <row r="1090" ht="14.5" spans="1:51">
      <c r="A1090" s="91"/>
      <c r="B1090" s="95"/>
      <c r="C1090" s="152" t="s">
        <v>1085</v>
      </c>
      <c r="D1090" s="153" t="s">
        <v>25</v>
      </c>
      <c r="E1090" s="130" t="s">
        <v>1086</v>
      </c>
      <c r="F1090" s="195" t="s">
        <v>1120</v>
      </c>
      <c r="G1090" s="195" t="s">
        <v>1120</v>
      </c>
      <c r="H1090" s="195" t="s">
        <v>1120</v>
      </c>
      <c r="I1090" s="195" t="s">
        <v>1120</v>
      </c>
      <c r="J1090" s="132">
        <v>0.9</v>
      </c>
      <c r="K1090" s="133">
        <v>0.846153846153846</v>
      </c>
      <c r="L1090" s="133">
        <v>0.857142857142857</v>
      </c>
      <c r="M1090" s="134">
        <v>0.857142857142857</v>
      </c>
      <c r="N1090" s="133">
        <v>0.930909090909091</v>
      </c>
      <c r="O1090" s="135">
        <v>0.9</v>
      </c>
      <c r="P1090" s="133">
        <v>0.971910112359551</v>
      </c>
      <c r="Q1090" s="133">
        <v>0.959459459459459</v>
      </c>
      <c r="R1090" s="133">
        <v>0.960376091336467</v>
      </c>
      <c r="S1090" s="133">
        <v>0.94613243423374</v>
      </c>
      <c r="T1090" s="135">
        <v>0.9</v>
      </c>
      <c r="U1090" s="133">
        <v>0.933988764044944</v>
      </c>
      <c r="V1090" s="133">
        <v>0.913663663663664</v>
      </c>
      <c r="W1090" s="133">
        <v>0.909335124244459</v>
      </c>
      <c r="X1090" s="133">
        <v>0.908534911984945</v>
      </c>
      <c r="Y1090" s="135">
        <v>0.92</v>
      </c>
      <c r="Z1090" s="135">
        <v>0.902325581395349</v>
      </c>
      <c r="AA1090" s="135">
        <v>0.920731707317073</v>
      </c>
      <c r="AB1090" s="135">
        <v>0.89041095890411</v>
      </c>
      <c r="AC1090" s="135">
        <v>0.921918059893441</v>
      </c>
      <c r="AD1090" s="135">
        <v>0.92</v>
      </c>
      <c r="AE1090" s="133">
        <v>0.995454545454545</v>
      </c>
      <c r="AF1090" s="133">
        <v>1</v>
      </c>
      <c r="AG1090" s="133">
        <v>1</v>
      </c>
      <c r="AH1090" s="133">
        <v>0.972435897435897</v>
      </c>
      <c r="AI1090" s="135">
        <v>0.92</v>
      </c>
      <c r="AJ1090" s="133">
        <v>0.947141316073355</v>
      </c>
      <c r="AK1090" s="133">
        <v>0.961898395721925</v>
      </c>
      <c r="AL1090" s="133">
        <v>0.970802919708029</v>
      </c>
      <c r="AM1090" s="133">
        <v>0.971340872374798</v>
      </c>
      <c r="AN1090" s="132">
        <v>0.99</v>
      </c>
      <c r="AO1090" s="137">
        <v>1</v>
      </c>
      <c r="AP1090" s="137">
        <v>1</v>
      </c>
      <c r="AQ1090" s="137">
        <v>1</v>
      </c>
      <c r="AR1090" s="137">
        <v>1</v>
      </c>
      <c r="AS1090" s="158">
        <v>0.0721861525408278</v>
      </c>
      <c r="AT1090" s="141">
        <v>0</v>
      </c>
      <c r="AU1090" s="141">
        <v>0</v>
      </c>
      <c r="AV1090" s="141">
        <v>0.125</v>
      </c>
      <c r="AW1090" s="141">
        <v>0.0517241379310345</v>
      </c>
      <c r="AX1090" s="95"/>
      <c r="AY1090" s="93"/>
    </row>
    <row r="1091" ht="14.5" spans="1:51">
      <c r="A1091" s="91"/>
      <c r="B1091" s="95"/>
      <c r="C1091" s="152" t="s">
        <v>1085</v>
      </c>
      <c r="D1091" s="153" t="s">
        <v>25</v>
      </c>
      <c r="E1091" s="130" t="s">
        <v>1086</v>
      </c>
      <c r="F1091" s="195" t="s">
        <v>1121</v>
      </c>
      <c r="G1091" s="195" t="s">
        <v>1121</v>
      </c>
      <c r="H1091" s="195" t="s">
        <v>1121</v>
      </c>
      <c r="I1091" s="195" t="s">
        <v>1121</v>
      </c>
      <c r="J1091" s="132">
        <v>0.9</v>
      </c>
      <c r="K1091" s="133">
        <v>0.962962962962963</v>
      </c>
      <c r="L1091" s="133">
        <v>1</v>
      </c>
      <c r="M1091" s="134">
        <v>1</v>
      </c>
      <c r="N1091" s="133">
        <v>0.941860465116279</v>
      </c>
      <c r="O1091" s="135">
        <v>0.9</v>
      </c>
      <c r="P1091" s="133">
        <v>0.983856502242152</v>
      </c>
      <c r="Q1091" s="133">
        <v>0.97688679245283</v>
      </c>
      <c r="R1091" s="133">
        <v>0.984338747099768</v>
      </c>
      <c r="S1091" s="133">
        <v>0.975083685053122</v>
      </c>
      <c r="T1091" s="135">
        <v>0.9</v>
      </c>
      <c r="U1091" s="133">
        <v>0.919282511210762</v>
      </c>
      <c r="V1091" s="133">
        <v>0.915094339622642</v>
      </c>
      <c r="W1091" s="133">
        <v>0.940835266821346</v>
      </c>
      <c r="X1091" s="133">
        <v>0.921496143210595</v>
      </c>
      <c r="Y1091" s="135">
        <v>0.92</v>
      </c>
      <c r="Z1091" s="135">
        <v>0.882852292020374</v>
      </c>
      <c r="AA1091" s="135">
        <v>0.919739696312364</v>
      </c>
      <c r="AB1091" s="135">
        <v>0.931911402789172</v>
      </c>
      <c r="AC1091" s="135">
        <v>0.927338688779477</v>
      </c>
      <c r="AD1091" s="135">
        <v>0.92</v>
      </c>
      <c r="AE1091" s="133">
        <v>1</v>
      </c>
      <c r="AF1091" s="133">
        <v>0.996830427892235</v>
      </c>
      <c r="AG1091" s="133">
        <v>0.998388396454472</v>
      </c>
      <c r="AH1091" s="133">
        <v>0.996653073786258</v>
      </c>
      <c r="AI1091" s="135">
        <v>0.92</v>
      </c>
      <c r="AJ1091" s="133">
        <v>0.930164319248826</v>
      </c>
      <c r="AK1091" s="133">
        <v>0.950361604207758</v>
      </c>
      <c r="AL1091" s="133">
        <v>0.956167176350663</v>
      </c>
      <c r="AM1091" s="133">
        <v>0.957468222313341</v>
      </c>
      <c r="AN1091" s="132">
        <v>0.99</v>
      </c>
      <c r="AO1091" s="137">
        <v>1</v>
      </c>
      <c r="AP1091" s="137">
        <v>1</v>
      </c>
      <c r="AQ1091" s="137">
        <v>1</v>
      </c>
      <c r="AR1091" s="137">
        <v>1</v>
      </c>
      <c r="AS1091" s="158">
        <v>0.0721861525408278</v>
      </c>
      <c r="AT1091" s="141">
        <v>0.0087719298245614</v>
      </c>
      <c r="AU1091" s="141">
        <v>0</v>
      </c>
      <c r="AV1091" s="141">
        <v>0</v>
      </c>
      <c r="AW1091" s="141">
        <v>0.00407331975560081</v>
      </c>
      <c r="AX1091" s="95"/>
      <c r="AY1091" s="93"/>
    </row>
    <row r="1092" ht="14.5" spans="1:51">
      <c r="A1092" s="91"/>
      <c r="B1092" s="95"/>
      <c r="C1092" s="152" t="s">
        <v>1085</v>
      </c>
      <c r="D1092" s="153" t="s">
        <v>25</v>
      </c>
      <c r="E1092" s="130" t="s">
        <v>1086</v>
      </c>
      <c r="F1092" s="195" t="s">
        <v>1122</v>
      </c>
      <c r="G1092" s="195" t="s">
        <v>1122</v>
      </c>
      <c r="H1092" s="195" t="s">
        <v>1122</v>
      </c>
      <c r="I1092" s="195" t="s">
        <v>1122</v>
      </c>
      <c r="J1092" s="132">
        <v>0.9</v>
      </c>
      <c r="K1092" s="133">
        <v>1</v>
      </c>
      <c r="L1092" s="133">
        <v>1</v>
      </c>
      <c r="M1092" s="134">
        <v>1</v>
      </c>
      <c r="N1092" s="133">
        <v>0.988135593220339</v>
      </c>
      <c r="O1092" s="135">
        <v>0.9</v>
      </c>
      <c r="P1092" s="133">
        <v>0.970192307692308</v>
      </c>
      <c r="Q1092" s="133">
        <v>0.98381601362862</v>
      </c>
      <c r="R1092" s="133">
        <v>0.970806794055202</v>
      </c>
      <c r="S1092" s="133">
        <v>0.952541918175721</v>
      </c>
      <c r="T1092" s="135">
        <v>0.9</v>
      </c>
      <c r="U1092" s="133">
        <v>0.915384615384615</v>
      </c>
      <c r="V1092" s="133">
        <v>0.933134582623509</v>
      </c>
      <c r="W1092" s="133">
        <v>0.930997876857749</v>
      </c>
      <c r="X1092" s="133">
        <v>0.929496981891348</v>
      </c>
      <c r="Y1092" s="135">
        <v>0.92</v>
      </c>
      <c r="Z1092" s="135">
        <v>0.942336874051593</v>
      </c>
      <c r="AA1092" s="135">
        <v>0.918674698795181</v>
      </c>
      <c r="AB1092" s="135">
        <v>0.889125799573561</v>
      </c>
      <c r="AC1092" s="135">
        <v>0.94810314442074</v>
      </c>
      <c r="AD1092" s="135">
        <v>0.92</v>
      </c>
      <c r="AE1092" s="133">
        <v>0.988363072148953</v>
      </c>
      <c r="AF1092" s="133">
        <v>0.99748743718593</v>
      </c>
      <c r="AG1092" s="133">
        <v>0.998260869565217</v>
      </c>
      <c r="AH1092" s="133">
        <v>0.994040808543097</v>
      </c>
      <c r="AI1092" s="135">
        <v>0.92</v>
      </c>
      <c r="AJ1092" s="133">
        <v>0.964096527369041</v>
      </c>
      <c r="AK1092" s="133">
        <v>0.965311004784689</v>
      </c>
      <c r="AL1092" s="133">
        <v>0.944393801276208</v>
      </c>
      <c r="AM1092" s="133">
        <v>0.972076818490823</v>
      </c>
      <c r="AN1092" s="132">
        <v>0.99</v>
      </c>
      <c r="AO1092" s="137">
        <v>1</v>
      </c>
      <c r="AP1092" s="137">
        <v>1</v>
      </c>
      <c r="AQ1092" s="137">
        <v>1</v>
      </c>
      <c r="AR1092" s="137">
        <v>1</v>
      </c>
      <c r="AS1092" s="158">
        <v>0.0721861525408278</v>
      </c>
      <c r="AT1092" s="141">
        <v>0</v>
      </c>
      <c r="AU1092" s="141">
        <v>0.125</v>
      </c>
      <c r="AV1092" s="141">
        <v>0</v>
      </c>
      <c r="AW1092" s="141">
        <v>0.033112582781457</v>
      </c>
      <c r="AX1092" s="95"/>
      <c r="AY1092" s="93"/>
    </row>
    <row r="1093" ht="14.5" spans="1:51">
      <c r="A1093" s="91"/>
      <c r="B1093" s="95"/>
      <c r="C1093" s="152" t="s">
        <v>1085</v>
      </c>
      <c r="D1093" s="153" t="s">
        <v>25</v>
      </c>
      <c r="E1093" s="130" t="s">
        <v>1086</v>
      </c>
      <c r="F1093" s="195" t="s">
        <v>1123</v>
      </c>
      <c r="G1093" s="195" t="s">
        <v>1123</v>
      </c>
      <c r="H1093" s="195" t="s">
        <v>1123</v>
      </c>
      <c r="I1093" s="195" t="s">
        <v>1123</v>
      </c>
      <c r="J1093" s="132">
        <v>0.9</v>
      </c>
      <c r="K1093" s="133">
        <v>1</v>
      </c>
      <c r="L1093" s="133">
        <v>0.971428571428571</v>
      </c>
      <c r="M1093" s="134">
        <v>0.972222222222222</v>
      </c>
      <c r="N1093" s="133">
        <v>0.911764705882353</v>
      </c>
      <c r="O1093" s="135">
        <v>0.9</v>
      </c>
      <c r="P1093" s="133">
        <v>0.938110749185668</v>
      </c>
      <c r="Q1093" s="133">
        <v>0.923043666234328</v>
      </c>
      <c r="R1093" s="133">
        <v>0.917463512833417</v>
      </c>
      <c r="S1093" s="133">
        <v>0.949945733629645</v>
      </c>
      <c r="T1093" s="135">
        <v>0.9</v>
      </c>
      <c r="U1093" s="133">
        <v>0.900651465798046</v>
      </c>
      <c r="V1093" s="133">
        <v>0.847384349329875</v>
      </c>
      <c r="W1093" s="133">
        <v>0.906894816305989</v>
      </c>
      <c r="X1093" s="133">
        <v>0.901648664013644</v>
      </c>
      <c r="Y1093" s="135">
        <v>0.92</v>
      </c>
      <c r="Z1093" s="135">
        <v>0.917159763313609</v>
      </c>
      <c r="AA1093" s="135">
        <v>0.932405566600398</v>
      </c>
      <c r="AB1093" s="135">
        <v>0.86578449905482</v>
      </c>
      <c r="AC1093" s="135">
        <v>0.942564874678948</v>
      </c>
      <c r="AD1093" s="135">
        <v>0.92</v>
      </c>
      <c r="AE1093" s="133">
        <v>0.984685430463576</v>
      </c>
      <c r="AF1093" s="133">
        <v>0.992235390273805</v>
      </c>
      <c r="AG1093" s="133">
        <v>0.979591836734694</v>
      </c>
      <c r="AH1093" s="133">
        <v>0.992225732515642</v>
      </c>
      <c r="AI1093" s="135">
        <v>0.92</v>
      </c>
      <c r="AJ1093" s="133">
        <v>0.941176470588235</v>
      </c>
      <c r="AK1093" s="133">
        <v>0.940060240963855</v>
      </c>
      <c r="AL1093" s="133">
        <v>0.921118881118881</v>
      </c>
      <c r="AM1093" s="133">
        <v>0.962389452729824</v>
      </c>
      <c r="AN1093" s="132">
        <v>0.99</v>
      </c>
      <c r="AO1093" s="137">
        <v>1</v>
      </c>
      <c r="AP1093" s="137">
        <v>1</v>
      </c>
      <c r="AQ1093" s="137">
        <v>1</v>
      </c>
      <c r="AR1093" s="137">
        <v>1</v>
      </c>
      <c r="AS1093" s="158">
        <v>0.0721861525408278</v>
      </c>
      <c r="AT1093" s="141">
        <v>0</v>
      </c>
      <c r="AU1093" s="141">
        <v>0.1</v>
      </c>
      <c r="AV1093" s="141">
        <v>0.0625</v>
      </c>
      <c r="AW1093" s="141">
        <v>0.0338164251207729</v>
      </c>
      <c r="AX1093" s="95"/>
      <c r="AY1093" s="93"/>
    </row>
    <row r="1094" ht="14.5" spans="1:51">
      <c r="A1094" s="91"/>
      <c r="B1094" s="95"/>
      <c r="C1094" s="152" t="s">
        <v>1085</v>
      </c>
      <c r="D1094" s="153" t="s">
        <v>25</v>
      </c>
      <c r="E1094" s="130" t="s">
        <v>1086</v>
      </c>
      <c r="F1094" s="195" t="s">
        <v>1124</v>
      </c>
      <c r="G1094" s="195" t="s">
        <v>1124</v>
      </c>
      <c r="H1094" s="195" t="s">
        <v>1124</v>
      </c>
      <c r="I1094" s="195" t="s">
        <v>1124</v>
      </c>
      <c r="J1094" s="132">
        <v>0.9</v>
      </c>
      <c r="K1094" s="133">
        <v>0.952380952380952</v>
      </c>
      <c r="L1094" s="133">
        <v>0.958333333333333</v>
      </c>
      <c r="M1094" s="134">
        <v>0.916666666666667</v>
      </c>
      <c r="N1094" s="133">
        <v>0.949308755760369</v>
      </c>
      <c r="O1094" s="135">
        <v>0.9</v>
      </c>
      <c r="P1094" s="133">
        <v>0.946145723336853</v>
      </c>
      <c r="Q1094" s="133">
        <v>0.946792640477374</v>
      </c>
      <c r="R1094" s="133">
        <v>0.953153153153153</v>
      </c>
      <c r="S1094" s="133">
        <v>0.92310699464726</v>
      </c>
      <c r="T1094" s="135">
        <v>0.9</v>
      </c>
      <c r="U1094" s="133">
        <v>0.904963041182682</v>
      </c>
      <c r="V1094" s="133">
        <v>0.963202386872203</v>
      </c>
      <c r="W1094" s="133">
        <v>0.962762762762763</v>
      </c>
      <c r="X1094" s="133">
        <v>0.946171889096049</v>
      </c>
      <c r="Y1094" s="135">
        <v>0.92</v>
      </c>
      <c r="Z1094" s="135">
        <v>0.953448275862069</v>
      </c>
      <c r="AA1094" s="135">
        <v>0.972477064220184</v>
      </c>
      <c r="AB1094" s="135">
        <v>0.98244213886672</v>
      </c>
      <c r="AC1094" s="135">
        <v>0.971870604781997</v>
      </c>
      <c r="AD1094" s="135">
        <v>0.92</v>
      </c>
      <c r="AE1094" s="133">
        <v>0.980421686746988</v>
      </c>
      <c r="AF1094" s="133">
        <v>0.997345719973457</v>
      </c>
      <c r="AG1094" s="133">
        <v>0.997993981945838</v>
      </c>
      <c r="AH1094" s="133">
        <v>0.993778262403387</v>
      </c>
      <c r="AI1094" s="135">
        <v>0.92</v>
      </c>
      <c r="AJ1094" s="133">
        <v>0.970530451866405</v>
      </c>
      <c r="AK1094" s="133">
        <v>0.987859868192855</v>
      </c>
      <c r="AL1094" s="133">
        <v>0.989376285126799</v>
      </c>
      <c r="AM1094" s="133">
        <v>0.983939235809126</v>
      </c>
      <c r="AN1094" s="132">
        <v>0.99</v>
      </c>
      <c r="AO1094" s="137">
        <v>1</v>
      </c>
      <c r="AP1094" s="137">
        <v>1</v>
      </c>
      <c r="AQ1094" s="137">
        <v>1</v>
      </c>
      <c r="AR1094" s="137">
        <v>1</v>
      </c>
      <c r="AS1094" s="158">
        <v>0.0721861525408278</v>
      </c>
      <c r="AT1094" s="141">
        <v>0.25</v>
      </c>
      <c r="AU1094" s="141">
        <v>0.3</v>
      </c>
      <c r="AV1094" s="141">
        <v>0</v>
      </c>
      <c r="AW1094" s="141">
        <v>0.107692307692308</v>
      </c>
      <c r="AX1094" s="95"/>
      <c r="AY1094" s="93"/>
    </row>
    <row r="1095" ht="14.5" spans="1:51">
      <c r="A1095" s="91"/>
      <c r="B1095" s="95"/>
      <c r="C1095" s="152" t="s">
        <v>1085</v>
      </c>
      <c r="D1095" s="153" t="s">
        <v>25</v>
      </c>
      <c r="E1095" s="130" t="s">
        <v>1086</v>
      </c>
      <c r="F1095" s="195" t="s">
        <v>1125</v>
      </c>
      <c r="G1095" s="195" t="s">
        <v>1125</v>
      </c>
      <c r="H1095" s="195" t="s">
        <v>1125</v>
      </c>
      <c r="I1095" s="195" t="s">
        <v>1125</v>
      </c>
      <c r="J1095" s="132">
        <v>0.9</v>
      </c>
      <c r="K1095" s="133">
        <v>1</v>
      </c>
      <c r="L1095" s="133">
        <v>1</v>
      </c>
      <c r="M1095" s="134">
        <v>1</v>
      </c>
      <c r="N1095" s="133">
        <v>0.995169082125604</v>
      </c>
      <c r="O1095" s="135">
        <v>0.9</v>
      </c>
      <c r="P1095" s="133">
        <v>0.985815602836879</v>
      </c>
      <c r="Q1095" s="133">
        <v>0.983120204603581</v>
      </c>
      <c r="R1095" s="133">
        <v>0.970326409495549</v>
      </c>
      <c r="S1095" s="133">
        <v>0.979746384343539</v>
      </c>
      <c r="T1095" s="135">
        <v>0.9</v>
      </c>
      <c r="U1095" s="133">
        <v>0.96048632218845</v>
      </c>
      <c r="V1095" s="133">
        <v>0.973913043478261</v>
      </c>
      <c r="W1095" s="133">
        <v>0.959050445103858</v>
      </c>
      <c r="X1095" s="133">
        <v>0.962967362575357</v>
      </c>
      <c r="Y1095" s="135">
        <v>0.92</v>
      </c>
      <c r="Z1095" s="135">
        <v>0.881422924901186</v>
      </c>
      <c r="AA1095" s="135">
        <v>0.952380952380952</v>
      </c>
      <c r="AB1095" s="135">
        <v>0.956306677658697</v>
      </c>
      <c r="AC1095" s="135">
        <v>0.960747171796896</v>
      </c>
      <c r="AD1095" s="135">
        <v>0.92</v>
      </c>
      <c r="AE1095" s="133">
        <v>0.99874843554443</v>
      </c>
      <c r="AF1095" s="133">
        <v>0.999033816425121</v>
      </c>
      <c r="AG1095" s="133">
        <v>1</v>
      </c>
      <c r="AH1095" s="133">
        <v>0.992558229438485</v>
      </c>
      <c r="AI1095" s="135">
        <v>0.92</v>
      </c>
      <c r="AJ1095" s="133">
        <v>0.945077026121902</v>
      </c>
      <c r="AK1095" s="133">
        <v>0.974466596712137</v>
      </c>
      <c r="AL1095" s="133">
        <v>0.970324361628709</v>
      </c>
      <c r="AM1095" s="133">
        <v>0.978438294803174</v>
      </c>
      <c r="AN1095" s="132">
        <v>0.99</v>
      </c>
      <c r="AO1095" s="137">
        <v>1</v>
      </c>
      <c r="AP1095" s="137">
        <v>1</v>
      </c>
      <c r="AQ1095" s="137">
        <v>1</v>
      </c>
      <c r="AR1095" s="137">
        <v>1</v>
      </c>
      <c r="AS1095" s="158">
        <v>0.0721861525408278</v>
      </c>
      <c r="AT1095" s="141">
        <v>0</v>
      </c>
      <c r="AU1095" s="141">
        <v>0</v>
      </c>
      <c r="AV1095" s="141">
        <v>0</v>
      </c>
      <c r="AW1095" s="141">
        <v>0.0375</v>
      </c>
      <c r="AX1095" s="95"/>
      <c r="AY1095" s="93"/>
    </row>
    <row r="1096" ht="14.5" spans="1:51">
      <c r="A1096" s="91"/>
      <c r="B1096" s="95"/>
      <c r="C1096" s="152" t="s">
        <v>1085</v>
      </c>
      <c r="D1096" s="153" t="s">
        <v>25</v>
      </c>
      <c r="E1096" s="130" t="s">
        <v>1086</v>
      </c>
      <c r="F1096" s="195" t="s">
        <v>1126</v>
      </c>
      <c r="G1096" s="195" t="s">
        <v>1126</v>
      </c>
      <c r="H1096" s="195" t="s">
        <v>1126</v>
      </c>
      <c r="I1096" s="195" t="s">
        <v>1126</v>
      </c>
      <c r="J1096" s="132">
        <v>0.9</v>
      </c>
      <c r="K1096" s="133">
        <v>1</v>
      </c>
      <c r="L1096" s="133">
        <v>1</v>
      </c>
      <c r="M1096" s="134">
        <v>1</v>
      </c>
      <c r="N1096" s="133">
        <v>0.99302649930265</v>
      </c>
      <c r="O1096" s="135">
        <v>0.9</v>
      </c>
      <c r="P1096" s="133">
        <v>0.922235722964763</v>
      </c>
      <c r="Q1096" s="133">
        <v>0.943065693430657</v>
      </c>
      <c r="R1096" s="133">
        <v>0.928011935844834</v>
      </c>
      <c r="S1096" s="133">
        <v>0.94524959742351</v>
      </c>
      <c r="T1096" s="135">
        <v>0.9</v>
      </c>
      <c r="U1096" s="133">
        <v>0.970230862697448</v>
      </c>
      <c r="V1096" s="133">
        <v>0.95970802919708</v>
      </c>
      <c r="W1096" s="133">
        <v>0.954867586721373</v>
      </c>
      <c r="X1096" s="133">
        <v>0.95772090314181</v>
      </c>
      <c r="Y1096" s="135">
        <v>0.92</v>
      </c>
      <c r="Z1096" s="135">
        <v>0.9490022172949</v>
      </c>
      <c r="AA1096" s="135">
        <v>0.930322580645161</v>
      </c>
      <c r="AB1096" s="135">
        <v>0.945171026156942</v>
      </c>
      <c r="AC1096" s="135">
        <v>0.953783631455608</v>
      </c>
      <c r="AD1096" s="135">
        <v>0.92</v>
      </c>
      <c r="AE1096" s="133">
        <v>0.999526739233318</v>
      </c>
      <c r="AF1096" s="133">
        <v>0.999565343378731</v>
      </c>
      <c r="AG1096" s="133">
        <v>0.99388379204893</v>
      </c>
      <c r="AH1096" s="133">
        <v>0.928179409538229</v>
      </c>
      <c r="AI1096" s="135">
        <v>0.92</v>
      </c>
      <c r="AJ1096" s="133">
        <v>0.971350078492936</v>
      </c>
      <c r="AK1096" s="133">
        <v>0.958190954773869</v>
      </c>
      <c r="AL1096" s="133">
        <v>0.960805311629899</v>
      </c>
      <c r="AM1096" s="133">
        <v>0.971885587698723</v>
      </c>
      <c r="AN1096" s="132">
        <v>0.99</v>
      </c>
      <c r="AO1096" s="137">
        <v>1</v>
      </c>
      <c r="AP1096" s="137">
        <v>1</v>
      </c>
      <c r="AQ1096" s="137">
        <v>1</v>
      </c>
      <c r="AR1096" s="137">
        <v>1</v>
      </c>
      <c r="AS1096" s="158">
        <v>0.0721861525408278</v>
      </c>
      <c r="AT1096" s="141">
        <v>0</v>
      </c>
      <c r="AU1096" s="141">
        <v>0.037037037037037</v>
      </c>
      <c r="AV1096" s="141">
        <v>0.25</v>
      </c>
      <c r="AW1096" s="141">
        <v>0.073394495412844</v>
      </c>
      <c r="AX1096" s="95"/>
      <c r="AY1096" s="93"/>
    </row>
    <row r="1097" ht="14.5" spans="1:51">
      <c r="A1097" s="91"/>
      <c r="B1097" s="95"/>
      <c r="C1097" s="152" t="s">
        <v>1085</v>
      </c>
      <c r="D1097" s="153" t="s">
        <v>25</v>
      </c>
      <c r="E1097" s="130" t="s">
        <v>1086</v>
      </c>
      <c r="F1097" s="195" t="s">
        <v>1127</v>
      </c>
      <c r="G1097" s="195" t="s">
        <v>1127</v>
      </c>
      <c r="H1097" s="195" t="s">
        <v>1127</v>
      </c>
      <c r="I1097" s="195" t="s">
        <v>1127</v>
      </c>
      <c r="J1097" s="132">
        <v>0.9</v>
      </c>
      <c r="K1097" s="133">
        <v>0.971428571428571</v>
      </c>
      <c r="L1097" s="133">
        <v>0.972222222222222</v>
      </c>
      <c r="M1097" s="134">
        <v>0.975</v>
      </c>
      <c r="N1097" s="133">
        <v>0.931486880466472</v>
      </c>
      <c r="O1097" s="135">
        <v>0.9</v>
      </c>
      <c r="P1097" s="133">
        <v>0.974240422721268</v>
      </c>
      <c r="Q1097" s="133">
        <v>0.965037228876659</v>
      </c>
      <c r="R1097" s="133">
        <v>0.979591836734694</v>
      </c>
      <c r="S1097" s="133">
        <v>0.945436312871131</v>
      </c>
      <c r="T1097" s="135">
        <v>0.9</v>
      </c>
      <c r="U1097" s="133">
        <v>0.927344782034346</v>
      </c>
      <c r="V1097" s="133">
        <v>0.932016833926837</v>
      </c>
      <c r="W1097" s="133">
        <v>0.949764521193093</v>
      </c>
      <c r="X1097" s="133">
        <v>0.929902866805616</v>
      </c>
      <c r="Y1097" s="135">
        <v>0.92</v>
      </c>
      <c r="Z1097" s="135">
        <v>0.92545871559633</v>
      </c>
      <c r="AA1097" s="135">
        <v>0.940098661028894</v>
      </c>
      <c r="AB1097" s="135">
        <v>0.963963963963964</v>
      </c>
      <c r="AC1097" s="135">
        <v>0.955255754042236</v>
      </c>
      <c r="AD1097" s="135">
        <v>0.92</v>
      </c>
      <c r="AE1097" s="133">
        <v>0.984877126654064</v>
      </c>
      <c r="AF1097" s="133">
        <v>0.995918367346939</v>
      </c>
      <c r="AG1097" s="133">
        <v>0.994727592267135</v>
      </c>
      <c r="AH1097" s="133">
        <v>0.986255839022637</v>
      </c>
      <c r="AI1097" s="135">
        <v>0.92</v>
      </c>
      <c r="AJ1097" s="133">
        <v>0.954316848281643</v>
      </c>
      <c r="AK1097" s="133">
        <v>0.960292812777285</v>
      </c>
      <c r="AL1097" s="133">
        <v>0.973618940248027</v>
      </c>
      <c r="AM1097" s="133">
        <v>0.972275798564016</v>
      </c>
      <c r="AN1097" s="132">
        <v>0.99</v>
      </c>
      <c r="AO1097" s="137">
        <v>1</v>
      </c>
      <c r="AP1097" s="137">
        <v>1</v>
      </c>
      <c r="AQ1097" s="137">
        <v>1</v>
      </c>
      <c r="AR1097" s="137">
        <v>1</v>
      </c>
      <c r="AS1097" s="158">
        <v>0.0721861525408278</v>
      </c>
      <c r="AT1097" s="141">
        <v>0.0740740740740741</v>
      </c>
      <c r="AU1097" s="141">
        <v>0</v>
      </c>
      <c r="AV1097" s="141">
        <v>0</v>
      </c>
      <c r="AW1097" s="141">
        <v>0.0377358490566038</v>
      </c>
      <c r="AX1097" s="95"/>
      <c r="AY1097" s="93"/>
    </row>
    <row r="1098" ht="14.5" spans="1:51">
      <c r="A1098" s="91"/>
      <c r="B1098" s="95"/>
      <c r="C1098" s="152" t="s">
        <v>1085</v>
      </c>
      <c r="D1098" s="153" t="s">
        <v>25</v>
      </c>
      <c r="E1098" s="130" t="s">
        <v>1086</v>
      </c>
      <c r="F1098" s="195" t="s">
        <v>1128</v>
      </c>
      <c r="G1098" s="195" t="s">
        <v>1128</v>
      </c>
      <c r="H1098" s="195" t="s">
        <v>1128</v>
      </c>
      <c r="I1098" s="195" t="s">
        <v>1128</v>
      </c>
      <c r="J1098" s="132">
        <v>0.9</v>
      </c>
      <c r="K1098" s="133">
        <v>1</v>
      </c>
      <c r="L1098" s="133">
        <v>1</v>
      </c>
      <c r="M1098" s="134">
        <v>1</v>
      </c>
      <c r="N1098" s="133">
        <v>1</v>
      </c>
      <c r="O1098" s="135">
        <v>0.9</v>
      </c>
      <c r="P1098" s="133">
        <v>0.984397163120567</v>
      </c>
      <c r="Q1098" s="133">
        <v>0.97112155809268</v>
      </c>
      <c r="R1098" s="133">
        <v>0.992076069730586</v>
      </c>
      <c r="S1098" s="133">
        <v>0.98554879246024</v>
      </c>
      <c r="T1098" s="135">
        <v>0.9</v>
      </c>
      <c r="U1098" s="133">
        <v>0.950354609929078</v>
      </c>
      <c r="V1098" s="133">
        <v>0.955674949630625</v>
      </c>
      <c r="W1098" s="133">
        <v>0.926307448494453</v>
      </c>
      <c r="X1098" s="133">
        <v>0.940231690555665</v>
      </c>
      <c r="Y1098" s="135">
        <v>0.92</v>
      </c>
      <c r="Z1098" s="135">
        <v>0.967441860465116</v>
      </c>
      <c r="AA1098" s="135">
        <v>0.965471447543161</v>
      </c>
      <c r="AB1098" s="135">
        <v>0.9695603156708</v>
      </c>
      <c r="AC1098" s="135">
        <v>0.972433855104585</v>
      </c>
      <c r="AD1098" s="135">
        <v>0.92</v>
      </c>
      <c r="AE1098" s="133">
        <v>1</v>
      </c>
      <c r="AF1098" s="133">
        <v>0.999478895257947</v>
      </c>
      <c r="AG1098" s="133">
        <v>1</v>
      </c>
      <c r="AH1098" s="133">
        <v>0.997583423312253</v>
      </c>
      <c r="AI1098" s="135">
        <v>0.92</v>
      </c>
      <c r="AJ1098" s="133">
        <v>0.976211453744493</v>
      </c>
      <c r="AK1098" s="133">
        <v>0.979482604817128</v>
      </c>
      <c r="AL1098" s="133">
        <v>0.981386691484411</v>
      </c>
      <c r="AM1098" s="133">
        <v>0.983035557671586</v>
      </c>
      <c r="AN1098" s="132">
        <v>0.99</v>
      </c>
      <c r="AO1098" s="137">
        <v>1</v>
      </c>
      <c r="AP1098" s="137">
        <v>1</v>
      </c>
      <c r="AQ1098" s="137">
        <v>1</v>
      </c>
      <c r="AR1098" s="137">
        <v>1</v>
      </c>
      <c r="AS1098" s="158">
        <v>0.0721861525408278</v>
      </c>
      <c r="AT1098" s="141">
        <v>0</v>
      </c>
      <c r="AU1098" s="141">
        <v>0</v>
      </c>
      <c r="AV1098" s="141">
        <v>0</v>
      </c>
      <c r="AW1098" s="141">
        <v>0.0166666666666667</v>
      </c>
      <c r="AX1098" s="95"/>
      <c r="AY1098" s="93"/>
    </row>
    <row r="1099" ht="14.5" spans="1:51">
      <c r="A1099" s="91"/>
      <c r="B1099" s="95"/>
      <c r="C1099" s="152" t="s">
        <v>1085</v>
      </c>
      <c r="D1099" s="153" t="s">
        <v>25</v>
      </c>
      <c r="E1099" s="130" t="s">
        <v>1086</v>
      </c>
      <c r="F1099" s="195" t="s">
        <v>1129</v>
      </c>
      <c r="G1099" s="195" t="s">
        <v>1129</v>
      </c>
      <c r="H1099" s="195" t="s">
        <v>1129</v>
      </c>
      <c r="I1099" s="195" t="s">
        <v>1129</v>
      </c>
      <c r="J1099" s="132">
        <v>0.9</v>
      </c>
      <c r="K1099" s="133">
        <v>0.942857142857143</v>
      </c>
      <c r="L1099" s="133">
        <v>0.914285714285714</v>
      </c>
      <c r="M1099" s="134">
        <v>0.941176470588235</v>
      </c>
      <c r="N1099" s="133">
        <v>0.952830188679245</v>
      </c>
      <c r="O1099" s="135">
        <v>0.9</v>
      </c>
      <c r="P1099" s="133">
        <v>0.977735368956743</v>
      </c>
      <c r="Q1099" s="133">
        <v>0.972804718217562</v>
      </c>
      <c r="R1099" s="133">
        <v>0.951899757477769</v>
      </c>
      <c r="S1099" s="133">
        <v>0.955885074964523</v>
      </c>
      <c r="T1099" s="135">
        <v>0.9</v>
      </c>
      <c r="U1099" s="133">
        <v>0.925572519083969</v>
      </c>
      <c r="V1099" s="133">
        <v>0.908256880733945</v>
      </c>
      <c r="W1099" s="133">
        <v>0.865804365400162</v>
      </c>
      <c r="X1099" s="133">
        <v>0.897106307714456</v>
      </c>
      <c r="Y1099" s="135">
        <v>0.92</v>
      </c>
      <c r="Z1099" s="135">
        <v>0.918170878459687</v>
      </c>
      <c r="AA1099" s="135">
        <v>0.953348382242287</v>
      </c>
      <c r="AB1099" s="135">
        <v>0.915872125630959</v>
      </c>
      <c r="AC1099" s="135">
        <v>0.916731546361176</v>
      </c>
      <c r="AD1099" s="135">
        <v>0.92</v>
      </c>
      <c r="AE1099" s="133">
        <v>1</v>
      </c>
      <c r="AF1099" s="133">
        <v>0.997474747474748</v>
      </c>
      <c r="AG1099" s="133">
        <v>0.998211091234347</v>
      </c>
      <c r="AH1099" s="133">
        <v>0.99802743245103</v>
      </c>
      <c r="AI1099" s="135">
        <v>0.92</v>
      </c>
      <c r="AJ1099" s="133">
        <v>0.961298377028714</v>
      </c>
      <c r="AK1099" s="133">
        <v>0.971695959826524</v>
      </c>
      <c r="AL1099" s="133">
        <v>0.945501526896876</v>
      </c>
      <c r="AM1099" s="133">
        <v>0.958534488459758</v>
      </c>
      <c r="AN1099" s="132">
        <v>0.99</v>
      </c>
      <c r="AO1099" s="137">
        <v>1</v>
      </c>
      <c r="AP1099" s="137">
        <v>1</v>
      </c>
      <c r="AQ1099" s="137">
        <v>1</v>
      </c>
      <c r="AR1099" s="137">
        <v>1</v>
      </c>
      <c r="AS1099" s="158">
        <v>0.0721861525408278</v>
      </c>
      <c r="AT1099" s="141">
        <v>0.1</v>
      </c>
      <c r="AU1099" s="141">
        <v>0.133333333333333</v>
      </c>
      <c r="AV1099" s="141">
        <v>0</v>
      </c>
      <c r="AW1099" s="141">
        <v>0.0310880829015544</v>
      </c>
      <c r="AX1099" s="95"/>
      <c r="AY1099" s="93"/>
    </row>
    <row r="1100" ht="14.5" spans="1:51">
      <c r="A1100" s="91"/>
      <c r="B1100" s="95"/>
      <c r="C1100" s="152" t="s">
        <v>1085</v>
      </c>
      <c r="D1100" s="153" t="s">
        <v>25</v>
      </c>
      <c r="E1100" s="130" t="s">
        <v>1086</v>
      </c>
      <c r="F1100" s="195" t="s">
        <v>1130</v>
      </c>
      <c r="G1100" s="195" t="s">
        <v>1130</v>
      </c>
      <c r="H1100" s="195" t="s">
        <v>1130</v>
      </c>
      <c r="I1100" s="195" t="s">
        <v>1130</v>
      </c>
      <c r="J1100" s="132">
        <v>0.9</v>
      </c>
      <c r="K1100" s="133">
        <v>0.962962962962963</v>
      </c>
      <c r="L1100" s="133">
        <v>0.8</v>
      </c>
      <c r="M1100" s="134">
        <v>0.8</v>
      </c>
      <c r="N1100" s="133">
        <v>0.881118881118881</v>
      </c>
      <c r="O1100" s="135">
        <v>0.9</v>
      </c>
      <c r="P1100" s="133">
        <v>0.958123953098827</v>
      </c>
      <c r="Q1100" s="133">
        <v>0.955855018587361</v>
      </c>
      <c r="R1100" s="133">
        <v>0.957235206364992</v>
      </c>
      <c r="S1100" s="133">
        <v>0.956298461929579</v>
      </c>
      <c r="T1100" s="135">
        <v>0.9</v>
      </c>
      <c r="U1100" s="133">
        <v>0.897822445561139</v>
      </c>
      <c r="V1100" s="133">
        <v>0.904739776951673</v>
      </c>
      <c r="W1100" s="133">
        <v>0.941322725012432</v>
      </c>
      <c r="X1100" s="133">
        <v>0.911580017795856</v>
      </c>
      <c r="Y1100" s="135">
        <v>0.92</v>
      </c>
      <c r="Z1100" s="135">
        <v>0.88785046728972</v>
      </c>
      <c r="AA1100" s="135">
        <v>0.909163346613546</v>
      </c>
      <c r="AB1100" s="135">
        <v>0.927556818181818</v>
      </c>
      <c r="AC1100" s="135">
        <v>0.9167958198645</v>
      </c>
      <c r="AD1100" s="135">
        <v>0.92</v>
      </c>
      <c r="AE1100" s="133">
        <v>0.960820895522388</v>
      </c>
      <c r="AF1100" s="133">
        <v>0.988059701492537</v>
      </c>
      <c r="AG1100" s="133">
        <v>0.996124031007752</v>
      </c>
      <c r="AH1100" s="133">
        <v>0.989593188268685</v>
      </c>
      <c r="AI1100" s="135">
        <v>0.92</v>
      </c>
      <c r="AJ1100" s="133">
        <v>0.922113289760349</v>
      </c>
      <c r="AK1100" s="133">
        <v>0.940710302318756</v>
      </c>
      <c r="AL1100" s="133">
        <v>0.954678362573099</v>
      </c>
      <c r="AM1100" s="133">
        <v>0.95148087273196</v>
      </c>
      <c r="AN1100" s="132">
        <v>0.99</v>
      </c>
      <c r="AO1100" s="137">
        <v>1</v>
      </c>
      <c r="AP1100" s="137">
        <v>1</v>
      </c>
      <c r="AQ1100" s="137">
        <v>1</v>
      </c>
      <c r="AR1100" s="137">
        <v>1</v>
      </c>
      <c r="AS1100" s="158">
        <v>0.0721861525408278</v>
      </c>
      <c r="AT1100" s="141">
        <v>0</v>
      </c>
      <c r="AU1100" s="141">
        <v>0</v>
      </c>
      <c r="AV1100" s="141">
        <v>0.0625</v>
      </c>
      <c r="AW1100" s="141">
        <v>0.0441767068273092</v>
      </c>
      <c r="AX1100" s="95"/>
      <c r="AY1100" s="93"/>
    </row>
    <row r="1101" ht="14.5" spans="1:51">
      <c r="A1101" s="91"/>
      <c r="B1101" s="95"/>
      <c r="C1101" s="152" t="s">
        <v>1085</v>
      </c>
      <c r="D1101" s="153" t="s">
        <v>25</v>
      </c>
      <c r="E1101" s="130" t="s">
        <v>1086</v>
      </c>
      <c r="F1101" s="195" t="s">
        <v>1131</v>
      </c>
      <c r="G1101" s="195" t="s">
        <v>1131</v>
      </c>
      <c r="H1101" s="195" t="s">
        <v>1131</v>
      </c>
      <c r="I1101" s="195" t="s">
        <v>1131</v>
      </c>
      <c r="J1101" s="132">
        <v>0.9</v>
      </c>
      <c r="K1101" s="133">
        <v>0.923076923076923</v>
      </c>
      <c r="L1101" s="133">
        <v>0.96551724137931</v>
      </c>
      <c r="M1101" s="134">
        <v>0.884615384615385</v>
      </c>
      <c r="N1101" s="133">
        <v>0.96</v>
      </c>
      <c r="O1101" s="135">
        <v>0.9</v>
      </c>
      <c r="P1101" s="133">
        <v>0.971945701357466</v>
      </c>
      <c r="Q1101" s="133">
        <v>0.937283950617284</v>
      </c>
      <c r="R1101" s="133">
        <v>0.970802919708029</v>
      </c>
      <c r="S1101" s="133">
        <v>0.944269464039358</v>
      </c>
      <c r="T1101" s="135">
        <v>0.9</v>
      </c>
      <c r="U1101" s="133">
        <v>0.900452488687783</v>
      </c>
      <c r="V1101" s="133">
        <v>0.940740740740741</v>
      </c>
      <c r="W1101" s="133">
        <v>0.930376193149916</v>
      </c>
      <c r="X1101" s="133">
        <v>0.931957206445063</v>
      </c>
      <c r="Y1101" s="135">
        <v>0.92</v>
      </c>
      <c r="Z1101" s="135">
        <v>0.914691943127962</v>
      </c>
      <c r="AA1101" s="135">
        <v>0.904587155963303</v>
      </c>
      <c r="AB1101" s="135">
        <v>0.945071482317532</v>
      </c>
      <c r="AC1101" s="135">
        <v>0.939301837035713</v>
      </c>
      <c r="AD1101" s="135">
        <v>0.92</v>
      </c>
      <c r="AE1101" s="133">
        <v>1</v>
      </c>
      <c r="AF1101" s="133">
        <v>0.990641711229946</v>
      </c>
      <c r="AG1101" s="133">
        <v>1</v>
      </c>
      <c r="AH1101" s="133">
        <v>0.992541554198039</v>
      </c>
      <c r="AI1101" s="135">
        <v>0.92</v>
      </c>
      <c r="AJ1101" s="133">
        <v>0.937859608745685</v>
      </c>
      <c r="AK1101" s="133">
        <v>0.949277688603531</v>
      </c>
      <c r="AL1101" s="133">
        <v>0.959807073954984</v>
      </c>
      <c r="AM1101" s="133">
        <v>0.964569454724895</v>
      </c>
      <c r="AN1101" s="132">
        <v>0.99</v>
      </c>
      <c r="AO1101" s="137">
        <v>1</v>
      </c>
      <c r="AP1101" s="137">
        <v>1</v>
      </c>
      <c r="AQ1101" s="137">
        <v>1</v>
      </c>
      <c r="AR1101" s="137">
        <v>1</v>
      </c>
      <c r="AS1101" s="158">
        <v>0.0721861525408278</v>
      </c>
      <c r="AT1101" s="141">
        <v>0.111111111111111</v>
      </c>
      <c r="AU1101" s="141">
        <v>0</v>
      </c>
      <c r="AV1101" s="141">
        <v>0.0714285714285714</v>
      </c>
      <c r="AW1101" s="141">
        <v>0.0348258706467662</v>
      </c>
      <c r="AX1101" s="95"/>
      <c r="AY1101" s="93"/>
    </row>
    <row r="1102" ht="14.5" spans="1:51">
      <c r="A1102" s="91"/>
      <c r="B1102" s="95"/>
      <c r="C1102" s="152" t="s">
        <v>1085</v>
      </c>
      <c r="D1102" s="153" t="s">
        <v>25</v>
      </c>
      <c r="E1102" s="130" t="s">
        <v>1086</v>
      </c>
      <c r="F1102" s="195" t="s">
        <v>1132</v>
      </c>
      <c r="G1102" s="195" t="s">
        <v>1132</v>
      </c>
      <c r="H1102" s="195" t="s">
        <v>1132</v>
      </c>
      <c r="I1102" s="195" t="s">
        <v>1132</v>
      </c>
      <c r="J1102" s="132">
        <v>0.9</v>
      </c>
      <c r="K1102" s="133">
        <v>0.944444444444444</v>
      </c>
      <c r="L1102" s="133">
        <v>0.95</v>
      </c>
      <c r="M1102" s="134">
        <v>0.954545454545455</v>
      </c>
      <c r="N1102" s="133">
        <v>0.979002624671916</v>
      </c>
      <c r="O1102" s="135">
        <v>0.9</v>
      </c>
      <c r="P1102" s="133">
        <v>0.96158940397351</v>
      </c>
      <c r="Q1102" s="133">
        <v>0.885714285714286</v>
      </c>
      <c r="R1102" s="133">
        <v>0.975980784627702</v>
      </c>
      <c r="S1102" s="133">
        <v>0.955672397912189</v>
      </c>
      <c r="T1102" s="135">
        <v>0.9</v>
      </c>
      <c r="U1102" s="133">
        <v>0.966887417218543</v>
      </c>
      <c r="V1102" s="133">
        <v>0.949659863945578</v>
      </c>
      <c r="W1102" s="133">
        <v>0.971977582065653</v>
      </c>
      <c r="X1102" s="133">
        <v>0.952640466687135</v>
      </c>
      <c r="Y1102" s="135">
        <v>0.92</v>
      </c>
      <c r="Z1102" s="135">
        <v>0.922902494331066</v>
      </c>
      <c r="AA1102" s="135">
        <v>0.944992947813822</v>
      </c>
      <c r="AB1102" s="135">
        <v>0.95482546201232</v>
      </c>
      <c r="AC1102" s="135">
        <v>0.94928705077747</v>
      </c>
      <c r="AD1102" s="135">
        <v>0.92</v>
      </c>
      <c r="AE1102" s="133">
        <v>0.998888888888889</v>
      </c>
      <c r="AF1102" s="133">
        <v>0.996539792387543</v>
      </c>
      <c r="AG1102" s="133">
        <v>0.994736842105263</v>
      </c>
      <c r="AH1102" s="133">
        <v>0.997209977121812</v>
      </c>
      <c r="AI1102" s="135">
        <v>0.92</v>
      </c>
      <c r="AJ1102" s="133">
        <v>0.959030100334448</v>
      </c>
      <c r="AK1102" s="133">
        <v>0.97475906379073</v>
      </c>
      <c r="AL1102" s="133">
        <v>0.973909131803869</v>
      </c>
      <c r="AM1102" s="133">
        <v>0.969537284342742</v>
      </c>
      <c r="AN1102" s="132">
        <v>0.99</v>
      </c>
      <c r="AO1102" s="137">
        <v>1</v>
      </c>
      <c r="AP1102" s="137">
        <v>1</v>
      </c>
      <c r="AQ1102" s="137">
        <v>1</v>
      </c>
      <c r="AR1102" s="137">
        <v>1</v>
      </c>
      <c r="AS1102" s="158">
        <v>0.0721861525408278</v>
      </c>
      <c r="AT1102" s="141">
        <v>0</v>
      </c>
      <c r="AU1102" s="141">
        <v>0</v>
      </c>
      <c r="AV1102" s="141">
        <v>0</v>
      </c>
      <c r="AW1102" s="141">
        <v>0.055045871559633</v>
      </c>
      <c r="AX1102" s="95"/>
      <c r="AY1102" s="93"/>
    </row>
    <row r="1103" ht="14.5" spans="1:51">
      <c r="A1103" s="91"/>
      <c r="B1103" s="95"/>
      <c r="C1103" s="152" t="s">
        <v>1085</v>
      </c>
      <c r="D1103" s="153" t="s">
        <v>25</v>
      </c>
      <c r="E1103" s="130" t="s">
        <v>1086</v>
      </c>
      <c r="F1103" s="195" t="s">
        <v>1133</v>
      </c>
      <c r="G1103" s="195" t="s">
        <v>1133</v>
      </c>
      <c r="H1103" s="195" t="s">
        <v>1133</v>
      </c>
      <c r="I1103" s="195" t="s">
        <v>1133</v>
      </c>
      <c r="J1103" s="132">
        <v>0.9</v>
      </c>
      <c r="K1103" s="133">
        <v>0.954545454545455</v>
      </c>
      <c r="L1103" s="133">
        <v>0.954545454545455</v>
      </c>
      <c r="M1103" s="134">
        <v>0.91304347826087</v>
      </c>
      <c r="N1103" s="133">
        <v>0.934731934731935</v>
      </c>
      <c r="O1103" s="135">
        <v>0.9</v>
      </c>
      <c r="P1103" s="133">
        <v>0.984192439862543</v>
      </c>
      <c r="Q1103" s="133">
        <v>0.98881239242685</v>
      </c>
      <c r="R1103" s="133">
        <v>0.985909291061207</v>
      </c>
      <c r="S1103" s="133">
        <v>0.982690680527016</v>
      </c>
      <c r="T1103" s="135">
        <v>0.9</v>
      </c>
      <c r="U1103" s="133">
        <v>0.961512027491409</v>
      </c>
      <c r="V1103" s="133">
        <v>0.912220309810671</v>
      </c>
      <c r="W1103" s="133">
        <v>0.935270805812417</v>
      </c>
      <c r="X1103" s="133">
        <v>0.945606188806962</v>
      </c>
      <c r="Y1103" s="135">
        <v>0.92</v>
      </c>
      <c r="Z1103" s="135" t="s">
        <v>35</v>
      </c>
      <c r="AA1103" s="135" t="s">
        <v>35</v>
      </c>
      <c r="AB1103" s="135" t="s">
        <v>35</v>
      </c>
      <c r="AC1103" s="135" t="s">
        <v>35</v>
      </c>
      <c r="AD1103" s="135">
        <v>0.92</v>
      </c>
      <c r="AE1103" s="133">
        <v>1</v>
      </c>
      <c r="AF1103" s="133">
        <v>1</v>
      </c>
      <c r="AG1103" s="133">
        <v>0.989010989010989</v>
      </c>
      <c r="AH1103" s="133">
        <v>0.999150382327952</v>
      </c>
      <c r="AI1103" s="135">
        <v>0.92</v>
      </c>
      <c r="AJ1103" s="133">
        <v>0.964948453608247</v>
      </c>
      <c r="AK1103" s="133">
        <v>0.97289156626506</v>
      </c>
      <c r="AL1103" s="133">
        <v>0.96741523557904</v>
      </c>
      <c r="AM1103" s="133">
        <v>0.97732437267321</v>
      </c>
      <c r="AN1103" s="132">
        <v>0.99</v>
      </c>
      <c r="AO1103" s="137">
        <v>1</v>
      </c>
      <c r="AP1103" s="137">
        <v>1</v>
      </c>
      <c r="AQ1103" s="137">
        <v>1</v>
      </c>
      <c r="AR1103" s="137">
        <v>1</v>
      </c>
      <c r="AS1103" s="158">
        <v>0.0721861525408278</v>
      </c>
      <c r="AT1103" s="141">
        <v>0.2</v>
      </c>
      <c r="AU1103" s="141">
        <v>0.25</v>
      </c>
      <c r="AV1103" s="141">
        <v>0.25</v>
      </c>
      <c r="AW1103" s="141">
        <v>0.08</v>
      </c>
      <c r="AX1103" s="95"/>
      <c r="AY1103" s="93"/>
    </row>
    <row r="1104" ht="14.5" spans="1:51">
      <c r="A1104" s="91"/>
      <c r="B1104" s="95"/>
      <c r="C1104" s="152" t="s">
        <v>1085</v>
      </c>
      <c r="D1104" s="153" t="s">
        <v>25</v>
      </c>
      <c r="E1104" s="130" t="s">
        <v>1086</v>
      </c>
      <c r="F1104" s="195" t="s">
        <v>1134</v>
      </c>
      <c r="G1104" s="195" t="s">
        <v>1134</v>
      </c>
      <c r="H1104" s="195" t="s">
        <v>1134</v>
      </c>
      <c r="I1104" s="195" t="s">
        <v>1134</v>
      </c>
      <c r="J1104" s="132">
        <v>0.9</v>
      </c>
      <c r="K1104" s="133">
        <v>0.891891891891892</v>
      </c>
      <c r="L1104" s="133">
        <v>0.933333333333333</v>
      </c>
      <c r="M1104" s="134">
        <v>0.886363636363636</v>
      </c>
      <c r="N1104" s="133">
        <v>0.933249370277078</v>
      </c>
      <c r="O1104" s="135">
        <v>0.9</v>
      </c>
      <c r="P1104" s="133">
        <v>0.983746792130026</v>
      </c>
      <c r="Q1104" s="133">
        <v>0.985935302390999</v>
      </c>
      <c r="R1104" s="133">
        <v>0.98950056753689</v>
      </c>
      <c r="S1104" s="133">
        <v>0.983420088683247</v>
      </c>
      <c r="T1104" s="135">
        <v>0.9</v>
      </c>
      <c r="U1104" s="133">
        <v>0.908896492728828</v>
      </c>
      <c r="V1104" s="133">
        <v>0.90379746835443</v>
      </c>
      <c r="W1104" s="133">
        <v>0.893870601589103</v>
      </c>
      <c r="X1104" s="133">
        <v>0.891395154553049</v>
      </c>
      <c r="Y1104" s="135">
        <v>0.92</v>
      </c>
      <c r="Z1104" s="135" t="s">
        <v>35</v>
      </c>
      <c r="AA1104" s="135" t="s">
        <v>35</v>
      </c>
      <c r="AB1104" s="135" t="s">
        <v>35</v>
      </c>
      <c r="AC1104" s="135" t="s">
        <v>35</v>
      </c>
      <c r="AD1104" s="135">
        <v>0.92</v>
      </c>
      <c r="AE1104" s="133">
        <v>1</v>
      </c>
      <c r="AF1104" s="133">
        <v>1</v>
      </c>
      <c r="AG1104" s="133">
        <v>0.990228013029316</v>
      </c>
      <c r="AH1104" s="133">
        <v>0.995992170752167</v>
      </c>
      <c r="AI1104" s="135">
        <v>0.92</v>
      </c>
      <c r="AJ1104" s="133">
        <v>0.935842600513259</v>
      </c>
      <c r="AK1104" s="133">
        <v>0.969620253164557</v>
      </c>
      <c r="AL1104" s="133">
        <v>0.967934165720772</v>
      </c>
      <c r="AM1104" s="133">
        <v>0.968800205642311</v>
      </c>
      <c r="AN1104" s="132">
        <v>0.99</v>
      </c>
      <c r="AO1104" s="137">
        <v>1</v>
      </c>
      <c r="AP1104" s="137">
        <v>1</v>
      </c>
      <c r="AQ1104" s="137">
        <v>1</v>
      </c>
      <c r="AR1104" s="137">
        <v>1</v>
      </c>
      <c r="AS1104" s="158">
        <v>0.0721861525408278</v>
      </c>
      <c r="AT1104" s="141">
        <v>0</v>
      </c>
      <c r="AU1104" s="141">
        <v>0</v>
      </c>
      <c r="AV1104" s="141">
        <v>0</v>
      </c>
      <c r="AW1104" s="141">
        <v>0.072289156626506</v>
      </c>
      <c r="AX1104" s="95"/>
      <c r="AY1104" s="93"/>
    </row>
    <row r="1105" ht="14.5" spans="1:51">
      <c r="A1105" s="91"/>
      <c r="B1105" s="95"/>
      <c r="C1105" s="152" t="s">
        <v>1085</v>
      </c>
      <c r="D1105" s="153" t="s">
        <v>25</v>
      </c>
      <c r="E1105" s="130" t="s">
        <v>1086</v>
      </c>
      <c r="F1105" s="195" t="s">
        <v>1135</v>
      </c>
      <c r="G1105" s="195" t="s">
        <v>1135</v>
      </c>
      <c r="H1105" s="195" t="s">
        <v>1135</v>
      </c>
      <c r="I1105" s="195" t="s">
        <v>1135</v>
      </c>
      <c r="J1105" s="132">
        <v>0.9</v>
      </c>
      <c r="K1105" s="133">
        <v>0.938775510204082</v>
      </c>
      <c r="L1105" s="133">
        <v>0.963636363636364</v>
      </c>
      <c r="M1105" s="134">
        <v>0.945454545454545</v>
      </c>
      <c r="N1105" s="133">
        <v>0.965829145728643</v>
      </c>
      <c r="O1105" s="135">
        <v>0.9</v>
      </c>
      <c r="P1105" s="133">
        <v>0.975038520801233</v>
      </c>
      <c r="Q1105" s="133">
        <v>0.973746081504702</v>
      </c>
      <c r="R1105" s="133">
        <v>0.95689155229074</v>
      </c>
      <c r="S1105" s="133">
        <v>0.969330251089261</v>
      </c>
      <c r="T1105" s="135">
        <v>0.9</v>
      </c>
      <c r="U1105" s="133">
        <v>0.958397534668721</v>
      </c>
      <c r="V1105" s="133">
        <v>0.949843260188088</v>
      </c>
      <c r="W1105" s="133">
        <v>0.951092209549584</v>
      </c>
      <c r="X1105" s="133">
        <v>0.959582831758477</v>
      </c>
      <c r="Y1105" s="135">
        <v>0.92</v>
      </c>
      <c r="Z1105" s="135" t="s">
        <v>35</v>
      </c>
      <c r="AA1105" s="135" t="s">
        <v>35</v>
      </c>
      <c r="AB1105" s="135" t="s">
        <v>35</v>
      </c>
      <c r="AC1105" s="135" t="s">
        <v>35</v>
      </c>
      <c r="AD1105" s="135">
        <v>0.92</v>
      </c>
      <c r="AE1105" s="133">
        <v>1</v>
      </c>
      <c r="AF1105" s="133">
        <v>0.99748743718593</v>
      </c>
      <c r="AG1105" s="133">
        <v>1</v>
      </c>
      <c r="AH1105" s="133">
        <v>0.995406626506024</v>
      </c>
      <c r="AI1105" s="135">
        <v>0.92</v>
      </c>
      <c r="AJ1105" s="133">
        <v>0.971648690292758</v>
      </c>
      <c r="AK1105" s="133">
        <v>0.964929467084639</v>
      </c>
      <c r="AL1105" s="133">
        <v>0.967910303498937</v>
      </c>
      <c r="AM1105" s="133">
        <v>0.979834027548444</v>
      </c>
      <c r="AN1105" s="132">
        <v>0.99</v>
      </c>
      <c r="AO1105" s="137">
        <v>1</v>
      </c>
      <c r="AP1105" s="137">
        <v>1</v>
      </c>
      <c r="AQ1105" s="137">
        <v>1</v>
      </c>
      <c r="AR1105" s="137">
        <v>1</v>
      </c>
      <c r="AS1105" s="158">
        <v>0.0721861525408278</v>
      </c>
      <c r="AT1105" s="141">
        <v>0</v>
      </c>
      <c r="AU1105" s="141">
        <v>0.037037037037037</v>
      </c>
      <c r="AV1105" s="141">
        <v>0.0625</v>
      </c>
      <c r="AW1105" s="141">
        <v>0.026246719160105</v>
      </c>
      <c r="AX1105" s="95"/>
      <c r="AY1105" s="93"/>
    </row>
    <row r="1106" ht="14.5" spans="1:51">
      <c r="A1106" s="91"/>
      <c r="B1106" s="95"/>
      <c r="C1106" s="152" t="s">
        <v>1085</v>
      </c>
      <c r="D1106" s="153" t="s">
        <v>25</v>
      </c>
      <c r="E1106" s="130" t="s">
        <v>1086</v>
      </c>
      <c r="F1106" s="195" t="s">
        <v>1136</v>
      </c>
      <c r="G1106" s="195" t="s">
        <v>1136</v>
      </c>
      <c r="H1106" s="195" t="s">
        <v>1136</v>
      </c>
      <c r="I1106" s="195" t="s">
        <v>1136</v>
      </c>
      <c r="J1106" s="132">
        <v>0.9</v>
      </c>
      <c r="K1106" s="133">
        <v>0.919354838709677</v>
      </c>
      <c r="L1106" s="133">
        <v>0.939393939393939</v>
      </c>
      <c r="M1106" s="134">
        <v>0.868852459016393</v>
      </c>
      <c r="N1106" s="133">
        <v>0.920494699646643</v>
      </c>
      <c r="O1106" s="135">
        <v>0.9</v>
      </c>
      <c r="P1106" s="133">
        <v>0.979478158897684</v>
      </c>
      <c r="Q1106" s="133">
        <v>0.961560638093408</v>
      </c>
      <c r="R1106" s="133">
        <v>0.960608424336973</v>
      </c>
      <c r="S1106" s="133">
        <v>0.969561205545241</v>
      </c>
      <c r="T1106" s="135">
        <v>0.9</v>
      </c>
      <c r="U1106" s="133">
        <v>0.923776018762826</v>
      </c>
      <c r="V1106" s="133">
        <v>0.878339419565635</v>
      </c>
      <c r="W1106" s="133">
        <v>0.866614664586583</v>
      </c>
      <c r="X1106" s="133">
        <v>0.878189236362019</v>
      </c>
      <c r="Y1106" s="135">
        <v>0.92</v>
      </c>
      <c r="Z1106" s="135" t="s">
        <v>35</v>
      </c>
      <c r="AA1106" s="135" t="s">
        <v>35</v>
      </c>
      <c r="AB1106" s="135" t="s">
        <v>35</v>
      </c>
      <c r="AC1106" s="135" t="s">
        <v>35</v>
      </c>
      <c r="AD1106" s="135">
        <v>0.92</v>
      </c>
      <c r="AE1106" s="133">
        <v>1</v>
      </c>
      <c r="AF1106" s="133">
        <v>0.995884773662551</v>
      </c>
      <c r="AG1106" s="133">
        <v>1</v>
      </c>
      <c r="AH1106" s="133">
        <v>0.991386061080658</v>
      </c>
      <c r="AI1106" s="135">
        <v>0.92</v>
      </c>
      <c r="AJ1106" s="133">
        <v>0.946643213133978</v>
      </c>
      <c r="AK1106" s="133">
        <v>0.950413223140496</v>
      </c>
      <c r="AL1106" s="133">
        <v>0.952613104524181</v>
      </c>
      <c r="AM1106" s="133">
        <v>0.96002267901413</v>
      </c>
      <c r="AN1106" s="132">
        <v>0.99</v>
      </c>
      <c r="AO1106" s="137">
        <v>1</v>
      </c>
      <c r="AP1106" s="137">
        <v>1</v>
      </c>
      <c r="AQ1106" s="137">
        <v>1</v>
      </c>
      <c r="AR1106" s="137">
        <v>1</v>
      </c>
      <c r="AS1106" s="158">
        <v>0.0721861525408278</v>
      </c>
      <c r="AT1106" s="141">
        <v>0</v>
      </c>
      <c r="AU1106" s="141">
        <v>0.166666666666667</v>
      </c>
      <c r="AV1106" s="141">
        <v>0.117647058823529</v>
      </c>
      <c r="AW1106" s="141">
        <v>0.063758389261745</v>
      </c>
      <c r="AX1106" s="95"/>
      <c r="AY1106" s="93"/>
    </row>
    <row r="1107" ht="14.5" spans="1:51">
      <c r="A1107" s="91"/>
      <c r="B1107" s="95"/>
      <c r="C1107" s="152" t="s">
        <v>1085</v>
      </c>
      <c r="D1107" s="153" t="s">
        <v>25</v>
      </c>
      <c r="E1107" s="130" t="s">
        <v>1086</v>
      </c>
      <c r="F1107" s="195" t="s">
        <v>1137</v>
      </c>
      <c r="G1107" s="195" t="s">
        <v>1137</v>
      </c>
      <c r="H1107" s="195" t="s">
        <v>1137</v>
      </c>
      <c r="I1107" s="195" t="s">
        <v>1137</v>
      </c>
      <c r="J1107" s="132">
        <v>0.9</v>
      </c>
      <c r="K1107" s="133">
        <v>0.833333333333333</v>
      </c>
      <c r="L1107" s="133">
        <v>0.804347826086957</v>
      </c>
      <c r="M1107" s="134">
        <v>0.844444444444444</v>
      </c>
      <c r="N1107" s="133">
        <v>0.840855106888361</v>
      </c>
      <c r="O1107" s="135">
        <v>0.9</v>
      </c>
      <c r="P1107" s="133">
        <v>0.973672852826931</v>
      </c>
      <c r="Q1107" s="133">
        <v>0.917853231106243</v>
      </c>
      <c r="R1107" s="133">
        <v>0.915205518827249</v>
      </c>
      <c r="S1107" s="133">
        <v>0.92347602655115</v>
      </c>
      <c r="T1107" s="135">
        <v>0.9</v>
      </c>
      <c r="U1107" s="133">
        <v>0.876996115666811</v>
      </c>
      <c r="V1107" s="133">
        <v>0.833515881708653</v>
      </c>
      <c r="W1107" s="133">
        <v>0.866628341477436</v>
      </c>
      <c r="X1107" s="133">
        <v>0.832457628514486</v>
      </c>
      <c r="Y1107" s="135">
        <v>0.92</v>
      </c>
      <c r="Z1107" s="135" t="s">
        <v>35</v>
      </c>
      <c r="AA1107" s="135" t="s">
        <v>35</v>
      </c>
      <c r="AB1107" s="135" t="s">
        <v>35</v>
      </c>
      <c r="AC1107" s="135">
        <v>0</v>
      </c>
      <c r="AD1107" s="135">
        <v>0.92</v>
      </c>
      <c r="AE1107" s="133">
        <v>1</v>
      </c>
      <c r="AF1107" s="133">
        <v>0.992700729927007</v>
      </c>
      <c r="AG1107" s="133">
        <v>1</v>
      </c>
      <c r="AH1107" s="133">
        <v>0.977680861980503</v>
      </c>
      <c r="AI1107" s="135">
        <v>0.92</v>
      </c>
      <c r="AJ1107" s="133">
        <v>0.909365558912387</v>
      </c>
      <c r="AK1107" s="133">
        <v>0.956462212486309</v>
      </c>
      <c r="AL1107" s="133">
        <v>0.958321356711699</v>
      </c>
      <c r="AM1107" s="133">
        <v>0.958806864973482</v>
      </c>
      <c r="AN1107" s="132">
        <v>0.99</v>
      </c>
      <c r="AO1107" s="137">
        <v>1</v>
      </c>
      <c r="AP1107" s="137">
        <v>1</v>
      </c>
      <c r="AQ1107" s="137">
        <v>1</v>
      </c>
      <c r="AR1107" s="137">
        <v>1</v>
      </c>
      <c r="AS1107" s="158">
        <v>0.0721861525408278</v>
      </c>
      <c r="AT1107" s="141">
        <v>0.25</v>
      </c>
      <c r="AU1107" s="141">
        <v>0</v>
      </c>
      <c r="AV1107" s="141">
        <v>0.2</v>
      </c>
      <c r="AW1107" s="141">
        <v>0.0808823529411765</v>
      </c>
      <c r="AX1107" s="95"/>
      <c r="AY1107" s="93"/>
    </row>
    <row r="1108" ht="14.5" spans="1:51">
      <c r="A1108" s="91"/>
      <c r="B1108" s="95"/>
      <c r="C1108" s="152" t="s">
        <v>1085</v>
      </c>
      <c r="D1108" s="153" t="s">
        <v>25</v>
      </c>
      <c r="E1108" s="130" t="s">
        <v>1086</v>
      </c>
      <c r="F1108" s="195" t="s">
        <v>1138</v>
      </c>
      <c r="G1108" s="195" t="s">
        <v>1138</v>
      </c>
      <c r="H1108" s="195" t="s">
        <v>1138</v>
      </c>
      <c r="I1108" s="195" t="s">
        <v>1138</v>
      </c>
      <c r="J1108" s="132">
        <v>0.9</v>
      </c>
      <c r="K1108" s="133">
        <v>0.872340425531915</v>
      </c>
      <c r="L1108" s="133">
        <v>0.901960784313726</v>
      </c>
      <c r="M1108" s="134">
        <v>0.803921568627451</v>
      </c>
      <c r="N1108" s="133">
        <v>0.841320553780618</v>
      </c>
      <c r="O1108" s="135">
        <v>0.9</v>
      </c>
      <c r="P1108" s="133">
        <v>0.9782340862423</v>
      </c>
      <c r="Q1108" s="133">
        <v>0.964732941477128</v>
      </c>
      <c r="R1108" s="133">
        <v>0.96596724667349</v>
      </c>
      <c r="S1108" s="133">
        <v>0.979210370220338</v>
      </c>
      <c r="T1108" s="135">
        <v>0.9</v>
      </c>
      <c r="U1108" s="133">
        <v>0.884599589322382</v>
      </c>
      <c r="V1108" s="133">
        <v>0.866342959366215</v>
      </c>
      <c r="W1108" s="133">
        <v>0.889969293756397</v>
      </c>
      <c r="X1108" s="133">
        <v>0.906135617250908</v>
      </c>
      <c r="Y1108" s="135">
        <v>0.92</v>
      </c>
      <c r="Z1108" s="135" t="s">
        <v>35</v>
      </c>
      <c r="AA1108" s="135" t="s">
        <v>35</v>
      </c>
      <c r="AB1108" s="135" t="s">
        <v>35</v>
      </c>
      <c r="AC1108" s="135" t="s">
        <v>35</v>
      </c>
      <c r="AD1108" s="135">
        <v>0.92</v>
      </c>
      <c r="AE1108" s="133">
        <v>1</v>
      </c>
      <c r="AF1108" s="133">
        <v>1</v>
      </c>
      <c r="AG1108" s="133">
        <v>0.993127147766323</v>
      </c>
      <c r="AH1108" s="133">
        <v>0.995281466037529</v>
      </c>
      <c r="AI1108" s="135">
        <v>0.92</v>
      </c>
      <c r="AJ1108" s="133">
        <v>0.93305954825462</v>
      </c>
      <c r="AK1108" s="133">
        <v>0.943010477894199</v>
      </c>
      <c r="AL1108" s="133">
        <v>0.963152507676561</v>
      </c>
      <c r="AM1108" s="133">
        <v>0.964685117402815</v>
      </c>
      <c r="AN1108" s="132">
        <v>0.99</v>
      </c>
      <c r="AO1108" s="137">
        <v>1</v>
      </c>
      <c r="AP1108" s="137">
        <v>1</v>
      </c>
      <c r="AQ1108" s="137">
        <v>1</v>
      </c>
      <c r="AR1108" s="137">
        <v>1</v>
      </c>
      <c r="AS1108" s="158">
        <v>0.0721861525408278</v>
      </c>
      <c r="AT1108" s="141">
        <v>0.117647058823529</v>
      </c>
      <c r="AU1108" s="141">
        <v>0</v>
      </c>
      <c r="AV1108" s="141">
        <v>0.0909090909090909</v>
      </c>
      <c r="AW1108" s="141">
        <v>0.0631578947368421</v>
      </c>
      <c r="AX1108" s="95"/>
      <c r="AY1108" s="93"/>
    </row>
    <row r="1109" ht="14.5" spans="1:51">
      <c r="A1109" s="91"/>
      <c r="B1109" s="95"/>
      <c r="C1109" s="152" t="s">
        <v>1085</v>
      </c>
      <c r="D1109" s="153" t="s">
        <v>25</v>
      </c>
      <c r="E1109" s="130" t="s">
        <v>1086</v>
      </c>
      <c r="F1109" s="195" t="s">
        <v>1139</v>
      </c>
      <c r="G1109" s="195" t="s">
        <v>1139</v>
      </c>
      <c r="H1109" s="195" t="s">
        <v>1139</v>
      </c>
      <c r="I1109" s="195" t="s">
        <v>1139</v>
      </c>
      <c r="J1109" s="132">
        <v>0.9</v>
      </c>
      <c r="K1109" s="133">
        <v>1</v>
      </c>
      <c r="L1109" s="133">
        <v>0.972222222222222</v>
      </c>
      <c r="M1109" s="134">
        <v>1</v>
      </c>
      <c r="N1109" s="133">
        <v>0.963081861958267</v>
      </c>
      <c r="O1109" s="135">
        <v>0.9</v>
      </c>
      <c r="P1109" s="133">
        <v>0.972210870453617</v>
      </c>
      <c r="Q1109" s="133">
        <v>0.939652870493992</v>
      </c>
      <c r="R1109" s="133">
        <v>0.960772659732541</v>
      </c>
      <c r="S1109" s="133">
        <v>0.946260900062172</v>
      </c>
      <c r="T1109" s="135">
        <v>0.9</v>
      </c>
      <c r="U1109" s="133">
        <v>0.828361258684103</v>
      </c>
      <c r="V1109" s="133">
        <v>0.833377837116155</v>
      </c>
      <c r="W1109" s="133">
        <v>0.835066864784547</v>
      </c>
      <c r="X1109" s="133">
        <v>0.81093274243173</v>
      </c>
      <c r="Y1109" s="135">
        <v>0.92</v>
      </c>
      <c r="Z1109" s="135" t="s">
        <v>35</v>
      </c>
      <c r="AA1109" s="135" t="s">
        <v>35</v>
      </c>
      <c r="AB1109" s="135" t="s">
        <v>35</v>
      </c>
      <c r="AC1109" s="135">
        <v>0</v>
      </c>
      <c r="AD1109" s="135">
        <v>0.92</v>
      </c>
      <c r="AE1109" s="133">
        <v>1</v>
      </c>
      <c r="AF1109" s="133">
        <v>1</v>
      </c>
      <c r="AG1109" s="133">
        <v>1</v>
      </c>
      <c r="AH1109" s="133">
        <v>0.993303998469485</v>
      </c>
      <c r="AI1109" s="135">
        <v>0.92</v>
      </c>
      <c r="AJ1109" s="133">
        <v>0.897834082550061</v>
      </c>
      <c r="AK1109" s="133">
        <v>0.931909212283044</v>
      </c>
      <c r="AL1109" s="133">
        <v>0.929866270430906</v>
      </c>
      <c r="AM1109" s="133">
        <v>0.933779690738084</v>
      </c>
      <c r="AN1109" s="132">
        <v>0.99</v>
      </c>
      <c r="AO1109" s="137">
        <v>1</v>
      </c>
      <c r="AP1109" s="137">
        <v>1</v>
      </c>
      <c r="AQ1109" s="137">
        <v>1</v>
      </c>
      <c r="AR1109" s="137">
        <v>1</v>
      </c>
      <c r="AS1109" s="158">
        <v>0.0721861525408278</v>
      </c>
      <c r="AT1109" s="141">
        <v>0</v>
      </c>
      <c r="AU1109" s="141">
        <v>0.0909090909090909</v>
      </c>
      <c r="AV1109" s="141">
        <v>0.1</v>
      </c>
      <c r="AW1109" s="141">
        <v>0.0625</v>
      </c>
      <c r="AX1109" s="95"/>
      <c r="AY1109" s="93"/>
    </row>
    <row r="1110" ht="14.5" spans="1:51">
      <c r="A1110" s="91"/>
      <c r="B1110" s="95"/>
      <c r="C1110" s="152" t="s">
        <v>1085</v>
      </c>
      <c r="D1110" s="153" t="s">
        <v>25</v>
      </c>
      <c r="E1110" s="130" t="s">
        <v>1086</v>
      </c>
      <c r="F1110" s="195" t="s">
        <v>1140</v>
      </c>
      <c r="G1110" s="195" t="s">
        <v>1140</v>
      </c>
      <c r="H1110" s="195" t="s">
        <v>1140</v>
      </c>
      <c r="I1110" s="195" t="s">
        <v>1140</v>
      </c>
      <c r="J1110" s="132">
        <v>0.9</v>
      </c>
      <c r="K1110" s="133">
        <v>0.974358974358974</v>
      </c>
      <c r="L1110" s="133">
        <v>0.951219512195122</v>
      </c>
      <c r="M1110" s="134">
        <v>0.926829268292683</v>
      </c>
      <c r="N1110" s="133">
        <v>0.96866485013624</v>
      </c>
      <c r="O1110" s="135">
        <v>0.9</v>
      </c>
      <c r="P1110" s="133">
        <v>0.97528442526481</v>
      </c>
      <c r="Q1110" s="133">
        <v>0.984752223634053</v>
      </c>
      <c r="R1110" s="133">
        <v>0.983980450719522</v>
      </c>
      <c r="S1110" s="133">
        <v>0.979469482057731</v>
      </c>
      <c r="T1110" s="135">
        <v>0.9</v>
      </c>
      <c r="U1110" s="133">
        <v>0.954491957630443</v>
      </c>
      <c r="V1110" s="133">
        <v>0.948411689961881</v>
      </c>
      <c r="W1110" s="133">
        <v>0.950312245452077</v>
      </c>
      <c r="X1110" s="133">
        <v>0.946845845640921</v>
      </c>
      <c r="Y1110" s="135">
        <v>0.92</v>
      </c>
      <c r="Z1110" s="135" t="s">
        <v>35</v>
      </c>
      <c r="AA1110" s="135" t="s">
        <v>35</v>
      </c>
      <c r="AB1110" s="135" t="s">
        <v>35</v>
      </c>
      <c r="AC1110" s="135">
        <v>0.666666666666667</v>
      </c>
      <c r="AD1110" s="135">
        <v>0.92</v>
      </c>
      <c r="AE1110" s="133">
        <v>1</v>
      </c>
      <c r="AF1110" s="133">
        <v>1</v>
      </c>
      <c r="AG1110" s="133">
        <v>1</v>
      </c>
      <c r="AH1110" s="133">
        <v>0.999669148056245</v>
      </c>
      <c r="AI1110" s="135">
        <v>0.92</v>
      </c>
      <c r="AJ1110" s="133">
        <v>0.971753628874068</v>
      </c>
      <c r="AK1110" s="133">
        <v>0.980177890724269</v>
      </c>
      <c r="AL1110" s="133">
        <v>0.977464023893565</v>
      </c>
      <c r="AM1110" s="133">
        <v>0.976838380441299</v>
      </c>
      <c r="AN1110" s="132">
        <v>0.99</v>
      </c>
      <c r="AO1110" s="137">
        <v>1</v>
      </c>
      <c r="AP1110" s="137">
        <v>1</v>
      </c>
      <c r="AQ1110" s="137">
        <v>1</v>
      </c>
      <c r="AR1110" s="137">
        <v>1</v>
      </c>
      <c r="AS1110" s="158">
        <v>0.0721861525408278</v>
      </c>
      <c r="AT1110" s="141">
        <v>0.153846153846154</v>
      </c>
      <c r="AU1110" s="141">
        <v>0</v>
      </c>
      <c r="AV1110" s="141">
        <v>0.0833333333333333</v>
      </c>
      <c r="AW1110" s="141">
        <v>0.0395480225988701</v>
      </c>
      <c r="AX1110" s="95"/>
      <c r="AY1110" s="93"/>
    </row>
    <row r="1111" ht="14.5" spans="1:51">
      <c r="A1111" s="91"/>
      <c r="B1111" s="95"/>
      <c r="C1111" s="152" t="s">
        <v>1085</v>
      </c>
      <c r="D1111" s="153" t="s">
        <v>25</v>
      </c>
      <c r="E1111" s="130" t="s">
        <v>1086</v>
      </c>
      <c r="F1111" s="195" t="s">
        <v>1141</v>
      </c>
      <c r="G1111" s="195" t="s">
        <v>1141</v>
      </c>
      <c r="H1111" s="195" t="s">
        <v>1141</v>
      </c>
      <c r="I1111" s="195" t="s">
        <v>1141</v>
      </c>
      <c r="J1111" s="132">
        <v>0.9</v>
      </c>
      <c r="K1111" s="133">
        <v>1</v>
      </c>
      <c r="L1111" s="133">
        <v>0.941176470588235</v>
      </c>
      <c r="M1111" s="134">
        <v>0.909090909090909</v>
      </c>
      <c r="N1111" s="133">
        <v>0.931693989071038</v>
      </c>
      <c r="O1111" s="135">
        <v>0.9</v>
      </c>
      <c r="P1111" s="133">
        <v>0.975527426160338</v>
      </c>
      <c r="Q1111" s="133">
        <v>0.979034617259873</v>
      </c>
      <c r="R1111" s="133">
        <v>0.954615781330583</v>
      </c>
      <c r="S1111" s="133">
        <v>0.950570676031607</v>
      </c>
      <c r="T1111" s="135">
        <v>0.9</v>
      </c>
      <c r="U1111" s="133">
        <v>0.811814345991561</v>
      </c>
      <c r="V1111" s="133">
        <v>0.820087762067284</v>
      </c>
      <c r="W1111" s="133">
        <v>0.929345023207839</v>
      </c>
      <c r="X1111" s="133">
        <v>0.890488732806555</v>
      </c>
      <c r="Y1111" s="135">
        <v>0.92</v>
      </c>
      <c r="Z1111" s="135" t="s">
        <v>35</v>
      </c>
      <c r="AA1111" s="135" t="s">
        <v>35</v>
      </c>
      <c r="AB1111" s="135" t="s">
        <v>35</v>
      </c>
      <c r="AC1111" s="135">
        <v>1</v>
      </c>
      <c r="AD1111" s="135">
        <v>0.92</v>
      </c>
      <c r="AE1111" s="133">
        <v>1</v>
      </c>
      <c r="AF1111" s="133">
        <v>1</v>
      </c>
      <c r="AG1111" s="133">
        <v>1</v>
      </c>
      <c r="AH1111" s="133">
        <v>0.99863364645602</v>
      </c>
      <c r="AI1111" s="135">
        <v>0.92</v>
      </c>
      <c r="AJ1111" s="133">
        <v>0.844725738396624</v>
      </c>
      <c r="AK1111" s="133">
        <v>0.887859580692345</v>
      </c>
      <c r="AL1111" s="133">
        <v>0.964930376482723</v>
      </c>
      <c r="AM1111" s="133">
        <v>0.943490093939305</v>
      </c>
      <c r="AN1111" s="132">
        <v>0.99</v>
      </c>
      <c r="AO1111" s="137">
        <v>1</v>
      </c>
      <c r="AP1111" s="137">
        <v>1</v>
      </c>
      <c r="AQ1111" s="137">
        <v>1</v>
      </c>
      <c r="AR1111" s="137">
        <v>1</v>
      </c>
      <c r="AS1111" s="158">
        <v>0.0721861525408278</v>
      </c>
      <c r="AT1111" s="141">
        <v>0</v>
      </c>
      <c r="AU1111" s="141">
        <v>0</v>
      </c>
      <c r="AV1111" s="141">
        <v>0</v>
      </c>
      <c r="AW1111" s="141">
        <v>0.0416666666666667</v>
      </c>
      <c r="AX1111" s="95"/>
      <c r="AY1111" s="93"/>
    </row>
    <row r="1112" ht="14.5" spans="1:51">
      <c r="A1112" s="91"/>
      <c r="B1112" s="95"/>
      <c r="C1112" s="152" t="s">
        <v>1085</v>
      </c>
      <c r="D1112" s="153" t="s">
        <v>25</v>
      </c>
      <c r="E1112" s="130" t="s">
        <v>1086</v>
      </c>
      <c r="F1112" s="195" t="s">
        <v>1142</v>
      </c>
      <c r="G1112" s="195" t="s">
        <v>1142</v>
      </c>
      <c r="H1112" s="195" t="s">
        <v>1142</v>
      </c>
      <c r="I1112" s="195" t="s">
        <v>1142</v>
      </c>
      <c r="J1112" s="132">
        <v>0.9</v>
      </c>
      <c r="K1112" s="133">
        <v>0.909090909090909</v>
      </c>
      <c r="L1112" s="133">
        <v>0.954545454545455</v>
      </c>
      <c r="M1112" s="134">
        <v>1</v>
      </c>
      <c r="N1112" s="133">
        <v>0.970731707317073</v>
      </c>
      <c r="O1112" s="135">
        <v>0.9</v>
      </c>
      <c r="P1112" s="133">
        <v>0.972032742155525</v>
      </c>
      <c r="Q1112" s="133">
        <v>0.962328767123288</v>
      </c>
      <c r="R1112" s="133">
        <v>0.986801583809943</v>
      </c>
      <c r="S1112" s="133">
        <v>0.979352549433031</v>
      </c>
      <c r="T1112" s="135">
        <v>0.9</v>
      </c>
      <c r="U1112" s="133">
        <v>0.942701227830832</v>
      </c>
      <c r="V1112" s="133">
        <v>0.88527397260274</v>
      </c>
      <c r="W1112" s="133">
        <v>0.922569291684998</v>
      </c>
      <c r="X1112" s="133">
        <v>0.933455041012059</v>
      </c>
      <c r="Y1112" s="135">
        <v>0.92</v>
      </c>
      <c r="Z1112" s="135" t="s">
        <v>35</v>
      </c>
      <c r="AA1112" s="135" t="s">
        <v>35</v>
      </c>
      <c r="AB1112" s="135" t="s">
        <v>35</v>
      </c>
      <c r="AC1112" s="135" t="s">
        <v>35</v>
      </c>
      <c r="AD1112" s="135">
        <v>0.92</v>
      </c>
      <c r="AE1112" s="133">
        <v>0.995305164319249</v>
      </c>
      <c r="AF1112" s="133">
        <v>1</v>
      </c>
      <c r="AG1112" s="133">
        <v>0.991266375545852</v>
      </c>
      <c r="AH1112" s="133">
        <v>0.994331742243437</v>
      </c>
      <c r="AI1112" s="135">
        <v>0.92</v>
      </c>
      <c r="AJ1112" s="133">
        <v>0.955661664392906</v>
      </c>
      <c r="AK1112" s="133">
        <v>0.941780821917808</v>
      </c>
      <c r="AL1112" s="133">
        <v>0.970963484381874</v>
      </c>
      <c r="AM1112" s="133">
        <v>0.96901596770461</v>
      </c>
      <c r="AN1112" s="132">
        <v>0.99</v>
      </c>
      <c r="AO1112" s="137">
        <v>1</v>
      </c>
      <c r="AP1112" s="137">
        <v>1</v>
      </c>
      <c r="AQ1112" s="137">
        <v>1</v>
      </c>
      <c r="AR1112" s="137">
        <v>1</v>
      </c>
      <c r="AS1112" s="158">
        <v>0.0721861525408278</v>
      </c>
      <c r="AT1112" s="141">
        <v>0</v>
      </c>
      <c r="AU1112" s="141">
        <v>0</v>
      </c>
      <c r="AV1112" s="141">
        <v>0</v>
      </c>
      <c r="AW1112" s="141">
        <v>0.037037037037037</v>
      </c>
      <c r="AX1112" s="95"/>
      <c r="AY1112" s="93"/>
    </row>
    <row r="1113" ht="14.5" spans="1:51">
      <c r="A1113" s="91"/>
      <c r="B1113" s="95"/>
      <c r="C1113" s="152" t="s">
        <v>1085</v>
      </c>
      <c r="D1113" s="153" t="s">
        <v>25</v>
      </c>
      <c r="E1113" s="130" t="s">
        <v>1086</v>
      </c>
      <c r="F1113" s="195" t="s">
        <v>1143</v>
      </c>
      <c r="G1113" s="195" t="s">
        <v>1143</v>
      </c>
      <c r="H1113" s="195" t="s">
        <v>1143</v>
      </c>
      <c r="I1113" s="195" t="s">
        <v>1143</v>
      </c>
      <c r="J1113" s="132">
        <v>0.9</v>
      </c>
      <c r="K1113" s="133">
        <v>0.826446280991736</v>
      </c>
      <c r="L1113" s="133">
        <v>0.839416058394161</v>
      </c>
      <c r="M1113" s="134">
        <v>0.808</v>
      </c>
      <c r="N1113" s="133">
        <v>0.848244147157191</v>
      </c>
      <c r="O1113" s="135">
        <v>0.9</v>
      </c>
      <c r="P1113" s="133">
        <v>0.952315451627694</v>
      </c>
      <c r="Q1113" s="133">
        <v>0.918682733879128</v>
      </c>
      <c r="R1113" s="133">
        <v>0.865546218487395</v>
      </c>
      <c r="S1113" s="133">
        <v>0.918535282951962</v>
      </c>
      <c r="T1113" s="135">
        <v>0.9</v>
      </c>
      <c r="U1113" s="133">
        <v>0.825920831422895</v>
      </c>
      <c r="V1113" s="133">
        <v>0.752736638763683</v>
      </c>
      <c r="W1113" s="133">
        <v>0.705415499533147</v>
      </c>
      <c r="X1113" s="133">
        <v>0.777549487912225</v>
      </c>
      <c r="Y1113" s="135">
        <v>0.92</v>
      </c>
      <c r="Z1113" s="135">
        <v>0</v>
      </c>
      <c r="AA1113" s="135" t="s">
        <v>35</v>
      </c>
      <c r="AB1113" s="135" t="s">
        <v>35</v>
      </c>
      <c r="AC1113" s="135">
        <v>0</v>
      </c>
      <c r="AD1113" s="135">
        <v>0.92</v>
      </c>
      <c r="AE1113" s="133">
        <v>1</v>
      </c>
      <c r="AF1113" s="133">
        <v>1</v>
      </c>
      <c r="AG1113" s="133">
        <v>1</v>
      </c>
      <c r="AH1113" s="133">
        <v>0.99489353010264</v>
      </c>
      <c r="AI1113" s="135">
        <v>0.92</v>
      </c>
      <c r="AJ1113" s="133">
        <v>0.913408674404398</v>
      </c>
      <c r="AK1113" s="133">
        <v>0.921909492273731</v>
      </c>
      <c r="AL1113" s="133">
        <v>0.9062558356676</v>
      </c>
      <c r="AM1113" s="133">
        <v>0.945304270740992</v>
      </c>
      <c r="AN1113" s="132">
        <v>0.99</v>
      </c>
      <c r="AO1113" s="137">
        <v>1</v>
      </c>
      <c r="AP1113" s="137">
        <v>1</v>
      </c>
      <c r="AQ1113" s="137">
        <v>1</v>
      </c>
      <c r="AR1113" s="137">
        <v>1</v>
      </c>
      <c r="AS1113" s="158">
        <v>0.0721861525408278</v>
      </c>
      <c r="AT1113" s="141">
        <v>0.0689655172413793</v>
      </c>
      <c r="AU1113" s="141">
        <v>0.04</v>
      </c>
      <c r="AV1113" s="141">
        <v>0</v>
      </c>
      <c r="AW1113" s="141">
        <v>0.0619195046439628</v>
      </c>
      <c r="AX1113" s="95"/>
      <c r="AY1113" s="93"/>
    </row>
    <row r="1114" ht="14.5" spans="1:51">
      <c r="A1114" s="91"/>
      <c r="B1114" s="95"/>
      <c r="C1114" s="152" t="s">
        <v>1085</v>
      </c>
      <c r="D1114" s="153" t="s">
        <v>25</v>
      </c>
      <c r="E1114" s="130" t="s">
        <v>1086</v>
      </c>
      <c r="F1114" s="195" t="s">
        <v>1144</v>
      </c>
      <c r="G1114" s="195" t="s">
        <v>1144</v>
      </c>
      <c r="H1114" s="195" t="s">
        <v>1144</v>
      </c>
      <c r="I1114" s="195" t="s">
        <v>1144</v>
      </c>
      <c r="J1114" s="132">
        <v>0.9</v>
      </c>
      <c r="K1114" s="133">
        <v>0.736842105263158</v>
      </c>
      <c r="L1114" s="133">
        <v>0.880952380952381</v>
      </c>
      <c r="M1114" s="134">
        <v>0.868421052631579</v>
      </c>
      <c r="N1114" s="133">
        <v>0.787023977433004</v>
      </c>
      <c r="O1114" s="135">
        <v>0.9</v>
      </c>
      <c r="P1114" s="133">
        <v>0.932043416705993</v>
      </c>
      <c r="Q1114" s="133">
        <v>0.914179104477612</v>
      </c>
      <c r="R1114" s="133">
        <v>0.944229529335912</v>
      </c>
      <c r="S1114" s="133">
        <v>0.902843367780434</v>
      </c>
      <c r="T1114" s="135">
        <v>0.9</v>
      </c>
      <c r="U1114" s="133">
        <v>0.72251061821614</v>
      </c>
      <c r="V1114" s="133">
        <v>0.692475124378109</v>
      </c>
      <c r="W1114" s="133">
        <v>0.649903288201161</v>
      </c>
      <c r="X1114" s="133">
        <v>0.706890078839732</v>
      </c>
      <c r="Y1114" s="135">
        <v>0.92</v>
      </c>
      <c r="Z1114" s="135" t="s">
        <v>35</v>
      </c>
      <c r="AA1114" s="135" t="s">
        <v>35</v>
      </c>
      <c r="AB1114" s="135" t="s">
        <v>35</v>
      </c>
      <c r="AC1114" s="135" t="s">
        <v>35</v>
      </c>
      <c r="AD1114" s="135">
        <v>0.92</v>
      </c>
      <c r="AE1114" s="133">
        <v>0.998198198198198</v>
      </c>
      <c r="AF1114" s="133">
        <v>0.982502187226597</v>
      </c>
      <c r="AG1114" s="133">
        <v>0.998831775700935</v>
      </c>
      <c r="AH1114" s="133">
        <v>0.992879183479706</v>
      </c>
      <c r="AI1114" s="135">
        <v>0.92</v>
      </c>
      <c r="AJ1114" s="133">
        <v>0.818310523831996</v>
      </c>
      <c r="AK1114" s="133">
        <v>0.888992537313433</v>
      </c>
      <c r="AL1114" s="133">
        <v>0.86073500967118</v>
      </c>
      <c r="AM1114" s="133">
        <v>0.88122665928985</v>
      </c>
      <c r="AN1114" s="132">
        <v>0.99</v>
      </c>
      <c r="AO1114" s="137">
        <v>1</v>
      </c>
      <c r="AP1114" s="137">
        <v>1</v>
      </c>
      <c r="AQ1114" s="137">
        <v>1</v>
      </c>
      <c r="AR1114" s="137">
        <v>1</v>
      </c>
      <c r="AS1114" s="158">
        <v>0.0721861525408278</v>
      </c>
      <c r="AT1114" s="141">
        <v>0</v>
      </c>
      <c r="AU1114" s="141">
        <v>0.166666666666667</v>
      </c>
      <c r="AV1114" s="141">
        <v>0</v>
      </c>
      <c r="AW1114" s="141">
        <v>0.0973451327433628</v>
      </c>
      <c r="AX1114" s="95"/>
      <c r="AY1114" s="93"/>
    </row>
    <row r="1115" ht="14.5" spans="1:51">
      <c r="A1115" s="91"/>
      <c r="B1115" s="95"/>
      <c r="C1115" s="152" t="s">
        <v>1085</v>
      </c>
      <c r="D1115" s="153" t="s">
        <v>25</v>
      </c>
      <c r="E1115" s="130" t="s">
        <v>1086</v>
      </c>
      <c r="F1115" s="195" t="s">
        <v>1145</v>
      </c>
      <c r="G1115" s="195" t="s">
        <v>1145</v>
      </c>
      <c r="H1115" s="195" t="s">
        <v>1145</v>
      </c>
      <c r="I1115" s="195" t="s">
        <v>1145</v>
      </c>
      <c r="J1115" s="132">
        <v>0.9</v>
      </c>
      <c r="K1115" s="133">
        <v>0.921052631578947</v>
      </c>
      <c r="L1115" s="133">
        <v>0.951219512195122</v>
      </c>
      <c r="M1115" s="134">
        <v>0.902439024390244</v>
      </c>
      <c r="N1115" s="133">
        <v>0.960382513661202</v>
      </c>
      <c r="O1115" s="135">
        <v>0.9</v>
      </c>
      <c r="P1115" s="133">
        <v>0.984480700358138</v>
      </c>
      <c r="Q1115" s="133">
        <v>0.984142011834319</v>
      </c>
      <c r="R1115" s="133">
        <v>0.946891825746451</v>
      </c>
      <c r="S1115" s="133">
        <v>0.974136939010357</v>
      </c>
      <c r="T1115" s="135">
        <v>0.9</v>
      </c>
      <c r="U1115" s="133">
        <v>0.91683247115002</v>
      </c>
      <c r="V1115" s="133">
        <v>0.953846153846154</v>
      </c>
      <c r="W1115" s="133">
        <v>0.927068037200196</v>
      </c>
      <c r="X1115" s="133">
        <v>0.934939585730725</v>
      </c>
      <c r="Y1115" s="135">
        <v>0.92</v>
      </c>
      <c r="Z1115" s="135" t="s">
        <v>35</v>
      </c>
      <c r="AA1115" s="135" t="s">
        <v>35</v>
      </c>
      <c r="AB1115" s="135">
        <v>1</v>
      </c>
      <c r="AC1115" s="135">
        <v>0.5</v>
      </c>
      <c r="AD1115" s="135">
        <v>0.92</v>
      </c>
      <c r="AE1115" s="133">
        <v>0.998550724637681</v>
      </c>
      <c r="AF1115" s="133">
        <v>1</v>
      </c>
      <c r="AG1115" s="133">
        <v>1</v>
      </c>
      <c r="AH1115" s="133">
        <v>0.999136317835037</v>
      </c>
      <c r="AI1115" s="135">
        <v>0.92</v>
      </c>
      <c r="AJ1115" s="133">
        <v>0.969359331476323</v>
      </c>
      <c r="AK1115" s="133">
        <v>0.982011834319527</v>
      </c>
      <c r="AL1115" s="133">
        <v>0.969904575483239</v>
      </c>
      <c r="AM1115" s="133">
        <v>0.985400304939444</v>
      </c>
      <c r="AN1115" s="132">
        <v>0.99</v>
      </c>
      <c r="AO1115" s="137">
        <v>1</v>
      </c>
      <c r="AP1115" s="137">
        <v>1</v>
      </c>
      <c r="AQ1115" s="137">
        <v>1</v>
      </c>
      <c r="AR1115" s="137">
        <v>1</v>
      </c>
      <c r="AS1115" s="158">
        <v>0.0721861525408278</v>
      </c>
      <c r="AT1115" s="141">
        <v>0.0588235294117647</v>
      </c>
      <c r="AU1115" s="141">
        <v>0</v>
      </c>
      <c r="AV1115" s="141">
        <v>0.0769230769230769</v>
      </c>
      <c r="AW1115" s="141">
        <v>0.0340136054421769</v>
      </c>
      <c r="AX1115" s="95"/>
      <c r="AY1115" s="93"/>
    </row>
    <row r="1116" ht="14.5" spans="1:51">
      <c r="A1116" s="91"/>
      <c r="B1116" s="95"/>
      <c r="C1116" s="152" t="s">
        <v>1085</v>
      </c>
      <c r="D1116" s="153" t="s">
        <v>25</v>
      </c>
      <c r="E1116" s="130" t="s">
        <v>1086</v>
      </c>
      <c r="F1116" s="195" t="s">
        <v>1146</v>
      </c>
      <c r="G1116" s="195" t="s">
        <v>1146</v>
      </c>
      <c r="H1116" s="195" t="s">
        <v>1146</v>
      </c>
      <c r="I1116" s="195" t="s">
        <v>1146</v>
      </c>
      <c r="J1116" s="132">
        <v>0.9</v>
      </c>
      <c r="K1116" s="133">
        <v>0.92</v>
      </c>
      <c r="L1116" s="133">
        <v>0.912280701754386</v>
      </c>
      <c r="M1116" s="134">
        <v>0.882352941176471</v>
      </c>
      <c r="N1116" s="133">
        <v>0.821359223300971</v>
      </c>
      <c r="O1116" s="135">
        <v>0.9</v>
      </c>
      <c r="P1116" s="133">
        <v>0.902710843373494</v>
      </c>
      <c r="Q1116" s="133">
        <v>0.861441441441441</v>
      </c>
      <c r="R1116" s="133">
        <v>0.914135206321334</v>
      </c>
      <c r="S1116" s="133">
        <v>0.898997412339057</v>
      </c>
      <c r="T1116" s="135">
        <v>0.9</v>
      </c>
      <c r="U1116" s="133">
        <v>0.871084337349398</v>
      </c>
      <c r="V1116" s="133">
        <v>0.789369369369369</v>
      </c>
      <c r="W1116" s="133">
        <v>0.828094820017559</v>
      </c>
      <c r="X1116" s="133">
        <v>0.84864802572994</v>
      </c>
      <c r="Y1116" s="135">
        <v>0.92</v>
      </c>
      <c r="Z1116" s="135">
        <v>0</v>
      </c>
      <c r="AA1116" s="135" t="s">
        <v>35</v>
      </c>
      <c r="AB1116" s="135" t="s">
        <v>35</v>
      </c>
      <c r="AC1116" s="135">
        <v>0</v>
      </c>
      <c r="AD1116" s="135">
        <v>0.92</v>
      </c>
      <c r="AE1116" s="133">
        <v>1</v>
      </c>
      <c r="AF1116" s="133">
        <v>1</v>
      </c>
      <c r="AG1116" s="133">
        <v>0.97196261682243</v>
      </c>
      <c r="AH1116" s="133">
        <v>0.984957264957265</v>
      </c>
      <c r="AI1116" s="135">
        <v>0.92</v>
      </c>
      <c r="AJ1116" s="133">
        <v>0.948208370972599</v>
      </c>
      <c r="AK1116" s="133">
        <v>0.943963963963964</v>
      </c>
      <c r="AL1116" s="133">
        <v>0.956453028972783</v>
      </c>
      <c r="AM1116" s="133">
        <v>0.967932197707796</v>
      </c>
      <c r="AN1116" s="132">
        <v>0.99</v>
      </c>
      <c r="AO1116" s="137">
        <v>1</v>
      </c>
      <c r="AP1116" s="137">
        <v>1</v>
      </c>
      <c r="AQ1116" s="137">
        <v>1</v>
      </c>
      <c r="AR1116" s="137">
        <v>1</v>
      </c>
      <c r="AS1116" s="158">
        <v>0.0721861525408278</v>
      </c>
      <c r="AT1116" s="141">
        <v>0</v>
      </c>
      <c r="AU1116" s="141">
        <v>0</v>
      </c>
      <c r="AV1116" s="141">
        <v>0.0909090909090909</v>
      </c>
      <c r="AW1116" s="141">
        <v>0.0674846625766871</v>
      </c>
      <c r="AX1116" s="95"/>
      <c r="AY1116" s="93"/>
    </row>
    <row r="1117" ht="14.5" spans="1:51">
      <c r="A1117" s="91"/>
      <c r="B1117" s="95"/>
      <c r="C1117" s="152" t="s">
        <v>1085</v>
      </c>
      <c r="D1117" s="153" t="s">
        <v>25</v>
      </c>
      <c r="E1117" s="130" t="s">
        <v>1086</v>
      </c>
      <c r="F1117" s="195" t="s">
        <v>1147</v>
      </c>
      <c r="G1117" s="195" t="s">
        <v>1147</v>
      </c>
      <c r="H1117" s="195" t="s">
        <v>1147</v>
      </c>
      <c r="I1117" s="195" t="s">
        <v>1147</v>
      </c>
      <c r="J1117" s="132">
        <v>0.9</v>
      </c>
      <c r="K1117" s="133">
        <v>0.833333333333333</v>
      </c>
      <c r="L1117" s="133">
        <v>0.894736842105263</v>
      </c>
      <c r="M1117" s="134">
        <v>0.921052631578947</v>
      </c>
      <c r="N1117" s="133">
        <v>0.92436974789916</v>
      </c>
      <c r="O1117" s="135">
        <v>0.9</v>
      </c>
      <c r="P1117" s="133">
        <v>0.965663416701992</v>
      </c>
      <c r="Q1117" s="133">
        <v>0.968396102185936</v>
      </c>
      <c r="R1117" s="133">
        <v>0.920432492375936</v>
      </c>
      <c r="S1117" s="133">
        <v>0.942614881387151</v>
      </c>
      <c r="T1117" s="135">
        <v>0.9</v>
      </c>
      <c r="U1117" s="133">
        <v>0.775328529037728</v>
      </c>
      <c r="V1117" s="133">
        <v>0.731630234395576</v>
      </c>
      <c r="W1117" s="133">
        <v>0.759911283615193</v>
      </c>
      <c r="X1117" s="133">
        <v>0.783654609546191</v>
      </c>
      <c r="Y1117" s="135">
        <v>0.92</v>
      </c>
      <c r="Z1117" s="135" t="s">
        <v>35</v>
      </c>
      <c r="AA1117" s="135" t="s">
        <v>35</v>
      </c>
      <c r="AB1117" s="135" t="s">
        <v>35</v>
      </c>
      <c r="AC1117" s="135" t="s">
        <v>35</v>
      </c>
      <c r="AD1117" s="135">
        <v>0.92</v>
      </c>
      <c r="AE1117" s="133">
        <v>1</v>
      </c>
      <c r="AF1117" s="133">
        <v>1</v>
      </c>
      <c r="AG1117" s="133">
        <v>1</v>
      </c>
      <c r="AH1117" s="133">
        <v>0.999818445896877</v>
      </c>
      <c r="AI1117" s="135">
        <v>0.92</v>
      </c>
      <c r="AJ1117" s="133">
        <v>0.858838490885969</v>
      </c>
      <c r="AK1117" s="133">
        <v>0.88253884645773</v>
      </c>
      <c r="AL1117" s="133">
        <v>0.911283615192681</v>
      </c>
      <c r="AM1117" s="133">
        <v>0.905332020705643</v>
      </c>
      <c r="AN1117" s="132">
        <v>0.99</v>
      </c>
      <c r="AO1117" s="137">
        <v>1</v>
      </c>
      <c r="AP1117" s="137">
        <v>1</v>
      </c>
      <c r="AQ1117" s="137">
        <v>1</v>
      </c>
      <c r="AR1117" s="137">
        <v>1</v>
      </c>
      <c r="AS1117" s="158">
        <v>0.0721861525408278</v>
      </c>
      <c r="AT1117" s="141">
        <v>0.5</v>
      </c>
      <c r="AU1117" s="141">
        <v>0.166666666666667</v>
      </c>
      <c r="AV1117" s="141">
        <v>0.0769230769230769</v>
      </c>
      <c r="AW1117" s="141">
        <v>0.122448979591837</v>
      </c>
      <c r="AX1117" s="95"/>
      <c r="AY1117" s="93"/>
    </row>
    <row r="1118" ht="14.5" spans="1:51">
      <c r="A1118" s="91"/>
      <c r="B1118" s="95"/>
      <c r="C1118" s="152" t="s">
        <v>1085</v>
      </c>
      <c r="D1118" s="153" t="s">
        <v>25</v>
      </c>
      <c r="E1118" s="130" t="s">
        <v>1086</v>
      </c>
      <c r="F1118" s="195" t="s">
        <v>1148</v>
      </c>
      <c r="G1118" s="195" t="s">
        <v>1148</v>
      </c>
      <c r="H1118" s="195" t="s">
        <v>1148</v>
      </c>
      <c r="I1118" s="195" t="s">
        <v>1148</v>
      </c>
      <c r="J1118" s="132">
        <v>0.9</v>
      </c>
      <c r="K1118" s="133">
        <v>0.862068965517241</v>
      </c>
      <c r="L1118" s="133">
        <v>0.916666666666667</v>
      </c>
      <c r="M1118" s="134">
        <v>0.892857142857143</v>
      </c>
      <c r="N1118" s="133">
        <v>0.821963394342762</v>
      </c>
      <c r="O1118" s="135">
        <v>0.9</v>
      </c>
      <c r="P1118" s="133">
        <v>0.943062465450525</v>
      </c>
      <c r="Q1118" s="133">
        <v>0.933990147783251</v>
      </c>
      <c r="R1118" s="133">
        <v>0.941666666666667</v>
      </c>
      <c r="S1118" s="133">
        <v>0.924373874611229</v>
      </c>
      <c r="T1118" s="135">
        <v>0.9</v>
      </c>
      <c r="U1118" s="133">
        <v>0.739635157545605</v>
      </c>
      <c r="V1118" s="133">
        <v>0.676190476190476</v>
      </c>
      <c r="W1118" s="133">
        <v>0.608680555555556</v>
      </c>
      <c r="X1118" s="133">
        <v>0.693157636274349</v>
      </c>
      <c r="Y1118" s="135">
        <v>0.92</v>
      </c>
      <c r="Z1118" s="135" t="s">
        <v>35</v>
      </c>
      <c r="AA1118" s="135" t="s">
        <v>35</v>
      </c>
      <c r="AB1118" s="135" t="s">
        <v>35</v>
      </c>
      <c r="AC1118" s="135" t="s">
        <v>35</v>
      </c>
      <c r="AD1118" s="135">
        <v>0.92</v>
      </c>
      <c r="AE1118" s="133">
        <v>0.999377722464219</v>
      </c>
      <c r="AF1118" s="133">
        <v>1</v>
      </c>
      <c r="AG1118" s="133">
        <v>1</v>
      </c>
      <c r="AH1118" s="133">
        <v>0.997015973319291</v>
      </c>
      <c r="AI1118" s="135">
        <v>0.92</v>
      </c>
      <c r="AJ1118" s="133">
        <v>0.824212271973466</v>
      </c>
      <c r="AK1118" s="133">
        <v>0.894252873563218</v>
      </c>
      <c r="AL1118" s="133">
        <v>0.832291666666667</v>
      </c>
      <c r="AM1118" s="133">
        <v>0.887481584547389</v>
      </c>
      <c r="AN1118" s="132">
        <v>0.99</v>
      </c>
      <c r="AO1118" s="137">
        <v>1</v>
      </c>
      <c r="AP1118" s="137">
        <v>1</v>
      </c>
      <c r="AQ1118" s="137">
        <v>1</v>
      </c>
      <c r="AR1118" s="137">
        <v>1</v>
      </c>
      <c r="AS1118" s="158">
        <v>0.0721861525408278</v>
      </c>
      <c r="AT1118" s="141">
        <v>0</v>
      </c>
      <c r="AU1118" s="141">
        <v>0</v>
      </c>
      <c r="AV1118" s="141">
        <v>0</v>
      </c>
      <c r="AW1118" s="141">
        <v>0.0514705882352941</v>
      </c>
      <c r="AX1118" s="95"/>
      <c r="AY1118" s="93"/>
    </row>
    <row r="1119" ht="14.5" spans="1:51">
      <c r="A1119" s="91"/>
      <c r="B1119" s="95"/>
      <c r="C1119" s="152" t="s">
        <v>1085</v>
      </c>
      <c r="D1119" s="153" t="s">
        <v>25</v>
      </c>
      <c r="E1119" s="130" t="s">
        <v>1086</v>
      </c>
      <c r="F1119" s="195" t="s">
        <v>1149</v>
      </c>
      <c r="G1119" s="195" t="s">
        <v>1149</v>
      </c>
      <c r="H1119" s="195" t="s">
        <v>1149</v>
      </c>
      <c r="I1119" s="195" t="s">
        <v>1149</v>
      </c>
      <c r="J1119" s="132">
        <v>0.9</v>
      </c>
      <c r="K1119" s="133">
        <v>0.944444444444444</v>
      </c>
      <c r="L1119" s="133">
        <v>0.879310344827586</v>
      </c>
      <c r="M1119" s="134">
        <v>0.944444444444444</v>
      </c>
      <c r="N1119" s="133">
        <v>0.916104146576664</v>
      </c>
      <c r="O1119" s="135">
        <v>0.9</v>
      </c>
      <c r="P1119" s="133">
        <v>0.937357342125285</v>
      </c>
      <c r="Q1119" s="133">
        <v>0.96319018404908</v>
      </c>
      <c r="R1119" s="133">
        <v>0.854435295945316</v>
      </c>
      <c r="S1119" s="133">
        <v>0.949054122796072</v>
      </c>
      <c r="T1119" s="135">
        <v>0.9</v>
      </c>
      <c r="U1119" s="133">
        <v>0.847070758305858</v>
      </c>
      <c r="V1119" s="133">
        <v>0.846176866676642</v>
      </c>
      <c r="W1119" s="133">
        <v>0.72875563150536</v>
      </c>
      <c r="X1119" s="133">
        <v>0.821132749138585</v>
      </c>
      <c r="Y1119" s="135">
        <v>0.92</v>
      </c>
      <c r="Z1119" s="135" t="s">
        <v>35</v>
      </c>
      <c r="AA1119" s="135" t="s">
        <v>35</v>
      </c>
      <c r="AB1119" s="135" t="s">
        <v>35</v>
      </c>
      <c r="AC1119" s="135" t="s">
        <v>35</v>
      </c>
      <c r="AD1119" s="135">
        <v>0.92</v>
      </c>
      <c r="AE1119" s="133">
        <v>0.998632010943912</v>
      </c>
      <c r="AF1119" s="133">
        <v>1</v>
      </c>
      <c r="AG1119" s="133">
        <v>0.998556998556999</v>
      </c>
      <c r="AH1119" s="133">
        <v>0.996273155760167</v>
      </c>
      <c r="AI1119" s="135">
        <v>0.92</v>
      </c>
      <c r="AJ1119" s="133">
        <v>0.929241694141517</v>
      </c>
      <c r="AK1119" s="133">
        <v>0.955708514140356</v>
      </c>
      <c r="AL1119" s="133">
        <v>0.954947957122883</v>
      </c>
      <c r="AM1119" s="133">
        <v>0.960044150110375</v>
      </c>
      <c r="AN1119" s="132">
        <v>0.99</v>
      </c>
      <c r="AO1119" s="137">
        <v>1</v>
      </c>
      <c r="AP1119" s="137">
        <v>1</v>
      </c>
      <c r="AQ1119" s="137">
        <v>1</v>
      </c>
      <c r="AR1119" s="137">
        <v>1</v>
      </c>
      <c r="AS1119" s="158">
        <v>0.0721861525408278</v>
      </c>
      <c r="AT1119" s="141">
        <v>0</v>
      </c>
      <c r="AU1119" s="141">
        <v>0</v>
      </c>
      <c r="AV1119" s="141">
        <v>0.111111111111111</v>
      </c>
      <c r="AW1119" s="141">
        <v>0.0925925925925926</v>
      </c>
      <c r="AX1119" s="95"/>
      <c r="AY1119" s="93"/>
    </row>
    <row r="1120" ht="14.5" spans="1:51">
      <c r="A1120" s="91"/>
      <c r="B1120" s="95"/>
      <c r="C1120" s="152" t="s">
        <v>1085</v>
      </c>
      <c r="D1120" s="153" t="s">
        <v>25</v>
      </c>
      <c r="E1120" s="130" t="s">
        <v>1086</v>
      </c>
      <c r="F1120" s="195" t="s">
        <v>1150</v>
      </c>
      <c r="G1120" s="195" t="s">
        <v>1150</v>
      </c>
      <c r="H1120" s="195" t="s">
        <v>1150</v>
      </c>
      <c r="I1120" s="195" t="s">
        <v>1150</v>
      </c>
      <c r="J1120" s="132">
        <v>0.9</v>
      </c>
      <c r="K1120" s="133">
        <v>0.932432432432432</v>
      </c>
      <c r="L1120" s="133">
        <v>0.96</v>
      </c>
      <c r="M1120" s="134">
        <v>0.971830985915493</v>
      </c>
      <c r="N1120" s="133">
        <v>0.923766816143498</v>
      </c>
      <c r="O1120" s="135">
        <v>0.9</v>
      </c>
      <c r="P1120" s="133">
        <v>0.951340830449827</v>
      </c>
      <c r="Q1120" s="133">
        <v>0.58746948738812</v>
      </c>
      <c r="R1120" s="133">
        <v>0.860873169383808</v>
      </c>
      <c r="S1120" s="133">
        <v>0.862418051532246</v>
      </c>
      <c r="T1120" s="135">
        <v>0.9</v>
      </c>
      <c r="U1120" s="133">
        <v>0.662629757785467</v>
      </c>
      <c r="V1120" s="133">
        <v>0.562110116625983</v>
      </c>
      <c r="W1120" s="133">
        <v>0.612185686653772</v>
      </c>
      <c r="X1120" s="133">
        <v>0.608316816587894</v>
      </c>
      <c r="Y1120" s="135">
        <v>0.92</v>
      </c>
      <c r="Z1120" s="135">
        <v>1</v>
      </c>
      <c r="AA1120" s="135" t="s">
        <v>35</v>
      </c>
      <c r="AB1120" s="135">
        <v>0</v>
      </c>
      <c r="AC1120" s="135">
        <v>0.75</v>
      </c>
      <c r="AD1120" s="135">
        <v>0.92</v>
      </c>
      <c r="AE1120" s="133">
        <v>0.999733333333333</v>
      </c>
      <c r="AF1120" s="133">
        <v>0.994755244755245</v>
      </c>
      <c r="AG1120" s="133">
        <v>0.997952917093142</v>
      </c>
      <c r="AH1120" s="133">
        <v>0.982204851132314</v>
      </c>
      <c r="AI1120" s="135">
        <v>0.92</v>
      </c>
      <c r="AJ1120" s="133">
        <v>0.897081081081081</v>
      </c>
      <c r="AK1120" s="133">
        <v>0.873881204231082</v>
      </c>
      <c r="AL1120" s="133">
        <v>0.918773311230833</v>
      </c>
      <c r="AM1120" s="133">
        <v>0.931798085132333</v>
      </c>
      <c r="AN1120" s="132">
        <v>0.99</v>
      </c>
      <c r="AO1120" s="137">
        <v>1</v>
      </c>
      <c r="AP1120" s="137">
        <v>1</v>
      </c>
      <c r="AQ1120" s="137">
        <v>1</v>
      </c>
      <c r="AR1120" s="137">
        <v>1</v>
      </c>
      <c r="AS1120" s="158">
        <v>0.0721861525408278</v>
      </c>
      <c r="AT1120" s="141">
        <v>0.0740740740740741</v>
      </c>
      <c r="AU1120" s="141">
        <v>0</v>
      </c>
      <c r="AV1120" s="141">
        <v>0</v>
      </c>
      <c r="AW1120" s="141">
        <v>0.025531914893617</v>
      </c>
      <c r="AX1120" s="95"/>
      <c r="AY1120" s="93"/>
    </row>
    <row r="1121" ht="14.5" spans="1:51">
      <c r="A1121" s="91"/>
      <c r="B1121" s="95"/>
      <c r="C1121" s="152" t="s">
        <v>1085</v>
      </c>
      <c r="D1121" s="153" t="s">
        <v>25</v>
      </c>
      <c r="E1121" s="130" t="s">
        <v>1086</v>
      </c>
      <c r="F1121" s="195" t="s">
        <v>1151</v>
      </c>
      <c r="G1121" s="195" t="s">
        <v>1151</v>
      </c>
      <c r="H1121" s="195" t="s">
        <v>1151</v>
      </c>
      <c r="I1121" s="195" t="s">
        <v>1151</v>
      </c>
      <c r="J1121" s="132">
        <v>0.9</v>
      </c>
      <c r="K1121" s="133" t="s">
        <v>35</v>
      </c>
      <c r="L1121" s="133" t="s">
        <v>35</v>
      </c>
      <c r="M1121" s="134" t="s">
        <v>35</v>
      </c>
      <c r="N1121" s="133" t="s">
        <v>35</v>
      </c>
      <c r="O1121" s="135">
        <v>0.9</v>
      </c>
      <c r="P1121" s="133">
        <v>0.137897782063645</v>
      </c>
      <c r="Q1121" s="133">
        <v>0.149163879598662</v>
      </c>
      <c r="R1121" s="133">
        <v>0.126034373010821</v>
      </c>
      <c r="S1121" s="133">
        <v>0.12739887207368</v>
      </c>
      <c r="T1121" s="135">
        <v>0.9</v>
      </c>
      <c r="U1121" s="133">
        <v>0.0414657666345227</v>
      </c>
      <c r="V1121" s="133">
        <v>0.0869565217391304</v>
      </c>
      <c r="W1121" s="133">
        <v>0.0159134309357097</v>
      </c>
      <c r="X1121" s="133">
        <v>0.0421146589848663</v>
      </c>
      <c r="Y1121" s="135">
        <v>0.92</v>
      </c>
      <c r="Z1121" s="135" t="s">
        <v>35</v>
      </c>
      <c r="AA1121" s="135" t="s">
        <v>35</v>
      </c>
      <c r="AB1121" s="135" t="s">
        <v>35</v>
      </c>
      <c r="AC1121" s="135">
        <v>1</v>
      </c>
      <c r="AD1121" s="135">
        <v>0.92</v>
      </c>
      <c r="AE1121" s="133" t="s">
        <v>35</v>
      </c>
      <c r="AF1121" s="133">
        <v>0</v>
      </c>
      <c r="AG1121" s="133" t="s">
        <v>35</v>
      </c>
      <c r="AH1121" s="133">
        <v>0.666666666666667</v>
      </c>
      <c r="AI1121" s="135">
        <v>0.92</v>
      </c>
      <c r="AJ1121" s="133">
        <v>0.145612343297975</v>
      </c>
      <c r="AK1121" s="133">
        <v>0.11304347826087</v>
      </c>
      <c r="AL1121" s="133">
        <v>0.0910248249522597</v>
      </c>
      <c r="AM1121" s="133">
        <v>0.0877150275884453</v>
      </c>
      <c r="AN1121" s="132">
        <v>0.99</v>
      </c>
      <c r="AO1121" s="137" t="s">
        <v>35</v>
      </c>
      <c r="AP1121" s="137" t="s">
        <v>35</v>
      </c>
      <c r="AQ1121" s="137" t="s">
        <v>35</v>
      </c>
      <c r="AR1121" s="137" t="s">
        <v>35</v>
      </c>
      <c r="AS1121" s="158">
        <v>0.0721861525408278</v>
      </c>
      <c r="AT1121" s="141">
        <v>0.0833333333333333</v>
      </c>
      <c r="AU1121" s="141">
        <v>0.214285714285714</v>
      </c>
      <c r="AV1121" s="141">
        <v>0.0645161290322581</v>
      </c>
      <c r="AW1121" s="141">
        <v>0.167155425219941</v>
      </c>
      <c r="AX1121" s="95"/>
      <c r="AY1121" s="93"/>
    </row>
    <row r="1122" ht="14.5" spans="1:51">
      <c r="A1122" s="91"/>
      <c r="B1122" s="95"/>
      <c r="C1122" s="152" t="s">
        <v>1085</v>
      </c>
      <c r="D1122" s="153" t="s">
        <v>25</v>
      </c>
      <c r="E1122" s="130" t="s">
        <v>1086</v>
      </c>
      <c r="F1122" s="195" t="s">
        <v>1152</v>
      </c>
      <c r="G1122" s="195" t="s">
        <v>1152</v>
      </c>
      <c r="H1122" s="195" t="s">
        <v>1152</v>
      </c>
      <c r="I1122" s="195" t="s">
        <v>1152</v>
      </c>
      <c r="J1122" s="132">
        <v>0.9</v>
      </c>
      <c r="K1122" s="133">
        <v>0.981481481481482</v>
      </c>
      <c r="L1122" s="133">
        <v>0.951612903225806</v>
      </c>
      <c r="M1122" s="134">
        <v>0.933333333333333</v>
      </c>
      <c r="N1122" s="133">
        <v>0.92942254812099</v>
      </c>
      <c r="O1122" s="135">
        <v>0.9</v>
      </c>
      <c r="P1122" s="133">
        <v>0.940538957234915</v>
      </c>
      <c r="Q1122" s="133">
        <v>0.835807547844751</v>
      </c>
      <c r="R1122" s="133">
        <v>0.734395750332005</v>
      </c>
      <c r="S1122" s="133">
        <v>0.826600330928288</v>
      </c>
      <c r="T1122" s="135">
        <v>0.9</v>
      </c>
      <c r="U1122" s="133">
        <v>0.667252489748096</v>
      </c>
      <c r="V1122" s="133">
        <v>0.570559828295475</v>
      </c>
      <c r="W1122" s="133">
        <v>0.55928666287232</v>
      </c>
      <c r="X1122" s="133">
        <v>0.60240204410126</v>
      </c>
      <c r="Y1122" s="135">
        <v>0.92</v>
      </c>
      <c r="Z1122" s="135" t="s">
        <v>35</v>
      </c>
      <c r="AA1122" s="135" t="s">
        <v>35</v>
      </c>
      <c r="AB1122" s="135" t="s">
        <v>35</v>
      </c>
      <c r="AC1122" s="135" t="s">
        <v>35</v>
      </c>
      <c r="AD1122" s="135">
        <v>0.92</v>
      </c>
      <c r="AE1122" s="133">
        <v>1</v>
      </c>
      <c r="AF1122" s="133">
        <v>1</v>
      </c>
      <c r="AG1122" s="133">
        <v>1</v>
      </c>
      <c r="AH1122" s="133">
        <v>0.999383603862749</v>
      </c>
      <c r="AI1122" s="135">
        <v>0.92</v>
      </c>
      <c r="AJ1122" s="133">
        <v>0.862331575864089</v>
      </c>
      <c r="AK1122" s="133">
        <v>0.856734036844929</v>
      </c>
      <c r="AL1122" s="133">
        <v>0.87877063175868</v>
      </c>
      <c r="AM1122" s="133">
        <v>0.889397913125696</v>
      </c>
      <c r="AN1122" s="132">
        <v>0.99</v>
      </c>
      <c r="AO1122" s="137">
        <v>1</v>
      </c>
      <c r="AP1122" s="137">
        <v>1</v>
      </c>
      <c r="AQ1122" s="137">
        <v>1</v>
      </c>
      <c r="AR1122" s="137">
        <v>1</v>
      </c>
      <c r="AS1122" s="158">
        <v>0.0721861525408278</v>
      </c>
      <c r="AT1122" s="141">
        <v>0.1</v>
      </c>
      <c r="AU1122" s="141">
        <v>0.166666666666667</v>
      </c>
      <c r="AV1122" s="141">
        <v>0</v>
      </c>
      <c r="AW1122" s="141">
        <v>0.0803571428571429</v>
      </c>
      <c r="AX1122" s="95"/>
      <c r="AY1122" s="93"/>
    </row>
    <row r="1123" ht="14.5" spans="1:51">
      <c r="A1123" s="91"/>
      <c r="B1123" s="95"/>
      <c r="C1123" s="152" t="s">
        <v>1085</v>
      </c>
      <c r="D1123" s="153" t="s">
        <v>25</v>
      </c>
      <c r="E1123" s="130" t="s">
        <v>1086</v>
      </c>
      <c r="F1123" s="195" t="s">
        <v>1153</v>
      </c>
      <c r="G1123" s="195" t="s">
        <v>1153</v>
      </c>
      <c r="H1123" s="195" t="s">
        <v>1153</v>
      </c>
      <c r="I1123" s="195" t="s">
        <v>1153</v>
      </c>
      <c r="J1123" s="132">
        <v>0.9</v>
      </c>
      <c r="K1123" s="133">
        <v>0.946428571428571</v>
      </c>
      <c r="L1123" s="133">
        <v>0.966666666666667</v>
      </c>
      <c r="M1123" s="134">
        <v>0.919354838709677</v>
      </c>
      <c r="N1123" s="133">
        <v>0.923903312444047</v>
      </c>
      <c r="O1123" s="135">
        <v>0.9</v>
      </c>
      <c r="P1123" s="133">
        <v>0.962217514124294</v>
      </c>
      <c r="Q1123" s="133">
        <v>0.989336235038085</v>
      </c>
      <c r="R1123" s="133">
        <v>0.978338543992854</v>
      </c>
      <c r="S1123" s="133">
        <v>0.97107975582908</v>
      </c>
      <c r="T1123" s="135">
        <v>0.9</v>
      </c>
      <c r="U1123" s="133">
        <v>0.77295197740113</v>
      </c>
      <c r="V1123" s="133">
        <v>0.686180631120783</v>
      </c>
      <c r="W1123" s="133">
        <v>0.710361768646717</v>
      </c>
      <c r="X1123" s="133">
        <v>0.71897828479936</v>
      </c>
      <c r="Y1123" s="135">
        <v>0.92</v>
      </c>
      <c r="Z1123" s="135">
        <v>0</v>
      </c>
      <c r="AA1123" s="135" t="s">
        <v>35</v>
      </c>
      <c r="AB1123" s="135">
        <v>0</v>
      </c>
      <c r="AC1123" s="135">
        <v>0</v>
      </c>
      <c r="AD1123" s="135">
        <v>0.92</v>
      </c>
      <c r="AE1123" s="133">
        <v>1</v>
      </c>
      <c r="AF1123" s="133">
        <v>0.991266375545852</v>
      </c>
      <c r="AG1123" s="133">
        <v>0.97787610619469</v>
      </c>
      <c r="AH1123" s="133">
        <v>0.997733068858033</v>
      </c>
      <c r="AI1123" s="135">
        <v>0.92</v>
      </c>
      <c r="AJ1123" s="133">
        <v>0.913196894848271</v>
      </c>
      <c r="AK1123" s="133">
        <v>0.894668117519042</v>
      </c>
      <c r="AL1123" s="133">
        <v>0.909131502567537</v>
      </c>
      <c r="AM1123" s="133">
        <v>0.926965940787252</v>
      </c>
      <c r="AN1123" s="132">
        <v>0.99</v>
      </c>
      <c r="AO1123" s="137">
        <v>1</v>
      </c>
      <c r="AP1123" s="137">
        <v>1</v>
      </c>
      <c r="AQ1123" s="137">
        <v>1</v>
      </c>
      <c r="AR1123" s="137">
        <v>1</v>
      </c>
      <c r="AS1123" s="158">
        <v>0.0721861525408278</v>
      </c>
      <c r="AT1123" s="141">
        <v>0</v>
      </c>
      <c r="AU1123" s="141">
        <v>0.166666666666667</v>
      </c>
      <c r="AV1123" s="141">
        <v>0</v>
      </c>
      <c r="AW1123" s="141">
        <v>0.0700934579439252</v>
      </c>
      <c r="AX1123" s="95"/>
      <c r="AY1123" s="93"/>
    </row>
    <row r="1124" ht="14.5" spans="1:51">
      <c r="A1124" s="91"/>
      <c r="B1124" s="95"/>
      <c r="C1124" s="152" t="s">
        <v>1085</v>
      </c>
      <c r="D1124" s="153" t="s">
        <v>25</v>
      </c>
      <c r="E1124" s="130" t="s">
        <v>1086</v>
      </c>
      <c r="F1124" s="195" t="s">
        <v>1154</v>
      </c>
      <c r="G1124" s="195" t="s">
        <v>1154</v>
      </c>
      <c r="H1124" s="195" t="s">
        <v>1154</v>
      </c>
      <c r="I1124" s="195" t="s">
        <v>1154</v>
      </c>
      <c r="J1124" s="132">
        <v>0.9</v>
      </c>
      <c r="K1124" s="133">
        <v>0.911111111111111</v>
      </c>
      <c r="L1124" s="133">
        <v>0.893617021276596</v>
      </c>
      <c r="M1124" s="134">
        <v>0.906976744186046</v>
      </c>
      <c r="N1124" s="133">
        <v>0.926150121065375</v>
      </c>
      <c r="O1124" s="135">
        <v>0.9</v>
      </c>
      <c r="P1124" s="133">
        <v>0.982673267326733</v>
      </c>
      <c r="Q1124" s="133">
        <v>0.907190843493406</v>
      </c>
      <c r="R1124" s="133">
        <v>0.866375993844576</v>
      </c>
      <c r="S1124" s="133">
        <v>0.938571602904387</v>
      </c>
      <c r="T1124" s="135">
        <v>0.9</v>
      </c>
      <c r="U1124" s="133">
        <v>0.782590759075908</v>
      </c>
      <c r="V1124" s="133">
        <v>0.726300074645434</v>
      </c>
      <c r="W1124" s="133">
        <v>0.73146960759169</v>
      </c>
      <c r="X1124" s="133">
        <v>0.763271096467143</v>
      </c>
      <c r="Y1124" s="135">
        <v>0.92</v>
      </c>
      <c r="Z1124" s="135">
        <v>0</v>
      </c>
      <c r="AA1124" s="135" t="s">
        <v>35</v>
      </c>
      <c r="AB1124" s="135" t="s">
        <v>35</v>
      </c>
      <c r="AC1124" s="135">
        <v>0.666666666666667</v>
      </c>
      <c r="AD1124" s="135">
        <v>0.92</v>
      </c>
      <c r="AE1124" s="133">
        <v>1</v>
      </c>
      <c r="AF1124" s="133">
        <v>1</v>
      </c>
      <c r="AG1124" s="133">
        <v>1</v>
      </c>
      <c r="AH1124" s="133">
        <v>0.99895724713243</v>
      </c>
      <c r="AI1124" s="135">
        <v>0.92</v>
      </c>
      <c r="AJ1124" s="133">
        <v>0.91340206185567</v>
      </c>
      <c r="AK1124" s="133">
        <v>0.947499377954715</v>
      </c>
      <c r="AL1124" s="133">
        <v>0.946140035906643</v>
      </c>
      <c r="AM1124" s="133">
        <v>0.939596394087768</v>
      </c>
      <c r="AN1124" s="132">
        <v>0.99</v>
      </c>
      <c r="AO1124" s="137">
        <v>1</v>
      </c>
      <c r="AP1124" s="137">
        <v>1</v>
      </c>
      <c r="AQ1124" s="137">
        <v>1</v>
      </c>
      <c r="AR1124" s="137">
        <v>1</v>
      </c>
      <c r="AS1124" s="158">
        <v>0.0721861525408278</v>
      </c>
      <c r="AT1124" s="141">
        <v>0.25</v>
      </c>
      <c r="AU1124" s="141">
        <v>0</v>
      </c>
      <c r="AV1124" s="141">
        <v>0</v>
      </c>
      <c r="AW1124" s="141">
        <v>0.0604026845637584</v>
      </c>
      <c r="AX1124" s="95"/>
      <c r="AY1124" s="93"/>
    </row>
    <row r="1125" ht="14.5" spans="1:51">
      <c r="A1125" s="91"/>
      <c r="B1125" s="95"/>
      <c r="C1125" s="152" t="s">
        <v>1085</v>
      </c>
      <c r="D1125" s="153" t="s">
        <v>25</v>
      </c>
      <c r="E1125" s="130" t="s">
        <v>1086</v>
      </c>
      <c r="F1125" s="195" t="s">
        <v>1155</v>
      </c>
      <c r="G1125" s="195" t="s">
        <v>1155</v>
      </c>
      <c r="H1125" s="195" t="s">
        <v>1155</v>
      </c>
      <c r="I1125" s="195" t="s">
        <v>1155</v>
      </c>
      <c r="J1125" s="132">
        <v>0.9</v>
      </c>
      <c r="K1125" s="133">
        <v>0.947368421052632</v>
      </c>
      <c r="L1125" s="133">
        <v>0.931818181818182</v>
      </c>
      <c r="M1125" s="134">
        <v>0.911111111111111</v>
      </c>
      <c r="N1125" s="133">
        <v>0.921259842519685</v>
      </c>
      <c r="O1125" s="135">
        <v>0.9</v>
      </c>
      <c r="P1125" s="133">
        <v>0.948167345427619</v>
      </c>
      <c r="Q1125" s="133">
        <v>0.876923076923077</v>
      </c>
      <c r="R1125" s="133">
        <v>0.867131186929361</v>
      </c>
      <c r="S1125" s="133">
        <v>0.877203412091634</v>
      </c>
      <c r="T1125" s="135">
        <v>0.9</v>
      </c>
      <c r="U1125" s="133">
        <v>0.638652350981118</v>
      </c>
      <c r="V1125" s="133">
        <v>0.652714932126697</v>
      </c>
      <c r="W1125" s="133">
        <v>0.650168188370975</v>
      </c>
      <c r="X1125" s="133">
        <v>0.651090127331296</v>
      </c>
      <c r="Y1125" s="135">
        <v>0.92</v>
      </c>
      <c r="Z1125" s="135">
        <v>0</v>
      </c>
      <c r="AA1125" s="135" t="s">
        <v>35</v>
      </c>
      <c r="AB1125" s="135" t="s">
        <v>35</v>
      </c>
      <c r="AC1125" s="135">
        <v>0</v>
      </c>
      <c r="AD1125" s="135">
        <v>0.92</v>
      </c>
      <c r="AE1125" s="133">
        <v>1</v>
      </c>
      <c r="AF1125" s="133">
        <v>1</v>
      </c>
      <c r="AG1125" s="133">
        <v>1</v>
      </c>
      <c r="AH1125" s="133">
        <v>0.996413934426229</v>
      </c>
      <c r="AI1125" s="135">
        <v>0.92</v>
      </c>
      <c r="AJ1125" s="133">
        <v>0.775351591413768</v>
      </c>
      <c r="AK1125" s="133">
        <v>0.8789592760181</v>
      </c>
      <c r="AL1125" s="133">
        <v>0.83805862566074</v>
      </c>
      <c r="AM1125" s="133">
        <v>0.877080683514904</v>
      </c>
      <c r="AN1125" s="132">
        <v>0.99</v>
      </c>
      <c r="AO1125" s="137">
        <v>1</v>
      </c>
      <c r="AP1125" s="137">
        <v>1</v>
      </c>
      <c r="AQ1125" s="137">
        <v>1</v>
      </c>
      <c r="AR1125" s="137">
        <v>1</v>
      </c>
      <c r="AS1125" s="158">
        <v>0.0721861525408278</v>
      </c>
      <c r="AT1125" s="141">
        <v>0.125</v>
      </c>
      <c r="AU1125" s="141">
        <v>0.0833333333333333</v>
      </c>
      <c r="AV1125" s="141">
        <v>0.2</v>
      </c>
      <c r="AW1125" s="141">
        <v>0.111111111111111</v>
      </c>
      <c r="AX1125" s="95"/>
      <c r="AY1125" s="93"/>
    </row>
    <row r="1126" ht="14.5" spans="1:51">
      <c r="A1126" s="91"/>
      <c r="B1126" s="95"/>
      <c r="C1126" s="152" t="s">
        <v>1085</v>
      </c>
      <c r="D1126" s="153" t="s">
        <v>25</v>
      </c>
      <c r="E1126" s="130" t="s">
        <v>1086</v>
      </c>
      <c r="F1126" s="195" t="s">
        <v>1156</v>
      </c>
      <c r="G1126" s="195" t="s">
        <v>1156</v>
      </c>
      <c r="H1126" s="195" t="s">
        <v>1156</v>
      </c>
      <c r="I1126" s="195" t="s">
        <v>1156</v>
      </c>
      <c r="J1126" s="132">
        <v>0.9</v>
      </c>
      <c r="K1126" s="133">
        <v>0.978260869565217</v>
      </c>
      <c r="L1126" s="133">
        <v>0.979166666666667</v>
      </c>
      <c r="M1126" s="134">
        <v>1</v>
      </c>
      <c r="N1126" s="133">
        <v>0.987723214285714</v>
      </c>
      <c r="O1126" s="135">
        <v>0.9</v>
      </c>
      <c r="P1126" s="133">
        <v>0.969083548030916</v>
      </c>
      <c r="Q1126" s="133">
        <v>0.930758988015979</v>
      </c>
      <c r="R1126" s="133">
        <v>0.945684695051784</v>
      </c>
      <c r="S1126" s="133">
        <v>0.959806023214472</v>
      </c>
      <c r="T1126" s="135">
        <v>0.9</v>
      </c>
      <c r="U1126" s="133">
        <v>0.795730585204269</v>
      </c>
      <c r="V1126" s="133">
        <v>0.664891256102974</v>
      </c>
      <c r="W1126" s="133">
        <v>0.702416570771001</v>
      </c>
      <c r="X1126" s="133">
        <v>0.732589145665586</v>
      </c>
      <c r="Y1126" s="135">
        <v>0.92</v>
      </c>
      <c r="Z1126" s="135">
        <v>0</v>
      </c>
      <c r="AA1126" s="135" t="s">
        <v>35</v>
      </c>
      <c r="AB1126" s="135" t="s">
        <v>35</v>
      </c>
      <c r="AC1126" s="135">
        <v>0</v>
      </c>
      <c r="AD1126" s="135">
        <v>0.92</v>
      </c>
      <c r="AE1126" s="133">
        <v>0.988505747126437</v>
      </c>
      <c r="AF1126" s="133">
        <v>0.988679245283019</v>
      </c>
      <c r="AG1126" s="133">
        <v>0.982758620689655</v>
      </c>
      <c r="AH1126" s="133">
        <v>0.992722522858742</v>
      </c>
      <c r="AI1126" s="135">
        <v>0.92</v>
      </c>
      <c r="AJ1126" s="133">
        <v>0.927152317880795</v>
      </c>
      <c r="AK1126" s="133">
        <v>0.945849977807368</v>
      </c>
      <c r="AL1126" s="133">
        <v>0.942922899884925</v>
      </c>
      <c r="AM1126" s="133">
        <v>0.959139925495066</v>
      </c>
      <c r="AN1126" s="132">
        <v>0.99</v>
      </c>
      <c r="AO1126" s="137">
        <v>1</v>
      </c>
      <c r="AP1126" s="137">
        <v>1</v>
      </c>
      <c r="AQ1126" s="137">
        <v>1</v>
      </c>
      <c r="AR1126" s="137">
        <v>1</v>
      </c>
      <c r="AS1126" s="158">
        <v>0.0721861525408278</v>
      </c>
      <c r="AT1126" s="141">
        <v>0.25</v>
      </c>
      <c r="AU1126" s="141">
        <v>0.166666666666667</v>
      </c>
      <c r="AV1126" s="141">
        <v>0</v>
      </c>
      <c r="AW1126" s="141">
        <v>0.115384615384615</v>
      </c>
      <c r="AX1126" s="95"/>
      <c r="AY1126" s="93"/>
    </row>
    <row r="1127" ht="14.5" spans="1:51">
      <c r="A1127" s="91"/>
      <c r="B1127" s="95"/>
      <c r="C1127" s="152" t="s">
        <v>1085</v>
      </c>
      <c r="D1127" s="153" t="s">
        <v>25</v>
      </c>
      <c r="E1127" s="130" t="s">
        <v>1086</v>
      </c>
      <c r="F1127" s="195" t="s">
        <v>1157</v>
      </c>
      <c r="G1127" s="195" t="s">
        <v>1157</v>
      </c>
      <c r="H1127" s="195" t="s">
        <v>1157</v>
      </c>
      <c r="I1127" s="195" t="s">
        <v>1157</v>
      </c>
      <c r="J1127" s="132">
        <v>0.9</v>
      </c>
      <c r="K1127" s="133">
        <v>0.914285714285714</v>
      </c>
      <c r="L1127" s="133">
        <v>1</v>
      </c>
      <c r="M1127" s="134">
        <v>1</v>
      </c>
      <c r="N1127" s="133">
        <v>0.985915492957746</v>
      </c>
      <c r="O1127" s="135">
        <v>0.9</v>
      </c>
      <c r="P1127" s="133">
        <v>0.948051948051948</v>
      </c>
      <c r="Q1127" s="133">
        <v>0.987121008854306</v>
      </c>
      <c r="R1127" s="133">
        <v>0.977789815817985</v>
      </c>
      <c r="S1127" s="133">
        <v>0.981720238769271</v>
      </c>
      <c r="T1127" s="135">
        <v>0.9</v>
      </c>
      <c r="U1127" s="133">
        <v>0.920286609941782</v>
      </c>
      <c r="V1127" s="133">
        <v>0.880869331902334</v>
      </c>
      <c r="W1127" s="133">
        <v>0.83694474539545</v>
      </c>
      <c r="X1127" s="133">
        <v>0.86854748693725</v>
      </c>
      <c r="Y1127" s="135">
        <v>0.92</v>
      </c>
      <c r="Z1127" s="135" t="s">
        <v>35</v>
      </c>
      <c r="AA1127" s="135" t="s">
        <v>35</v>
      </c>
      <c r="AB1127" s="135" t="s">
        <v>35</v>
      </c>
      <c r="AC1127" s="135" t="s">
        <v>35</v>
      </c>
      <c r="AD1127" s="135">
        <v>0.92</v>
      </c>
      <c r="AE1127" s="133">
        <v>1</v>
      </c>
      <c r="AF1127" s="133">
        <v>1</v>
      </c>
      <c r="AG1127" s="133">
        <v>1</v>
      </c>
      <c r="AH1127" s="133">
        <v>0.998201438848921</v>
      </c>
      <c r="AI1127" s="135">
        <v>0.92</v>
      </c>
      <c r="AJ1127" s="133">
        <v>0.942678011643529</v>
      </c>
      <c r="AK1127" s="133">
        <v>0.960021464985243</v>
      </c>
      <c r="AL1127" s="133">
        <v>0.968580715059588</v>
      </c>
      <c r="AM1127" s="133">
        <v>0.962049274471424</v>
      </c>
      <c r="AN1127" s="132">
        <v>0.99</v>
      </c>
      <c r="AO1127" s="137">
        <v>1</v>
      </c>
      <c r="AP1127" s="137">
        <v>1</v>
      </c>
      <c r="AQ1127" s="137">
        <v>1</v>
      </c>
      <c r="AR1127" s="137">
        <v>1</v>
      </c>
      <c r="AS1127" s="158">
        <v>0.0721861525408278</v>
      </c>
      <c r="AT1127" s="141">
        <v>0</v>
      </c>
      <c r="AU1127" s="141">
        <v>0</v>
      </c>
      <c r="AV1127" s="141">
        <v>0</v>
      </c>
      <c r="AW1127" s="141">
        <v>0.0769230769230769</v>
      </c>
      <c r="AX1127" s="95"/>
      <c r="AY1127" s="93"/>
    </row>
    <row r="1128" ht="14.5" spans="1:51">
      <c r="A1128" s="91"/>
      <c r="B1128" s="95"/>
      <c r="C1128" s="152" t="s">
        <v>1085</v>
      </c>
      <c r="D1128" s="153" t="s">
        <v>25</v>
      </c>
      <c r="E1128" s="130" t="s">
        <v>1086</v>
      </c>
      <c r="F1128" s="195" t="s">
        <v>1158</v>
      </c>
      <c r="G1128" s="195" t="s">
        <v>1158</v>
      </c>
      <c r="H1128" s="195" t="s">
        <v>1158</v>
      </c>
      <c r="I1128" s="195" t="s">
        <v>1158</v>
      </c>
      <c r="J1128" s="132">
        <v>0.9</v>
      </c>
      <c r="K1128" s="133">
        <v>0.870967741935484</v>
      </c>
      <c r="L1128" s="133">
        <v>0.875</v>
      </c>
      <c r="M1128" s="134">
        <v>0.764705882352941</v>
      </c>
      <c r="N1128" s="133">
        <v>0.92156862745098</v>
      </c>
      <c r="O1128" s="135">
        <v>0.9</v>
      </c>
      <c r="P1128" s="133">
        <v>0.952676056338028</v>
      </c>
      <c r="Q1128" s="133">
        <v>0.903171953255426</v>
      </c>
      <c r="R1128" s="133">
        <v>0.98731884057971</v>
      </c>
      <c r="S1128" s="133">
        <v>0.958819348634976</v>
      </c>
      <c r="T1128" s="135">
        <v>0.9</v>
      </c>
      <c r="U1128" s="133">
        <v>0.579154929577465</v>
      </c>
      <c r="V1128" s="133">
        <v>0.517863105175292</v>
      </c>
      <c r="W1128" s="133">
        <v>0.610507246376812</v>
      </c>
      <c r="X1128" s="133">
        <v>0.610330699443957</v>
      </c>
      <c r="Y1128" s="135">
        <v>0.92</v>
      </c>
      <c r="Z1128" s="135">
        <v>0</v>
      </c>
      <c r="AA1128" s="135" t="s">
        <v>35</v>
      </c>
      <c r="AB1128" s="135">
        <v>0</v>
      </c>
      <c r="AC1128" s="135">
        <v>0.25</v>
      </c>
      <c r="AD1128" s="135">
        <v>0.92</v>
      </c>
      <c r="AE1128" s="133">
        <v>1</v>
      </c>
      <c r="AF1128" s="133">
        <v>1</v>
      </c>
      <c r="AG1128" s="133">
        <v>1</v>
      </c>
      <c r="AH1128" s="133">
        <v>0.998095238095238</v>
      </c>
      <c r="AI1128" s="135">
        <v>0.92</v>
      </c>
      <c r="AJ1128" s="133">
        <v>0.793472144063028</v>
      </c>
      <c r="AK1128" s="133">
        <v>0.84440734557596</v>
      </c>
      <c r="AL1128" s="133">
        <v>0.923216226005071</v>
      </c>
      <c r="AM1128" s="133">
        <v>0.905605952928389</v>
      </c>
      <c r="AN1128" s="132">
        <v>0.99</v>
      </c>
      <c r="AO1128" s="137">
        <v>1</v>
      </c>
      <c r="AP1128" s="137">
        <v>1</v>
      </c>
      <c r="AQ1128" s="137">
        <v>1</v>
      </c>
      <c r="AR1128" s="137">
        <v>1</v>
      </c>
      <c r="AS1128" s="158">
        <v>0.0721861525408278</v>
      </c>
      <c r="AT1128" s="141">
        <v>0</v>
      </c>
      <c r="AU1128" s="141">
        <v>0</v>
      </c>
      <c r="AV1128" s="141">
        <v>0</v>
      </c>
      <c r="AW1128" s="141">
        <v>0.139784946236559</v>
      </c>
      <c r="AX1128" s="95"/>
      <c r="AY1128" s="93"/>
    </row>
    <row r="1129" ht="14.5" spans="1:51">
      <c r="A1129" s="91"/>
      <c r="B1129" s="95"/>
      <c r="C1129" s="152" t="s">
        <v>1085</v>
      </c>
      <c r="D1129" s="153" t="s">
        <v>25</v>
      </c>
      <c r="E1129" s="130" t="s">
        <v>1086</v>
      </c>
      <c r="F1129" s="195" t="s">
        <v>1159</v>
      </c>
      <c r="G1129" s="195" t="s">
        <v>1159</v>
      </c>
      <c r="H1129" s="195" t="s">
        <v>1159</v>
      </c>
      <c r="I1129" s="195" t="s">
        <v>1159</v>
      </c>
      <c r="J1129" s="132">
        <v>0.9</v>
      </c>
      <c r="K1129" s="133">
        <v>0.814432989690722</v>
      </c>
      <c r="L1129" s="133">
        <v>0.815533980582524</v>
      </c>
      <c r="M1129" s="134">
        <v>0.78</v>
      </c>
      <c r="N1129" s="133">
        <v>0.827968923418424</v>
      </c>
      <c r="O1129" s="135">
        <v>0.9</v>
      </c>
      <c r="P1129" s="133">
        <v>0.914943609022556</v>
      </c>
      <c r="Q1129" s="133">
        <v>0.9</v>
      </c>
      <c r="R1129" s="133">
        <v>0.908499767765908</v>
      </c>
      <c r="S1129" s="133">
        <v>0.919591281129474</v>
      </c>
      <c r="T1129" s="135">
        <v>0.9</v>
      </c>
      <c r="U1129" s="133">
        <v>0.822133458646617</v>
      </c>
      <c r="V1129" s="133">
        <v>0.791044776119403</v>
      </c>
      <c r="W1129" s="133">
        <v>0.823192444650875</v>
      </c>
      <c r="X1129" s="133">
        <v>0.817690790736636</v>
      </c>
      <c r="Y1129" s="135">
        <v>0.92</v>
      </c>
      <c r="Z1129" s="135" t="s">
        <v>35</v>
      </c>
      <c r="AA1129" s="135" t="s">
        <v>35</v>
      </c>
      <c r="AB1129" s="135" t="s">
        <v>35</v>
      </c>
      <c r="AC1129" s="135" t="s">
        <v>35</v>
      </c>
      <c r="AD1129" s="135">
        <v>0.92</v>
      </c>
      <c r="AE1129" s="133">
        <v>0.998535871156662</v>
      </c>
      <c r="AF1129" s="133">
        <v>0.998716302952503</v>
      </c>
      <c r="AG1129" s="133">
        <v>0.996808510638298</v>
      </c>
      <c r="AH1129" s="133">
        <v>0.997982441790719</v>
      </c>
      <c r="AI1129" s="135">
        <v>0.92</v>
      </c>
      <c r="AJ1129" s="133">
        <v>0.915413533834586</v>
      </c>
      <c r="AK1129" s="133">
        <v>0.931791044776119</v>
      </c>
      <c r="AL1129" s="133">
        <v>0.942096299736801</v>
      </c>
      <c r="AM1129" s="133">
        <v>0.953054920507496</v>
      </c>
      <c r="AN1129" s="132">
        <v>0.99</v>
      </c>
      <c r="AO1129" s="137">
        <v>1</v>
      </c>
      <c r="AP1129" s="137">
        <v>1</v>
      </c>
      <c r="AQ1129" s="137">
        <v>1</v>
      </c>
      <c r="AR1129" s="137">
        <v>1</v>
      </c>
      <c r="AS1129" s="158">
        <v>0.0721861525408278</v>
      </c>
      <c r="AT1129" s="141">
        <v>0</v>
      </c>
      <c r="AU1129" s="141">
        <v>0</v>
      </c>
      <c r="AV1129" s="141">
        <v>0.291666666666667</v>
      </c>
      <c r="AW1129" s="141">
        <v>0.0855614973262032</v>
      </c>
      <c r="AX1129" s="95"/>
      <c r="AY1129" s="93"/>
    </row>
    <row r="1130" ht="14.5" spans="1:51">
      <c r="A1130" s="91"/>
      <c r="B1130" s="95"/>
      <c r="C1130" s="152" t="s">
        <v>1085</v>
      </c>
      <c r="D1130" s="153" t="s">
        <v>25</v>
      </c>
      <c r="E1130" s="130" t="s">
        <v>1086</v>
      </c>
      <c r="F1130" s="195" t="s">
        <v>1160</v>
      </c>
      <c r="G1130" s="195" t="s">
        <v>1160</v>
      </c>
      <c r="H1130" s="195" t="s">
        <v>1160</v>
      </c>
      <c r="I1130" s="195" t="s">
        <v>1160</v>
      </c>
      <c r="J1130" s="132">
        <v>0.9</v>
      </c>
      <c r="K1130" s="133">
        <v>0.945945945945946</v>
      </c>
      <c r="L1130" s="133">
        <v>0.95</v>
      </c>
      <c r="M1130" s="134">
        <v>0.875</v>
      </c>
      <c r="N1130" s="133">
        <v>0.926729986431479</v>
      </c>
      <c r="O1130" s="135">
        <v>0.9</v>
      </c>
      <c r="P1130" s="133">
        <v>0.985753424657534</v>
      </c>
      <c r="Q1130" s="133">
        <v>0.977118341079728</v>
      </c>
      <c r="R1130" s="133">
        <v>0.961179544606196</v>
      </c>
      <c r="S1130" s="133">
        <v>0.974695366971481</v>
      </c>
      <c r="T1130" s="135">
        <v>0.9</v>
      </c>
      <c r="U1130" s="133">
        <v>0.82958904109589</v>
      </c>
      <c r="V1130" s="133">
        <v>0.74401144082946</v>
      </c>
      <c r="W1130" s="133">
        <v>0.813736468831654</v>
      </c>
      <c r="X1130" s="133">
        <v>0.799278872260475</v>
      </c>
      <c r="Y1130" s="135">
        <v>0.92</v>
      </c>
      <c r="Z1130" s="135" t="s">
        <v>35</v>
      </c>
      <c r="AA1130" s="135" t="s">
        <v>35</v>
      </c>
      <c r="AB1130" s="135" t="s">
        <v>35</v>
      </c>
      <c r="AC1130" s="135" t="s">
        <v>35</v>
      </c>
      <c r="AD1130" s="135">
        <v>0.92</v>
      </c>
      <c r="AE1130" s="133">
        <v>1</v>
      </c>
      <c r="AF1130" s="133">
        <v>1</v>
      </c>
      <c r="AG1130" s="133">
        <v>1</v>
      </c>
      <c r="AH1130" s="133">
        <v>0.997804610318331</v>
      </c>
      <c r="AI1130" s="135">
        <v>0.92</v>
      </c>
      <c r="AJ1130" s="133">
        <v>0.92986301369863</v>
      </c>
      <c r="AK1130" s="133">
        <v>0.932427601001073</v>
      </c>
      <c r="AL1130" s="133">
        <v>0.96267263904442</v>
      </c>
      <c r="AM1130" s="133">
        <v>0.955146723430135</v>
      </c>
      <c r="AN1130" s="132">
        <v>0.99</v>
      </c>
      <c r="AO1130" s="137">
        <v>1</v>
      </c>
      <c r="AP1130" s="137">
        <v>1</v>
      </c>
      <c r="AQ1130" s="137" t="s">
        <v>35</v>
      </c>
      <c r="AR1130" s="137">
        <v>1</v>
      </c>
      <c r="AS1130" s="158">
        <v>0.0721861525408278</v>
      </c>
      <c r="AT1130" s="141">
        <v>0</v>
      </c>
      <c r="AU1130" s="141">
        <v>0</v>
      </c>
      <c r="AV1130" s="141">
        <v>0</v>
      </c>
      <c r="AW1130" s="141">
        <v>0.0789473684210526</v>
      </c>
      <c r="AX1130" s="95"/>
      <c r="AY1130" s="93"/>
    </row>
    <row r="1131" ht="14.5" spans="1:51">
      <c r="A1131" s="91"/>
      <c r="B1131" s="95"/>
      <c r="C1131" s="152" t="s">
        <v>1085</v>
      </c>
      <c r="D1131" s="153" t="s">
        <v>25</v>
      </c>
      <c r="E1131" s="130" t="s">
        <v>1086</v>
      </c>
      <c r="F1131" s="195" t="s">
        <v>1161</v>
      </c>
      <c r="G1131" s="195" t="s">
        <v>1161</v>
      </c>
      <c r="H1131" s="195" t="s">
        <v>1161</v>
      </c>
      <c r="I1131" s="195" t="s">
        <v>1161</v>
      </c>
      <c r="J1131" s="132">
        <v>0.9</v>
      </c>
      <c r="K1131" s="133">
        <v>0.740740740740741</v>
      </c>
      <c r="L1131" s="133">
        <v>0.8</v>
      </c>
      <c r="M1131" s="134">
        <v>0.892857142857143</v>
      </c>
      <c r="N1131" s="133">
        <v>0.89811320754717</v>
      </c>
      <c r="O1131" s="135">
        <v>0.9</v>
      </c>
      <c r="P1131" s="133">
        <v>0.986494782074893</v>
      </c>
      <c r="Q1131" s="133">
        <v>0.986790986790987</v>
      </c>
      <c r="R1131" s="133">
        <v>0.92993907745866</v>
      </c>
      <c r="S1131" s="133">
        <v>0.97890743917466</v>
      </c>
      <c r="T1131" s="135">
        <v>0.9</v>
      </c>
      <c r="U1131" s="133">
        <v>0.788213627992634</v>
      </c>
      <c r="V1131" s="133">
        <v>0.755633255633256</v>
      </c>
      <c r="W1131" s="133">
        <v>0.72976501305483</v>
      </c>
      <c r="X1131" s="133">
        <v>0.789316001836237</v>
      </c>
      <c r="Y1131" s="135">
        <v>0.92</v>
      </c>
      <c r="Z1131" s="135" t="s">
        <v>35</v>
      </c>
      <c r="AA1131" s="135" t="s">
        <v>35</v>
      </c>
      <c r="AB1131" s="135" t="s">
        <v>35</v>
      </c>
      <c r="AC1131" s="135" t="s">
        <v>35</v>
      </c>
      <c r="AD1131" s="135">
        <v>0.92</v>
      </c>
      <c r="AE1131" s="133">
        <v>1</v>
      </c>
      <c r="AF1131" s="133">
        <v>1</v>
      </c>
      <c r="AG1131" s="133">
        <v>1</v>
      </c>
      <c r="AH1131" s="133">
        <v>0.994029850746269</v>
      </c>
      <c r="AI1131" s="135">
        <v>0.92</v>
      </c>
      <c r="AJ1131" s="133">
        <v>0.903007980356047</v>
      </c>
      <c r="AK1131" s="133">
        <v>0.942113442113442</v>
      </c>
      <c r="AL1131" s="133">
        <v>0.897737162750218</v>
      </c>
      <c r="AM1131" s="133">
        <v>0.943028340863515</v>
      </c>
      <c r="AN1131" s="132">
        <v>0.99</v>
      </c>
      <c r="AO1131" s="137">
        <v>1</v>
      </c>
      <c r="AP1131" s="137">
        <v>1</v>
      </c>
      <c r="AQ1131" s="137">
        <v>1</v>
      </c>
      <c r="AR1131" s="137">
        <v>1</v>
      </c>
      <c r="AS1131" s="158">
        <v>0.0721861525408278</v>
      </c>
      <c r="AT1131" s="141">
        <v>0.142857142857143</v>
      </c>
      <c r="AU1131" s="141">
        <v>0</v>
      </c>
      <c r="AV1131" s="141">
        <v>0</v>
      </c>
      <c r="AW1131" s="141">
        <v>0.134146341463415</v>
      </c>
      <c r="AX1131" s="95"/>
      <c r="AY1131" s="93"/>
    </row>
    <row r="1132" ht="14.5" spans="1:51">
      <c r="A1132" s="91"/>
      <c r="B1132" s="95"/>
      <c r="C1132" s="152" t="s">
        <v>1085</v>
      </c>
      <c r="D1132" s="153" t="s">
        <v>25</v>
      </c>
      <c r="E1132" s="130" t="s">
        <v>1086</v>
      </c>
      <c r="F1132" s="195" t="s">
        <v>1162</v>
      </c>
      <c r="G1132" s="195" t="s">
        <v>1162</v>
      </c>
      <c r="H1132" s="195" t="s">
        <v>1162</v>
      </c>
      <c r="I1132" s="195" t="s">
        <v>1162</v>
      </c>
      <c r="J1132" s="132">
        <v>0.9</v>
      </c>
      <c r="K1132" s="133">
        <v>0.936507936507937</v>
      </c>
      <c r="L1132" s="133">
        <v>0.942028985507246</v>
      </c>
      <c r="M1132" s="134">
        <v>0.898550724637681</v>
      </c>
      <c r="N1132" s="133">
        <v>0.903529411764706</v>
      </c>
      <c r="O1132" s="135">
        <v>0.9</v>
      </c>
      <c r="P1132" s="133">
        <v>0.939141180105036</v>
      </c>
      <c r="Q1132" s="133">
        <v>0.97690317812269</v>
      </c>
      <c r="R1132" s="133">
        <v>0.932872655478776</v>
      </c>
      <c r="S1132" s="133">
        <v>0.91317838398985</v>
      </c>
      <c r="T1132" s="135">
        <v>0.9</v>
      </c>
      <c r="U1132" s="133">
        <v>0.868705591597158</v>
      </c>
      <c r="V1132" s="133">
        <v>0.840354767184035</v>
      </c>
      <c r="W1132" s="133">
        <v>0.8142152023692</v>
      </c>
      <c r="X1132" s="133">
        <v>0.826414441432609</v>
      </c>
      <c r="Y1132" s="135">
        <v>0.92</v>
      </c>
      <c r="Z1132" s="135" t="s">
        <v>35</v>
      </c>
      <c r="AA1132" s="135" t="s">
        <v>35</v>
      </c>
      <c r="AB1132" s="135" t="s">
        <v>35</v>
      </c>
      <c r="AC1132" s="135" t="s">
        <v>35</v>
      </c>
      <c r="AD1132" s="135">
        <v>0.92</v>
      </c>
      <c r="AE1132" s="133">
        <v>1</v>
      </c>
      <c r="AF1132" s="133">
        <v>1</v>
      </c>
      <c r="AG1132" s="133">
        <v>1</v>
      </c>
      <c r="AH1132" s="133">
        <v>0.998399256428793</v>
      </c>
      <c r="AI1132" s="135">
        <v>0.92</v>
      </c>
      <c r="AJ1132" s="133">
        <v>0.945010812480692</v>
      </c>
      <c r="AK1132" s="133">
        <v>0.962867171623868</v>
      </c>
      <c r="AL1132" s="133">
        <v>0.945508390918065</v>
      </c>
      <c r="AM1132" s="133">
        <v>0.960344191196826</v>
      </c>
      <c r="AN1132" s="132">
        <v>0.99</v>
      </c>
      <c r="AO1132" s="137">
        <v>1</v>
      </c>
      <c r="AP1132" s="137">
        <v>1</v>
      </c>
      <c r="AQ1132" s="137">
        <v>1</v>
      </c>
      <c r="AR1132" s="137">
        <v>1</v>
      </c>
      <c r="AS1132" s="158">
        <v>0.0721861525408278</v>
      </c>
      <c r="AT1132" s="141">
        <v>0.0833333333333333</v>
      </c>
      <c r="AU1132" s="141">
        <v>0.0526315789473684</v>
      </c>
      <c r="AV1132" s="141">
        <v>0</v>
      </c>
      <c r="AW1132" s="141">
        <v>0.062780269058296</v>
      </c>
      <c r="AX1132" s="95"/>
      <c r="AY1132" s="93"/>
    </row>
    <row r="1133" ht="14.5" spans="1:51">
      <c r="A1133" s="91"/>
      <c r="B1133" s="95"/>
      <c r="C1133" s="152" t="s">
        <v>1085</v>
      </c>
      <c r="D1133" s="153" t="s">
        <v>25</v>
      </c>
      <c r="E1133" s="130" t="s">
        <v>1086</v>
      </c>
      <c r="F1133" s="195" t="s">
        <v>1163</v>
      </c>
      <c r="G1133" s="195" t="s">
        <v>1163</v>
      </c>
      <c r="H1133" s="195" t="s">
        <v>1163</v>
      </c>
      <c r="I1133" s="195" t="s">
        <v>1163</v>
      </c>
      <c r="J1133" s="132">
        <v>0.9</v>
      </c>
      <c r="K1133" s="133">
        <v>0.909090909090909</v>
      </c>
      <c r="L1133" s="133">
        <v>0.862745098039216</v>
      </c>
      <c r="M1133" s="134">
        <v>0.84</v>
      </c>
      <c r="N1133" s="133">
        <v>0.825</v>
      </c>
      <c r="O1133" s="135">
        <v>0.9</v>
      </c>
      <c r="P1133" s="133">
        <v>0.97212420606916</v>
      </c>
      <c r="Q1133" s="133">
        <v>0.92814371257485</v>
      </c>
      <c r="R1133" s="133">
        <v>0.917410714285714</v>
      </c>
      <c r="S1133" s="133">
        <v>0.907782961624552</v>
      </c>
      <c r="T1133" s="135">
        <v>0.9</v>
      </c>
      <c r="U1133" s="133">
        <v>0.775582215949188</v>
      </c>
      <c r="V1133" s="133">
        <v>0.707412760685525</v>
      </c>
      <c r="W1133" s="133">
        <v>0.708705357142857</v>
      </c>
      <c r="X1133" s="133">
        <v>0.734446212345945</v>
      </c>
      <c r="Y1133" s="135">
        <v>0.92</v>
      </c>
      <c r="Z1133" s="135" t="s">
        <v>35</v>
      </c>
      <c r="AA1133" s="135" t="s">
        <v>35</v>
      </c>
      <c r="AB1133" s="135" t="s">
        <v>35</v>
      </c>
      <c r="AC1133" s="135" t="s">
        <v>35</v>
      </c>
      <c r="AD1133" s="135">
        <v>0.92</v>
      </c>
      <c r="AE1133" s="133">
        <v>0.990476190476191</v>
      </c>
      <c r="AF1133" s="133">
        <v>1</v>
      </c>
      <c r="AG1133" s="133">
        <v>1</v>
      </c>
      <c r="AH1133" s="133">
        <v>0.996111471160078</v>
      </c>
      <c r="AI1133" s="135">
        <v>0.92</v>
      </c>
      <c r="AJ1133" s="133">
        <v>0.880028228652082</v>
      </c>
      <c r="AK1133" s="133">
        <v>0.904604583935577</v>
      </c>
      <c r="AL1133" s="133">
        <v>0.919642857142857</v>
      </c>
      <c r="AM1133" s="133">
        <v>0.935249858418058</v>
      </c>
      <c r="AN1133" s="132">
        <v>0.99</v>
      </c>
      <c r="AO1133" s="137">
        <v>1</v>
      </c>
      <c r="AP1133" s="137">
        <v>1</v>
      </c>
      <c r="AQ1133" s="137">
        <v>1</v>
      </c>
      <c r="AR1133" s="137">
        <v>1</v>
      </c>
      <c r="AS1133" s="158">
        <v>0.0721861525408278</v>
      </c>
      <c r="AT1133" s="141">
        <v>0.125</v>
      </c>
      <c r="AU1133" s="141">
        <v>0.133333333333333</v>
      </c>
      <c r="AV1133" s="141">
        <v>0.153846153846154</v>
      </c>
      <c r="AW1133" s="141">
        <v>0.0895522388059701</v>
      </c>
      <c r="AX1133" s="95"/>
      <c r="AY1133" s="93"/>
    </row>
    <row r="1134" ht="14.5" spans="1:51">
      <c r="A1134" s="91"/>
      <c r="B1134" s="95"/>
      <c r="C1134" s="152" t="s">
        <v>1085</v>
      </c>
      <c r="D1134" s="153" t="s">
        <v>25</v>
      </c>
      <c r="E1134" s="130" t="s">
        <v>1086</v>
      </c>
      <c r="F1134" s="195" t="s">
        <v>1164</v>
      </c>
      <c r="G1134" s="195" t="s">
        <v>1164</v>
      </c>
      <c r="H1134" s="195" t="s">
        <v>1164</v>
      </c>
      <c r="I1134" s="195" t="s">
        <v>1164</v>
      </c>
      <c r="J1134" s="132">
        <v>0.9</v>
      </c>
      <c r="K1134" s="133">
        <v>0.891891891891892</v>
      </c>
      <c r="L1134" s="133">
        <v>0.875</v>
      </c>
      <c r="M1134" s="134">
        <v>0.906976744186046</v>
      </c>
      <c r="N1134" s="133">
        <v>0.833534378769602</v>
      </c>
      <c r="O1134" s="135">
        <v>0.9</v>
      </c>
      <c r="P1134" s="133">
        <v>0.964856230031949</v>
      </c>
      <c r="Q1134" s="133">
        <v>0.970686767169179</v>
      </c>
      <c r="R1134" s="133">
        <v>0.979487179487179</v>
      </c>
      <c r="S1134" s="133">
        <v>0.973751867421742</v>
      </c>
      <c r="T1134" s="135">
        <v>0.9</v>
      </c>
      <c r="U1134" s="133">
        <v>0.85075308078503</v>
      </c>
      <c r="V1134" s="133">
        <v>0.80178671133445</v>
      </c>
      <c r="W1134" s="133">
        <v>0.819607843137255</v>
      </c>
      <c r="X1134" s="133">
        <v>0.853246708126325</v>
      </c>
      <c r="Y1134" s="135">
        <v>0.92</v>
      </c>
      <c r="Z1134" s="135" t="s">
        <v>35</v>
      </c>
      <c r="AA1134" s="135" t="s">
        <v>35</v>
      </c>
      <c r="AB1134" s="135" t="s">
        <v>35</v>
      </c>
      <c r="AC1134" s="135" t="s">
        <v>35</v>
      </c>
      <c r="AD1134" s="135">
        <v>0.92</v>
      </c>
      <c r="AE1134" s="133">
        <v>0.998641304347826</v>
      </c>
      <c r="AF1134" s="133">
        <v>0.996074380165289</v>
      </c>
      <c r="AG1134" s="133">
        <v>0.998656515897895</v>
      </c>
      <c r="AH1134" s="133">
        <v>0.997297726911461</v>
      </c>
      <c r="AI1134" s="135">
        <v>0.92</v>
      </c>
      <c r="AJ1134" s="133">
        <v>0.913281606572341</v>
      </c>
      <c r="AK1134" s="133">
        <v>0.945561139028476</v>
      </c>
      <c r="AL1134" s="133">
        <v>0.96289592760181</v>
      </c>
      <c r="AM1134" s="133">
        <v>0.964440815759302</v>
      </c>
      <c r="AN1134" s="132">
        <v>0.99</v>
      </c>
      <c r="AO1134" s="137">
        <v>1</v>
      </c>
      <c r="AP1134" s="137">
        <v>1</v>
      </c>
      <c r="AQ1134" s="137">
        <v>1</v>
      </c>
      <c r="AR1134" s="137">
        <v>1</v>
      </c>
      <c r="AS1134" s="158">
        <v>0.0721861525408278</v>
      </c>
      <c r="AT1134" s="141">
        <v>0</v>
      </c>
      <c r="AU1134" s="141">
        <v>0</v>
      </c>
      <c r="AV1134" s="141">
        <v>0</v>
      </c>
      <c r="AW1134" s="141">
        <v>0.0485436893203883</v>
      </c>
      <c r="AX1134" s="95"/>
      <c r="AY1134" s="93"/>
    </row>
    <row r="1135" ht="14.5" spans="1:51">
      <c r="A1135" s="91"/>
      <c r="B1135" s="95"/>
      <c r="C1135" s="152" t="s">
        <v>1085</v>
      </c>
      <c r="D1135" s="153" t="s">
        <v>25</v>
      </c>
      <c r="E1135" s="130" t="s">
        <v>1086</v>
      </c>
      <c r="F1135" s="195" t="s">
        <v>1165</v>
      </c>
      <c r="G1135" s="195" t="s">
        <v>1165</v>
      </c>
      <c r="H1135" s="195" t="s">
        <v>1165</v>
      </c>
      <c r="I1135" s="195" t="s">
        <v>1165</v>
      </c>
      <c r="J1135" s="132">
        <v>0.9</v>
      </c>
      <c r="K1135" s="133">
        <v>0.9</v>
      </c>
      <c r="L1135" s="133">
        <v>0.9</v>
      </c>
      <c r="M1135" s="134">
        <v>0.931034482758621</v>
      </c>
      <c r="N1135" s="133">
        <v>0.904761904761905</v>
      </c>
      <c r="O1135" s="135">
        <v>0.9</v>
      </c>
      <c r="P1135" s="133">
        <v>0.99196572040707</v>
      </c>
      <c r="Q1135" s="133">
        <v>0.95864262990456</v>
      </c>
      <c r="R1135" s="133">
        <v>0.985485103132162</v>
      </c>
      <c r="S1135" s="133">
        <v>0.979039282572783</v>
      </c>
      <c r="T1135" s="135">
        <v>0.9</v>
      </c>
      <c r="U1135" s="133">
        <v>0.891805034815212</v>
      </c>
      <c r="V1135" s="133">
        <v>0.784022622834924</v>
      </c>
      <c r="W1135" s="133">
        <v>0.817417876241406</v>
      </c>
      <c r="X1135" s="133">
        <v>0.825277295059106</v>
      </c>
      <c r="Y1135" s="135">
        <v>0.92</v>
      </c>
      <c r="Z1135" s="135" t="s">
        <v>35</v>
      </c>
      <c r="AA1135" s="135" t="s">
        <v>35</v>
      </c>
      <c r="AB1135" s="135" t="s">
        <v>35</v>
      </c>
      <c r="AC1135" s="135">
        <v>0.5</v>
      </c>
      <c r="AD1135" s="135">
        <v>0.92</v>
      </c>
      <c r="AE1135" s="133">
        <v>0.991525423728814</v>
      </c>
      <c r="AF1135" s="133">
        <v>1</v>
      </c>
      <c r="AG1135" s="133">
        <v>0.993464052287582</v>
      </c>
      <c r="AH1135" s="133">
        <v>0.998535871156662</v>
      </c>
      <c r="AI1135" s="135">
        <v>0.92</v>
      </c>
      <c r="AJ1135" s="133">
        <v>0.942688805570434</v>
      </c>
      <c r="AK1135" s="133">
        <v>0.937787203958996</v>
      </c>
      <c r="AL1135" s="133">
        <v>0.952635599694423</v>
      </c>
      <c r="AM1135" s="133">
        <v>0.951150966468582</v>
      </c>
      <c r="AN1135" s="132">
        <v>0.99</v>
      </c>
      <c r="AO1135" s="137">
        <v>1</v>
      </c>
      <c r="AP1135" s="137">
        <v>1</v>
      </c>
      <c r="AQ1135" s="137">
        <v>1</v>
      </c>
      <c r="AR1135" s="137">
        <v>1</v>
      </c>
      <c r="AS1135" s="158">
        <v>0.0721861525408278</v>
      </c>
      <c r="AT1135" s="141">
        <v>0</v>
      </c>
      <c r="AU1135" s="141">
        <v>0</v>
      </c>
      <c r="AV1135" s="141">
        <v>0.333333333333333</v>
      </c>
      <c r="AW1135" s="141">
        <v>0.0970873786407767</v>
      </c>
      <c r="AX1135" s="95"/>
      <c r="AY1135" s="93"/>
    </row>
    <row r="1136" ht="14.5" spans="1:51">
      <c r="A1136" s="91"/>
      <c r="B1136" s="95"/>
      <c r="C1136" s="152" t="s">
        <v>1085</v>
      </c>
      <c r="D1136" s="153" t="s">
        <v>25</v>
      </c>
      <c r="E1136" s="130" t="s">
        <v>1086</v>
      </c>
      <c r="F1136" s="195" t="s">
        <v>1166</v>
      </c>
      <c r="G1136" s="195" t="s">
        <v>1166</v>
      </c>
      <c r="H1136" s="195" t="s">
        <v>1166</v>
      </c>
      <c r="I1136" s="195" t="s">
        <v>1166</v>
      </c>
      <c r="J1136" s="132">
        <v>0.9</v>
      </c>
      <c r="K1136" s="133">
        <v>0.894736842105263</v>
      </c>
      <c r="L1136" s="133">
        <v>0.952380952380952</v>
      </c>
      <c r="M1136" s="134">
        <v>0.909090909090909</v>
      </c>
      <c r="N1136" s="133">
        <v>0.84318766066838</v>
      </c>
      <c r="O1136" s="135">
        <v>0.9</v>
      </c>
      <c r="P1136" s="133">
        <v>0.974716652136007</v>
      </c>
      <c r="Q1136" s="133">
        <v>0.987700534759358</v>
      </c>
      <c r="R1136" s="133">
        <v>0.989311163895487</v>
      </c>
      <c r="S1136" s="133">
        <v>0.980452359021595</v>
      </c>
      <c r="T1136" s="135">
        <v>0.9</v>
      </c>
      <c r="U1136" s="133">
        <v>0.856146469049695</v>
      </c>
      <c r="V1136" s="133">
        <v>0.840106951871658</v>
      </c>
      <c r="W1136" s="133">
        <v>0.863420427553444</v>
      </c>
      <c r="X1136" s="133">
        <v>0.871968068774946</v>
      </c>
      <c r="Y1136" s="135">
        <v>0.92</v>
      </c>
      <c r="Z1136" s="135" t="s">
        <v>35</v>
      </c>
      <c r="AA1136" s="135" t="s">
        <v>35</v>
      </c>
      <c r="AB1136" s="135" t="s">
        <v>35</v>
      </c>
      <c r="AC1136" s="135" t="s">
        <v>35</v>
      </c>
      <c r="AD1136" s="135">
        <v>0.92</v>
      </c>
      <c r="AE1136" s="133">
        <v>1</v>
      </c>
      <c r="AF1136" s="133">
        <v>1</v>
      </c>
      <c r="AG1136" s="133">
        <v>1</v>
      </c>
      <c r="AH1136" s="133">
        <v>1</v>
      </c>
      <c r="AI1136" s="135">
        <v>0.92</v>
      </c>
      <c r="AJ1136" s="133">
        <v>0.918047079337402</v>
      </c>
      <c r="AK1136" s="133">
        <v>0.941711229946524</v>
      </c>
      <c r="AL1136" s="133">
        <v>0.941211401425178</v>
      </c>
      <c r="AM1136" s="133">
        <v>0.953674012417275</v>
      </c>
      <c r="AN1136" s="132">
        <v>0.99</v>
      </c>
      <c r="AO1136" s="137">
        <v>1</v>
      </c>
      <c r="AP1136" s="137">
        <v>1</v>
      </c>
      <c r="AQ1136" s="137">
        <v>1</v>
      </c>
      <c r="AR1136" s="137">
        <v>1</v>
      </c>
      <c r="AS1136" s="158">
        <v>0.0721861525408278</v>
      </c>
      <c r="AT1136" s="141">
        <v>1</v>
      </c>
      <c r="AU1136" s="141" t="s">
        <v>35</v>
      </c>
      <c r="AV1136" s="141">
        <v>0</v>
      </c>
      <c r="AW1136" s="141">
        <v>0.139240506329114</v>
      </c>
      <c r="AX1136" s="95"/>
      <c r="AY1136" s="93"/>
    </row>
    <row r="1137" ht="14.5" spans="1:51">
      <c r="A1137" s="91"/>
      <c r="B1137" s="95"/>
      <c r="C1137" s="152" t="s">
        <v>1085</v>
      </c>
      <c r="D1137" s="153" t="s">
        <v>25</v>
      </c>
      <c r="E1137" s="130" t="s">
        <v>1086</v>
      </c>
      <c r="F1137" s="195" t="s">
        <v>1167</v>
      </c>
      <c r="G1137" s="195" t="s">
        <v>1167</v>
      </c>
      <c r="H1137" s="195" t="s">
        <v>1167</v>
      </c>
      <c r="I1137" s="195" t="s">
        <v>1167</v>
      </c>
      <c r="J1137" s="132">
        <v>0.9</v>
      </c>
      <c r="K1137" s="133">
        <v>0.8</v>
      </c>
      <c r="L1137" s="133">
        <v>0.733333333333333</v>
      </c>
      <c r="M1137" s="134">
        <v>0.896551724137931</v>
      </c>
      <c r="N1137" s="133">
        <v>0.796610169491525</v>
      </c>
      <c r="O1137" s="135">
        <v>0.9</v>
      </c>
      <c r="P1137" s="133">
        <v>0.980217606330366</v>
      </c>
      <c r="Q1137" s="133">
        <v>0.983266191509142</v>
      </c>
      <c r="R1137" s="133">
        <v>0.939423706614276</v>
      </c>
      <c r="S1137" s="133">
        <v>0.945123886700151</v>
      </c>
      <c r="T1137" s="135">
        <v>0.9</v>
      </c>
      <c r="U1137" s="133">
        <v>0.832344213649852</v>
      </c>
      <c r="V1137" s="133">
        <v>0.82925317632476</v>
      </c>
      <c r="W1137" s="133">
        <v>0.836607727570399</v>
      </c>
      <c r="X1137" s="133">
        <v>0.820583677203727</v>
      </c>
      <c r="Y1137" s="135">
        <v>0.92</v>
      </c>
      <c r="Z1137" s="135" t="s">
        <v>35</v>
      </c>
      <c r="AA1137" s="135" t="s">
        <v>35</v>
      </c>
      <c r="AB1137" s="135" t="s">
        <v>35</v>
      </c>
      <c r="AC1137" s="135" t="s">
        <v>35</v>
      </c>
      <c r="AD1137" s="135">
        <v>0.92</v>
      </c>
      <c r="AE1137" s="133">
        <v>0.993435448577681</v>
      </c>
      <c r="AF1137" s="133">
        <v>1</v>
      </c>
      <c r="AG1137" s="133">
        <v>0.988909426987061</v>
      </c>
      <c r="AH1137" s="133">
        <v>0.896040360801101</v>
      </c>
      <c r="AI1137" s="135">
        <v>0.92</v>
      </c>
      <c r="AJ1137" s="133">
        <v>0.939663699307616</v>
      </c>
      <c r="AK1137" s="133">
        <v>0.965912612333437</v>
      </c>
      <c r="AL1137" s="133">
        <v>0.95841519318926</v>
      </c>
      <c r="AM1137" s="133">
        <v>0.952181787628135</v>
      </c>
      <c r="AN1137" s="132">
        <v>0.99</v>
      </c>
      <c r="AO1137" s="137">
        <v>1</v>
      </c>
      <c r="AP1137" s="137">
        <v>1</v>
      </c>
      <c r="AQ1137" s="137">
        <v>1</v>
      </c>
      <c r="AR1137" s="137">
        <v>1</v>
      </c>
      <c r="AS1137" s="158">
        <v>0.0721861525408278</v>
      </c>
      <c r="AT1137" s="141">
        <v>0.25</v>
      </c>
      <c r="AU1137" s="141">
        <v>0</v>
      </c>
      <c r="AV1137" s="141">
        <v>0</v>
      </c>
      <c r="AW1137" s="141">
        <v>0.140495867768595</v>
      </c>
      <c r="AX1137" s="95"/>
      <c r="AY1137" s="93"/>
    </row>
    <row r="1138" ht="14.5" spans="1:51">
      <c r="A1138" s="91"/>
      <c r="B1138" s="95"/>
      <c r="C1138" s="152" t="s">
        <v>1085</v>
      </c>
      <c r="D1138" s="153" t="s">
        <v>25</v>
      </c>
      <c r="E1138" s="130" t="s">
        <v>1086</v>
      </c>
      <c r="F1138" s="195" t="s">
        <v>1168</v>
      </c>
      <c r="G1138" s="195" t="s">
        <v>1168</v>
      </c>
      <c r="H1138" s="195" t="s">
        <v>1168</v>
      </c>
      <c r="I1138" s="195" t="s">
        <v>1168</v>
      </c>
      <c r="J1138" s="132">
        <v>0.9</v>
      </c>
      <c r="K1138" s="133">
        <v>0.84</v>
      </c>
      <c r="L1138" s="133">
        <v>0.807692307692308</v>
      </c>
      <c r="M1138" s="134">
        <v>0.84</v>
      </c>
      <c r="N1138" s="133">
        <v>0.849256900212314</v>
      </c>
      <c r="O1138" s="135">
        <v>0.9</v>
      </c>
      <c r="P1138" s="133">
        <v>0.94067237969677</v>
      </c>
      <c r="Q1138" s="133">
        <v>0.901296528649101</v>
      </c>
      <c r="R1138" s="133">
        <v>0.960893854748603</v>
      </c>
      <c r="S1138" s="133">
        <v>0.937252875048456</v>
      </c>
      <c r="T1138" s="135">
        <v>0.9</v>
      </c>
      <c r="U1138" s="133">
        <v>0.857613711272248</v>
      </c>
      <c r="V1138" s="133">
        <v>0.779171894604768</v>
      </c>
      <c r="W1138" s="133">
        <v>0.764503652771809</v>
      </c>
      <c r="X1138" s="133">
        <v>0.822250936813542</v>
      </c>
      <c r="Y1138" s="135">
        <v>0.92</v>
      </c>
      <c r="Z1138" s="135" t="s">
        <v>35</v>
      </c>
      <c r="AA1138" s="135" t="s">
        <v>35</v>
      </c>
      <c r="AB1138" s="135" t="s">
        <v>35</v>
      </c>
      <c r="AC1138" s="135" t="s">
        <v>35</v>
      </c>
      <c r="AD1138" s="135">
        <v>0.92</v>
      </c>
      <c r="AE1138" s="133">
        <v>1</v>
      </c>
      <c r="AF1138" s="133">
        <v>1</v>
      </c>
      <c r="AG1138" s="133">
        <v>0.994029850746269</v>
      </c>
      <c r="AH1138" s="133">
        <v>0.959825327510917</v>
      </c>
      <c r="AI1138" s="135">
        <v>0.92</v>
      </c>
      <c r="AJ1138" s="133">
        <v>0.916282135794331</v>
      </c>
      <c r="AK1138" s="133">
        <v>0.952739439565036</v>
      </c>
      <c r="AL1138" s="133">
        <v>0.939836699613236</v>
      </c>
      <c r="AM1138" s="133">
        <v>0.944178834474738</v>
      </c>
      <c r="AN1138" s="132">
        <v>0.99</v>
      </c>
      <c r="AO1138" s="137">
        <v>1</v>
      </c>
      <c r="AP1138" s="137">
        <v>1</v>
      </c>
      <c r="AQ1138" s="137">
        <v>1</v>
      </c>
      <c r="AR1138" s="137">
        <v>1</v>
      </c>
      <c r="AS1138" s="158">
        <v>0.0721861525408278</v>
      </c>
      <c r="AT1138" s="141">
        <v>0</v>
      </c>
      <c r="AU1138" s="141">
        <v>0</v>
      </c>
      <c r="AV1138" s="141">
        <v>0.25</v>
      </c>
      <c r="AW1138" s="141">
        <v>0.104477611940299</v>
      </c>
      <c r="AX1138" s="95"/>
      <c r="AY1138" s="93"/>
    </row>
    <row r="1139" ht="14.5" spans="1:51">
      <c r="A1139" s="91"/>
      <c r="B1139" s="95"/>
      <c r="C1139" s="152" t="s">
        <v>1085</v>
      </c>
      <c r="D1139" s="153" t="s">
        <v>25</v>
      </c>
      <c r="E1139" s="130" t="s">
        <v>1086</v>
      </c>
      <c r="F1139" s="195" t="s">
        <v>1169</v>
      </c>
      <c r="G1139" s="195" t="s">
        <v>1169</v>
      </c>
      <c r="H1139" s="195" t="s">
        <v>1169</v>
      </c>
      <c r="I1139" s="195" t="s">
        <v>1169</v>
      </c>
      <c r="J1139" s="132">
        <v>0.9</v>
      </c>
      <c r="K1139" s="133">
        <v>0.888888888888889</v>
      </c>
      <c r="L1139" s="133">
        <v>0.833333333333333</v>
      </c>
      <c r="M1139" s="134">
        <v>0.736842105263158</v>
      </c>
      <c r="N1139" s="133">
        <v>0.823353293413174</v>
      </c>
      <c r="O1139" s="135">
        <v>0.9</v>
      </c>
      <c r="P1139" s="133">
        <v>0.946215139442231</v>
      </c>
      <c r="Q1139" s="133">
        <v>0.820445609436435</v>
      </c>
      <c r="R1139" s="133">
        <v>0.884615384615385</v>
      </c>
      <c r="S1139" s="133">
        <v>0.94779385670912</v>
      </c>
      <c r="T1139" s="135">
        <v>0.9</v>
      </c>
      <c r="U1139" s="133">
        <v>0.712151394422311</v>
      </c>
      <c r="V1139" s="133">
        <v>0.615334207077326</v>
      </c>
      <c r="W1139" s="133">
        <v>0.585695006747638</v>
      </c>
      <c r="X1139" s="133">
        <v>0.67450021686842</v>
      </c>
      <c r="Y1139" s="135">
        <v>0.92</v>
      </c>
      <c r="Z1139" s="135" t="s">
        <v>35</v>
      </c>
      <c r="AA1139" s="135" t="s">
        <v>35</v>
      </c>
      <c r="AB1139" s="135" t="s">
        <v>35</v>
      </c>
      <c r="AC1139" s="135">
        <v>1</v>
      </c>
      <c r="AD1139" s="135">
        <v>0.92</v>
      </c>
      <c r="AE1139" s="133">
        <v>1</v>
      </c>
      <c r="AF1139" s="133">
        <v>1</v>
      </c>
      <c r="AG1139" s="133">
        <v>1</v>
      </c>
      <c r="AH1139" s="133">
        <v>0.99320882852292</v>
      </c>
      <c r="AI1139" s="135">
        <v>0.92</v>
      </c>
      <c r="AJ1139" s="133">
        <v>0.916334661354582</v>
      </c>
      <c r="AK1139" s="133">
        <v>0.930537352555701</v>
      </c>
      <c r="AL1139" s="133">
        <v>0.907557354925776</v>
      </c>
      <c r="AM1139" s="133">
        <v>0.943931866572037</v>
      </c>
      <c r="AN1139" s="132">
        <v>0.99</v>
      </c>
      <c r="AO1139" s="137">
        <v>1</v>
      </c>
      <c r="AP1139" s="137" t="s">
        <v>35</v>
      </c>
      <c r="AQ1139" s="137">
        <v>1</v>
      </c>
      <c r="AR1139" s="137">
        <v>1</v>
      </c>
      <c r="AS1139" s="158">
        <v>0.0721861525408278</v>
      </c>
      <c r="AT1139" s="141">
        <v>0</v>
      </c>
      <c r="AU1139" s="141">
        <v>0</v>
      </c>
      <c r="AV1139" s="141">
        <v>0.333333333333333</v>
      </c>
      <c r="AW1139" s="141">
        <v>0.0842105263157895</v>
      </c>
      <c r="AX1139" s="95"/>
      <c r="AY1139" s="93"/>
    </row>
    <row r="1140" ht="14.5" spans="1:51">
      <c r="A1140" s="91"/>
      <c r="B1140" s="95"/>
      <c r="C1140" s="152" t="s">
        <v>1085</v>
      </c>
      <c r="D1140" s="153" t="s">
        <v>25</v>
      </c>
      <c r="E1140" s="130" t="s">
        <v>1086</v>
      </c>
      <c r="F1140" s="195" t="s">
        <v>1170</v>
      </c>
      <c r="G1140" s="195" t="s">
        <v>1170</v>
      </c>
      <c r="H1140" s="195" t="s">
        <v>1170</v>
      </c>
      <c r="I1140" s="195" t="s">
        <v>1170</v>
      </c>
      <c r="J1140" s="132">
        <v>0.9</v>
      </c>
      <c r="K1140" s="133">
        <v>0.785714285714286</v>
      </c>
      <c r="L1140" s="133">
        <v>1</v>
      </c>
      <c r="M1140" s="134">
        <v>0.882352941176471</v>
      </c>
      <c r="N1140" s="133">
        <v>0.938775510204082</v>
      </c>
      <c r="O1140" s="135">
        <v>0.9</v>
      </c>
      <c r="P1140" s="133">
        <v>0.980443285528031</v>
      </c>
      <c r="Q1140" s="133">
        <v>0.971071149335418</v>
      </c>
      <c r="R1140" s="133">
        <v>0.988057324840764</v>
      </c>
      <c r="S1140" s="133">
        <v>0.971862210095498</v>
      </c>
      <c r="T1140" s="135">
        <v>0.9</v>
      </c>
      <c r="U1140" s="133">
        <v>0.964797913950456</v>
      </c>
      <c r="V1140" s="133">
        <v>0.963252541047694</v>
      </c>
      <c r="W1140" s="133">
        <v>0.948248407643312</v>
      </c>
      <c r="X1140" s="133">
        <v>0.959967598908595</v>
      </c>
      <c r="Y1140" s="135">
        <v>0.92</v>
      </c>
      <c r="Z1140" s="135">
        <v>0.985148514851485</v>
      </c>
      <c r="AA1140" s="135">
        <v>0.950310559006211</v>
      </c>
      <c r="AB1140" s="135">
        <v>0.954802259887006</v>
      </c>
      <c r="AC1140" s="135">
        <v>0.96742671009772</v>
      </c>
      <c r="AD1140" s="135">
        <v>0.92</v>
      </c>
      <c r="AE1140" s="133">
        <v>0.99708963911525</v>
      </c>
      <c r="AF1140" s="133">
        <v>0.998976458546571</v>
      </c>
      <c r="AG1140" s="133">
        <v>0.999263622974963</v>
      </c>
      <c r="AH1140" s="133">
        <v>0.998300029824038</v>
      </c>
      <c r="AI1140" s="135">
        <v>0.92</v>
      </c>
      <c r="AJ1140" s="133">
        <v>0.982456140350877</v>
      </c>
      <c r="AK1140" s="133">
        <v>0.981944444444444</v>
      </c>
      <c r="AL1140" s="133">
        <v>0.978260869565217</v>
      </c>
      <c r="AM1140" s="133">
        <v>0.982959297463061</v>
      </c>
      <c r="AN1140" s="132">
        <v>0.99</v>
      </c>
      <c r="AO1140" s="137">
        <v>1</v>
      </c>
      <c r="AP1140" s="137">
        <v>1</v>
      </c>
      <c r="AQ1140" s="137">
        <v>1</v>
      </c>
      <c r="AR1140" s="137">
        <v>1</v>
      </c>
      <c r="AS1140" s="158">
        <v>0.0721861525408278</v>
      </c>
      <c r="AT1140" s="141">
        <v>0</v>
      </c>
      <c r="AU1140" s="141">
        <v>0.166666666666667</v>
      </c>
      <c r="AV1140" s="141">
        <v>0</v>
      </c>
      <c r="AW1140" s="141">
        <v>0.037037037037037</v>
      </c>
      <c r="AX1140" s="95"/>
      <c r="AY1140" s="93"/>
    </row>
    <row r="1141" ht="14.5" spans="1:51">
      <c r="A1141" s="91"/>
      <c r="B1141" s="95"/>
      <c r="C1141" s="152" t="s">
        <v>1085</v>
      </c>
      <c r="D1141" s="153" t="s">
        <v>25</v>
      </c>
      <c r="E1141" s="130" t="s">
        <v>1086</v>
      </c>
      <c r="F1141" s="195" t="s">
        <v>1171</v>
      </c>
      <c r="G1141" s="195" t="s">
        <v>1171</v>
      </c>
      <c r="H1141" s="195" t="s">
        <v>1171</v>
      </c>
      <c r="I1141" s="195" t="s">
        <v>1171</v>
      </c>
      <c r="J1141" s="132">
        <v>0.9</v>
      </c>
      <c r="K1141" s="133">
        <v>0.918032786885246</v>
      </c>
      <c r="L1141" s="133">
        <v>0.983606557377049</v>
      </c>
      <c r="M1141" s="134">
        <v>0.970149253731343</v>
      </c>
      <c r="N1141" s="133">
        <v>0.962698412698413</v>
      </c>
      <c r="O1141" s="135">
        <v>0.9</v>
      </c>
      <c r="P1141" s="133">
        <v>0.964991896272285</v>
      </c>
      <c r="Q1141" s="133">
        <v>0.960169491525424</v>
      </c>
      <c r="R1141" s="133">
        <v>0.945404556166536</v>
      </c>
      <c r="S1141" s="133">
        <v>0.96852735620745</v>
      </c>
      <c r="T1141" s="135">
        <v>0.9</v>
      </c>
      <c r="U1141" s="133">
        <v>0.939059967585089</v>
      </c>
      <c r="V1141" s="133">
        <v>0.914618644067797</v>
      </c>
      <c r="W1141" s="133">
        <v>0.940691280439906</v>
      </c>
      <c r="X1141" s="133">
        <v>0.936817225702848</v>
      </c>
      <c r="Y1141" s="135">
        <v>0.92</v>
      </c>
      <c r="Z1141" s="135">
        <v>0.965005302226935</v>
      </c>
      <c r="AA1141" s="135">
        <v>0.962447844228095</v>
      </c>
      <c r="AB1141" s="135">
        <v>0.933477946493131</v>
      </c>
      <c r="AC1141" s="135">
        <v>0.957326852976914</v>
      </c>
      <c r="AD1141" s="135">
        <v>0.92</v>
      </c>
      <c r="AE1141" s="133">
        <v>0.99981738495252</v>
      </c>
      <c r="AF1141" s="133">
        <v>0.996805111821086</v>
      </c>
      <c r="AG1141" s="133">
        <v>0.998548621190131</v>
      </c>
      <c r="AH1141" s="133">
        <v>0.998011012473312</v>
      </c>
      <c r="AI1141" s="135">
        <v>0.92</v>
      </c>
      <c r="AJ1141" s="133">
        <v>0.969960278053625</v>
      </c>
      <c r="AK1141" s="133">
        <v>0.971685971685972</v>
      </c>
      <c r="AL1141" s="133">
        <v>0.9683446571958</v>
      </c>
      <c r="AM1141" s="133">
        <v>0.97602884244904</v>
      </c>
      <c r="AN1141" s="132">
        <v>0.99</v>
      </c>
      <c r="AO1141" s="137">
        <v>1</v>
      </c>
      <c r="AP1141" s="137">
        <v>1</v>
      </c>
      <c r="AQ1141" s="137">
        <v>1</v>
      </c>
      <c r="AR1141" s="137">
        <v>1</v>
      </c>
      <c r="AS1141" s="158">
        <v>0.0721861525408278</v>
      </c>
      <c r="AT1141" s="141">
        <v>0</v>
      </c>
      <c r="AU1141" s="141">
        <v>0.0434782608695652</v>
      </c>
      <c r="AV1141" s="141">
        <v>0</v>
      </c>
      <c r="AW1141" s="141">
        <v>0.0145772594752187</v>
      </c>
      <c r="AX1141" s="95"/>
      <c r="AY1141" s="93"/>
    </row>
    <row r="1142" ht="14.5" spans="1:51">
      <c r="A1142" s="91"/>
      <c r="B1142" s="95"/>
      <c r="C1142" s="152" t="s">
        <v>1085</v>
      </c>
      <c r="D1142" s="153" t="s">
        <v>25</v>
      </c>
      <c r="E1142" s="130" t="s">
        <v>1086</v>
      </c>
      <c r="F1142" s="195" t="s">
        <v>1172</v>
      </c>
      <c r="G1142" s="195" t="s">
        <v>1172</v>
      </c>
      <c r="H1142" s="195" t="s">
        <v>1172</v>
      </c>
      <c r="I1142" s="195" t="s">
        <v>1172</v>
      </c>
      <c r="J1142" s="132">
        <v>0.9</v>
      </c>
      <c r="K1142" s="133">
        <v>0.967741935483871</v>
      </c>
      <c r="L1142" s="133">
        <v>0.971014492753623</v>
      </c>
      <c r="M1142" s="134">
        <v>0.953125</v>
      </c>
      <c r="N1142" s="133">
        <v>0.961943319838057</v>
      </c>
      <c r="O1142" s="135">
        <v>0.9</v>
      </c>
      <c r="P1142" s="133">
        <v>0.989112683723462</v>
      </c>
      <c r="Q1142" s="133">
        <v>0.987645847632121</v>
      </c>
      <c r="R1142" s="133">
        <v>0.9549213556024</v>
      </c>
      <c r="S1142" s="133">
        <v>0.969503740273963</v>
      </c>
      <c r="T1142" s="135">
        <v>0.9</v>
      </c>
      <c r="U1142" s="133">
        <v>0.946379967338051</v>
      </c>
      <c r="V1142" s="133">
        <v>0.948352779684283</v>
      </c>
      <c r="W1142" s="133">
        <v>0.928003891681531</v>
      </c>
      <c r="X1142" s="133">
        <v>0.936949667482138</v>
      </c>
      <c r="Y1142" s="135">
        <v>0.92</v>
      </c>
      <c r="Z1142" s="135">
        <v>0</v>
      </c>
      <c r="AA1142" s="135" t="s">
        <v>35</v>
      </c>
      <c r="AB1142" s="135" t="s">
        <v>35</v>
      </c>
      <c r="AC1142" s="135">
        <v>0.166666666666667</v>
      </c>
      <c r="AD1142" s="135">
        <v>0.92</v>
      </c>
      <c r="AE1142" s="133">
        <v>0.996950289722476</v>
      </c>
      <c r="AF1142" s="133">
        <v>0.992825607064018</v>
      </c>
      <c r="AG1142" s="133">
        <v>0.994665085951393</v>
      </c>
      <c r="AH1142" s="133">
        <v>0.994640122511485</v>
      </c>
      <c r="AI1142" s="135">
        <v>0.92</v>
      </c>
      <c r="AJ1142" s="133">
        <v>0.977167708616472</v>
      </c>
      <c r="AK1142" s="133">
        <v>0.979581331503089</v>
      </c>
      <c r="AL1142" s="133">
        <v>0.984757580671315</v>
      </c>
      <c r="AM1142" s="133">
        <v>0.985534380133176</v>
      </c>
      <c r="AN1142" s="132">
        <v>0.99</v>
      </c>
      <c r="AO1142" s="137">
        <v>1</v>
      </c>
      <c r="AP1142" s="137">
        <v>1</v>
      </c>
      <c r="AQ1142" s="137">
        <v>1</v>
      </c>
      <c r="AR1142" s="137">
        <v>1</v>
      </c>
      <c r="AS1142" s="158">
        <v>0.0721861525408278</v>
      </c>
      <c r="AT1142" s="141">
        <v>0.04</v>
      </c>
      <c r="AU1142" s="141">
        <v>0.152173913043478</v>
      </c>
      <c r="AV1142" s="141">
        <v>0.0277777777777778</v>
      </c>
      <c r="AW1142" s="141">
        <v>0.0646551724137931</v>
      </c>
      <c r="AX1142" s="95"/>
      <c r="AY1142" s="93"/>
    </row>
    <row r="1143" ht="14.5" spans="1:51">
      <c r="A1143" s="91"/>
      <c r="B1143" s="95"/>
      <c r="C1143" s="152" t="s">
        <v>1085</v>
      </c>
      <c r="D1143" s="153" t="s">
        <v>25</v>
      </c>
      <c r="E1143" s="130" t="s">
        <v>1086</v>
      </c>
      <c r="F1143" s="195" t="s">
        <v>1173</v>
      </c>
      <c r="G1143" s="195" t="s">
        <v>1173</v>
      </c>
      <c r="H1143" s="195" t="s">
        <v>1173</v>
      </c>
      <c r="I1143" s="195" t="s">
        <v>1173</v>
      </c>
      <c r="J1143" s="132">
        <v>0.9</v>
      </c>
      <c r="K1143" s="133">
        <v>1</v>
      </c>
      <c r="L1143" s="133">
        <v>0.977272727272727</v>
      </c>
      <c r="M1143" s="134">
        <v>0.977272727272727</v>
      </c>
      <c r="N1143" s="133">
        <v>0.961399276236429</v>
      </c>
      <c r="O1143" s="135">
        <v>0.9</v>
      </c>
      <c r="P1143" s="133">
        <v>0.973996350364963</v>
      </c>
      <c r="Q1143" s="133">
        <v>0.984023668639053</v>
      </c>
      <c r="R1143" s="133">
        <v>0.987327513376514</v>
      </c>
      <c r="S1143" s="133">
        <v>0.983338645649213</v>
      </c>
      <c r="T1143" s="135">
        <v>0.9</v>
      </c>
      <c r="U1143" s="133">
        <v>0.968521897810219</v>
      </c>
      <c r="V1143" s="133">
        <v>0.967455621301775</v>
      </c>
      <c r="W1143" s="133">
        <v>0.956350323852436</v>
      </c>
      <c r="X1143" s="133">
        <v>0.959476688592043</v>
      </c>
      <c r="Y1143" s="135">
        <v>0.92</v>
      </c>
      <c r="Z1143" s="135">
        <v>0.978533094812165</v>
      </c>
      <c r="AA1143" s="135">
        <v>0.989100817438692</v>
      </c>
      <c r="AB1143" s="135">
        <v>0.967280163599182</v>
      </c>
      <c r="AC1143" s="135">
        <v>0.974688524590164</v>
      </c>
      <c r="AD1143" s="135">
        <v>0.92</v>
      </c>
      <c r="AE1143" s="133">
        <v>0.999197431781701</v>
      </c>
      <c r="AF1143" s="133">
        <v>0.998095842589654</v>
      </c>
      <c r="AG1143" s="133">
        <v>0.999323715058611</v>
      </c>
      <c r="AH1143" s="133">
        <v>0.998678405896916</v>
      </c>
      <c r="AI1143" s="135">
        <v>0.92</v>
      </c>
      <c r="AJ1143" s="133">
        <v>0.986550345328971</v>
      </c>
      <c r="AK1143" s="133">
        <v>0.983720309580998</v>
      </c>
      <c r="AL1143" s="133">
        <v>0.981236203090508</v>
      </c>
      <c r="AM1143" s="133">
        <v>0.985476292182828</v>
      </c>
      <c r="AN1143" s="132">
        <v>0.99</v>
      </c>
      <c r="AO1143" s="137">
        <v>1</v>
      </c>
      <c r="AP1143" s="137">
        <v>1</v>
      </c>
      <c r="AQ1143" s="137">
        <v>1</v>
      </c>
      <c r="AR1143" s="137">
        <v>1</v>
      </c>
      <c r="AS1143" s="158">
        <v>0.0721861525408278</v>
      </c>
      <c r="AT1143" s="141">
        <v>0.0526315789473684</v>
      </c>
      <c r="AU1143" s="141">
        <v>0.0434782608695652</v>
      </c>
      <c r="AV1143" s="141">
        <v>0.03125</v>
      </c>
      <c r="AW1143" s="141">
        <v>0.019559902200489</v>
      </c>
      <c r="AX1143" s="95"/>
      <c r="AY1143" s="93"/>
    </row>
    <row r="1144" ht="14.5" spans="1:51">
      <c r="A1144" s="91"/>
      <c r="B1144" s="95"/>
      <c r="C1144" s="152" t="s">
        <v>1085</v>
      </c>
      <c r="D1144" s="153" t="s">
        <v>25</v>
      </c>
      <c r="E1144" s="130" t="s">
        <v>1086</v>
      </c>
      <c r="F1144" s="195" t="s">
        <v>1174</v>
      </c>
      <c r="G1144" s="195" t="s">
        <v>1174</v>
      </c>
      <c r="H1144" s="195" t="s">
        <v>1174</v>
      </c>
      <c r="I1144" s="195" t="s">
        <v>1174</v>
      </c>
      <c r="J1144" s="132">
        <v>0.9</v>
      </c>
      <c r="K1144" s="133">
        <v>0.947368421052632</v>
      </c>
      <c r="L1144" s="133">
        <v>0.739130434782609</v>
      </c>
      <c r="M1144" s="134">
        <v>0.888888888888889</v>
      </c>
      <c r="N1144" s="133">
        <v>0.900804289544236</v>
      </c>
      <c r="O1144" s="135">
        <v>0.9</v>
      </c>
      <c r="P1144" s="133">
        <v>0.975129533678756</v>
      </c>
      <c r="Q1144" s="133">
        <v>0.981884057971015</v>
      </c>
      <c r="R1144" s="133">
        <v>0.950345694531741</v>
      </c>
      <c r="S1144" s="133">
        <v>0.952160437556974</v>
      </c>
      <c r="T1144" s="135">
        <v>0.9</v>
      </c>
      <c r="U1144" s="133">
        <v>0.918134715025907</v>
      </c>
      <c r="V1144" s="133">
        <v>0.93768115942029</v>
      </c>
      <c r="W1144" s="133">
        <v>0.918918918918919</v>
      </c>
      <c r="X1144" s="133">
        <v>0.899106654512306</v>
      </c>
      <c r="Y1144" s="135">
        <v>0.92</v>
      </c>
      <c r="Z1144" s="135">
        <v>0.934782608695652</v>
      </c>
      <c r="AA1144" s="135">
        <v>0.95910780669145</v>
      </c>
      <c r="AB1144" s="135">
        <v>0.937219730941704</v>
      </c>
      <c r="AC1144" s="135">
        <v>0.952589350838804</v>
      </c>
      <c r="AD1144" s="135">
        <v>0.92</v>
      </c>
      <c r="AE1144" s="133">
        <v>0.999042604116802</v>
      </c>
      <c r="AF1144" s="133">
        <v>0.998798076923077</v>
      </c>
      <c r="AG1144" s="133">
        <v>0.999268471104609</v>
      </c>
      <c r="AH1144" s="133">
        <v>0.99859586670622</v>
      </c>
      <c r="AI1144" s="135">
        <v>0.92</v>
      </c>
      <c r="AJ1144" s="133">
        <v>0.947486871717929</v>
      </c>
      <c r="AK1144" s="133">
        <v>0.97089144936325</v>
      </c>
      <c r="AL1144" s="133">
        <v>0.963592233009709</v>
      </c>
      <c r="AM1144" s="133">
        <v>0.970092045239831</v>
      </c>
      <c r="AN1144" s="132">
        <v>0.99</v>
      </c>
      <c r="AO1144" s="137">
        <v>1</v>
      </c>
      <c r="AP1144" s="137">
        <v>1</v>
      </c>
      <c r="AQ1144" s="137">
        <v>1</v>
      </c>
      <c r="AR1144" s="137">
        <v>1</v>
      </c>
      <c r="AS1144" s="158">
        <v>0.0721861525408278</v>
      </c>
      <c r="AT1144" s="141">
        <v>0.142857142857143</v>
      </c>
      <c r="AU1144" s="141">
        <v>0</v>
      </c>
      <c r="AV1144" s="141">
        <v>0</v>
      </c>
      <c r="AW1144" s="141">
        <v>0.0306748466257669</v>
      </c>
      <c r="AX1144" s="95"/>
      <c r="AY1144" s="93"/>
    </row>
    <row r="1145" ht="14.5" spans="1:51">
      <c r="A1145" s="91"/>
      <c r="B1145" s="95"/>
      <c r="C1145" s="152" t="s">
        <v>1085</v>
      </c>
      <c r="D1145" s="153" t="s">
        <v>25</v>
      </c>
      <c r="E1145" s="130" t="s">
        <v>1086</v>
      </c>
      <c r="F1145" s="195" t="s">
        <v>1175</v>
      </c>
      <c r="G1145" s="195" t="s">
        <v>1175</v>
      </c>
      <c r="H1145" s="195" t="s">
        <v>1175</v>
      </c>
      <c r="I1145" s="195" t="s">
        <v>1175</v>
      </c>
      <c r="J1145" s="132">
        <v>0.9</v>
      </c>
      <c r="K1145" s="133">
        <v>0.96551724137931</v>
      </c>
      <c r="L1145" s="133">
        <v>1</v>
      </c>
      <c r="M1145" s="134">
        <v>1</v>
      </c>
      <c r="N1145" s="133">
        <v>0.98134328358209</v>
      </c>
      <c r="O1145" s="135">
        <v>0.9</v>
      </c>
      <c r="P1145" s="133">
        <v>0.99083269671505</v>
      </c>
      <c r="Q1145" s="133">
        <v>0.981206726013848</v>
      </c>
      <c r="R1145" s="133">
        <v>0.985307212822796</v>
      </c>
      <c r="S1145" s="133">
        <v>0.985384479227249</v>
      </c>
      <c r="T1145" s="135">
        <v>0.9</v>
      </c>
      <c r="U1145" s="133">
        <v>0.951871657754011</v>
      </c>
      <c r="V1145" s="133">
        <v>0.934223541048467</v>
      </c>
      <c r="W1145" s="133">
        <v>0.934995547640249</v>
      </c>
      <c r="X1145" s="133">
        <v>0.936227779604015</v>
      </c>
      <c r="Y1145" s="135">
        <v>0.92</v>
      </c>
      <c r="Z1145" s="135">
        <v>0.966216216216216</v>
      </c>
      <c r="AA1145" s="135">
        <v>0.979838709677419</v>
      </c>
      <c r="AB1145" s="135">
        <v>0.957407407407407</v>
      </c>
      <c r="AC1145" s="135">
        <v>0.97268303472683</v>
      </c>
      <c r="AD1145" s="135">
        <v>0.92</v>
      </c>
      <c r="AE1145" s="133">
        <v>0.99685534591195</v>
      </c>
      <c r="AF1145" s="133">
        <v>0.995798319327731</v>
      </c>
      <c r="AG1145" s="133">
        <v>1</v>
      </c>
      <c r="AH1145" s="133">
        <v>0.992629716981132</v>
      </c>
      <c r="AI1145" s="135">
        <v>0.92</v>
      </c>
      <c r="AJ1145" s="133">
        <v>0.974358974358974</v>
      </c>
      <c r="AK1145" s="133">
        <v>0.980616740088106</v>
      </c>
      <c r="AL1145" s="133">
        <v>0.98205312275664</v>
      </c>
      <c r="AM1145" s="133">
        <v>0.984133190648666</v>
      </c>
      <c r="AN1145" s="132">
        <v>0.99</v>
      </c>
      <c r="AO1145" s="137">
        <v>1</v>
      </c>
      <c r="AP1145" s="137">
        <v>1</v>
      </c>
      <c r="AQ1145" s="137">
        <v>1</v>
      </c>
      <c r="AR1145" s="137">
        <v>1</v>
      </c>
      <c r="AS1145" s="158">
        <v>0.0721861525408278</v>
      </c>
      <c r="AT1145" s="141">
        <v>0</v>
      </c>
      <c r="AU1145" s="141">
        <v>0.0769230769230769</v>
      </c>
      <c r="AV1145" s="141">
        <v>0</v>
      </c>
      <c r="AW1145" s="141">
        <v>0.0482758620689655</v>
      </c>
      <c r="AX1145" s="95"/>
      <c r="AY1145" s="93"/>
    </row>
    <row r="1146" ht="14.5" spans="1:51">
      <c r="A1146" s="91"/>
      <c r="B1146" s="95"/>
      <c r="C1146" s="152" t="s">
        <v>1085</v>
      </c>
      <c r="D1146" s="153" t="s">
        <v>25</v>
      </c>
      <c r="E1146" s="130" t="s">
        <v>1086</v>
      </c>
      <c r="F1146" s="195" t="s">
        <v>1176</v>
      </c>
      <c r="G1146" s="195" t="s">
        <v>1176</v>
      </c>
      <c r="H1146" s="195" t="s">
        <v>1176</v>
      </c>
      <c r="I1146" s="195" t="s">
        <v>1176</v>
      </c>
      <c r="J1146" s="132">
        <v>0.9</v>
      </c>
      <c r="K1146" s="133">
        <v>0.966666666666667</v>
      </c>
      <c r="L1146" s="133">
        <v>0.934426229508197</v>
      </c>
      <c r="M1146" s="134">
        <v>0.936507936507937</v>
      </c>
      <c r="N1146" s="133">
        <v>0.896520963425513</v>
      </c>
      <c r="O1146" s="135">
        <v>0.9</v>
      </c>
      <c r="P1146" s="133">
        <v>0.959109042553192</v>
      </c>
      <c r="Q1146" s="133">
        <v>0.916171477079796</v>
      </c>
      <c r="R1146" s="133">
        <v>0.903298969072165</v>
      </c>
      <c r="S1146" s="133">
        <v>0.896318130106526</v>
      </c>
      <c r="T1146" s="135">
        <v>0.9</v>
      </c>
      <c r="U1146" s="133">
        <v>0.921542553191489</v>
      </c>
      <c r="V1146" s="133">
        <v>0.911926994906621</v>
      </c>
      <c r="W1146" s="133">
        <v>0.904742268041237</v>
      </c>
      <c r="X1146" s="133">
        <v>0.902854483400559</v>
      </c>
      <c r="Y1146" s="135">
        <v>0.92</v>
      </c>
      <c r="Z1146" s="135">
        <v>0.930025445292621</v>
      </c>
      <c r="AA1146" s="135">
        <v>0.922955974842767</v>
      </c>
      <c r="AB1146" s="135">
        <v>0.913963328631876</v>
      </c>
      <c r="AC1146" s="135">
        <v>0.928991817790325</v>
      </c>
      <c r="AD1146" s="135">
        <v>0.92</v>
      </c>
      <c r="AE1146" s="133">
        <v>0.998925886143931</v>
      </c>
      <c r="AF1146" s="133">
        <v>0.997333333333333</v>
      </c>
      <c r="AG1146" s="133">
        <v>0.996644295302013</v>
      </c>
      <c r="AH1146" s="133">
        <v>0.99601190099386</v>
      </c>
      <c r="AI1146" s="135">
        <v>0.92</v>
      </c>
      <c r="AJ1146" s="133">
        <v>0.957301001581444</v>
      </c>
      <c r="AK1146" s="133">
        <v>0.945026178010471</v>
      </c>
      <c r="AL1146" s="133">
        <v>0.939055520102106</v>
      </c>
      <c r="AM1146" s="133">
        <v>0.95902852186336</v>
      </c>
      <c r="AN1146" s="132">
        <v>0.99</v>
      </c>
      <c r="AO1146" s="137">
        <v>1</v>
      </c>
      <c r="AP1146" s="137">
        <v>1</v>
      </c>
      <c r="AQ1146" s="137">
        <v>1</v>
      </c>
      <c r="AR1146" s="137">
        <v>1</v>
      </c>
      <c r="AS1146" s="158">
        <v>0.0721861525408278</v>
      </c>
      <c r="AT1146" s="141">
        <v>0</v>
      </c>
      <c r="AU1146" s="141">
        <v>0.0454545454545455</v>
      </c>
      <c r="AV1146" s="141">
        <v>0.0555555555555556</v>
      </c>
      <c r="AW1146" s="141">
        <v>0.0203784570596798</v>
      </c>
      <c r="AX1146" s="95"/>
      <c r="AY1146" s="93"/>
    </row>
    <row r="1147" ht="14.5" spans="1:51">
      <c r="A1147" s="91"/>
      <c r="B1147" s="95"/>
      <c r="C1147" s="152" t="s">
        <v>1085</v>
      </c>
      <c r="D1147" s="153" t="s">
        <v>25</v>
      </c>
      <c r="E1147" s="130" t="s">
        <v>1086</v>
      </c>
      <c r="F1147" s="195" t="s">
        <v>1177</v>
      </c>
      <c r="G1147" s="195" t="s">
        <v>1177</v>
      </c>
      <c r="H1147" s="195" t="s">
        <v>1177</v>
      </c>
      <c r="I1147" s="195" t="s">
        <v>1177</v>
      </c>
      <c r="J1147" s="132">
        <v>0.9</v>
      </c>
      <c r="K1147" s="133">
        <v>0.925925925925926</v>
      </c>
      <c r="L1147" s="133">
        <v>0.890909090909091</v>
      </c>
      <c r="M1147" s="134">
        <v>0.982758620689655</v>
      </c>
      <c r="N1147" s="133">
        <v>0.967181467181467</v>
      </c>
      <c r="O1147" s="135">
        <v>0.9</v>
      </c>
      <c r="P1147" s="133">
        <v>0.987678855325914</v>
      </c>
      <c r="Q1147" s="133">
        <v>0.990040858018386</v>
      </c>
      <c r="R1147" s="133">
        <v>0.989603024574669</v>
      </c>
      <c r="S1147" s="133">
        <v>0.986818579277763</v>
      </c>
      <c r="T1147" s="135">
        <v>0.9</v>
      </c>
      <c r="U1147" s="133">
        <v>0.963434022257552</v>
      </c>
      <c r="V1147" s="133">
        <v>0.949948927477017</v>
      </c>
      <c r="W1147" s="133">
        <v>0.950378071833648</v>
      </c>
      <c r="X1147" s="133">
        <v>0.950680605040262</v>
      </c>
      <c r="Y1147" s="135">
        <v>0.92</v>
      </c>
      <c r="Z1147" s="135">
        <v>0.994974874371859</v>
      </c>
      <c r="AA1147" s="135">
        <v>0.978297161936561</v>
      </c>
      <c r="AB1147" s="135">
        <v>0.981038746908491</v>
      </c>
      <c r="AC1147" s="135">
        <v>0.98339363027104</v>
      </c>
      <c r="AD1147" s="135">
        <v>0.92</v>
      </c>
      <c r="AE1147" s="133">
        <v>0.994547437295529</v>
      </c>
      <c r="AF1147" s="133">
        <v>0.998479665526416</v>
      </c>
      <c r="AG1147" s="133">
        <v>0.996722207047255</v>
      </c>
      <c r="AH1147" s="133">
        <v>0.99560825011233</v>
      </c>
      <c r="AI1147" s="135">
        <v>0.92</v>
      </c>
      <c r="AJ1147" s="133">
        <v>0.988114359139094</v>
      </c>
      <c r="AK1147" s="133">
        <v>0.988704318936877</v>
      </c>
      <c r="AL1147" s="133">
        <v>0.989715335169881</v>
      </c>
      <c r="AM1147" s="133">
        <v>0.991185940291163</v>
      </c>
      <c r="AN1147" s="132">
        <v>0.99</v>
      </c>
      <c r="AO1147" s="137">
        <v>1</v>
      </c>
      <c r="AP1147" s="137">
        <v>1</v>
      </c>
      <c r="AQ1147" s="137">
        <v>1</v>
      </c>
      <c r="AR1147" s="137">
        <v>1</v>
      </c>
      <c r="AS1147" s="158">
        <v>0.0721861525408278</v>
      </c>
      <c r="AT1147" s="141">
        <v>0</v>
      </c>
      <c r="AU1147" s="141">
        <v>0.0666666666666667</v>
      </c>
      <c r="AV1147" s="141">
        <v>0.037037037037037</v>
      </c>
      <c r="AW1147" s="141">
        <v>0.0295454545454545</v>
      </c>
      <c r="AX1147" s="95"/>
      <c r="AY1147" s="93"/>
    </row>
    <row r="1148" ht="14.5" spans="1:51">
      <c r="A1148" s="91"/>
      <c r="B1148" s="95"/>
      <c r="C1148" s="152" t="s">
        <v>1085</v>
      </c>
      <c r="D1148" s="153" t="s">
        <v>25</v>
      </c>
      <c r="E1148" s="130" t="s">
        <v>1086</v>
      </c>
      <c r="F1148" s="195" t="s">
        <v>1178</v>
      </c>
      <c r="G1148" s="195" t="s">
        <v>1178</v>
      </c>
      <c r="H1148" s="195" t="s">
        <v>1178</v>
      </c>
      <c r="I1148" s="195" t="s">
        <v>1178</v>
      </c>
      <c r="J1148" s="132">
        <v>0.9</v>
      </c>
      <c r="K1148" s="133">
        <v>0.946428571428571</v>
      </c>
      <c r="L1148" s="133">
        <v>0.981818181818182</v>
      </c>
      <c r="M1148" s="134">
        <v>0.964285714285714</v>
      </c>
      <c r="N1148" s="133">
        <v>0.907649253731343</v>
      </c>
      <c r="O1148" s="135">
        <v>0.9</v>
      </c>
      <c r="P1148" s="133">
        <v>0.948727015558699</v>
      </c>
      <c r="Q1148" s="133">
        <v>0.963041933191187</v>
      </c>
      <c r="R1148" s="133">
        <v>0.960595446584939</v>
      </c>
      <c r="S1148" s="133">
        <v>0.946733177521192</v>
      </c>
      <c r="T1148" s="135">
        <v>0.9</v>
      </c>
      <c r="U1148" s="133">
        <v>0.955091937765205</v>
      </c>
      <c r="V1148" s="133">
        <v>0.934612651030561</v>
      </c>
      <c r="W1148" s="133">
        <v>0.920096322241681</v>
      </c>
      <c r="X1148" s="133">
        <v>0.911408006883641</v>
      </c>
      <c r="Y1148" s="135">
        <v>0.92</v>
      </c>
      <c r="Z1148" s="135">
        <v>0.951289398280802</v>
      </c>
      <c r="AA1148" s="135">
        <v>0.968063872255489</v>
      </c>
      <c r="AB1148" s="135">
        <v>0.960403726708075</v>
      </c>
      <c r="AC1148" s="135">
        <v>0.968148018033843</v>
      </c>
      <c r="AD1148" s="135">
        <v>0.92</v>
      </c>
      <c r="AE1148" s="133">
        <v>0.999559277214632</v>
      </c>
      <c r="AF1148" s="133">
        <v>0.99926873857404</v>
      </c>
      <c r="AG1148" s="133">
        <v>0.998557830977791</v>
      </c>
      <c r="AH1148" s="133">
        <v>0.997036725486073</v>
      </c>
      <c r="AI1148" s="135">
        <v>0.92</v>
      </c>
      <c r="AJ1148" s="133">
        <v>0.97531914893617</v>
      </c>
      <c r="AK1148" s="133">
        <v>0.987081745023295</v>
      </c>
      <c r="AL1148" s="133">
        <v>0.98258791396381</v>
      </c>
      <c r="AM1148" s="133">
        <v>0.985380854448799</v>
      </c>
      <c r="AN1148" s="132">
        <v>0.99</v>
      </c>
      <c r="AO1148" s="137">
        <v>1</v>
      </c>
      <c r="AP1148" s="137">
        <v>1</v>
      </c>
      <c r="AQ1148" s="137">
        <v>1</v>
      </c>
      <c r="AR1148" s="137">
        <v>1</v>
      </c>
      <c r="AS1148" s="158">
        <v>0.0721861525408278</v>
      </c>
      <c r="AT1148" s="141">
        <v>0</v>
      </c>
      <c r="AU1148" s="141">
        <v>0</v>
      </c>
      <c r="AV1148" s="141">
        <v>0</v>
      </c>
      <c r="AW1148" s="141">
        <v>0.0292553191489362</v>
      </c>
      <c r="AX1148" s="95"/>
      <c r="AY1148" s="93"/>
    </row>
    <row r="1149" ht="14.5" spans="1:51">
      <c r="A1149" s="91"/>
      <c r="B1149" s="95"/>
      <c r="C1149" s="152" t="s">
        <v>1085</v>
      </c>
      <c r="D1149" s="153" t="s">
        <v>25</v>
      </c>
      <c r="E1149" s="130" t="s">
        <v>1086</v>
      </c>
      <c r="F1149" s="195" t="s">
        <v>1179</v>
      </c>
      <c r="G1149" s="195" t="s">
        <v>1179</v>
      </c>
      <c r="H1149" s="195" t="s">
        <v>1179</v>
      </c>
      <c r="I1149" s="195" t="s">
        <v>1179</v>
      </c>
      <c r="J1149" s="132">
        <v>0.9</v>
      </c>
      <c r="K1149" s="133">
        <v>0.971428571428571</v>
      </c>
      <c r="L1149" s="133">
        <v>1</v>
      </c>
      <c r="M1149" s="134">
        <v>1</v>
      </c>
      <c r="N1149" s="133">
        <v>0.982857142857143</v>
      </c>
      <c r="O1149" s="135">
        <v>0.9</v>
      </c>
      <c r="P1149" s="133">
        <v>0.990265486725664</v>
      </c>
      <c r="Q1149" s="133">
        <v>0.991947080816796</v>
      </c>
      <c r="R1149" s="133">
        <v>0.993656922228351</v>
      </c>
      <c r="S1149" s="133">
        <v>0.991897278872263</v>
      </c>
      <c r="T1149" s="135">
        <v>0.9</v>
      </c>
      <c r="U1149" s="133">
        <v>0.965044247787611</v>
      </c>
      <c r="V1149" s="133">
        <v>0.952545297670406</v>
      </c>
      <c r="W1149" s="133">
        <v>0.963596249310535</v>
      </c>
      <c r="X1149" s="133">
        <v>0.956843260731411</v>
      </c>
      <c r="Y1149" s="135">
        <v>0.92</v>
      </c>
      <c r="Z1149" s="135">
        <v>0.972265023112481</v>
      </c>
      <c r="AA1149" s="135">
        <v>0.97867298578199</v>
      </c>
      <c r="AB1149" s="135">
        <v>0.97741273100616</v>
      </c>
      <c r="AC1149" s="135">
        <v>0.984596676124848</v>
      </c>
      <c r="AD1149" s="135">
        <v>0.92</v>
      </c>
      <c r="AE1149" s="133">
        <v>1</v>
      </c>
      <c r="AF1149" s="133">
        <v>0.997455470737914</v>
      </c>
      <c r="AG1149" s="133">
        <v>0.998336106489185</v>
      </c>
      <c r="AH1149" s="133">
        <v>0.998713991769547</v>
      </c>
      <c r="AI1149" s="135">
        <v>0.92</v>
      </c>
      <c r="AJ1149" s="133">
        <v>0.986593331041595</v>
      </c>
      <c r="AK1149" s="133">
        <v>0.98820210310336</v>
      </c>
      <c r="AL1149" s="133">
        <v>0.991086956521739</v>
      </c>
      <c r="AM1149" s="133">
        <v>0.993122322703475</v>
      </c>
      <c r="AN1149" s="132">
        <v>0.99</v>
      </c>
      <c r="AO1149" s="137">
        <v>1</v>
      </c>
      <c r="AP1149" s="137">
        <v>1</v>
      </c>
      <c r="AQ1149" s="137">
        <v>1</v>
      </c>
      <c r="AR1149" s="137">
        <v>1</v>
      </c>
      <c r="AS1149" s="158">
        <v>0.0721861525408278</v>
      </c>
      <c r="AT1149" s="141">
        <v>0</v>
      </c>
      <c r="AU1149" s="141">
        <v>0</v>
      </c>
      <c r="AV1149" s="141">
        <v>0.0555555555555556</v>
      </c>
      <c r="AW1149" s="141">
        <v>0.0253623188405797</v>
      </c>
      <c r="AX1149" s="95"/>
      <c r="AY1149" s="93"/>
    </row>
    <row r="1150" ht="14.5" spans="1:51">
      <c r="A1150" s="91"/>
      <c r="B1150" s="95"/>
      <c r="C1150" s="152" t="s">
        <v>1085</v>
      </c>
      <c r="D1150" s="153" t="s">
        <v>25</v>
      </c>
      <c r="E1150" s="130" t="s">
        <v>1086</v>
      </c>
      <c r="F1150" s="195" t="s">
        <v>1180</v>
      </c>
      <c r="G1150" s="195" t="s">
        <v>1180</v>
      </c>
      <c r="H1150" s="195" t="s">
        <v>1180</v>
      </c>
      <c r="I1150" s="195" t="s">
        <v>1180</v>
      </c>
      <c r="J1150" s="132">
        <v>0.9</v>
      </c>
      <c r="K1150" s="133">
        <v>0.958333333333333</v>
      </c>
      <c r="L1150" s="133">
        <v>0.958333333333333</v>
      </c>
      <c r="M1150" s="134">
        <v>0.807692307692308</v>
      </c>
      <c r="N1150" s="133">
        <v>0.93695652173913</v>
      </c>
      <c r="O1150" s="135">
        <v>0.9</v>
      </c>
      <c r="P1150" s="133">
        <v>0.990634005763689</v>
      </c>
      <c r="Q1150" s="133">
        <v>0.989351403678606</v>
      </c>
      <c r="R1150" s="133">
        <v>0.982423681776133</v>
      </c>
      <c r="S1150" s="133">
        <v>0.977955408088882</v>
      </c>
      <c r="T1150" s="135">
        <v>0.9</v>
      </c>
      <c r="U1150" s="133">
        <v>0.961095100864553</v>
      </c>
      <c r="V1150" s="133">
        <v>0.972410454985479</v>
      </c>
      <c r="W1150" s="133">
        <v>0.964847363552266</v>
      </c>
      <c r="X1150" s="133">
        <v>0.954628861574039</v>
      </c>
      <c r="Y1150" s="135">
        <v>0.92</v>
      </c>
      <c r="Z1150" s="135">
        <v>0.942307692307692</v>
      </c>
      <c r="AA1150" s="135">
        <v>0.934065934065934</v>
      </c>
      <c r="AB1150" s="135">
        <v>0.957878315132605</v>
      </c>
      <c r="AC1150" s="135">
        <v>0.964868821078707</v>
      </c>
      <c r="AD1150" s="135">
        <v>0.92</v>
      </c>
      <c r="AE1150" s="133">
        <v>0.997081712062257</v>
      </c>
      <c r="AF1150" s="133">
        <v>0.999170124481328</v>
      </c>
      <c r="AG1150" s="133">
        <v>0.997918112421929</v>
      </c>
      <c r="AH1150" s="133">
        <v>0.997045850026304</v>
      </c>
      <c r="AI1150" s="135">
        <v>0.92</v>
      </c>
      <c r="AJ1150" s="133">
        <v>0.972602739726027</v>
      </c>
      <c r="AK1150" s="133">
        <v>0.983753740914921</v>
      </c>
      <c r="AL1150" s="133">
        <v>0.978594363182305</v>
      </c>
      <c r="AM1150" s="133">
        <v>0.984732353847734</v>
      </c>
      <c r="AN1150" s="132">
        <v>0.99</v>
      </c>
      <c r="AO1150" s="137">
        <v>1</v>
      </c>
      <c r="AP1150" s="137">
        <v>1</v>
      </c>
      <c r="AQ1150" s="137">
        <v>1</v>
      </c>
      <c r="AR1150" s="137">
        <v>1</v>
      </c>
      <c r="AS1150" s="158">
        <v>0.0721861525408278</v>
      </c>
      <c r="AT1150" s="141">
        <v>0</v>
      </c>
      <c r="AU1150" s="141">
        <v>0</v>
      </c>
      <c r="AV1150" s="141">
        <v>0</v>
      </c>
      <c r="AW1150" s="141">
        <v>0.0268456375838926</v>
      </c>
      <c r="AX1150" s="95"/>
      <c r="AY1150" s="93"/>
    </row>
    <row r="1151" ht="14.5" spans="1:51">
      <c r="A1151" s="91"/>
      <c r="B1151" s="95"/>
      <c r="C1151" s="152" t="s">
        <v>1085</v>
      </c>
      <c r="D1151" s="153" t="s">
        <v>25</v>
      </c>
      <c r="E1151" s="130" t="s">
        <v>1086</v>
      </c>
      <c r="F1151" s="195" t="s">
        <v>1181</v>
      </c>
      <c r="G1151" s="195" t="s">
        <v>1181</v>
      </c>
      <c r="H1151" s="195" t="s">
        <v>1181</v>
      </c>
      <c r="I1151" s="195" t="s">
        <v>1181</v>
      </c>
      <c r="J1151" s="132">
        <v>0.9</v>
      </c>
      <c r="K1151" s="133">
        <v>0.960526315789474</v>
      </c>
      <c r="L1151" s="133">
        <v>0.962025316455696</v>
      </c>
      <c r="M1151" s="134">
        <v>0.973333333333333</v>
      </c>
      <c r="N1151" s="133">
        <v>0.980821917808219</v>
      </c>
      <c r="O1151" s="135">
        <v>0.9</v>
      </c>
      <c r="P1151" s="133">
        <v>0.960497835497836</v>
      </c>
      <c r="Q1151" s="133">
        <v>0.949487554904832</v>
      </c>
      <c r="R1151" s="133">
        <v>0.959771111496445</v>
      </c>
      <c r="S1151" s="133">
        <v>0.961601023485333</v>
      </c>
      <c r="T1151" s="135">
        <v>0.9</v>
      </c>
      <c r="U1151" s="133">
        <v>0.939935064935065</v>
      </c>
      <c r="V1151" s="133">
        <v>0.919106881405564</v>
      </c>
      <c r="W1151" s="133">
        <v>0.899601179122594</v>
      </c>
      <c r="X1151" s="133">
        <v>0.926628895184136</v>
      </c>
      <c r="Y1151" s="135">
        <v>0.92</v>
      </c>
      <c r="Z1151" s="135">
        <v>0.964250248262165</v>
      </c>
      <c r="AA1151" s="135">
        <v>0.933238636363636</v>
      </c>
      <c r="AB1151" s="135">
        <v>0.918447694038245</v>
      </c>
      <c r="AC1151" s="135">
        <v>0.957119360902256</v>
      </c>
      <c r="AD1151" s="135">
        <v>0.92</v>
      </c>
      <c r="AE1151" s="133">
        <v>0.997501561524047</v>
      </c>
      <c r="AF1151" s="133">
        <v>0.997481108312343</v>
      </c>
      <c r="AG1151" s="133">
        <v>0.99581589958159</v>
      </c>
      <c r="AH1151" s="133">
        <v>0.995129496166124</v>
      </c>
      <c r="AI1151" s="135">
        <v>0.92</v>
      </c>
      <c r="AJ1151" s="133">
        <v>0.969381246013183</v>
      </c>
      <c r="AK1151" s="133">
        <v>0.960278858625162</v>
      </c>
      <c r="AL1151" s="133">
        <v>0.951225977468522</v>
      </c>
      <c r="AM1151" s="133">
        <v>0.974001822613747</v>
      </c>
      <c r="AN1151" s="132">
        <v>0.99</v>
      </c>
      <c r="AO1151" s="137">
        <v>1</v>
      </c>
      <c r="AP1151" s="137">
        <v>1</v>
      </c>
      <c r="AQ1151" s="137">
        <v>1</v>
      </c>
      <c r="AR1151" s="137">
        <v>1</v>
      </c>
      <c r="AS1151" s="158">
        <v>0.0721861525408278</v>
      </c>
      <c r="AT1151" s="141">
        <v>0</v>
      </c>
      <c r="AU1151" s="141">
        <v>0.0384615384615385</v>
      </c>
      <c r="AV1151" s="141">
        <v>0.0434782608695652</v>
      </c>
      <c r="AW1151" s="141">
        <v>0.043859649122807</v>
      </c>
      <c r="AX1151" s="95"/>
      <c r="AY1151" s="93"/>
    </row>
    <row r="1152" ht="14.5" spans="1:51">
      <c r="A1152" s="91"/>
      <c r="B1152" s="95"/>
      <c r="C1152" s="152" t="s">
        <v>1085</v>
      </c>
      <c r="D1152" s="153" t="s">
        <v>25</v>
      </c>
      <c r="E1152" s="130" t="s">
        <v>1086</v>
      </c>
      <c r="F1152" s="195" t="s">
        <v>1182</v>
      </c>
      <c r="G1152" s="195" t="s">
        <v>1182</v>
      </c>
      <c r="H1152" s="195" t="s">
        <v>1182</v>
      </c>
      <c r="I1152" s="195" t="s">
        <v>1182</v>
      </c>
      <c r="J1152" s="132">
        <v>0.9</v>
      </c>
      <c r="K1152" s="133">
        <v>0.938775510204082</v>
      </c>
      <c r="L1152" s="133">
        <v>0.96078431372549</v>
      </c>
      <c r="M1152" s="134">
        <v>0.981481481481482</v>
      </c>
      <c r="N1152" s="133">
        <v>0.937</v>
      </c>
      <c r="O1152" s="135">
        <v>0.9</v>
      </c>
      <c r="P1152" s="133">
        <v>0.958575300038715</v>
      </c>
      <c r="Q1152" s="133">
        <v>0.9541015625</v>
      </c>
      <c r="R1152" s="133">
        <v>0.951597962019453</v>
      </c>
      <c r="S1152" s="133">
        <v>0.941346823108283</v>
      </c>
      <c r="T1152" s="135">
        <v>0.9</v>
      </c>
      <c r="U1152" s="133">
        <v>0.883468834688347</v>
      </c>
      <c r="V1152" s="133">
        <v>0.868408203125</v>
      </c>
      <c r="W1152" s="133">
        <v>0.855488652153775</v>
      </c>
      <c r="X1152" s="133">
        <v>0.877697126379636</v>
      </c>
      <c r="Y1152" s="135">
        <v>0.92</v>
      </c>
      <c r="Z1152" s="135">
        <v>0.88663967611336</v>
      </c>
      <c r="AA1152" s="135">
        <v>0.888123924268503</v>
      </c>
      <c r="AB1152" s="135">
        <v>0.87133984028394</v>
      </c>
      <c r="AC1152" s="135">
        <v>0.905870739213751</v>
      </c>
      <c r="AD1152" s="135">
        <v>0.92</v>
      </c>
      <c r="AE1152" s="133">
        <v>0.998477929984779</v>
      </c>
      <c r="AF1152" s="133">
        <v>0.967391304347826</v>
      </c>
      <c r="AG1152" s="133">
        <v>0.995951417004049</v>
      </c>
      <c r="AH1152" s="133">
        <v>0.985466710540748</v>
      </c>
      <c r="AI1152" s="135">
        <v>0.92</v>
      </c>
      <c r="AJ1152" s="133">
        <v>0.94193742478941</v>
      </c>
      <c r="AK1152" s="133">
        <v>0.962796664528544</v>
      </c>
      <c r="AL1152" s="133">
        <v>0.951331496786042</v>
      </c>
      <c r="AM1152" s="133">
        <v>0.967035217035217</v>
      </c>
      <c r="AN1152" s="132">
        <v>0.99</v>
      </c>
      <c r="AO1152" s="137">
        <v>1</v>
      </c>
      <c r="AP1152" s="137">
        <v>1</v>
      </c>
      <c r="AQ1152" s="137">
        <v>1</v>
      </c>
      <c r="AR1152" s="137">
        <v>1</v>
      </c>
      <c r="AS1152" s="158">
        <v>0.0721861525408278</v>
      </c>
      <c r="AT1152" s="141">
        <v>0.0625</v>
      </c>
      <c r="AU1152" s="141">
        <v>0.0769230769230769</v>
      </c>
      <c r="AV1152" s="141">
        <v>0.0555555555555556</v>
      </c>
      <c r="AW1152" s="141">
        <v>0.0217391304347826</v>
      </c>
      <c r="AX1152" s="95"/>
      <c r="AY1152" s="93"/>
    </row>
    <row r="1153" ht="14.5" spans="1:51">
      <c r="A1153" s="91"/>
      <c r="B1153" s="95"/>
      <c r="C1153" s="152" t="s">
        <v>1085</v>
      </c>
      <c r="D1153" s="153" t="s">
        <v>25</v>
      </c>
      <c r="E1153" s="130" t="s">
        <v>1086</v>
      </c>
      <c r="F1153" s="195" t="s">
        <v>1183</v>
      </c>
      <c r="G1153" s="195" t="s">
        <v>1183</v>
      </c>
      <c r="H1153" s="195" t="s">
        <v>1183</v>
      </c>
      <c r="I1153" s="195" t="s">
        <v>1183</v>
      </c>
      <c r="J1153" s="132">
        <v>0.9</v>
      </c>
      <c r="K1153" s="133">
        <v>0.951219512195122</v>
      </c>
      <c r="L1153" s="133">
        <v>0.975</v>
      </c>
      <c r="M1153" s="134">
        <v>0.951219512195122</v>
      </c>
      <c r="N1153" s="133">
        <v>0.951156812339332</v>
      </c>
      <c r="O1153" s="135">
        <v>0.9</v>
      </c>
      <c r="P1153" s="133">
        <v>0.915460065390005</v>
      </c>
      <c r="Q1153" s="133">
        <v>0.940056197315017</v>
      </c>
      <c r="R1153" s="133">
        <v>0.921255180580225</v>
      </c>
      <c r="S1153" s="133">
        <v>0.926446227303732</v>
      </c>
      <c r="T1153" s="135">
        <v>0.9</v>
      </c>
      <c r="U1153" s="133">
        <v>0.872489490892106</v>
      </c>
      <c r="V1153" s="133">
        <v>0.891039650327818</v>
      </c>
      <c r="W1153" s="133">
        <v>0.857015985790408</v>
      </c>
      <c r="X1153" s="133">
        <v>0.873712930782473</v>
      </c>
      <c r="Y1153" s="135">
        <v>0.92</v>
      </c>
      <c r="Z1153" s="135">
        <v>0.963396778916545</v>
      </c>
      <c r="AA1153" s="135">
        <v>0.926565874730022</v>
      </c>
      <c r="AB1153" s="135">
        <v>0.949438202247191</v>
      </c>
      <c r="AC1153" s="135">
        <v>0.949652531555808</v>
      </c>
      <c r="AD1153" s="135">
        <v>0.92</v>
      </c>
      <c r="AE1153" s="133">
        <v>0.987051792828685</v>
      </c>
      <c r="AF1153" s="133">
        <v>0.879120879120879</v>
      </c>
      <c r="AG1153" s="133">
        <v>0.989106753812636</v>
      </c>
      <c r="AH1153" s="133">
        <v>0.992163464329251</v>
      </c>
      <c r="AI1153" s="135">
        <v>0.92</v>
      </c>
      <c r="AJ1153" s="133">
        <v>0.953257790368272</v>
      </c>
      <c r="AK1153" s="133">
        <v>0.965084560829242</v>
      </c>
      <c r="AL1153" s="133">
        <v>0.966719136496515</v>
      </c>
      <c r="AM1153" s="133">
        <v>0.971656602227831</v>
      </c>
      <c r="AN1153" s="132">
        <v>0.99</v>
      </c>
      <c r="AO1153" s="137">
        <v>1</v>
      </c>
      <c r="AP1153" s="137">
        <v>1</v>
      </c>
      <c r="AQ1153" s="137">
        <v>1</v>
      </c>
      <c r="AR1153" s="137">
        <v>1</v>
      </c>
      <c r="AS1153" s="158">
        <v>0.0721861525408278</v>
      </c>
      <c r="AT1153" s="141">
        <v>0</v>
      </c>
      <c r="AU1153" s="141">
        <v>0.0666666666666667</v>
      </c>
      <c r="AV1153" s="141">
        <v>0</v>
      </c>
      <c r="AW1153" s="141">
        <v>0.0600858369098712</v>
      </c>
      <c r="AX1153" s="95"/>
      <c r="AY1153" s="93"/>
    </row>
    <row r="1154" ht="14.5" spans="1:51">
      <c r="A1154" s="91"/>
      <c r="B1154" s="95"/>
      <c r="C1154" s="152" t="s">
        <v>1085</v>
      </c>
      <c r="D1154" s="153" t="s">
        <v>25</v>
      </c>
      <c r="E1154" s="130" t="s">
        <v>1086</v>
      </c>
      <c r="F1154" s="195" t="s">
        <v>1184</v>
      </c>
      <c r="G1154" s="195" t="s">
        <v>1184</v>
      </c>
      <c r="H1154" s="195" t="s">
        <v>1184</v>
      </c>
      <c r="I1154" s="195" t="s">
        <v>1184</v>
      </c>
      <c r="J1154" s="132">
        <v>0.9</v>
      </c>
      <c r="K1154" s="133">
        <v>0.918032786885246</v>
      </c>
      <c r="L1154" s="133">
        <v>1</v>
      </c>
      <c r="M1154" s="134">
        <v>0.96551724137931</v>
      </c>
      <c r="N1154" s="133">
        <v>0.984042553191489</v>
      </c>
      <c r="O1154" s="135">
        <v>0.9</v>
      </c>
      <c r="P1154" s="133">
        <v>0.976820111002285</v>
      </c>
      <c r="Q1154" s="133">
        <v>0.956768558951965</v>
      </c>
      <c r="R1154" s="133">
        <v>0.972012257405516</v>
      </c>
      <c r="S1154" s="133">
        <v>0.962088914252465</v>
      </c>
      <c r="T1154" s="135">
        <v>0.9</v>
      </c>
      <c r="U1154" s="133">
        <v>0.925889650669279</v>
      </c>
      <c r="V1154" s="133">
        <v>0.931441048034935</v>
      </c>
      <c r="W1154" s="133">
        <v>0.907456588355465</v>
      </c>
      <c r="X1154" s="133">
        <v>0.907650475007553</v>
      </c>
      <c r="Y1154" s="135">
        <v>0.92</v>
      </c>
      <c r="Z1154" s="135">
        <v>0.921985815602837</v>
      </c>
      <c r="AA1154" s="135">
        <v>0.902857142857143</v>
      </c>
      <c r="AB1154" s="135">
        <v>0.920162381596752</v>
      </c>
      <c r="AC1154" s="135">
        <v>0.928822125508915</v>
      </c>
      <c r="AD1154" s="135">
        <v>0.92</v>
      </c>
      <c r="AE1154" s="133">
        <v>0.988262910798122</v>
      </c>
      <c r="AF1154" s="133">
        <v>0.963114754098361</v>
      </c>
      <c r="AG1154" s="133">
        <v>0.997175141242938</v>
      </c>
      <c r="AH1154" s="133">
        <v>0.993052924087407</v>
      </c>
      <c r="AI1154" s="135">
        <v>0.92</v>
      </c>
      <c r="AJ1154" s="133">
        <v>0.961737842508023</v>
      </c>
      <c r="AK1154" s="133">
        <v>0.96969696969697</v>
      </c>
      <c r="AL1154" s="133">
        <v>0.961091935989959</v>
      </c>
      <c r="AM1154" s="133">
        <v>0.970472974193199</v>
      </c>
      <c r="AN1154" s="132">
        <v>0.99</v>
      </c>
      <c r="AO1154" s="137">
        <v>1</v>
      </c>
      <c r="AP1154" s="137">
        <v>1</v>
      </c>
      <c r="AQ1154" s="137">
        <v>1</v>
      </c>
      <c r="AR1154" s="137">
        <v>1</v>
      </c>
      <c r="AS1154" s="158">
        <v>0.0721861525408278</v>
      </c>
      <c r="AT1154" s="141">
        <v>0</v>
      </c>
      <c r="AU1154" s="141">
        <v>0</v>
      </c>
      <c r="AV1154" s="141">
        <v>0.027027027027027</v>
      </c>
      <c r="AW1154" s="141">
        <v>0.0264423076923077</v>
      </c>
      <c r="AX1154" s="95"/>
      <c r="AY1154" s="93"/>
    </row>
    <row r="1155" ht="14.5" spans="1:51">
      <c r="A1155" s="91"/>
      <c r="B1155" s="95"/>
      <c r="C1155" s="152" t="s">
        <v>1085</v>
      </c>
      <c r="D1155" s="153" t="s">
        <v>25</v>
      </c>
      <c r="E1155" s="130" t="s">
        <v>1086</v>
      </c>
      <c r="F1155" s="195" t="s">
        <v>1185</v>
      </c>
      <c r="G1155" s="195" t="s">
        <v>1185</v>
      </c>
      <c r="H1155" s="195" t="s">
        <v>1185</v>
      </c>
      <c r="I1155" s="195" t="s">
        <v>1185</v>
      </c>
      <c r="J1155" s="132">
        <v>0.9</v>
      </c>
      <c r="K1155" s="133">
        <v>0.971428571428571</v>
      </c>
      <c r="L1155" s="133">
        <v>0.926829268292683</v>
      </c>
      <c r="M1155" s="134">
        <v>1</v>
      </c>
      <c r="N1155" s="133">
        <v>0.961640211640212</v>
      </c>
      <c r="O1155" s="135">
        <v>0.9</v>
      </c>
      <c r="P1155" s="133">
        <v>0.985683297180043</v>
      </c>
      <c r="Q1155" s="133">
        <v>0.989118113806393</v>
      </c>
      <c r="R1155" s="133">
        <v>0.987915407854985</v>
      </c>
      <c r="S1155" s="133">
        <v>0.985997923695821</v>
      </c>
      <c r="T1155" s="135">
        <v>0.9</v>
      </c>
      <c r="U1155" s="133">
        <v>0.937093275488069</v>
      </c>
      <c r="V1155" s="133">
        <v>0.914531852187712</v>
      </c>
      <c r="W1155" s="133">
        <v>0.909869083585096</v>
      </c>
      <c r="X1155" s="133">
        <v>0.920036335323125</v>
      </c>
      <c r="Y1155" s="135">
        <v>0.92</v>
      </c>
      <c r="Z1155" s="135">
        <v>0</v>
      </c>
      <c r="AA1155" s="135" t="s">
        <v>35</v>
      </c>
      <c r="AB1155" s="135" t="s">
        <v>35</v>
      </c>
      <c r="AC1155" s="135">
        <v>0</v>
      </c>
      <c r="AD1155" s="135">
        <v>0.92</v>
      </c>
      <c r="AE1155" s="133">
        <v>1</v>
      </c>
      <c r="AF1155" s="133">
        <v>0.988929889298893</v>
      </c>
      <c r="AG1155" s="133">
        <v>1</v>
      </c>
      <c r="AH1155" s="133">
        <v>0.998850574712644</v>
      </c>
      <c r="AI1155" s="135">
        <v>0.92</v>
      </c>
      <c r="AJ1155" s="133">
        <v>0.960537727666956</v>
      </c>
      <c r="AK1155" s="133">
        <v>0.970528224892315</v>
      </c>
      <c r="AL1155" s="133">
        <v>0.967019133937563</v>
      </c>
      <c r="AM1155" s="133">
        <v>0.981417318747486</v>
      </c>
      <c r="AN1155" s="132">
        <v>0.99</v>
      </c>
      <c r="AO1155" s="137">
        <v>1</v>
      </c>
      <c r="AP1155" s="137">
        <v>1</v>
      </c>
      <c r="AQ1155" s="137">
        <v>1</v>
      </c>
      <c r="AR1155" s="137">
        <v>1</v>
      </c>
      <c r="AS1155" s="158">
        <v>0.0721861525408278</v>
      </c>
      <c r="AT1155" s="141">
        <v>0</v>
      </c>
      <c r="AU1155" s="141">
        <v>0.0588235294117647</v>
      </c>
      <c r="AV1155" s="141">
        <v>0.05</v>
      </c>
      <c r="AW1155" s="141">
        <v>0.0306122448979592</v>
      </c>
      <c r="AX1155" s="95"/>
      <c r="AY1155" s="93"/>
    </row>
    <row r="1156" ht="14.5" spans="1:51">
      <c r="A1156" s="91"/>
      <c r="B1156" s="95"/>
      <c r="C1156" s="152" t="s">
        <v>1085</v>
      </c>
      <c r="D1156" s="153" t="s">
        <v>25</v>
      </c>
      <c r="E1156" s="130" t="s">
        <v>1086</v>
      </c>
      <c r="F1156" s="195" t="s">
        <v>1186</v>
      </c>
      <c r="G1156" s="195" t="s">
        <v>1186</v>
      </c>
      <c r="H1156" s="195" t="s">
        <v>1186</v>
      </c>
      <c r="I1156" s="195" t="s">
        <v>1186</v>
      </c>
      <c r="J1156" s="132">
        <v>0.9</v>
      </c>
      <c r="K1156" s="133">
        <v>0.833333333333333</v>
      </c>
      <c r="L1156" s="133">
        <v>1</v>
      </c>
      <c r="M1156" s="134">
        <v>0.84</v>
      </c>
      <c r="N1156" s="133">
        <v>0.910087719298246</v>
      </c>
      <c r="O1156" s="135">
        <v>0.9</v>
      </c>
      <c r="P1156" s="133">
        <v>0.977231329690346</v>
      </c>
      <c r="Q1156" s="133">
        <v>0.985125371865703</v>
      </c>
      <c r="R1156" s="133">
        <v>0.984879032258065</v>
      </c>
      <c r="S1156" s="133">
        <v>0.980769230769231</v>
      </c>
      <c r="T1156" s="135">
        <v>0.9</v>
      </c>
      <c r="U1156" s="133">
        <v>0.921675774134791</v>
      </c>
      <c r="V1156" s="133">
        <v>0.840203994900128</v>
      </c>
      <c r="W1156" s="133">
        <v>0.840221774193548</v>
      </c>
      <c r="X1156" s="133">
        <v>0.847538887705093</v>
      </c>
      <c r="Y1156" s="135">
        <v>0.92</v>
      </c>
      <c r="Z1156" s="135" t="s">
        <v>35</v>
      </c>
      <c r="AA1156" s="135">
        <v>0</v>
      </c>
      <c r="AB1156" s="135" t="s">
        <v>35</v>
      </c>
      <c r="AC1156" s="135">
        <v>0</v>
      </c>
      <c r="AD1156" s="135">
        <v>0.92</v>
      </c>
      <c r="AE1156" s="133">
        <v>1</v>
      </c>
      <c r="AF1156" s="133">
        <v>1</v>
      </c>
      <c r="AG1156" s="133">
        <v>1</v>
      </c>
      <c r="AH1156" s="133">
        <v>0.994422310756972</v>
      </c>
      <c r="AI1156" s="135">
        <v>0.92</v>
      </c>
      <c r="AJ1156" s="133">
        <v>0.945355191256831</v>
      </c>
      <c r="AK1156" s="133">
        <v>0.967289719626168</v>
      </c>
      <c r="AL1156" s="133">
        <v>0.972782258064516</v>
      </c>
      <c r="AM1156" s="133">
        <v>0.971687308563058</v>
      </c>
      <c r="AN1156" s="132">
        <v>0.99</v>
      </c>
      <c r="AO1156" s="137">
        <v>1</v>
      </c>
      <c r="AP1156" s="137">
        <v>1</v>
      </c>
      <c r="AQ1156" s="137">
        <v>1</v>
      </c>
      <c r="AR1156" s="137">
        <v>1</v>
      </c>
      <c r="AS1156" s="158">
        <v>0.0721861525408278</v>
      </c>
      <c r="AT1156" s="141">
        <v>0.25</v>
      </c>
      <c r="AU1156" s="141">
        <v>0</v>
      </c>
      <c r="AV1156" s="141">
        <v>0</v>
      </c>
      <c r="AW1156" s="141">
        <v>0.0630630630630631</v>
      </c>
      <c r="AX1156" s="95"/>
      <c r="AY1156" s="93"/>
    </row>
    <row r="1157" ht="14.5" spans="1:51">
      <c r="A1157" s="91"/>
      <c r="B1157" s="95"/>
      <c r="C1157" s="152" t="s">
        <v>1085</v>
      </c>
      <c r="D1157" s="153" t="s">
        <v>25</v>
      </c>
      <c r="E1157" s="130" t="s">
        <v>1086</v>
      </c>
      <c r="F1157" s="195" t="s">
        <v>1187</v>
      </c>
      <c r="G1157" s="195" t="s">
        <v>1187</v>
      </c>
      <c r="H1157" s="195" t="s">
        <v>1187</v>
      </c>
      <c r="I1157" s="195" t="s">
        <v>1187</v>
      </c>
      <c r="J1157" s="132">
        <v>0.9</v>
      </c>
      <c r="K1157" s="133">
        <v>0.916666666666667</v>
      </c>
      <c r="L1157" s="133">
        <v>0.896551724137931</v>
      </c>
      <c r="M1157" s="134">
        <v>0.882352941176471</v>
      </c>
      <c r="N1157" s="133">
        <v>0.93235831809872</v>
      </c>
      <c r="O1157" s="135">
        <v>0.9</v>
      </c>
      <c r="P1157" s="133">
        <v>0.986071085494717</v>
      </c>
      <c r="Q1157" s="133">
        <v>0.981520119225037</v>
      </c>
      <c r="R1157" s="133">
        <v>0.985748218527316</v>
      </c>
      <c r="S1157" s="133">
        <v>0.925496379944724</v>
      </c>
      <c r="T1157" s="135">
        <v>0.9</v>
      </c>
      <c r="U1157" s="133">
        <v>0.824207492795389</v>
      </c>
      <c r="V1157" s="133">
        <v>0.838450074515648</v>
      </c>
      <c r="W1157" s="133">
        <v>0.893408551068884</v>
      </c>
      <c r="X1157" s="133">
        <v>0.834833918307137</v>
      </c>
      <c r="Y1157" s="135">
        <v>0.92</v>
      </c>
      <c r="Z1157" s="135" t="s">
        <v>35</v>
      </c>
      <c r="AA1157" s="135" t="s">
        <v>35</v>
      </c>
      <c r="AB1157" s="135" t="s">
        <v>35</v>
      </c>
      <c r="AC1157" s="135" t="s">
        <v>35</v>
      </c>
      <c r="AD1157" s="135">
        <v>0.92</v>
      </c>
      <c r="AE1157" s="133">
        <v>0.971428571428571</v>
      </c>
      <c r="AF1157" s="133">
        <v>1</v>
      </c>
      <c r="AG1157" s="133">
        <v>1</v>
      </c>
      <c r="AH1157" s="133">
        <v>0.999206978588422</v>
      </c>
      <c r="AI1157" s="135">
        <v>0.92</v>
      </c>
      <c r="AJ1157" s="133">
        <v>0.946685878962536</v>
      </c>
      <c r="AK1157" s="133">
        <v>0.956780923994039</v>
      </c>
      <c r="AL1157" s="133">
        <v>0.980403800475059</v>
      </c>
      <c r="AM1157" s="133">
        <v>0.973837258592333</v>
      </c>
      <c r="AN1157" s="132">
        <v>0.99</v>
      </c>
      <c r="AO1157" s="137">
        <v>1</v>
      </c>
      <c r="AP1157" s="137">
        <v>1</v>
      </c>
      <c r="AQ1157" s="137">
        <v>1</v>
      </c>
      <c r="AR1157" s="137">
        <v>1</v>
      </c>
      <c r="AS1157" s="158">
        <v>0.0721861525408278</v>
      </c>
      <c r="AT1157" s="141">
        <v>0.0588235294117647</v>
      </c>
      <c r="AU1157" s="141">
        <v>0</v>
      </c>
      <c r="AV1157" s="141">
        <v>0</v>
      </c>
      <c r="AW1157" s="141">
        <v>0.0414746543778802</v>
      </c>
      <c r="AX1157" s="95"/>
      <c r="AY1157" s="93"/>
    </row>
    <row r="1158" ht="14.5" spans="1:51">
      <c r="A1158" s="91"/>
      <c r="B1158" s="95"/>
      <c r="C1158" s="152" t="s">
        <v>1085</v>
      </c>
      <c r="D1158" s="153" t="s">
        <v>25</v>
      </c>
      <c r="E1158" s="130" t="s">
        <v>1086</v>
      </c>
      <c r="F1158" s="195" t="s">
        <v>1188</v>
      </c>
      <c r="G1158" s="195" t="s">
        <v>1188</v>
      </c>
      <c r="H1158" s="195" t="s">
        <v>1188</v>
      </c>
      <c r="I1158" s="195" t="s">
        <v>1188</v>
      </c>
      <c r="J1158" s="132">
        <v>0.9</v>
      </c>
      <c r="K1158" s="133">
        <v>0.892857142857143</v>
      </c>
      <c r="L1158" s="133">
        <v>0.939393939393939</v>
      </c>
      <c r="M1158" s="134">
        <v>0.903225806451613</v>
      </c>
      <c r="N1158" s="133">
        <v>0.914383561643836</v>
      </c>
      <c r="O1158" s="135">
        <v>0.9</v>
      </c>
      <c r="P1158" s="133">
        <v>0.991016282987086</v>
      </c>
      <c r="Q1158" s="133">
        <v>0.87962962962963</v>
      </c>
      <c r="R1158" s="133">
        <v>0.946615824594852</v>
      </c>
      <c r="S1158" s="133">
        <v>0.957812663162658</v>
      </c>
      <c r="T1158" s="135">
        <v>0.9</v>
      </c>
      <c r="U1158" s="133">
        <v>0.811341942728804</v>
      </c>
      <c r="V1158" s="133">
        <v>0.678649237472767</v>
      </c>
      <c r="W1158" s="133">
        <v>0.755004766444233</v>
      </c>
      <c r="X1158" s="133">
        <v>0.751923143861603</v>
      </c>
      <c r="Y1158" s="135">
        <v>0.92</v>
      </c>
      <c r="Z1158" s="135">
        <v>0</v>
      </c>
      <c r="AA1158" s="135" t="s">
        <v>35</v>
      </c>
      <c r="AB1158" s="135" t="s">
        <v>35</v>
      </c>
      <c r="AC1158" s="135">
        <v>0</v>
      </c>
      <c r="AD1158" s="135">
        <v>0.92</v>
      </c>
      <c r="AE1158" s="133">
        <v>1</v>
      </c>
      <c r="AF1158" s="133">
        <v>1</v>
      </c>
      <c r="AG1158" s="133">
        <v>1</v>
      </c>
      <c r="AH1158" s="133">
        <v>1</v>
      </c>
      <c r="AI1158" s="135">
        <v>0.92</v>
      </c>
      <c r="AJ1158" s="133">
        <v>0.941671340437465</v>
      </c>
      <c r="AK1158" s="133">
        <v>0.953159041394335</v>
      </c>
      <c r="AL1158" s="133">
        <v>0.958055290753098</v>
      </c>
      <c r="AM1158" s="133">
        <v>0.961155586494953</v>
      </c>
      <c r="AN1158" s="132">
        <v>0.99</v>
      </c>
      <c r="AO1158" s="137">
        <v>1</v>
      </c>
      <c r="AP1158" s="137">
        <v>1</v>
      </c>
      <c r="AQ1158" s="137">
        <v>1</v>
      </c>
      <c r="AR1158" s="137">
        <v>1</v>
      </c>
      <c r="AS1158" s="158">
        <v>0.0721861525408278</v>
      </c>
      <c r="AT1158" s="141">
        <v>0.0555555555555556</v>
      </c>
      <c r="AU1158" s="141">
        <v>0.142857142857143</v>
      </c>
      <c r="AV1158" s="141">
        <v>0</v>
      </c>
      <c r="AW1158" s="141">
        <v>0.0884955752212389</v>
      </c>
      <c r="AX1158" s="95"/>
      <c r="AY1158" s="93"/>
    </row>
    <row r="1159" ht="14.5" spans="1:51">
      <c r="A1159" s="91"/>
      <c r="B1159" s="95"/>
      <c r="C1159" s="152" t="s">
        <v>1085</v>
      </c>
      <c r="D1159" s="153" t="s">
        <v>25</v>
      </c>
      <c r="E1159" s="130" t="s">
        <v>1086</v>
      </c>
      <c r="F1159" s="195" t="s">
        <v>1189</v>
      </c>
      <c r="G1159" s="195" t="s">
        <v>1189</v>
      </c>
      <c r="H1159" s="195" t="s">
        <v>1189</v>
      </c>
      <c r="I1159" s="195" t="s">
        <v>1189</v>
      </c>
      <c r="J1159" s="132">
        <v>0.9</v>
      </c>
      <c r="K1159" s="133">
        <v>0.91025641025641</v>
      </c>
      <c r="L1159" s="133">
        <v>0.95</v>
      </c>
      <c r="M1159" s="134">
        <v>0.939024390243902</v>
      </c>
      <c r="N1159" s="133">
        <v>0.937751004016064</v>
      </c>
      <c r="O1159" s="135">
        <v>0.9</v>
      </c>
      <c r="P1159" s="133">
        <v>0.945091017606685</v>
      </c>
      <c r="Q1159" s="133">
        <v>0.960397933805242</v>
      </c>
      <c r="R1159" s="133">
        <v>0.931002068057906</v>
      </c>
      <c r="S1159" s="133">
        <v>0.946889443331016</v>
      </c>
      <c r="T1159" s="135">
        <v>0.9</v>
      </c>
      <c r="U1159" s="133">
        <v>0.88898836168308</v>
      </c>
      <c r="V1159" s="133">
        <v>0.919647981633824</v>
      </c>
      <c r="W1159" s="133">
        <v>0.897161120511374</v>
      </c>
      <c r="X1159" s="133">
        <v>0.915783876641171</v>
      </c>
      <c r="Y1159" s="135">
        <v>0.92</v>
      </c>
      <c r="Z1159" s="135">
        <v>0.945606694560669</v>
      </c>
      <c r="AA1159" s="135">
        <v>0.94770206022187</v>
      </c>
      <c r="AB1159" s="135">
        <v>0.949818181818182</v>
      </c>
      <c r="AC1159" s="135">
        <v>0.957014058026749</v>
      </c>
      <c r="AD1159" s="135">
        <v>0.92</v>
      </c>
      <c r="AE1159" s="133">
        <v>0.998952331063384</v>
      </c>
      <c r="AF1159" s="133">
        <v>1</v>
      </c>
      <c r="AG1159" s="133">
        <v>0.998583569405099</v>
      </c>
      <c r="AH1159" s="133">
        <v>0.999058409014974</v>
      </c>
      <c r="AI1159" s="135">
        <v>0.92</v>
      </c>
      <c r="AJ1159" s="133">
        <v>0.955189226840028</v>
      </c>
      <c r="AK1159" s="133">
        <v>0.968077842266985</v>
      </c>
      <c r="AL1159" s="133">
        <v>0.964893934867045</v>
      </c>
      <c r="AM1159" s="133">
        <v>0.971453322882719</v>
      </c>
      <c r="AN1159" s="132">
        <v>0.99</v>
      </c>
      <c r="AO1159" s="137">
        <v>1</v>
      </c>
      <c r="AP1159" s="137">
        <v>1</v>
      </c>
      <c r="AQ1159" s="137">
        <v>1</v>
      </c>
      <c r="AR1159" s="137">
        <v>1</v>
      </c>
      <c r="AS1159" s="158">
        <v>0.0721861525408278</v>
      </c>
      <c r="AT1159" s="141">
        <v>0.027027027027027</v>
      </c>
      <c r="AU1159" s="141">
        <v>0.0277777777777778</v>
      </c>
      <c r="AV1159" s="141">
        <v>0</v>
      </c>
      <c r="AW1159" s="141">
        <v>0.041018387553041</v>
      </c>
      <c r="AX1159" s="95"/>
      <c r="AY1159" s="93"/>
    </row>
    <row r="1160" ht="14.5" spans="1:51">
      <c r="A1160" s="91"/>
      <c r="B1160" s="95"/>
      <c r="C1160" s="152" t="s">
        <v>1085</v>
      </c>
      <c r="D1160" s="153" t="s">
        <v>25</v>
      </c>
      <c r="E1160" s="130" t="s">
        <v>1086</v>
      </c>
      <c r="F1160" s="195" t="s">
        <v>1190</v>
      </c>
      <c r="G1160" s="195" t="s">
        <v>1190</v>
      </c>
      <c r="H1160" s="195" t="s">
        <v>1190</v>
      </c>
      <c r="I1160" s="195" t="s">
        <v>1190</v>
      </c>
      <c r="J1160" s="132">
        <v>0.9</v>
      </c>
      <c r="K1160" s="133">
        <v>0.9375</v>
      </c>
      <c r="L1160" s="133">
        <v>0.888888888888889</v>
      </c>
      <c r="M1160" s="134">
        <v>0.901960784313726</v>
      </c>
      <c r="N1160" s="133">
        <v>0.927659574468085</v>
      </c>
      <c r="O1160" s="135">
        <v>0.9</v>
      </c>
      <c r="P1160" s="133">
        <v>0.986246226098625</v>
      </c>
      <c r="Q1160" s="133">
        <v>0.978347238776321</v>
      </c>
      <c r="R1160" s="133">
        <v>0.981022772672793</v>
      </c>
      <c r="S1160" s="133">
        <v>0.957845125226065</v>
      </c>
      <c r="T1160" s="135">
        <v>0.9</v>
      </c>
      <c r="U1160" s="133">
        <v>0.922509225092251</v>
      </c>
      <c r="V1160" s="133">
        <v>0.924116011124354</v>
      </c>
      <c r="W1160" s="133">
        <v>0.912904514582501</v>
      </c>
      <c r="X1160" s="133">
        <v>0.917531649038198</v>
      </c>
      <c r="Y1160" s="135">
        <v>0.92</v>
      </c>
      <c r="Z1160" s="135">
        <v>0</v>
      </c>
      <c r="AA1160" s="135" t="s">
        <v>35</v>
      </c>
      <c r="AB1160" s="135" t="s">
        <v>35</v>
      </c>
      <c r="AC1160" s="135">
        <v>0</v>
      </c>
      <c r="AD1160" s="135">
        <v>0.92</v>
      </c>
      <c r="AE1160" s="133">
        <v>0.997154240182129</v>
      </c>
      <c r="AF1160" s="133">
        <v>0.999230769230769</v>
      </c>
      <c r="AG1160" s="133">
        <v>0.998051948051948</v>
      </c>
      <c r="AH1160" s="133">
        <v>0.99780435076341</v>
      </c>
      <c r="AI1160" s="135">
        <v>0.92</v>
      </c>
      <c r="AJ1160" s="133">
        <v>0.963112005365527</v>
      </c>
      <c r="AK1160" s="133">
        <v>0.976965845909452</v>
      </c>
      <c r="AL1160" s="133">
        <v>0.974630443467839</v>
      </c>
      <c r="AM1160" s="133">
        <v>0.977520331440847</v>
      </c>
      <c r="AN1160" s="132">
        <v>0.99</v>
      </c>
      <c r="AO1160" s="137">
        <v>1</v>
      </c>
      <c r="AP1160" s="137">
        <v>1</v>
      </c>
      <c r="AQ1160" s="137">
        <v>1</v>
      </c>
      <c r="AR1160" s="137">
        <v>1</v>
      </c>
      <c r="AS1160" s="158">
        <v>0.0721861525408278</v>
      </c>
      <c r="AT1160" s="141">
        <v>0.0833333333333333</v>
      </c>
      <c r="AU1160" s="141">
        <v>0</v>
      </c>
      <c r="AV1160" s="141">
        <v>0</v>
      </c>
      <c r="AW1160" s="141">
        <v>0.0328358208955224</v>
      </c>
      <c r="AX1160" s="95"/>
      <c r="AY1160" s="93"/>
    </row>
    <row r="1161" ht="14.5" spans="1:51">
      <c r="A1161" s="91"/>
      <c r="B1161" s="95"/>
      <c r="C1161" s="152" t="s">
        <v>1085</v>
      </c>
      <c r="D1161" s="153" t="s">
        <v>25</v>
      </c>
      <c r="E1161" s="130" t="s">
        <v>1086</v>
      </c>
      <c r="F1161" s="195" t="s">
        <v>1191</v>
      </c>
      <c r="G1161" s="195" t="s">
        <v>1191</v>
      </c>
      <c r="H1161" s="195" t="s">
        <v>1191</v>
      </c>
      <c r="I1161" s="195" t="s">
        <v>1191</v>
      </c>
      <c r="J1161" s="132">
        <v>0.9</v>
      </c>
      <c r="K1161" s="133">
        <v>1</v>
      </c>
      <c r="L1161" s="133">
        <v>1</v>
      </c>
      <c r="M1161" s="134">
        <v>0.962264150943396</v>
      </c>
      <c r="N1161" s="133">
        <v>0.98109243697479</v>
      </c>
      <c r="O1161" s="135">
        <v>0.9</v>
      </c>
      <c r="P1161" s="133">
        <v>0.964962901896125</v>
      </c>
      <c r="Q1161" s="133">
        <v>0.966631073144688</v>
      </c>
      <c r="R1161" s="133">
        <v>0.981627296587926</v>
      </c>
      <c r="S1161" s="133">
        <v>0.954321261326166</v>
      </c>
      <c r="T1161" s="135">
        <v>0.9</v>
      </c>
      <c r="U1161" s="133">
        <v>0.817394888705688</v>
      </c>
      <c r="V1161" s="133">
        <v>0.815536572343833</v>
      </c>
      <c r="W1161" s="133">
        <v>0.817847769028871</v>
      </c>
      <c r="X1161" s="133">
        <v>0.821150489068691</v>
      </c>
      <c r="Y1161" s="135">
        <v>0.92</v>
      </c>
      <c r="Z1161" s="135">
        <v>0.836027713625866</v>
      </c>
      <c r="AA1161" s="135">
        <v>0.873469387755102</v>
      </c>
      <c r="AB1161" s="135">
        <v>0.91039156626506</v>
      </c>
      <c r="AC1161" s="135">
        <v>0.893708792901596</v>
      </c>
      <c r="AD1161" s="135">
        <v>0.92</v>
      </c>
      <c r="AE1161" s="133">
        <v>1</v>
      </c>
      <c r="AF1161" s="133">
        <v>0.996168582375479</v>
      </c>
      <c r="AG1161" s="133">
        <v>0.998191681735985</v>
      </c>
      <c r="AH1161" s="133">
        <v>0.995430809399478</v>
      </c>
      <c r="AI1161" s="135">
        <v>0.92</v>
      </c>
      <c r="AJ1161" s="133">
        <v>0.899453219927096</v>
      </c>
      <c r="AK1161" s="133">
        <v>0.930358829084042</v>
      </c>
      <c r="AL1161" s="133">
        <v>0.93849746983262</v>
      </c>
      <c r="AM1161" s="133">
        <v>0.94157966768841</v>
      </c>
      <c r="AN1161" s="132">
        <v>0.99</v>
      </c>
      <c r="AO1161" s="137">
        <v>1</v>
      </c>
      <c r="AP1161" s="137">
        <v>1</v>
      </c>
      <c r="AQ1161" s="137">
        <v>1</v>
      </c>
      <c r="AR1161" s="137">
        <v>1</v>
      </c>
      <c r="AS1161" s="158">
        <v>0.0721861525408278</v>
      </c>
      <c r="AT1161" s="141">
        <v>0</v>
      </c>
      <c r="AU1161" s="141">
        <v>0</v>
      </c>
      <c r="AV1161" s="141">
        <v>0.05</v>
      </c>
      <c r="AW1161" s="141">
        <v>0.0401146131805158</v>
      </c>
      <c r="AX1161" s="95"/>
      <c r="AY1161" s="93"/>
    </row>
    <row r="1162" ht="14.5" spans="1:51">
      <c r="A1162" s="91"/>
      <c r="B1162" s="95"/>
      <c r="C1162" s="152" t="s">
        <v>1085</v>
      </c>
      <c r="D1162" s="153" t="s">
        <v>25</v>
      </c>
      <c r="E1162" s="130" t="s">
        <v>1086</v>
      </c>
      <c r="F1162" s="195" t="s">
        <v>1192</v>
      </c>
      <c r="G1162" s="195" t="s">
        <v>1192</v>
      </c>
      <c r="H1162" s="195" t="s">
        <v>1192</v>
      </c>
      <c r="I1162" s="195" t="s">
        <v>1192</v>
      </c>
      <c r="J1162" s="132">
        <v>0.9</v>
      </c>
      <c r="K1162" s="133">
        <v>0.973684210526316</v>
      </c>
      <c r="L1162" s="133">
        <v>1</v>
      </c>
      <c r="M1162" s="134">
        <v>0.976744186046512</v>
      </c>
      <c r="N1162" s="133">
        <v>0.973880597014925</v>
      </c>
      <c r="O1162" s="135">
        <v>0.9</v>
      </c>
      <c r="P1162" s="133">
        <v>0.976953907815631</v>
      </c>
      <c r="Q1162" s="133">
        <v>0.983023179888998</v>
      </c>
      <c r="R1162" s="133">
        <v>0.985650510204082</v>
      </c>
      <c r="S1162" s="133">
        <v>0.959241610057792</v>
      </c>
      <c r="T1162" s="135">
        <v>0.9</v>
      </c>
      <c r="U1162" s="133">
        <v>0.904308617234469</v>
      </c>
      <c r="V1162" s="133">
        <v>0.909239307868103</v>
      </c>
      <c r="W1162" s="133">
        <v>0.897002551020408</v>
      </c>
      <c r="X1162" s="133">
        <v>0.912315387475075</v>
      </c>
      <c r="Y1162" s="135">
        <v>0.92</v>
      </c>
      <c r="Z1162" s="135">
        <v>0.889943074003795</v>
      </c>
      <c r="AA1162" s="135">
        <v>0.907542579075426</v>
      </c>
      <c r="AB1162" s="135">
        <v>0.928097345132743</v>
      </c>
      <c r="AC1162" s="135">
        <v>0.940631075220577</v>
      </c>
      <c r="AD1162" s="135">
        <v>0.92</v>
      </c>
      <c r="AE1162" s="133">
        <v>0.998297872340426</v>
      </c>
      <c r="AF1162" s="133">
        <v>0.997271487039563</v>
      </c>
      <c r="AG1162" s="133">
        <v>0.99290780141844</v>
      </c>
      <c r="AH1162" s="133">
        <v>0.99392825311943</v>
      </c>
      <c r="AI1162" s="135">
        <v>0.92</v>
      </c>
      <c r="AJ1162" s="133">
        <v>0.938168846611177</v>
      </c>
      <c r="AK1162" s="133">
        <v>0.95538284398388</v>
      </c>
      <c r="AL1162" s="133">
        <v>0.962128712871287</v>
      </c>
      <c r="AM1162" s="133">
        <v>0.969649773269196</v>
      </c>
      <c r="AN1162" s="132">
        <v>0.99</v>
      </c>
      <c r="AO1162" s="137">
        <v>1</v>
      </c>
      <c r="AP1162" s="137">
        <v>1</v>
      </c>
      <c r="AQ1162" s="137">
        <v>1</v>
      </c>
      <c r="AR1162" s="137">
        <v>1</v>
      </c>
      <c r="AS1162" s="158">
        <v>0.0721861525408278</v>
      </c>
      <c r="AT1162" s="141">
        <v>0</v>
      </c>
      <c r="AU1162" s="141">
        <v>0.115384615384615</v>
      </c>
      <c r="AV1162" s="141">
        <v>0.0555555555555556</v>
      </c>
      <c r="AW1162" s="141">
        <v>0.0483870967741935</v>
      </c>
      <c r="AX1162" s="95"/>
      <c r="AY1162" s="93"/>
    </row>
    <row r="1163" ht="14.5" spans="1:51">
      <c r="A1163" s="91"/>
      <c r="B1163" s="95"/>
      <c r="C1163" s="152" t="s">
        <v>1085</v>
      </c>
      <c r="D1163" s="153" t="s">
        <v>25</v>
      </c>
      <c r="E1163" s="130" t="s">
        <v>1086</v>
      </c>
      <c r="F1163" s="195" t="s">
        <v>1193</v>
      </c>
      <c r="G1163" s="195" t="s">
        <v>1193</v>
      </c>
      <c r="H1163" s="195" t="s">
        <v>1193</v>
      </c>
      <c r="I1163" s="195" t="s">
        <v>1193</v>
      </c>
      <c r="J1163" s="132">
        <v>0.9</v>
      </c>
      <c r="K1163" s="133">
        <v>0.964285714285714</v>
      </c>
      <c r="L1163" s="133">
        <v>0.96551724137931</v>
      </c>
      <c r="M1163" s="134">
        <v>0.96551724137931</v>
      </c>
      <c r="N1163" s="133">
        <v>0.98825831702544</v>
      </c>
      <c r="O1163" s="135">
        <v>0.9</v>
      </c>
      <c r="P1163" s="133">
        <v>0.976373301831069</v>
      </c>
      <c r="Q1163" s="133">
        <v>0.97980198019802</v>
      </c>
      <c r="R1163" s="133">
        <v>0.934497816593886</v>
      </c>
      <c r="S1163" s="133">
        <v>0.975511234536733</v>
      </c>
      <c r="T1163" s="135">
        <v>0.9</v>
      </c>
      <c r="U1163" s="133">
        <v>0.97105729474306</v>
      </c>
      <c r="V1163" s="133">
        <v>0.975049504950495</v>
      </c>
      <c r="W1163" s="133">
        <v>0.933406113537118</v>
      </c>
      <c r="X1163" s="133">
        <v>0.961794159723975</v>
      </c>
      <c r="Y1163" s="135">
        <v>0.92</v>
      </c>
      <c r="Z1163" s="135">
        <v>0.969574036511156</v>
      </c>
      <c r="AA1163" s="135">
        <v>0.96875</v>
      </c>
      <c r="AB1163" s="135">
        <v>0.983624454148472</v>
      </c>
      <c r="AC1163" s="135">
        <v>0.983318267729477</v>
      </c>
      <c r="AD1163" s="135">
        <v>0.92</v>
      </c>
      <c r="AE1163" s="133">
        <v>1</v>
      </c>
      <c r="AF1163" s="133">
        <v>0.99890590809628</v>
      </c>
      <c r="AG1163" s="133">
        <v>0.999166666666667</v>
      </c>
      <c r="AH1163" s="133">
        <v>0.99849117336418</v>
      </c>
      <c r="AI1163" s="135">
        <v>0.92</v>
      </c>
      <c r="AJ1163" s="133">
        <v>0.981252857796068</v>
      </c>
      <c r="AK1163" s="133">
        <v>0.984713828652684</v>
      </c>
      <c r="AL1163" s="133">
        <v>0.984443231441048</v>
      </c>
      <c r="AM1163" s="133">
        <v>0.988878280823409</v>
      </c>
      <c r="AN1163" s="132">
        <v>0.99</v>
      </c>
      <c r="AO1163" s="137">
        <v>1</v>
      </c>
      <c r="AP1163" s="137">
        <v>1</v>
      </c>
      <c r="AQ1163" s="137">
        <v>1</v>
      </c>
      <c r="AR1163" s="137">
        <v>1</v>
      </c>
      <c r="AS1163" s="158">
        <v>0.0721861525408278</v>
      </c>
      <c r="AT1163" s="141">
        <v>0.0434782608695652</v>
      </c>
      <c r="AU1163" s="141">
        <v>0</v>
      </c>
      <c r="AV1163" s="141">
        <v>0.0714285714285714</v>
      </c>
      <c r="AW1163" s="141">
        <v>0.0255474452554745</v>
      </c>
      <c r="AX1163" s="95"/>
      <c r="AY1163" s="93"/>
    </row>
    <row r="1164" ht="14.5" spans="1:51">
      <c r="A1164" s="91"/>
      <c r="B1164" s="95"/>
      <c r="C1164" s="152" t="s">
        <v>1085</v>
      </c>
      <c r="D1164" s="153" t="s">
        <v>25</v>
      </c>
      <c r="E1164" s="130" t="s">
        <v>1086</v>
      </c>
      <c r="F1164" s="195" t="s">
        <v>1194</v>
      </c>
      <c r="G1164" s="195" t="s">
        <v>1194</v>
      </c>
      <c r="H1164" s="195" t="s">
        <v>1194</v>
      </c>
      <c r="I1164" s="195" t="s">
        <v>1194</v>
      </c>
      <c r="J1164" s="132">
        <v>0.9</v>
      </c>
      <c r="K1164" s="133">
        <v>0.973684210526316</v>
      </c>
      <c r="L1164" s="133">
        <v>0.871794871794872</v>
      </c>
      <c r="M1164" s="134">
        <v>0.90625</v>
      </c>
      <c r="N1164" s="133">
        <v>0.939078751857355</v>
      </c>
      <c r="O1164" s="135">
        <v>0.9</v>
      </c>
      <c r="P1164" s="133">
        <v>0.978021978021978</v>
      </c>
      <c r="Q1164" s="133">
        <v>0.986434108527132</v>
      </c>
      <c r="R1164" s="133">
        <v>0.974735875057418</v>
      </c>
      <c r="S1164" s="133">
        <v>0.978315595324144</v>
      </c>
      <c r="T1164" s="135">
        <v>0.9</v>
      </c>
      <c r="U1164" s="133">
        <v>0.909733124018838</v>
      </c>
      <c r="V1164" s="133">
        <v>0.929748062015504</v>
      </c>
      <c r="W1164" s="133">
        <v>0.904455672944419</v>
      </c>
      <c r="X1164" s="133">
        <v>0.911393036065901</v>
      </c>
      <c r="Y1164" s="135">
        <v>0.92</v>
      </c>
      <c r="Z1164" s="135">
        <v>0.949843260188088</v>
      </c>
      <c r="AA1164" s="135">
        <v>0.948914431673052</v>
      </c>
      <c r="AB1164" s="135">
        <v>0.921269841269841</v>
      </c>
      <c r="AC1164" s="135">
        <v>0.953117818293243</v>
      </c>
      <c r="AD1164" s="135">
        <v>0.92</v>
      </c>
      <c r="AE1164" s="133">
        <v>0.987689713322091</v>
      </c>
      <c r="AF1164" s="133">
        <v>0.988005483207676</v>
      </c>
      <c r="AG1164" s="133">
        <v>0.991191114515511</v>
      </c>
      <c r="AH1164" s="133">
        <v>0.987145303591945</v>
      </c>
      <c r="AI1164" s="135">
        <v>0.92</v>
      </c>
      <c r="AJ1164" s="133">
        <v>0.954280591662931</v>
      </c>
      <c r="AK1164" s="133">
        <v>0.960323033707865</v>
      </c>
      <c r="AL1164" s="133">
        <v>0.950159914712154</v>
      </c>
      <c r="AM1164" s="133">
        <v>0.966405966904215</v>
      </c>
      <c r="AN1164" s="132">
        <v>0.99</v>
      </c>
      <c r="AO1164" s="137">
        <v>1</v>
      </c>
      <c r="AP1164" s="137">
        <v>1</v>
      </c>
      <c r="AQ1164" s="137">
        <v>1</v>
      </c>
      <c r="AR1164" s="137">
        <v>1</v>
      </c>
      <c r="AS1164" s="158">
        <v>0.0721861525408278</v>
      </c>
      <c r="AT1164" s="141">
        <v>0.0714285714285714</v>
      </c>
      <c r="AU1164" s="141">
        <v>0.136363636363636</v>
      </c>
      <c r="AV1164" s="141">
        <v>0.0434782608695652</v>
      </c>
      <c r="AW1164" s="141">
        <v>0.0825471698113207</v>
      </c>
      <c r="AX1164" s="95"/>
      <c r="AY1164" s="93"/>
    </row>
    <row r="1165" ht="14.5" spans="1:51">
      <c r="A1165" s="91"/>
      <c r="B1165" s="95"/>
      <c r="C1165" s="152" t="s">
        <v>1085</v>
      </c>
      <c r="D1165" s="153" t="s">
        <v>25</v>
      </c>
      <c r="E1165" s="130" t="s">
        <v>1086</v>
      </c>
      <c r="F1165" s="195" t="s">
        <v>1195</v>
      </c>
      <c r="G1165" s="195" t="s">
        <v>1195</v>
      </c>
      <c r="H1165" s="195" t="s">
        <v>1195</v>
      </c>
      <c r="I1165" s="195" t="s">
        <v>1195</v>
      </c>
      <c r="J1165" s="132">
        <v>0.9</v>
      </c>
      <c r="K1165" s="133">
        <v>0.951219512195122</v>
      </c>
      <c r="L1165" s="133">
        <v>0.954545454545455</v>
      </c>
      <c r="M1165" s="134">
        <v>0.888888888888889</v>
      </c>
      <c r="N1165" s="133">
        <v>0.967781908302354</v>
      </c>
      <c r="O1165" s="135">
        <v>0.9</v>
      </c>
      <c r="P1165" s="133">
        <v>0.893401015228426</v>
      </c>
      <c r="Q1165" s="133">
        <v>0.838591117917305</v>
      </c>
      <c r="R1165" s="133">
        <v>0.955529549444119</v>
      </c>
      <c r="S1165" s="133">
        <v>0.900699866357178</v>
      </c>
      <c r="T1165" s="135">
        <v>0.9</v>
      </c>
      <c r="U1165" s="133">
        <v>0.940609137055838</v>
      </c>
      <c r="V1165" s="133">
        <v>0.929862174578867</v>
      </c>
      <c r="W1165" s="133">
        <v>0.928028086600351</v>
      </c>
      <c r="X1165" s="133">
        <v>0.924245621439122</v>
      </c>
      <c r="Y1165" s="135">
        <v>0.92</v>
      </c>
      <c r="Z1165" s="135">
        <v>0.950105411103303</v>
      </c>
      <c r="AA1165" s="135">
        <v>0.915577889447236</v>
      </c>
      <c r="AB1165" s="135">
        <v>0.949805068226121</v>
      </c>
      <c r="AC1165" s="135">
        <v>0.942810262529833</v>
      </c>
      <c r="AD1165" s="135">
        <v>0.92</v>
      </c>
      <c r="AE1165" s="133">
        <v>0.996195165622202</v>
      </c>
      <c r="AF1165" s="133">
        <v>0.997803806734993</v>
      </c>
      <c r="AG1165" s="133">
        <v>0.998901960784314</v>
      </c>
      <c r="AH1165" s="133">
        <v>0.994360615759793</v>
      </c>
      <c r="AI1165" s="135">
        <v>0.92</v>
      </c>
      <c r="AJ1165" s="133">
        <v>0.963181148748159</v>
      </c>
      <c r="AK1165" s="133">
        <v>0.967143862942971</v>
      </c>
      <c r="AL1165" s="133">
        <v>0.970389325534637</v>
      </c>
      <c r="AM1165" s="133">
        <v>0.962966650074664</v>
      </c>
      <c r="AN1165" s="132">
        <v>0.99</v>
      </c>
      <c r="AO1165" s="137">
        <v>1</v>
      </c>
      <c r="AP1165" s="137">
        <v>1</v>
      </c>
      <c r="AQ1165" s="137">
        <v>1</v>
      </c>
      <c r="AR1165" s="137">
        <v>1</v>
      </c>
      <c r="AS1165" s="158">
        <v>0.0721861525408278</v>
      </c>
      <c r="AT1165" s="141">
        <v>0.0666666666666667</v>
      </c>
      <c r="AU1165" s="141">
        <v>0</v>
      </c>
      <c r="AV1165" s="141">
        <v>0</v>
      </c>
      <c r="AW1165" s="141">
        <v>0.0581395348837209</v>
      </c>
      <c r="AX1165" s="95"/>
      <c r="AY1165" s="93"/>
    </row>
    <row r="1166" ht="14.5" spans="1:51">
      <c r="A1166" s="91"/>
      <c r="B1166" s="95"/>
      <c r="C1166" s="152" t="s">
        <v>1085</v>
      </c>
      <c r="D1166" s="153" t="s">
        <v>25</v>
      </c>
      <c r="E1166" s="130" t="s">
        <v>1086</v>
      </c>
      <c r="F1166" s="195" t="s">
        <v>1196</v>
      </c>
      <c r="G1166" s="195" t="s">
        <v>1196</v>
      </c>
      <c r="H1166" s="195" t="s">
        <v>1196</v>
      </c>
      <c r="I1166" s="195" t="s">
        <v>1196</v>
      </c>
      <c r="J1166" s="132">
        <v>0.9</v>
      </c>
      <c r="K1166" s="133">
        <v>0.857142857142857</v>
      </c>
      <c r="L1166" s="133">
        <v>0.961538461538462</v>
      </c>
      <c r="M1166" s="134">
        <v>0.91304347826087</v>
      </c>
      <c r="N1166" s="133">
        <v>0.890804597701149</v>
      </c>
      <c r="O1166" s="135">
        <v>0.9</v>
      </c>
      <c r="P1166" s="133">
        <v>0.972428419936373</v>
      </c>
      <c r="Q1166" s="133">
        <v>0.909380982769624</v>
      </c>
      <c r="R1166" s="133">
        <v>0.918265813788202</v>
      </c>
      <c r="S1166" s="133">
        <v>0.965060540425381</v>
      </c>
      <c r="T1166" s="135">
        <v>0.9</v>
      </c>
      <c r="U1166" s="133">
        <v>0.910922587486744</v>
      </c>
      <c r="V1166" s="133">
        <v>0.87364390555201</v>
      </c>
      <c r="W1166" s="133">
        <v>0.901918976545842</v>
      </c>
      <c r="X1166" s="133">
        <v>0.916237616731172</v>
      </c>
      <c r="Y1166" s="135">
        <v>0.92</v>
      </c>
      <c r="Z1166" s="135">
        <v>0.933915211970075</v>
      </c>
      <c r="AA1166" s="135">
        <v>0.898272552783109</v>
      </c>
      <c r="AB1166" s="135">
        <v>0.926020408163265</v>
      </c>
      <c r="AC1166" s="135">
        <v>0.950037965072134</v>
      </c>
      <c r="AD1166" s="135">
        <v>0.92</v>
      </c>
      <c r="AE1166" s="133">
        <v>0.998096353785327</v>
      </c>
      <c r="AF1166" s="133">
        <v>0.998229461756374</v>
      </c>
      <c r="AG1166" s="133">
        <v>0.996854764107308</v>
      </c>
      <c r="AH1166" s="133">
        <v>0.947354273865294</v>
      </c>
      <c r="AI1166" s="135">
        <v>0.92</v>
      </c>
      <c r="AJ1166" s="133">
        <v>0.946704871060172</v>
      </c>
      <c r="AK1166" s="133">
        <v>0.942556247008138</v>
      </c>
      <c r="AL1166" s="133">
        <v>0.942724458204334</v>
      </c>
      <c r="AM1166" s="133">
        <v>0.964173187271779</v>
      </c>
      <c r="AN1166" s="132">
        <v>0.99</v>
      </c>
      <c r="AO1166" s="137">
        <v>1</v>
      </c>
      <c r="AP1166" s="137">
        <v>1</v>
      </c>
      <c r="AQ1166" s="137">
        <v>1</v>
      </c>
      <c r="AR1166" s="137">
        <v>1</v>
      </c>
      <c r="AS1166" s="158">
        <v>0.0721861525408278</v>
      </c>
      <c r="AT1166" s="141">
        <v>0.0344827586206897</v>
      </c>
      <c r="AU1166" s="141">
        <v>0.0526315789473684</v>
      </c>
      <c r="AV1166" s="141">
        <v>0.0714285714285714</v>
      </c>
      <c r="AW1166" s="141">
        <v>0.05625</v>
      </c>
      <c r="AX1166" s="95"/>
      <c r="AY1166" s="93"/>
    </row>
    <row r="1167" ht="14.5" spans="1:51">
      <c r="A1167" s="91"/>
      <c r="B1167" s="95"/>
      <c r="C1167" s="152" t="s">
        <v>1085</v>
      </c>
      <c r="D1167" s="153" t="s">
        <v>25</v>
      </c>
      <c r="E1167" s="130" t="s">
        <v>1086</v>
      </c>
      <c r="F1167" s="195" t="s">
        <v>1197</v>
      </c>
      <c r="G1167" s="195" t="s">
        <v>1197</v>
      </c>
      <c r="H1167" s="195" t="s">
        <v>1197</v>
      </c>
      <c r="I1167" s="195" t="s">
        <v>1197</v>
      </c>
      <c r="J1167" s="132">
        <v>0.9</v>
      </c>
      <c r="K1167" s="133">
        <v>0.96969696969697</v>
      </c>
      <c r="L1167" s="133">
        <v>0.90625</v>
      </c>
      <c r="M1167" s="134">
        <v>1</v>
      </c>
      <c r="N1167" s="133">
        <v>0.952887537993921</v>
      </c>
      <c r="O1167" s="135">
        <v>0.9</v>
      </c>
      <c r="P1167" s="133">
        <v>0.975724353954581</v>
      </c>
      <c r="Q1167" s="133">
        <v>0.991015274034142</v>
      </c>
      <c r="R1167" s="133">
        <v>0.991540516473731</v>
      </c>
      <c r="S1167" s="133">
        <v>0.989220755833398</v>
      </c>
      <c r="T1167" s="135">
        <v>0.9</v>
      </c>
      <c r="U1167" s="133">
        <v>0.933437744714174</v>
      </c>
      <c r="V1167" s="133">
        <v>0.955974842767296</v>
      </c>
      <c r="W1167" s="133">
        <v>0.952359750667854</v>
      </c>
      <c r="X1167" s="133">
        <v>0.947595894111291</v>
      </c>
      <c r="Y1167" s="135">
        <v>0.92</v>
      </c>
      <c r="Z1167" s="135">
        <v>0.942465753424658</v>
      </c>
      <c r="AA1167" s="135">
        <v>0.954054054054054</v>
      </c>
      <c r="AB1167" s="135">
        <v>0.955163043478261</v>
      </c>
      <c r="AC1167" s="135">
        <v>0.966551856104095</v>
      </c>
      <c r="AD1167" s="135">
        <v>0.92</v>
      </c>
      <c r="AE1167" s="133">
        <v>0.997178841309824</v>
      </c>
      <c r="AF1167" s="133">
        <v>0.992992473397353</v>
      </c>
      <c r="AG1167" s="133">
        <v>0.984084880636605</v>
      </c>
      <c r="AH1167" s="133">
        <v>0.991470808025756</v>
      </c>
      <c r="AI1167" s="135">
        <v>0.92</v>
      </c>
      <c r="AJ1167" s="133">
        <v>0.953664700926706</v>
      </c>
      <c r="AK1167" s="133">
        <v>0.976062036412677</v>
      </c>
      <c r="AL1167" s="133">
        <v>0.975255513717052</v>
      </c>
      <c r="AM1167" s="133">
        <v>0.979356386906227</v>
      </c>
      <c r="AN1167" s="132">
        <v>0.99</v>
      </c>
      <c r="AO1167" s="137">
        <v>1</v>
      </c>
      <c r="AP1167" s="137">
        <v>1</v>
      </c>
      <c r="AQ1167" s="137">
        <v>1</v>
      </c>
      <c r="AR1167" s="137">
        <v>1</v>
      </c>
      <c r="AS1167" s="158">
        <v>0.0721861525408278</v>
      </c>
      <c r="AT1167" s="141">
        <v>0.0769230769230769</v>
      </c>
      <c r="AU1167" s="141">
        <v>0</v>
      </c>
      <c r="AV1167" s="141">
        <v>0.0625</v>
      </c>
      <c r="AW1167" s="141">
        <v>0.040590405904059</v>
      </c>
      <c r="AX1167" s="95"/>
      <c r="AY1167" s="93"/>
    </row>
    <row r="1168" ht="14.5" spans="1:51">
      <c r="A1168" s="91"/>
      <c r="B1168" s="95"/>
      <c r="C1168" s="152" t="s">
        <v>1085</v>
      </c>
      <c r="D1168" s="153" t="s">
        <v>25</v>
      </c>
      <c r="E1168" s="130" t="s">
        <v>1086</v>
      </c>
      <c r="F1168" s="195" t="s">
        <v>1198</v>
      </c>
      <c r="G1168" s="195" t="s">
        <v>1198</v>
      </c>
      <c r="H1168" s="195" t="s">
        <v>1198</v>
      </c>
      <c r="I1168" s="195" t="s">
        <v>1198</v>
      </c>
      <c r="J1168" s="132">
        <v>0.9</v>
      </c>
      <c r="K1168" s="133">
        <v>0.9</v>
      </c>
      <c r="L1168" s="133">
        <v>0.848484848484849</v>
      </c>
      <c r="M1168" s="134">
        <v>0.84375</v>
      </c>
      <c r="N1168" s="133">
        <v>0.872665534804754</v>
      </c>
      <c r="O1168" s="135">
        <v>0.9</v>
      </c>
      <c r="P1168" s="133">
        <v>0.981621621621622</v>
      </c>
      <c r="Q1168" s="133">
        <v>0.980547112462006</v>
      </c>
      <c r="R1168" s="133">
        <v>0.972989949748744</v>
      </c>
      <c r="S1168" s="133">
        <v>0.975290116046419</v>
      </c>
      <c r="T1168" s="135">
        <v>0.9</v>
      </c>
      <c r="U1168" s="133">
        <v>0.907027027027027</v>
      </c>
      <c r="V1168" s="133">
        <v>0.904559270516717</v>
      </c>
      <c r="W1168" s="133">
        <v>0.871859296482412</v>
      </c>
      <c r="X1168" s="133">
        <v>0.920734960650927</v>
      </c>
      <c r="Y1168" s="135">
        <v>0.92</v>
      </c>
      <c r="Z1168" s="135">
        <v>0.951040391676867</v>
      </c>
      <c r="AA1168" s="135">
        <v>0.92175572519084</v>
      </c>
      <c r="AB1168" s="135">
        <v>0.886019590382903</v>
      </c>
      <c r="AC1168" s="135">
        <v>0.950841908325538</v>
      </c>
      <c r="AD1168" s="135">
        <v>0.92</v>
      </c>
      <c r="AE1168" s="133">
        <v>0.985250737463127</v>
      </c>
      <c r="AF1168" s="133">
        <v>0.997050147492625</v>
      </c>
      <c r="AG1168" s="133">
        <v>0.998031496062992</v>
      </c>
      <c r="AH1168" s="133">
        <v>0.992968904733611</v>
      </c>
      <c r="AI1168" s="135">
        <v>0.92</v>
      </c>
      <c r="AJ1168" s="133">
        <v>0.947761194029851</v>
      </c>
      <c r="AK1168" s="133">
        <v>0.944674965421853</v>
      </c>
      <c r="AL1168" s="133">
        <v>0.914917127071823</v>
      </c>
      <c r="AM1168" s="133">
        <v>0.963110046915455</v>
      </c>
      <c r="AN1168" s="132">
        <v>0.99</v>
      </c>
      <c r="AO1168" s="137">
        <v>1</v>
      </c>
      <c r="AP1168" s="137">
        <v>1</v>
      </c>
      <c r="AQ1168" s="137">
        <v>1</v>
      </c>
      <c r="AR1168" s="137">
        <v>0.99957805907173</v>
      </c>
      <c r="AS1168" s="158">
        <v>0.0721861525408278</v>
      </c>
      <c r="AT1168" s="141">
        <v>0.0555555555555556</v>
      </c>
      <c r="AU1168" s="141">
        <v>0</v>
      </c>
      <c r="AV1168" s="141">
        <v>0</v>
      </c>
      <c r="AW1168" s="141">
        <v>0.0251572327044025</v>
      </c>
      <c r="AX1168" s="95"/>
      <c r="AY1168" s="93"/>
    </row>
    <row r="1169" ht="14.5" spans="1:51">
      <c r="A1169" s="91"/>
      <c r="B1169" s="95"/>
      <c r="C1169" s="152" t="s">
        <v>1085</v>
      </c>
      <c r="D1169" s="153" t="s">
        <v>25</v>
      </c>
      <c r="E1169" s="130" t="s">
        <v>1086</v>
      </c>
      <c r="F1169" s="195" t="s">
        <v>1199</v>
      </c>
      <c r="G1169" s="195" t="s">
        <v>1199</v>
      </c>
      <c r="H1169" s="195" t="s">
        <v>1199</v>
      </c>
      <c r="I1169" s="195" t="s">
        <v>1199</v>
      </c>
      <c r="J1169" s="132">
        <v>0.9</v>
      </c>
      <c r="K1169" s="133">
        <v>0.931818181818182</v>
      </c>
      <c r="L1169" s="133">
        <v>0.933333333333333</v>
      </c>
      <c r="M1169" s="134">
        <v>0.936170212765957</v>
      </c>
      <c r="N1169" s="133">
        <v>0.938271604938272</v>
      </c>
      <c r="O1169" s="135">
        <v>0.9</v>
      </c>
      <c r="P1169" s="133">
        <v>0.98475073313783</v>
      </c>
      <c r="Q1169" s="133">
        <v>0.988525143435707</v>
      </c>
      <c r="R1169" s="133">
        <v>0.972616632860041</v>
      </c>
      <c r="S1169" s="133">
        <v>0.981714450263665</v>
      </c>
      <c r="T1169" s="135">
        <v>0.9</v>
      </c>
      <c r="U1169" s="133">
        <v>0.940175953079179</v>
      </c>
      <c r="V1169" s="133">
        <v>0.956463044211947</v>
      </c>
      <c r="W1169" s="133">
        <v>0.946247464503043</v>
      </c>
      <c r="X1169" s="133">
        <v>0.947051095153249</v>
      </c>
      <c r="Y1169" s="135">
        <v>0.92</v>
      </c>
      <c r="Z1169" s="135">
        <v>0.960246744345442</v>
      </c>
      <c r="AA1169" s="135">
        <v>0.944944944944945</v>
      </c>
      <c r="AB1169" s="135">
        <v>0.95989847715736</v>
      </c>
      <c r="AC1169" s="135">
        <v>0.961520242971384</v>
      </c>
      <c r="AD1169" s="135">
        <v>0.92</v>
      </c>
      <c r="AE1169" s="133">
        <v>0.994960403167747</v>
      </c>
      <c r="AF1169" s="133">
        <v>0.997443272611058</v>
      </c>
      <c r="AG1169" s="133">
        <v>0.995865070729053</v>
      </c>
      <c r="AH1169" s="133">
        <v>0.994763370447644</v>
      </c>
      <c r="AI1169" s="135">
        <v>0.92</v>
      </c>
      <c r="AJ1169" s="133">
        <v>0.967150979153506</v>
      </c>
      <c r="AK1169" s="133">
        <v>0.973027476682632</v>
      </c>
      <c r="AL1169" s="133">
        <v>0.977277338202475</v>
      </c>
      <c r="AM1169" s="133">
        <v>0.975687346269473</v>
      </c>
      <c r="AN1169" s="132">
        <v>0.99</v>
      </c>
      <c r="AO1169" s="137">
        <v>1</v>
      </c>
      <c r="AP1169" s="137">
        <v>1</v>
      </c>
      <c r="AQ1169" s="137">
        <v>1</v>
      </c>
      <c r="AR1169" s="137">
        <v>1</v>
      </c>
      <c r="AS1169" s="158">
        <v>0.0721861525408278</v>
      </c>
      <c r="AT1169" s="141">
        <v>0.125</v>
      </c>
      <c r="AU1169" s="141">
        <v>0.117647058823529</v>
      </c>
      <c r="AV1169" s="141">
        <v>0.0833333333333333</v>
      </c>
      <c r="AW1169" s="141">
        <v>0.0530973451327434</v>
      </c>
      <c r="AX1169" s="95"/>
      <c r="AY1169" s="93"/>
    </row>
    <row r="1170" ht="14.5" spans="1:51">
      <c r="A1170" s="91"/>
      <c r="B1170" s="95"/>
      <c r="C1170" s="152" t="s">
        <v>1085</v>
      </c>
      <c r="D1170" s="153" t="s">
        <v>25</v>
      </c>
      <c r="E1170" s="130" t="s">
        <v>1086</v>
      </c>
      <c r="F1170" s="195" t="s">
        <v>1200</v>
      </c>
      <c r="G1170" s="195" t="s">
        <v>1200</v>
      </c>
      <c r="H1170" s="195" t="s">
        <v>1200</v>
      </c>
      <c r="I1170" s="195" t="s">
        <v>1200</v>
      </c>
      <c r="J1170" s="132">
        <v>0.9</v>
      </c>
      <c r="K1170" s="133">
        <v>0.870967741935484</v>
      </c>
      <c r="L1170" s="133">
        <v>0.918918918918919</v>
      </c>
      <c r="M1170" s="134">
        <v>0.903225806451613</v>
      </c>
      <c r="N1170" s="133">
        <v>0.94912559618442</v>
      </c>
      <c r="O1170" s="135">
        <v>0.9</v>
      </c>
      <c r="P1170" s="133">
        <v>0.95893536121673</v>
      </c>
      <c r="Q1170" s="133">
        <v>0.985700667302193</v>
      </c>
      <c r="R1170" s="133">
        <v>0.980702622464127</v>
      </c>
      <c r="S1170" s="133">
        <v>0.957791397431986</v>
      </c>
      <c r="T1170" s="135">
        <v>0.9</v>
      </c>
      <c r="U1170" s="133">
        <v>0.907984790874525</v>
      </c>
      <c r="V1170" s="133">
        <v>0.952335557673975</v>
      </c>
      <c r="W1170" s="133">
        <v>0.926768926274122</v>
      </c>
      <c r="X1170" s="133">
        <v>0.927341301755456</v>
      </c>
      <c r="Y1170" s="135">
        <v>0.92</v>
      </c>
      <c r="Z1170" s="135">
        <v>0.927536231884058</v>
      </c>
      <c r="AA1170" s="135">
        <v>0.94006309148265</v>
      </c>
      <c r="AB1170" s="135">
        <v>0.937301587301587</v>
      </c>
      <c r="AC1170" s="135">
        <v>0.952808687491621</v>
      </c>
      <c r="AD1170" s="135">
        <v>0.92</v>
      </c>
      <c r="AE1170" s="133">
        <v>0.935818103324219</v>
      </c>
      <c r="AF1170" s="133">
        <v>0.98806257521059</v>
      </c>
      <c r="AG1170" s="133">
        <v>0.964727722772277</v>
      </c>
      <c r="AH1170" s="133">
        <v>0.965797407612079</v>
      </c>
      <c r="AI1170" s="135">
        <v>0.92</v>
      </c>
      <c r="AJ1170" s="133">
        <v>0.948509485094851</v>
      </c>
      <c r="AK1170" s="133">
        <v>0.977314306622759</v>
      </c>
      <c r="AL1170" s="133">
        <v>0.961925068534877</v>
      </c>
      <c r="AM1170" s="133">
        <v>0.970609368050091</v>
      </c>
      <c r="AN1170" s="132">
        <v>0.99</v>
      </c>
      <c r="AO1170" s="137">
        <v>1</v>
      </c>
      <c r="AP1170" s="137">
        <v>1</v>
      </c>
      <c r="AQ1170" s="137">
        <v>1</v>
      </c>
      <c r="AR1170" s="137">
        <v>1</v>
      </c>
      <c r="AS1170" s="158">
        <v>0.0721861525408278</v>
      </c>
      <c r="AT1170" s="141">
        <v>0.1</v>
      </c>
      <c r="AU1170" s="141">
        <v>0</v>
      </c>
      <c r="AV1170" s="141">
        <v>0</v>
      </c>
      <c r="AW1170" s="141">
        <v>0.0280373831775701</v>
      </c>
      <c r="AX1170" s="95"/>
      <c r="AY1170" s="93"/>
    </row>
    <row r="1171" ht="14.5" spans="1:51">
      <c r="A1171" s="91"/>
      <c r="B1171" s="95"/>
      <c r="C1171" s="152" t="s">
        <v>1085</v>
      </c>
      <c r="D1171" s="153" t="s">
        <v>25</v>
      </c>
      <c r="E1171" s="130" t="s">
        <v>1086</v>
      </c>
      <c r="F1171" s="195" t="s">
        <v>1201</v>
      </c>
      <c r="G1171" s="195" t="s">
        <v>1201</v>
      </c>
      <c r="H1171" s="195" t="s">
        <v>1201</v>
      </c>
      <c r="I1171" s="195" t="s">
        <v>1201</v>
      </c>
      <c r="J1171" s="132">
        <v>0.9</v>
      </c>
      <c r="K1171" s="133">
        <v>0.978723404255319</v>
      </c>
      <c r="L1171" s="133">
        <v>0.938775510204082</v>
      </c>
      <c r="M1171" s="134">
        <v>0.833333333333333</v>
      </c>
      <c r="N1171" s="133">
        <v>0.938566552901024</v>
      </c>
      <c r="O1171" s="135">
        <v>0.9</v>
      </c>
      <c r="P1171" s="133">
        <v>0.971348707197764</v>
      </c>
      <c r="Q1171" s="133">
        <v>0.971677559912854</v>
      </c>
      <c r="R1171" s="133">
        <v>0.957393483709273</v>
      </c>
      <c r="S1171" s="133">
        <v>0.968536560352784</v>
      </c>
      <c r="T1171" s="135">
        <v>0.9</v>
      </c>
      <c r="U1171" s="133">
        <v>0.948287910552062</v>
      </c>
      <c r="V1171" s="133">
        <v>0.933914306463326</v>
      </c>
      <c r="W1171" s="133">
        <v>0.930242272347536</v>
      </c>
      <c r="X1171" s="133">
        <v>0.947164393395549</v>
      </c>
      <c r="Y1171" s="135">
        <v>0.92</v>
      </c>
      <c r="Z1171" s="135">
        <v>0.966977138018628</v>
      </c>
      <c r="AA1171" s="135">
        <v>0.954847277556441</v>
      </c>
      <c r="AB1171" s="135">
        <v>0.951525054466231</v>
      </c>
      <c r="AC1171" s="135">
        <v>0.957966549295775</v>
      </c>
      <c r="AD1171" s="135">
        <v>0.92</v>
      </c>
      <c r="AE1171" s="133">
        <v>0.999619434225549</v>
      </c>
      <c r="AF1171" s="133">
        <v>0.996655518394649</v>
      </c>
      <c r="AG1171" s="133">
        <v>0.998269896193772</v>
      </c>
      <c r="AH1171" s="133">
        <v>0.963459601047753</v>
      </c>
      <c r="AI1171" s="135">
        <v>0.92</v>
      </c>
      <c r="AJ1171" s="133">
        <v>0.970137825421133</v>
      </c>
      <c r="AK1171" s="133">
        <v>0.973196464214428</v>
      </c>
      <c r="AL1171" s="133">
        <v>0.965957446808511</v>
      </c>
      <c r="AM1171" s="133">
        <v>0.973985031463714</v>
      </c>
      <c r="AN1171" s="132">
        <v>0.99</v>
      </c>
      <c r="AO1171" s="137">
        <v>1</v>
      </c>
      <c r="AP1171" s="137">
        <v>1</v>
      </c>
      <c r="AQ1171" s="137">
        <v>1</v>
      </c>
      <c r="AR1171" s="137">
        <v>1</v>
      </c>
      <c r="AS1171" s="158">
        <v>0.0721861525408278</v>
      </c>
      <c r="AT1171" s="141">
        <v>0.0588235294117647</v>
      </c>
      <c r="AU1171" s="141">
        <v>0.12</v>
      </c>
      <c r="AV1171" s="141">
        <v>0.08</v>
      </c>
      <c r="AW1171" s="141">
        <v>0.0383631713554987</v>
      </c>
      <c r="AX1171" s="95"/>
      <c r="AY1171" s="93"/>
    </row>
    <row r="1172" ht="14.5" spans="1:51">
      <c r="A1172" s="91"/>
      <c r="B1172" s="95"/>
      <c r="C1172" s="152" t="s">
        <v>1085</v>
      </c>
      <c r="D1172" s="153" t="s">
        <v>125</v>
      </c>
      <c r="E1172" s="130" t="s">
        <v>1086</v>
      </c>
      <c r="F1172" s="195" t="s">
        <v>1202</v>
      </c>
      <c r="G1172" s="195" t="s">
        <v>1202</v>
      </c>
      <c r="H1172" s="195" t="s">
        <v>1202</v>
      </c>
      <c r="I1172" s="195" t="s">
        <v>1202</v>
      </c>
      <c r="J1172" s="132">
        <v>0.9</v>
      </c>
      <c r="K1172" s="133" t="s">
        <v>35</v>
      </c>
      <c r="L1172" s="133" t="s">
        <v>35</v>
      </c>
      <c r="M1172" s="134" t="s">
        <v>35</v>
      </c>
      <c r="N1172" s="133" t="s">
        <v>35</v>
      </c>
      <c r="O1172" s="135">
        <v>0.9</v>
      </c>
      <c r="P1172" s="133">
        <v>0</v>
      </c>
      <c r="Q1172" s="133" t="s">
        <v>35</v>
      </c>
      <c r="R1172" s="133" t="s">
        <v>35</v>
      </c>
      <c r="S1172" s="133">
        <v>0</v>
      </c>
      <c r="T1172" s="135">
        <v>0.9</v>
      </c>
      <c r="U1172" s="133">
        <v>0</v>
      </c>
      <c r="V1172" s="133" t="s">
        <v>35</v>
      </c>
      <c r="W1172" s="133" t="s">
        <v>35</v>
      </c>
      <c r="X1172" s="133">
        <v>0.975</v>
      </c>
      <c r="Y1172" s="135">
        <v>0.92</v>
      </c>
      <c r="Z1172" s="135" t="s">
        <v>35</v>
      </c>
      <c r="AA1172" s="135" t="s">
        <v>35</v>
      </c>
      <c r="AB1172" s="135" t="s">
        <v>35</v>
      </c>
      <c r="AC1172" s="135">
        <v>0.75</v>
      </c>
      <c r="AD1172" s="135">
        <v>0.92</v>
      </c>
      <c r="AE1172" s="133">
        <v>0.938435099069955</v>
      </c>
      <c r="AF1172" s="133">
        <v>0.99379956741168</v>
      </c>
      <c r="AG1172" s="133">
        <v>0.981792717086835</v>
      </c>
      <c r="AH1172" s="133">
        <v>0.980299186021147</v>
      </c>
      <c r="AI1172" s="135">
        <v>0.92</v>
      </c>
      <c r="AJ1172" s="133">
        <v>0.5</v>
      </c>
      <c r="AK1172" s="133" t="s">
        <v>35</v>
      </c>
      <c r="AL1172" s="133" t="s">
        <v>35</v>
      </c>
      <c r="AM1172" s="133">
        <v>0.962962962962963</v>
      </c>
      <c r="AN1172" s="132">
        <v>0.99</v>
      </c>
      <c r="AO1172" s="137">
        <v>1</v>
      </c>
      <c r="AP1172" s="137">
        <v>1</v>
      </c>
      <c r="AQ1172" s="137">
        <v>1</v>
      </c>
      <c r="AR1172" s="137">
        <v>1</v>
      </c>
      <c r="AS1172" s="158">
        <v>0.0721861525408278</v>
      </c>
      <c r="AT1172" s="141" t="s">
        <v>35</v>
      </c>
      <c r="AU1172" s="141" t="s">
        <v>35</v>
      </c>
      <c r="AV1172" s="141" t="s">
        <v>35</v>
      </c>
      <c r="AW1172" s="141" t="s">
        <v>35</v>
      </c>
      <c r="AX1172" s="95"/>
      <c r="AY1172" s="93"/>
    </row>
    <row r="1173" ht="14.5" spans="1:51">
      <c r="A1173" s="91"/>
      <c r="B1173" s="95"/>
      <c r="C1173" s="152" t="s">
        <v>1085</v>
      </c>
      <c r="D1173" s="153" t="s">
        <v>25</v>
      </c>
      <c r="E1173" s="130" t="s">
        <v>1086</v>
      </c>
      <c r="F1173" s="195" t="s">
        <v>1203</v>
      </c>
      <c r="G1173" s="195" t="s">
        <v>1203</v>
      </c>
      <c r="H1173" s="195" t="s">
        <v>1203</v>
      </c>
      <c r="I1173" s="195" t="s">
        <v>1203</v>
      </c>
      <c r="J1173" s="132">
        <v>0.9</v>
      </c>
      <c r="K1173" s="133">
        <v>0.891304347826087</v>
      </c>
      <c r="L1173" s="133">
        <v>0.844444444444444</v>
      </c>
      <c r="M1173" s="134">
        <v>0.822222222222222</v>
      </c>
      <c r="N1173" s="133">
        <v>0.909730363423212</v>
      </c>
      <c r="O1173" s="135">
        <v>0.9</v>
      </c>
      <c r="P1173" s="133">
        <v>0.958307786633967</v>
      </c>
      <c r="Q1173" s="133">
        <v>0.971890372452565</v>
      </c>
      <c r="R1173" s="133">
        <v>0.981893625047152</v>
      </c>
      <c r="S1173" s="133">
        <v>0.9597803502523</v>
      </c>
      <c r="T1173" s="135">
        <v>0.9</v>
      </c>
      <c r="U1173" s="133">
        <v>0.896382587369712</v>
      </c>
      <c r="V1173" s="133">
        <v>0.901616303583977</v>
      </c>
      <c r="W1173" s="133">
        <v>0.909845341380611</v>
      </c>
      <c r="X1173" s="133">
        <v>0.903532205402196</v>
      </c>
      <c r="Y1173" s="135">
        <v>0.92</v>
      </c>
      <c r="Z1173" s="135">
        <v>0.920938314509123</v>
      </c>
      <c r="AA1173" s="135">
        <v>0.969914040114613</v>
      </c>
      <c r="AB1173" s="135">
        <v>0.931184128952263</v>
      </c>
      <c r="AC1173" s="135">
        <v>0.954738432755271</v>
      </c>
      <c r="AD1173" s="135">
        <v>0.92</v>
      </c>
      <c r="AE1173" s="133">
        <v>0.999062353492733</v>
      </c>
      <c r="AF1173" s="133">
        <v>0.997368421052632</v>
      </c>
      <c r="AG1173" s="133">
        <v>0.997148497477517</v>
      </c>
      <c r="AH1173" s="133">
        <v>0.997390135238447</v>
      </c>
      <c r="AI1173" s="135">
        <v>0.92</v>
      </c>
      <c r="AJ1173" s="133">
        <v>0.948957584471603</v>
      </c>
      <c r="AK1173" s="133">
        <v>0.981094808126411</v>
      </c>
      <c r="AL1173" s="133">
        <v>0.964821763602251</v>
      </c>
      <c r="AM1173" s="133">
        <v>0.973895180546107</v>
      </c>
      <c r="AN1173" s="132">
        <v>0.99</v>
      </c>
      <c r="AO1173" s="137">
        <v>1</v>
      </c>
      <c r="AP1173" s="137">
        <v>1</v>
      </c>
      <c r="AQ1173" s="137">
        <v>1</v>
      </c>
      <c r="AR1173" s="137">
        <v>1</v>
      </c>
      <c r="AS1173" s="158">
        <v>0.0721861525408278</v>
      </c>
      <c r="AT1173" s="141">
        <v>0</v>
      </c>
      <c r="AU1173" s="141">
        <v>0.0555555555555556</v>
      </c>
      <c r="AV1173" s="141">
        <v>0</v>
      </c>
      <c r="AW1173" s="141">
        <v>0.0317460317460317</v>
      </c>
      <c r="AX1173" s="95"/>
      <c r="AY1173" s="93"/>
    </row>
    <row r="1174" ht="14.5" spans="1:51">
      <c r="A1174" s="91"/>
      <c r="B1174" s="95"/>
      <c r="C1174" s="152" t="s">
        <v>1085</v>
      </c>
      <c r="D1174" s="153" t="s">
        <v>25</v>
      </c>
      <c r="E1174" s="130" t="s">
        <v>1086</v>
      </c>
      <c r="F1174" s="195" t="s">
        <v>1204</v>
      </c>
      <c r="G1174" s="195" t="s">
        <v>1204</v>
      </c>
      <c r="H1174" s="195" t="s">
        <v>1204</v>
      </c>
      <c r="I1174" s="195" t="s">
        <v>1204</v>
      </c>
      <c r="J1174" s="132">
        <v>0.9</v>
      </c>
      <c r="K1174" s="133">
        <v>0.926829268292683</v>
      </c>
      <c r="L1174" s="133">
        <v>0.9375</v>
      </c>
      <c r="M1174" s="134">
        <v>0.975609756097561</v>
      </c>
      <c r="N1174" s="133">
        <v>0.967312348668281</v>
      </c>
      <c r="O1174" s="135">
        <v>0.9</v>
      </c>
      <c r="P1174" s="133">
        <v>0.962162162162162</v>
      </c>
      <c r="Q1174" s="133">
        <v>0.96520325203252</v>
      </c>
      <c r="R1174" s="133">
        <v>0.975634178905207</v>
      </c>
      <c r="S1174" s="133">
        <v>0.972006040190498</v>
      </c>
      <c r="T1174" s="135">
        <v>0.9</v>
      </c>
      <c r="U1174" s="133">
        <v>0.93033033033033</v>
      </c>
      <c r="V1174" s="133">
        <v>0.953170731707317</v>
      </c>
      <c r="W1174" s="133">
        <v>0.951602136181575</v>
      </c>
      <c r="X1174" s="133">
        <v>0.948697099934177</v>
      </c>
      <c r="Y1174" s="135">
        <v>0.92</v>
      </c>
      <c r="Z1174" s="135">
        <v>0.90929203539823</v>
      </c>
      <c r="AA1174" s="135">
        <v>0.899653979238754</v>
      </c>
      <c r="AB1174" s="135">
        <v>0.958504098360656</v>
      </c>
      <c r="AC1174" s="135">
        <v>0.955763183357523</v>
      </c>
      <c r="AD1174" s="135">
        <v>0.92</v>
      </c>
      <c r="AE1174" s="133">
        <v>0.998152211571775</v>
      </c>
      <c r="AF1174" s="133">
        <v>0.99422706863374</v>
      </c>
      <c r="AG1174" s="133">
        <v>0.997880947794259</v>
      </c>
      <c r="AH1174" s="133">
        <v>0.994542325501792</v>
      </c>
      <c r="AI1174" s="135">
        <v>0.92</v>
      </c>
      <c r="AJ1174" s="133">
        <v>0.942422236929186</v>
      </c>
      <c r="AK1174" s="133">
        <v>0.966007102993404</v>
      </c>
      <c r="AL1174" s="133">
        <v>0.973530006061831</v>
      </c>
      <c r="AM1174" s="133">
        <v>0.974921519106852</v>
      </c>
      <c r="AN1174" s="132">
        <v>0.99</v>
      </c>
      <c r="AO1174" s="137">
        <v>1</v>
      </c>
      <c r="AP1174" s="137">
        <v>1</v>
      </c>
      <c r="AQ1174" s="137">
        <v>1</v>
      </c>
      <c r="AR1174" s="137">
        <v>1</v>
      </c>
      <c r="AS1174" s="158">
        <v>0.0721861525408278</v>
      </c>
      <c r="AT1174" s="141">
        <v>0</v>
      </c>
      <c r="AU1174" s="141">
        <v>0.05</v>
      </c>
      <c r="AV1174" s="141">
        <v>0</v>
      </c>
      <c r="AW1174" s="141">
        <v>0.0378006872852234</v>
      </c>
      <c r="AX1174" s="95"/>
      <c r="AY1174" s="93"/>
    </row>
    <row r="1175" ht="14.5" spans="1:51">
      <c r="A1175" s="91"/>
      <c r="B1175" s="95"/>
      <c r="C1175" s="152" t="s">
        <v>1085</v>
      </c>
      <c r="D1175" s="153" t="s">
        <v>25</v>
      </c>
      <c r="E1175" s="130" t="s">
        <v>1086</v>
      </c>
      <c r="F1175" s="195" t="s">
        <v>1205</v>
      </c>
      <c r="G1175" s="195" t="s">
        <v>1205</v>
      </c>
      <c r="H1175" s="195" t="s">
        <v>1205</v>
      </c>
      <c r="I1175" s="195" t="s">
        <v>1205</v>
      </c>
      <c r="J1175" s="132">
        <v>0.9</v>
      </c>
      <c r="K1175" s="133">
        <v>0.96</v>
      </c>
      <c r="L1175" s="133">
        <v>0.88</v>
      </c>
      <c r="M1175" s="134">
        <v>0.916666666666667</v>
      </c>
      <c r="N1175" s="133">
        <v>0.91415313225058</v>
      </c>
      <c r="O1175" s="135">
        <v>0.9</v>
      </c>
      <c r="P1175" s="133">
        <v>0.967159277504105</v>
      </c>
      <c r="Q1175" s="133">
        <v>0.993995633187773</v>
      </c>
      <c r="R1175" s="133">
        <v>0.993404363267377</v>
      </c>
      <c r="S1175" s="133">
        <v>0.982909005186233</v>
      </c>
      <c r="T1175" s="135">
        <v>0.9</v>
      </c>
      <c r="U1175" s="133">
        <v>0.939244663382594</v>
      </c>
      <c r="V1175" s="133">
        <v>0.953602620087336</v>
      </c>
      <c r="W1175" s="133">
        <v>0.964485032978184</v>
      </c>
      <c r="X1175" s="133">
        <v>0.943039839698256</v>
      </c>
      <c r="Y1175" s="135">
        <v>0.92</v>
      </c>
      <c r="Z1175" s="135">
        <v>0.943502824858757</v>
      </c>
      <c r="AA1175" s="135">
        <v>0.957142857142857</v>
      </c>
      <c r="AB1175" s="135">
        <v>0.96286701208981</v>
      </c>
      <c r="AC1175" s="135">
        <v>0.966214953271028</v>
      </c>
      <c r="AD1175" s="135">
        <v>0.92</v>
      </c>
      <c r="AE1175" s="133">
        <v>0.996900254621942</v>
      </c>
      <c r="AF1175" s="133">
        <v>0.994339936740469</v>
      </c>
      <c r="AG1175" s="133">
        <v>0.997201017811705</v>
      </c>
      <c r="AH1175" s="133">
        <v>0.994155389210517</v>
      </c>
      <c r="AI1175" s="135">
        <v>0.92</v>
      </c>
      <c r="AJ1175" s="133">
        <v>0.964812173086067</v>
      </c>
      <c r="AK1175" s="133">
        <v>0.978878960194963</v>
      </c>
      <c r="AL1175" s="133">
        <v>0.978906999041227</v>
      </c>
      <c r="AM1175" s="133">
        <v>0.978659583310746</v>
      </c>
      <c r="AN1175" s="132">
        <v>0.99</v>
      </c>
      <c r="AO1175" s="137">
        <v>1</v>
      </c>
      <c r="AP1175" s="137">
        <v>1</v>
      </c>
      <c r="AQ1175" s="137">
        <v>1</v>
      </c>
      <c r="AR1175" s="137">
        <v>1</v>
      </c>
      <c r="AS1175" s="158">
        <v>0.0721861525408278</v>
      </c>
      <c r="AT1175" s="141">
        <v>0</v>
      </c>
      <c r="AU1175" s="141">
        <v>0</v>
      </c>
      <c r="AV1175" s="141">
        <v>0</v>
      </c>
      <c r="AW1175" s="141">
        <v>0.0444444444444444</v>
      </c>
      <c r="AX1175" s="95"/>
      <c r="AY1175" s="93"/>
    </row>
    <row r="1176" ht="14.5" spans="1:51">
      <c r="A1176" s="91"/>
      <c r="B1176" s="95"/>
      <c r="C1176" s="152" t="s">
        <v>1085</v>
      </c>
      <c r="D1176" s="153" t="s">
        <v>25</v>
      </c>
      <c r="E1176" s="130" t="s">
        <v>1086</v>
      </c>
      <c r="F1176" s="195" t="s">
        <v>1206</v>
      </c>
      <c r="G1176" s="195" t="s">
        <v>1206</v>
      </c>
      <c r="H1176" s="195" t="s">
        <v>1206</v>
      </c>
      <c r="I1176" s="195" t="s">
        <v>1206</v>
      </c>
      <c r="J1176" s="132">
        <v>0.9</v>
      </c>
      <c r="K1176" s="133">
        <v>0.975609756097561</v>
      </c>
      <c r="L1176" s="133">
        <v>0.930232558139535</v>
      </c>
      <c r="M1176" s="134">
        <v>0.951219512195122</v>
      </c>
      <c r="N1176" s="133">
        <v>0.94228356336261</v>
      </c>
      <c r="O1176" s="135">
        <v>0.9</v>
      </c>
      <c r="P1176" s="133">
        <v>0.916194790486976</v>
      </c>
      <c r="Q1176" s="133">
        <v>0.947043248014122</v>
      </c>
      <c r="R1176" s="133">
        <v>0.941194772868699</v>
      </c>
      <c r="S1176" s="133">
        <v>0.951827185203078</v>
      </c>
      <c r="T1176" s="135">
        <v>0.9</v>
      </c>
      <c r="U1176" s="133">
        <v>0.896942242355606</v>
      </c>
      <c r="V1176" s="133">
        <v>0.913798175934098</v>
      </c>
      <c r="W1176" s="133">
        <v>0.911325451151213</v>
      </c>
      <c r="X1176" s="133">
        <v>0.91514545015356</v>
      </c>
      <c r="Y1176" s="135">
        <v>0.92</v>
      </c>
      <c r="Z1176" s="135">
        <v>0.938748335552597</v>
      </c>
      <c r="AA1176" s="135">
        <v>0.947643979057592</v>
      </c>
      <c r="AB1176" s="135">
        <v>0.929590017825312</v>
      </c>
      <c r="AC1176" s="135">
        <v>0.951828492823587</v>
      </c>
      <c r="AD1176" s="135">
        <v>0.92</v>
      </c>
      <c r="AE1176" s="133">
        <v>0.997452978056426</v>
      </c>
      <c r="AF1176" s="133">
        <v>0.998759305210918</v>
      </c>
      <c r="AG1176" s="133">
        <v>0.995102840352595</v>
      </c>
      <c r="AH1176" s="133">
        <v>0.996151154653604</v>
      </c>
      <c r="AI1176" s="135">
        <v>0.92</v>
      </c>
      <c r="AJ1176" s="133">
        <v>0.947078617314163</v>
      </c>
      <c r="AK1176" s="133">
        <v>0.957988980716253</v>
      </c>
      <c r="AL1176" s="133">
        <v>0.951080982044705</v>
      </c>
      <c r="AM1176" s="133">
        <v>0.966475641729795</v>
      </c>
      <c r="AN1176" s="132">
        <v>0.99</v>
      </c>
      <c r="AO1176" s="137">
        <v>1</v>
      </c>
      <c r="AP1176" s="137">
        <v>1</v>
      </c>
      <c r="AQ1176" s="137">
        <v>1</v>
      </c>
      <c r="AR1176" s="137">
        <v>1</v>
      </c>
      <c r="AS1176" s="158">
        <v>0.0721861525408278</v>
      </c>
      <c r="AT1176" s="141">
        <v>0.037037037037037</v>
      </c>
      <c r="AU1176" s="141">
        <v>0.0294117647058824</v>
      </c>
      <c r="AV1176" s="141">
        <v>0.0714285714285714</v>
      </c>
      <c r="AW1176" s="141">
        <v>0.033271719038817</v>
      </c>
      <c r="AX1176" s="95"/>
      <c r="AY1176" s="93"/>
    </row>
    <row r="1177" ht="14.5" spans="1:51">
      <c r="A1177" s="91"/>
      <c r="B1177" s="95"/>
      <c r="C1177" s="152" t="s">
        <v>1085</v>
      </c>
      <c r="D1177" s="153" t="s">
        <v>25</v>
      </c>
      <c r="E1177" s="130" t="s">
        <v>1086</v>
      </c>
      <c r="F1177" s="195" t="s">
        <v>1207</v>
      </c>
      <c r="G1177" s="195" t="s">
        <v>1207</v>
      </c>
      <c r="H1177" s="195" t="s">
        <v>1207</v>
      </c>
      <c r="I1177" s="195" t="s">
        <v>1207</v>
      </c>
      <c r="J1177" s="132">
        <v>0.9</v>
      </c>
      <c r="K1177" s="133">
        <v>0.914893617021277</v>
      </c>
      <c r="L1177" s="133">
        <v>0.916666666666667</v>
      </c>
      <c r="M1177" s="134">
        <v>0.951219512195122</v>
      </c>
      <c r="N1177" s="133">
        <v>0.924191750278707</v>
      </c>
      <c r="O1177" s="135">
        <v>0.9</v>
      </c>
      <c r="P1177" s="133">
        <v>0.81007556675063</v>
      </c>
      <c r="Q1177" s="133">
        <v>0.862711378618515</v>
      </c>
      <c r="R1177" s="133">
        <v>0.857142857142857</v>
      </c>
      <c r="S1177" s="133">
        <v>0.891325368339971</v>
      </c>
      <c r="T1177" s="135">
        <v>0.9</v>
      </c>
      <c r="U1177" s="133">
        <v>0.909823677581864</v>
      </c>
      <c r="V1177" s="133">
        <v>0.921467469188879</v>
      </c>
      <c r="W1177" s="133">
        <v>0.892271662763466</v>
      </c>
      <c r="X1177" s="133">
        <v>0.91766229083698</v>
      </c>
      <c r="Y1177" s="135">
        <v>0.92</v>
      </c>
      <c r="Z1177" s="135">
        <v>0.910750507099391</v>
      </c>
      <c r="AA1177" s="135">
        <v>0.903440621531632</v>
      </c>
      <c r="AB1177" s="135">
        <v>0.937673130193906</v>
      </c>
      <c r="AC1177" s="135">
        <v>0.941352499532423</v>
      </c>
      <c r="AD1177" s="135">
        <v>0.92</v>
      </c>
      <c r="AE1177" s="133">
        <v>0.994365063393037</v>
      </c>
      <c r="AF1177" s="133">
        <v>0.99039780521262</v>
      </c>
      <c r="AG1177" s="133">
        <v>0.993053016453382</v>
      </c>
      <c r="AH1177" s="133">
        <v>0.990440436085178</v>
      </c>
      <c r="AI1177" s="135">
        <v>0.92</v>
      </c>
      <c r="AJ1177" s="133">
        <v>0.940548340548341</v>
      </c>
      <c r="AK1177" s="133">
        <v>0.959025722740724</v>
      </c>
      <c r="AL1177" s="133">
        <v>0.961855300859599</v>
      </c>
      <c r="AM1177" s="133">
        <v>0.965502183406113</v>
      </c>
      <c r="AN1177" s="132">
        <v>0.99</v>
      </c>
      <c r="AO1177" s="137">
        <v>1</v>
      </c>
      <c r="AP1177" s="137">
        <v>1</v>
      </c>
      <c r="AQ1177" s="137">
        <v>1</v>
      </c>
      <c r="AR1177" s="137">
        <v>1</v>
      </c>
      <c r="AS1177" s="158">
        <v>0.0721861525408278</v>
      </c>
      <c r="AT1177" s="141">
        <v>0</v>
      </c>
      <c r="AU1177" s="141">
        <v>0.0454545454545455</v>
      </c>
      <c r="AV1177" s="141">
        <v>0</v>
      </c>
      <c r="AW1177" s="141">
        <v>0.0193370165745856</v>
      </c>
      <c r="AX1177" s="95"/>
      <c r="AY1177" s="93"/>
    </row>
    <row r="1178" ht="14.5" spans="1:51">
      <c r="A1178" s="91"/>
      <c r="B1178" s="95"/>
      <c r="C1178" s="152" t="s">
        <v>1085</v>
      </c>
      <c r="D1178" s="153" t="s">
        <v>25</v>
      </c>
      <c r="E1178" s="130" t="s">
        <v>1086</v>
      </c>
      <c r="F1178" s="195" t="s">
        <v>1208</v>
      </c>
      <c r="G1178" s="195" t="s">
        <v>1208</v>
      </c>
      <c r="H1178" s="195" t="s">
        <v>1208</v>
      </c>
      <c r="I1178" s="195" t="s">
        <v>1208</v>
      </c>
      <c r="J1178" s="132">
        <v>0.9</v>
      </c>
      <c r="K1178" s="133">
        <v>0.925925925925926</v>
      </c>
      <c r="L1178" s="133">
        <v>0.891304347826087</v>
      </c>
      <c r="M1178" s="134">
        <v>1</v>
      </c>
      <c r="N1178" s="133">
        <v>0.94815668202765</v>
      </c>
      <c r="O1178" s="135">
        <v>0.9</v>
      </c>
      <c r="P1178" s="133">
        <v>0.846605504587156</v>
      </c>
      <c r="Q1178" s="133">
        <v>0.904320092780516</v>
      </c>
      <c r="R1178" s="133">
        <v>0.946161197833705</v>
      </c>
      <c r="S1178" s="133">
        <v>0.948634533209067</v>
      </c>
      <c r="T1178" s="135">
        <v>0.9</v>
      </c>
      <c r="U1178" s="133">
        <v>0.909724770642202</v>
      </c>
      <c r="V1178" s="133">
        <v>0.87648593795303</v>
      </c>
      <c r="W1178" s="133">
        <v>0.920356801529149</v>
      </c>
      <c r="X1178" s="133">
        <v>0.925105948968646</v>
      </c>
      <c r="Y1178" s="135">
        <v>0.92</v>
      </c>
      <c r="Z1178" s="135">
        <v>0.900668576886342</v>
      </c>
      <c r="AA1178" s="135">
        <v>0.812108559498956</v>
      </c>
      <c r="AB1178" s="135">
        <v>0.899305555555556</v>
      </c>
      <c r="AC1178" s="135">
        <v>0.919664643683914</v>
      </c>
      <c r="AD1178" s="135">
        <v>0.92</v>
      </c>
      <c r="AE1178" s="133">
        <v>0.996754867698452</v>
      </c>
      <c r="AF1178" s="133">
        <v>0.969185185185185</v>
      </c>
      <c r="AG1178" s="133">
        <v>0.998959552607621</v>
      </c>
      <c r="AH1178" s="133">
        <v>0.993713725670357</v>
      </c>
      <c r="AI1178" s="135">
        <v>0.92</v>
      </c>
      <c r="AJ1178" s="133">
        <v>0.93879173290938</v>
      </c>
      <c r="AK1178" s="133">
        <v>0.9152887306029</v>
      </c>
      <c r="AL1178" s="133">
        <v>0.953784661503872</v>
      </c>
      <c r="AM1178" s="133">
        <v>0.958636968723839</v>
      </c>
      <c r="AN1178" s="132">
        <v>0.99</v>
      </c>
      <c r="AO1178" s="137">
        <v>1</v>
      </c>
      <c r="AP1178" s="137">
        <v>1</v>
      </c>
      <c r="AQ1178" s="137">
        <v>1</v>
      </c>
      <c r="AR1178" s="137">
        <v>1</v>
      </c>
      <c r="AS1178" s="158">
        <v>0.0721861525408278</v>
      </c>
      <c r="AT1178" s="141">
        <v>0.0303030303030303</v>
      </c>
      <c r="AU1178" s="141">
        <v>0.0606060606060606</v>
      </c>
      <c r="AV1178" s="141">
        <v>0</v>
      </c>
      <c r="AW1178" s="141">
        <v>0.045766590389016</v>
      </c>
      <c r="AX1178" s="95"/>
      <c r="AY1178" s="93"/>
    </row>
    <row r="1179" ht="14.5" spans="1:51">
      <c r="A1179" s="91"/>
      <c r="B1179" s="95"/>
      <c r="C1179" s="152" t="s">
        <v>1085</v>
      </c>
      <c r="D1179" s="153" t="s">
        <v>25</v>
      </c>
      <c r="E1179" s="130" t="s">
        <v>1086</v>
      </c>
      <c r="F1179" s="195" t="s">
        <v>1209</v>
      </c>
      <c r="G1179" s="195" t="s">
        <v>1209</v>
      </c>
      <c r="H1179" s="195" t="s">
        <v>1209</v>
      </c>
      <c r="I1179" s="195" t="s">
        <v>1209</v>
      </c>
      <c r="J1179" s="132">
        <v>0.9</v>
      </c>
      <c r="K1179" s="133">
        <v>0.888888888888889</v>
      </c>
      <c r="L1179" s="133">
        <v>0.882352941176471</v>
      </c>
      <c r="M1179" s="134">
        <v>0.882352941176471</v>
      </c>
      <c r="N1179" s="133">
        <v>0.922995780590717</v>
      </c>
      <c r="O1179" s="135">
        <v>0.9</v>
      </c>
      <c r="P1179" s="133">
        <v>0.955798231929277</v>
      </c>
      <c r="Q1179" s="133">
        <v>0.964562569213732</v>
      </c>
      <c r="R1179" s="133">
        <v>0.963963963963964</v>
      </c>
      <c r="S1179" s="133">
        <v>0.964467789278542</v>
      </c>
      <c r="T1179" s="135">
        <v>0.9</v>
      </c>
      <c r="U1179" s="133">
        <v>0.940717628705148</v>
      </c>
      <c r="V1179" s="133">
        <v>0.930232558139535</v>
      </c>
      <c r="W1179" s="133">
        <v>0.930543446672479</v>
      </c>
      <c r="X1179" s="133">
        <v>0.933106751120037</v>
      </c>
      <c r="Y1179" s="135">
        <v>0.92</v>
      </c>
      <c r="Z1179" s="135">
        <v>0.94140625</v>
      </c>
      <c r="AA1179" s="135">
        <v>0.92378752886836</v>
      </c>
      <c r="AB1179" s="135">
        <v>0.951146560319043</v>
      </c>
      <c r="AC1179" s="135">
        <v>0.957228251407347</v>
      </c>
      <c r="AD1179" s="135">
        <v>0.92</v>
      </c>
      <c r="AE1179" s="133">
        <v>0.997357493393733</v>
      </c>
      <c r="AF1179" s="133">
        <v>0.996663886572143</v>
      </c>
      <c r="AG1179" s="133">
        <v>0.999526290857414</v>
      </c>
      <c r="AH1179" s="133">
        <v>0.996019170835188</v>
      </c>
      <c r="AI1179" s="135">
        <v>0.92</v>
      </c>
      <c r="AJ1179" s="133">
        <v>0.966196136701337</v>
      </c>
      <c r="AK1179" s="133">
        <v>0.965142150803461</v>
      </c>
      <c r="AL1179" s="133">
        <v>0.966921692169217</v>
      </c>
      <c r="AM1179" s="133">
        <v>0.973320969664856</v>
      </c>
      <c r="AN1179" s="132">
        <v>0.99</v>
      </c>
      <c r="AO1179" s="137">
        <v>1</v>
      </c>
      <c r="AP1179" s="137">
        <v>1</v>
      </c>
      <c r="AQ1179" s="137">
        <v>1</v>
      </c>
      <c r="AR1179" s="137">
        <v>1</v>
      </c>
      <c r="AS1179" s="158">
        <v>0.0721861525408278</v>
      </c>
      <c r="AT1179" s="141">
        <v>0.0434782608695652</v>
      </c>
      <c r="AU1179" s="141">
        <v>0</v>
      </c>
      <c r="AV1179" s="141">
        <v>0.0588235294117647</v>
      </c>
      <c r="AW1179" s="141">
        <v>0.0357142857142857</v>
      </c>
      <c r="AX1179" s="95"/>
      <c r="AY1179" s="93"/>
    </row>
    <row r="1180" ht="14.5" spans="1:51">
      <c r="A1180" s="91"/>
      <c r="B1180" s="95"/>
      <c r="C1180" s="152" t="s">
        <v>1085</v>
      </c>
      <c r="D1180" s="153" t="s">
        <v>25</v>
      </c>
      <c r="E1180" s="130" t="s">
        <v>1086</v>
      </c>
      <c r="F1180" s="195" t="s">
        <v>1210</v>
      </c>
      <c r="G1180" s="195" t="s">
        <v>1210</v>
      </c>
      <c r="H1180" s="195" t="s">
        <v>1210</v>
      </c>
      <c r="I1180" s="195" t="s">
        <v>1210</v>
      </c>
      <c r="J1180" s="132">
        <v>0.9</v>
      </c>
      <c r="K1180" s="133">
        <v>0.904761904761905</v>
      </c>
      <c r="L1180" s="133">
        <v>0.921052631578947</v>
      </c>
      <c r="M1180" s="134">
        <v>0.902777777777778</v>
      </c>
      <c r="N1180" s="133">
        <v>0.91451731761238</v>
      </c>
      <c r="O1180" s="135">
        <v>0.9</v>
      </c>
      <c r="P1180" s="133">
        <v>0.967560321715818</v>
      </c>
      <c r="Q1180" s="133">
        <v>0.953784624500074</v>
      </c>
      <c r="R1180" s="133">
        <v>0.898056023266493</v>
      </c>
      <c r="S1180" s="133">
        <v>0.961793431990587</v>
      </c>
      <c r="T1180" s="135">
        <v>0.9</v>
      </c>
      <c r="U1180" s="133">
        <v>0.936997319034853</v>
      </c>
      <c r="V1180" s="133">
        <v>0.935268849059399</v>
      </c>
      <c r="W1180" s="133">
        <v>0.912444512475126</v>
      </c>
      <c r="X1180" s="133">
        <v>0.937400154969054</v>
      </c>
      <c r="Y1180" s="135">
        <v>0.92</v>
      </c>
      <c r="Z1180" s="135">
        <v>0.876673713883016</v>
      </c>
      <c r="AA1180" s="135">
        <v>0.867704280155642</v>
      </c>
      <c r="AB1180" s="135">
        <v>0.890369473046638</v>
      </c>
      <c r="AC1180" s="135">
        <v>0.899009191834786</v>
      </c>
      <c r="AD1180" s="135">
        <v>0.92</v>
      </c>
      <c r="AE1180" s="133">
        <v>0.997948537600375</v>
      </c>
      <c r="AF1180" s="133">
        <v>0.99100273829704</v>
      </c>
      <c r="AG1180" s="133">
        <v>0.989712476919019</v>
      </c>
      <c r="AH1180" s="133">
        <v>0.967620031667217</v>
      </c>
      <c r="AI1180" s="135">
        <v>0.92</v>
      </c>
      <c r="AJ1180" s="133">
        <v>0.941747572815534</v>
      </c>
      <c r="AK1180" s="133">
        <v>0.968633705475811</v>
      </c>
      <c r="AL1180" s="133">
        <v>0.962243401759531</v>
      </c>
      <c r="AM1180" s="133">
        <v>0.965063888969374</v>
      </c>
      <c r="AN1180" s="132">
        <v>0.99</v>
      </c>
      <c r="AO1180" s="137">
        <v>1</v>
      </c>
      <c r="AP1180" s="137">
        <v>1</v>
      </c>
      <c r="AQ1180" s="137">
        <v>1</v>
      </c>
      <c r="AR1180" s="137">
        <v>1</v>
      </c>
      <c r="AS1180" s="158">
        <v>0.0721861525408278</v>
      </c>
      <c r="AT1180" s="141">
        <v>0.0666666666666667</v>
      </c>
      <c r="AU1180" s="141">
        <v>0.0256410256410256</v>
      </c>
      <c r="AV1180" s="141">
        <v>0.03125</v>
      </c>
      <c r="AW1180" s="141">
        <v>0.0326678765880218</v>
      </c>
      <c r="AX1180" s="95"/>
      <c r="AY1180" s="93"/>
    </row>
    <row r="1181" ht="14.5" spans="1:51">
      <c r="A1181" s="91"/>
      <c r="B1181" s="95"/>
      <c r="C1181" s="152" t="s">
        <v>1085</v>
      </c>
      <c r="D1181" s="153" t="s">
        <v>25</v>
      </c>
      <c r="E1181" s="130" t="s">
        <v>1086</v>
      </c>
      <c r="F1181" s="195" t="s">
        <v>1211</v>
      </c>
      <c r="G1181" s="195" t="s">
        <v>1211</v>
      </c>
      <c r="H1181" s="195" t="s">
        <v>1211</v>
      </c>
      <c r="I1181" s="195" t="s">
        <v>1211</v>
      </c>
      <c r="J1181" s="132">
        <v>0.9</v>
      </c>
      <c r="K1181" s="133">
        <v>1</v>
      </c>
      <c r="L1181" s="133">
        <v>0.769230769230769</v>
      </c>
      <c r="M1181" s="134">
        <v>0.896551724137931</v>
      </c>
      <c r="N1181" s="133">
        <v>0.921487603305785</v>
      </c>
      <c r="O1181" s="135">
        <v>0.9</v>
      </c>
      <c r="P1181" s="133">
        <v>0.982470784641068</v>
      </c>
      <c r="Q1181" s="133">
        <v>0.931691449814126</v>
      </c>
      <c r="R1181" s="133">
        <v>0.966172381835032</v>
      </c>
      <c r="S1181" s="133">
        <v>0.951349906442128</v>
      </c>
      <c r="T1181" s="135">
        <v>0.9</v>
      </c>
      <c r="U1181" s="133">
        <v>0.917362270450751</v>
      </c>
      <c r="V1181" s="133">
        <v>0.926115241635688</v>
      </c>
      <c r="W1181" s="133">
        <v>0.932808155699722</v>
      </c>
      <c r="X1181" s="133">
        <v>0.92616353322047</v>
      </c>
      <c r="Y1181" s="135">
        <v>0.92</v>
      </c>
      <c r="Z1181" s="135">
        <v>0.896</v>
      </c>
      <c r="AA1181" s="135">
        <v>0.913793103448276</v>
      </c>
      <c r="AB1181" s="135">
        <v>0.967857142857143</v>
      </c>
      <c r="AC1181" s="135">
        <v>0.95662226136739</v>
      </c>
      <c r="AD1181" s="135">
        <v>0.92</v>
      </c>
      <c r="AE1181" s="133">
        <v>0.997041420118343</v>
      </c>
      <c r="AF1181" s="133">
        <v>0.967741935483871</v>
      </c>
      <c r="AG1181" s="133">
        <v>0.998159226875288</v>
      </c>
      <c r="AH1181" s="133">
        <v>0.991335085085085</v>
      </c>
      <c r="AI1181" s="135">
        <v>0.92</v>
      </c>
      <c r="AJ1181" s="133">
        <v>0.938970120788303</v>
      </c>
      <c r="AK1181" s="133">
        <v>0.956375838926175</v>
      </c>
      <c r="AL1181" s="133">
        <v>0.976085356880059</v>
      </c>
      <c r="AM1181" s="133">
        <v>0.975277745292948</v>
      </c>
      <c r="AN1181" s="132">
        <v>0.99</v>
      </c>
      <c r="AO1181" s="137">
        <v>1</v>
      </c>
      <c r="AP1181" s="137">
        <v>1</v>
      </c>
      <c r="AQ1181" s="137">
        <v>1</v>
      </c>
      <c r="AR1181" s="137">
        <v>1</v>
      </c>
      <c r="AS1181" s="158">
        <v>0.0721861525408278</v>
      </c>
      <c r="AT1181" s="141">
        <v>0.285714285714286</v>
      </c>
      <c r="AU1181" s="141">
        <v>0</v>
      </c>
      <c r="AV1181" s="141">
        <v>0.285714285714286</v>
      </c>
      <c r="AW1181" s="141">
        <v>0.115384615384615</v>
      </c>
      <c r="AX1181" s="95"/>
      <c r="AY1181" s="93"/>
    </row>
    <row r="1182" ht="14.5" spans="1:51">
      <c r="A1182" s="91"/>
      <c r="B1182" s="95"/>
      <c r="C1182" s="152" t="s">
        <v>1085</v>
      </c>
      <c r="D1182" s="153" t="s">
        <v>25</v>
      </c>
      <c r="E1182" s="130" t="s">
        <v>1086</v>
      </c>
      <c r="F1182" s="195" t="s">
        <v>1212</v>
      </c>
      <c r="G1182" s="195" t="s">
        <v>1212</v>
      </c>
      <c r="H1182" s="195" t="s">
        <v>1212</v>
      </c>
      <c r="I1182" s="195" t="s">
        <v>1212</v>
      </c>
      <c r="J1182" s="132">
        <v>0.9</v>
      </c>
      <c r="K1182" s="133">
        <v>0.975609756097561</v>
      </c>
      <c r="L1182" s="133">
        <v>0.979591836734694</v>
      </c>
      <c r="M1182" s="134">
        <v>0.959183673469388</v>
      </c>
      <c r="N1182" s="133">
        <v>0.95338512763596</v>
      </c>
      <c r="O1182" s="135">
        <v>0.9</v>
      </c>
      <c r="P1182" s="133">
        <v>0.977573904179409</v>
      </c>
      <c r="Q1182" s="133">
        <v>0.981728933733297</v>
      </c>
      <c r="R1182" s="133">
        <v>0.967391304347826</v>
      </c>
      <c r="S1182" s="133">
        <v>0.977070659803463</v>
      </c>
      <c r="T1182" s="135">
        <v>0.9</v>
      </c>
      <c r="U1182" s="133">
        <v>0.934250764525994</v>
      </c>
      <c r="V1182" s="133">
        <v>0.925824925006818</v>
      </c>
      <c r="W1182" s="133">
        <v>0.940364277320799</v>
      </c>
      <c r="X1182" s="133">
        <v>0.934103215455579</v>
      </c>
      <c r="Y1182" s="135">
        <v>0.92</v>
      </c>
      <c r="Z1182" s="135">
        <v>0.905835543766578</v>
      </c>
      <c r="AA1182" s="135">
        <v>0.898076923076923</v>
      </c>
      <c r="AB1182" s="135">
        <v>0.943434343434343</v>
      </c>
      <c r="AC1182" s="135">
        <v>0.949486101378183</v>
      </c>
      <c r="AD1182" s="135">
        <v>0.92</v>
      </c>
      <c r="AE1182" s="133">
        <v>0.999325691166554</v>
      </c>
      <c r="AF1182" s="133">
        <v>1</v>
      </c>
      <c r="AG1182" s="133">
        <v>0.998600419874038</v>
      </c>
      <c r="AH1182" s="133">
        <v>0.998588057028721</v>
      </c>
      <c r="AI1182" s="135">
        <v>0.92</v>
      </c>
      <c r="AJ1182" s="133">
        <v>0.948453608247423</v>
      </c>
      <c r="AK1182" s="133">
        <v>0.964891330308096</v>
      </c>
      <c r="AL1182" s="133">
        <v>0.969731451979973</v>
      </c>
      <c r="AM1182" s="133">
        <v>0.97385790759316</v>
      </c>
      <c r="AN1182" s="132">
        <v>0.99</v>
      </c>
      <c r="AO1182" s="137">
        <v>1</v>
      </c>
      <c r="AP1182" s="137">
        <v>1</v>
      </c>
      <c r="AQ1182" s="137">
        <v>1</v>
      </c>
      <c r="AR1182" s="137">
        <v>1</v>
      </c>
      <c r="AS1182" s="158">
        <v>0.0721861525408278</v>
      </c>
      <c r="AT1182" s="141">
        <v>0.0434782608695652</v>
      </c>
      <c r="AU1182" s="141">
        <v>0</v>
      </c>
      <c r="AV1182" s="141">
        <v>0.0740740740740741</v>
      </c>
      <c r="AW1182" s="141">
        <v>0.0395778364116095</v>
      </c>
      <c r="AX1182" s="95"/>
      <c r="AY1182" s="93"/>
    </row>
    <row r="1183" ht="14.5" spans="1:51">
      <c r="A1183" s="91"/>
      <c r="B1183" s="95"/>
      <c r="C1183" s="152" t="s">
        <v>1085</v>
      </c>
      <c r="D1183" s="153" t="s">
        <v>25</v>
      </c>
      <c r="E1183" s="130" t="s">
        <v>1086</v>
      </c>
      <c r="F1183" s="195" t="s">
        <v>1213</v>
      </c>
      <c r="G1183" s="195" t="s">
        <v>1213</v>
      </c>
      <c r="H1183" s="195" t="s">
        <v>1213</v>
      </c>
      <c r="I1183" s="195" t="s">
        <v>1213</v>
      </c>
      <c r="J1183" s="132">
        <v>0.9</v>
      </c>
      <c r="K1183" s="133">
        <v>1</v>
      </c>
      <c r="L1183" s="133">
        <v>1</v>
      </c>
      <c r="M1183" s="134">
        <v>1</v>
      </c>
      <c r="N1183" s="133">
        <v>0.984910836762689</v>
      </c>
      <c r="O1183" s="135">
        <v>0.9</v>
      </c>
      <c r="P1183" s="133">
        <v>0.924292297564187</v>
      </c>
      <c r="Q1183" s="133">
        <v>0.961851851851852</v>
      </c>
      <c r="R1183" s="133">
        <v>0.95994009734182</v>
      </c>
      <c r="S1183" s="133">
        <v>0.960712093308778</v>
      </c>
      <c r="T1183" s="135">
        <v>0.9</v>
      </c>
      <c r="U1183" s="133">
        <v>0.863067807768269</v>
      </c>
      <c r="V1183" s="133">
        <v>0.941481481481481</v>
      </c>
      <c r="W1183" s="133">
        <v>0.884687383002621</v>
      </c>
      <c r="X1183" s="133">
        <v>0.915356282759598</v>
      </c>
      <c r="Y1183" s="135">
        <v>0.92</v>
      </c>
      <c r="Z1183" s="135">
        <v>0.919291338582677</v>
      </c>
      <c r="AA1183" s="135">
        <v>0.933673469387755</v>
      </c>
      <c r="AB1183" s="135">
        <v>0.93815987933635</v>
      </c>
      <c r="AC1183" s="135">
        <v>0.935459492140266</v>
      </c>
      <c r="AD1183" s="135">
        <v>0.92</v>
      </c>
      <c r="AE1183" s="133">
        <v>0.956671251719395</v>
      </c>
      <c r="AF1183" s="133">
        <v>0.995555555555556</v>
      </c>
      <c r="AG1183" s="133">
        <v>0.999389499389499</v>
      </c>
      <c r="AH1183" s="133">
        <v>0.99266461958376</v>
      </c>
      <c r="AI1183" s="135">
        <v>0.92</v>
      </c>
      <c r="AJ1183" s="133">
        <v>0.916173570019724</v>
      </c>
      <c r="AK1183" s="133">
        <v>0.976714100905563</v>
      </c>
      <c r="AL1183" s="133">
        <v>0.958908218356329</v>
      </c>
      <c r="AM1183" s="133">
        <v>0.964776570482838</v>
      </c>
      <c r="AN1183" s="132">
        <v>0.99</v>
      </c>
      <c r="AO1183" s="137">
        <v>1</v>
      </c>
      <c r="AP1183" s="137">
        <v>1</v>
      </c>
      <c r="AQ1183" s="137">
        <v>1</v>
      </c>
      <c r="AR1183" s="137">
        <v>1</v>
      </c>
      <c r="AS1183" s="158">
        <v>0.0721861525408278</v>
      </c>
      <c r="AT1183" s="141">
        <v>0.125</v>
      </c>
      <c r="AU1183" s="141">
        <v>0</v>
      </c>
      <c r="AV1183" s="141">
        <v>0</v>
      </c>
      <c r="AW1183" s="141">
        <v>0.0342205323193916</v>
      </c>
      <c r="AX1183" s="95"/>
      <c r="AY1183" s="93"/>
    </row>
    <row r="1184" ht="14.5" spans="1:51">
      <c r="A1184" s="91"/>
      <c r="B1184" s="95"/>
      <c r="C1184" s="152" t="s">
        <v>1085</v>
      </c>
      <c r="D1184" s="153" t="s">
        <v>25</v>
      </c>
      <c r="E1184" s="130" t="s">
        <v>1086</v>
      </c>
      <c r="F1184" s="195" t="s">
        <v>1214</v>
      </c>
      <c r="G1184" s="195" t="s">
        <v>1214</v>
      </c>
      <c r="H1184" s="195" t="s">
        <v>1214</v>
      </c>
      <c r="I1184" s="195" t="s">
        <v>1214</v>
      </c>
      <c r="J1184" s="132">
        <v>0.9</v>
      </c>
      <c r="K1184" s="133">
        <v>1</v>
      </c>
      <c r="L1184" s="133">
        <v>1</v>
      </c>
      <c r="M1184" s="134">
        <v>0.975</v>
      </c>
      <c r="N1184" s="133">
        <v>0.969496021220159</v>
      </c>
      <c r="O1184" s="135">
        <v>0.9</v>
      </c>
      <c r="P1184" s="133">
        <v>0.85518102372035</v>
      </c>
      <c r="Q1184" s="133">
        <v>0.934477379095164</v>
      </c>
      <c r="R1184" s="133">
        <v>0.947588424437299</v>
      </c>
      <c r="S1184" s="133">
        <v>0.944619040318872</v>
      </c>
      <c r="T1184" s="135">
        <v>0.9</v>
      </c>
      <c r="U1184" s="133">
        <v>0.858926342072409</v>
      </c>
      <c r="V1184" s="133">
        <v>0.946333853354134</v>
      </c>
      <c r="W1184" s="133">
        <v>0.894533762057878</v>
      </c>
      <c r="X1184" s="133">
        <v>0.915491338341254</v>
      </c>
      <c r="Y1184" s="135">
        <v>0.92</v>
      </c>
      <c r="Z1184" s="135">
        <v>0.92</v>
      </c>
      <c r="AA1184" s="135">
        <v>0.9559902200489</v>
      </c>
      <c r="AB1184" s="135">
        <v>0.934593023255814</v>
      </c>
      <c r="AC1184" s="135">
        <v>0.938465371200797</v>
      </c>
      <c r="AD1184" s="135">
        <v>0.92</v>
      </c>
      <c r="AE1184" s="133">
        <v>0.998489425981873</v>
      </c>
      <c r="AF1184" s="133">
        <v>0.99874843554443</v>
      </c>
      <c r="AG1184" s="133">
        <v>0.998373983739837</v>
      </c>
      <c r="AH1184" s="133">
        <v>0.995154814562776</v>
      </c>
      <c r="AI1184" s="135">
        <v>0.92</v>
      </c>
      <c r="AJ1184" s="133">
        <v>0.939146230699364</v>
      </c>
      <c r="AK1184" s="133">
        <v>0.984781405644715</v>
      </c>
      <c r="AL1184" s="133">
        <v>0.962611901000527</v>
      </c>
      <c r="AM1184" s="133">
        <v>0.965901264598567</v>
      </c>
      <c r="AN1184" s="132">
        <v>0.99</v>
      </c>
      <c r="AO1184" s="137">
        <v>1</v>
      </c>
      <c r="AP1184" s="137">
        <v>1</v>
      </c>
      <c r="AQ1184" s="137">
        <v>1</v>
      </c>
      <c r="AR1184" s="137">
        <v>1</v>
      </c>
      <c r="AS1184" s="158">
        <v>0.0721861525408278</v>
      </c>
      <c r="AT1184" s="141">
        <v>0</v>
      </c>
      <c r="AU1184" s="141">
        <v>0.0909090909090909</v>
      </c>
      <c r="AV1184" s="141">
        <v>0.0714285714285714</v>
      </c>
      <c r="AW1184" s="141">
        <v>0.0408719346049046</v>
      </c>
      <c r="AX1184" s="95"/>
      <c r="AY1184" s="93"/>
    </row>
    <row r="1185" ht="14.5" spans="1:51">
      <c r="A1185" s="91"/>
      <c r="B1185" s="95"/>
      <c r="C1185" s="152" t="s">
        <v>1085</v>
      </c>
      <c r="D1185" s="153" t="s">
        <v>25</v>
      </c>
      <c r="E1185" s="130" t="s">
        <v>1086</v>
      </c>
      <c r="F1185" s="195" t="s">
        <v>1215</v>
      </c>
      <c r="G1185" s="195" t="s">
        <v>1215</v>
      </c>
      <c r="H1185" s="195" t="s">
        <v>1215</v>
      </c>
      <c r="I1185" s="195" t="s">
        <v>1215</v>
      </c>
      <c r="J1185" s="132">
        <v>0.9</v>
      </c>
      <c r="K1185" s="133">
        <v>0.976190476190476</v>
      </c>
      <c r="L1185" s="133">
        <v>1</v>
      </c>
      <c r="M1185" s="134">
        <v>0.961538461538462</v>
      </c>
      <c r="N1185" s="133">
        <v>0.945744680851064</v>
      </c>
      <c r="O1185" s="135">
        <v>0.9</v>
      </c>
      <c r="P1185" s="133">
        <v>0.986607142857143</v>
      </c>
      <c r="Q1185" s="133">
        <v>0.987720473319938</v>
      </c>
      <c r="R1185" s="133">
        <v>0.99027514231499</v>
      </c>
      <c r="S1185" s="133">
        <v>0.985555746617108</v>
      </c>
      <c r="T1185" s="135">
        <v>0.9</v>
      </c>
      <c r="U1185" s="133">
        <v>0.964732142857143</v>
      </c>
      <c r="V1185" s="133">
        <v>0.969859343603483</v>
      </c>
      <c r="W1185" s="133">
        <v>0.950426944971537</v>
      </c>
      <c r="X1185" s="133">
        <v>0.961733310405947</v>
      </c>
      <c r="Y1185" s="135">
        <v>0.92</v>
      </c>
      <c r="Z1185" s="135" t="s">
        <v>35</v>
      </c>
      <c r="AA1185" s="135" t="s">
        <v>35</v>
      </c>
      <c r="AB1185" s="135" t="s">
        <v>35</v>
      </c>
      <c r="AC1185" s="135" t="s">
        <v>35</v>
      </c>
      <c r="AD1185" s="135">
        <v>0.92</v>
      </c>
      <c r="AE1185" s="133">
        <v>0.998888271261812</v>
      </c>
      <c r="AF1185" s="133">
        <v>0.998783454987834</v>
      </c>
      <c r="AG1185" s="133">
        <v>1</v>
      </c>
      <c r="AH1185" s="133">
        <v>0.998781138112288</v>
      </c>
      <c r="AI1185" s="135">
        <v>0.92</v>
      </c>
      <c r="AJ1185" s="133">
        <v>0.970982142857143</v>
      </c>
      <c r="AK1185" s="133">
        <v>0.985487832105381</v>
      </c>
      <c r="AL1185" s="133">
        <v>0.982685009487666</v>
      </c>
      <c r="AM1185" s="133">
        <v>0.984510786894353</v>
      </c>
      <c r="AN1185" s="132">
        <v>0.99</v>
      </c>
      <c r="AO1185" s="137">
        <v>1</v>
      </c>
      <c r="AP1185" s="137">
        <v>1</v>
      </c>
      <c r="AQ1185" s="137">
        <v>1</v>
      </c>
      <c r="AR1185" s="137">
        <v>1</v>
      </c>
      <c r="AS1185" s="158">
        <v>0.0721861525408278</v>
      </c>
      <c r="AT1185" s="141">
        <v>0</v>
      </c>
      <c r="AU1185" s="141">
        <v>0.0555555555555556</v>
      </c>
      <c r="AV1185" s="141">
        <v>0.0454545454545455</v>
      </c>
      <c r="AW1185" s="141">
        <v>0.0214285714285714</v>
      </c>
      <c r="AX1185" s="95"/>
      <c r="AY1185" s="93"/>
    </row>
    <row r="1186" ht="14.5" spans="1:51">
      <c r="A1186" s="91"/>
      <c r="B1186" s="95"/>
      <c r="C1186" s="152" t="s">
        <v>1085</v>
      </c>
      <c r="D1186" s="153" t="s">
        <v>25</v>
      </c>
      <c r="E1186" s="130" t="s">
        <v>1086</v>
      </c>
      <c r="F1186" s="195" t="s">
        <v>1216</v>
      </c>
      <c r="G1186" s="195" t="s">
        <v>1216</v>
      </c>
      <c r="H1186" s="195" t="s">
        <v>1216</v>
      </c>
      <c r="I1186" s="195" t="s">
        <v>1216</v>
      </c>
      <c r="J1186" s="132">
        <v>0.9</v>
      </c>
      <c r="K1186" s="133">
        <v>0.936507936507937</v>
      </c>
      <c r="L1186" s="133">
        <v>0.946666666666667</v>
      </c>
      <c r="M1186" s="134">
        <v>0.885714285714286</v>
      </c>
      <c r="N1186" s="133">
        <v>0.913882702301411</v>
      </c>
      <c r="O1186" s="135">
        <v>0.9</v>
      </c>
      <c r="P1186" s="133">
        <v>0.964439655172414</v>
      </c>
      <c r="Q1186" s="133">
        <v>0.958734344100198</v>
      </c>
      <c r="R1186" s="133">
        <v>0.955410312273057</v>
      </c>
      <c r="S1186" s="133">
        <v>0.954900786937019</v>
      </c>
      <c r="T1186" s="135">
        <v>0.9</v>
      </c>
      <c r="U1186" s="133">
        <v>0.916217672413793</v>
      </c>
      <c r="V1186" s="133">
        <v>0.926961107448912</v>
      </c>
      <c r="W1186" s="133">
        <v>0.894843863471315</v>
      </c>
      <c r="X1186" s="133">
        <v>0.922087161734211</v>
      </c>
      <c r="Y1186" s="135">
        <v>0.92</v>
      </c>
      <c r="Z1186" s="135">
        <v>0</v>
      </c>
      <c r="AA1186" s="135">
        <v>0</v>
      </c>
      <c r="AB1186" s="135" t="s">
        <v>35</v>
      </c>
      <c r="AC1186" s="135">
        <v>0</v>
      </c>
      <c r="AD1186" s="135">
        <v>0.92</v>
      </c>
      <c r="AE1186" s="133">
        <v>0.998942917547569</v>
      </c>
      <c r="AF1186" s="133">
        <v>0.993377483443709</v>
      </c>
      <c r="AG1186" s="133">
        <v>0.989928057553957</v>
      </c>
      <c r="AH1186" s="133">
        <v>0.985480793163528</v>
      </c>
      <c r="AI1186" s="135">
        <v>0.92</v>
      </c>
      <c r="AJ1186" s="133">
        <v>0.930783732830595</v>
      </c>
      <c r="AK1186" s="133">
        <v>0.962035328236225</v>
      </c>
      <c r="AL1186" s="133">
        <v>0.955555555555556</v>
      </c>
      <c r="AM1186" s="133">
        <v>0.959074779409851</v>
      </c>
      <c r="AN1186" s="132">
        <v>0.99</v>
      </c>
      <c r="AO1186" s="137">
        <v>1</v>
      </c>
      <c r="AP1186" s="137">
        <v>1</v>
      </c>
      <c r="AQ1186" s="137">
        <v>1</v>
      </c>
      <c r="AR1186" s="137">
        <v>1</v>
      </c>
      <c r="AS1186" s="158">
        <v>0.0721861525408278</v>
      </c>
      <c r="AT1186" s="141">
        <v>0.037037037037037</v>
      </c>
      <c r="AU1186" s="141">
        <v>0.0833333333333333</v>
      </c>
      <c r="AV1186" s="141">
        <v>0</v>
      </c>
      <c r="AW1186" s="141">
        <v>0.0540540540540541</v>
      </c>
      <c r="AX1186" s="95"/>
      <c r="AY1186" s="93"/>
    </row>
    <row r="1187" ht="14.5" spans="1:51">
      <c r="A1187" s="91"/>
      <c r="B1187" s="95"/>
      <c r="C1187" s="152" t="s">
        <v>1085</v>
      </c>
      <c r="D1187" s="153" t="s">
        <v>25</v>
      </c>
      <c r="E1187" s="130" t="s">
        <v>1086</v>
      </c>
      <c r="F1187" s="195" t="s">
        <v>1217</v>
      </c>
      <c r="G1187" s="195" t="s">
        <v>1217</v>
      </c>
      <c r="H1187" s="195" t="s">
        <v>1217</v>
      </c>
      <c r="I1187" s="195" t="s">
        <v>1217</v>
      </c>
      <c r="J1187" s="132">
        <v>0.9</v>
      </c>
      <c r="K1187" s="133">
        <v>0.967741935483871</v>
      </c>
      <c r="L1187" s="133">
        <v>0.970588235294118</v>
      </c>
      <c r="M1187" s="134">
        <v>0.96969696969697</v>
      </c>
      <c r="N1187" s="133">
        <v>0.949346405228758</v>
      </c>
      <c r="O1187" s="135">
        <v>0.9</v>
      </c>
      <c r="P1187" s="133">
        <v>0.990733590733591</v>
      </c>
      <c r="Q1187" s="133">
        <v>0.995170748533977</v>
      </c>
      <c r="R1187" s="133">
        <v>0.994190268700073</v>
      </c>
      <c r="S1187" s="133">
        <v>0.988902117527001</v>
      </c>
      <c r="T1187" s="135">
        <v>0.9</v>
      </c>
      <c r="U1187" s="133">
        <v>0.976833976833977</v>
      </c>
      <c r="V1187" s="133">
        <v>0.982752673335633</v>
      </c>
      <c r="W1187" s="133">
        <v>0.974582425562818</v>
      </c>
      <c r="X1187" s="133">
        <v>0.972382855685007</v>
      </c>
      <c r="Y1187" s="135">
        <v>0.92</v>
      </c>
      <c r="Z1187" s="135" t="s">
        <v>35</v>
      </c>
      <c r="AA1187" s="135" t="s">
        <v>35</v>
      </c>
      <c r="AB1187" s="135">
        <v>0</v>
      </c>
      <c r="AC1187" s="135">
        <v>0</v>
      </c>
      <c r="AD1187" s="135">
        <v>0.92</v>
      </c>
      <c r="AE1187" s="133">
        <v>1</v>
      </c>
      <c r="AF1187" s="133">
        <v>0.998098859315589</v>
      </c>
      <c r="AG1187" s="133">
        <v>1</v>
      </c>
      <c r="AH1187" s="133">
        <v>0.998233215547703</v>
      </c>
      <c r="AI1187" s="135">
        <v>0.92</v>
      </c>
      <c r="AJ1187" s="133">
        <v>0.985328185328185</v>
      </c>
      <c r="AK1187" s="133">
        <v>0.992066229734391</v>
      </c>
      <c r="AL1187" s="133">
        <v>0.988384754990926</v>
      </c>
      <c r="AM1187" s="133">
        <v>0.99047558305164</v>
      </c>
      <c r="AN1187" s="132">
        <v>0.99</v>
      </c>
      <c r="AO1187" s="137">
        <v>1</v>
      </c>
      <c r="AP1187" s="137">
        <v>1</v>
      </c>
      <c r="AQ1187" s="137">
        <v>1</v>
      </c>
      <c r="AR1187" s="137">
        <v>1</v>
      </c>
      <c r="AS1187" s="158">
        <v>0.0721861525408278</v>
      </c>
      <c r="AT1187" s="141">
        <v>0</v>
      </c>
      <c r="AU1187" s="141">
        <v>0</v>
      </c>
      <c r="AV1187" s="141">
        <v>0</v>
      </c>
      <c r="AW1187" s="141">
        <v>0.0457142857142857</v>
      </c>
      <c r="AX1187" s="95"/>
      <c r="AY1187" s="93"/>
    </row>
    <row r="1188" ht="14.5" spans="1:51">
      <c r="A1188" s="91"/>
      <c r="B1188" s="95"/>
      <c r="C1188" s="152" t="s">
        <v>1085</v>
      </c>
      <c r="D1188" s="153" t="s">
        <v>25</v>
      </c>
      <c r="E1188" s="130" t="s">
        <v>1086</v>
      </c>
      <c r="F1188" s="195" t="s">
        <v>1218</v>
      </c>
      <c r="G1188" s="195" t="s">
        <v>1218</v>
      </c>
      <c r="H1188" s="195" t="s">
        <v>1218</v>
      </c>
      <c r="I1188" s="195" t="s">
        <v>1218</v>
      </c>
      <c r="J1188" s="132">
        <v>0.9</v>
      </c>
      <c r="K1188" s="133">
        <v>0.966101694915254</v>
      </c>
      <c r="L1188" s="133">
        <v>0.930555555555556</v>
      </c>
      <c r="M1188" s="134">
        <v>0.942857142857143</v>
      </c>
      <c r="N1188" s="133">
        <v>0.925038639876352</v>
      </c>
      <c r="O1188" s="135">
        <v>0.9</v>
      </c>
      <c r="P1188" s="133">
        <v>0.984451482867838</v>
      </c>
      <c r="Q1188" s="133">
        <v>0.898577695068457</v>
      </c>
      <c r="R1188" s="133">
        <v>0.976665252439542</v>
      </c>
      <c r="S1188" s="133">
        <v>0.945621543555603</v>
      </c>
      <c r="T1188" s="135">
        <v>0.9</v>
      </c>
      <c r="U1188" s="133">
        <v>0.922833285344083</v>
      </c>
      <c r="V1188" s="133">
        <v>0.928220124950153</v>
      </c>
      <c r="W1188" s="133">
        <v>0.929571489181163</v>
      </c>
      <c r="X1188" s="133">
        <v>0.934340765789566</v>
      </c>
      <c r="Y1188" s="135">
        <v>0.92</v>
      </c>
      <c r="Z1188" s="135">
        <v>0</v>
      </c>
      <c r="AA1188" s="135" t="s">
        <v>35</v>
      </c>
      <c r="AB1188" s="135" t="s">
        <v>35</v>
      </c>
      <c r="AC1188" s="135">
        <v>0</v>
      </c>
      <c r="AD1188" s="135">
        <v>0.92</v>
      </c>
      <c r="AE1188" s="133">
        <v>0.998603351955307</v>
      </c>
      <c r="AF1188" s="133">
        <v>0.975138121546961</v>
      </c>
      <c r="AG1188" s="133">
        <v>0.98494983277592</v>
      </c>
      <c r="AH1188" s="133">
        <v>0.986275356063876</v>
      </c>
      <c r="AI1188" s="135">
        <v>0.92</v>
      </c>
      <c r="AJ1188" s="133">
        <v>0.943884892086331</v>
      </c>
      <c r="AK1188" s="133">
        <v>0.965705170809517</v>
      </c>
      <c r="AL1188" s="133">
        <v>0.958845990666101</v>
      </c>
      <c r="AM1188" s="133">
        <v>0.970852156147906</v>
      </c>
      <c r="AN1188" s="132">
        <v>0.99</v>
      </c>
      <c r="AO1188" s="137">
        <v>1</v>
      </c>
      <c r="AP1188" s="137">
        <v>1</v>
      </c>
      <c r="AQ1188" s="137">
        <v>1</v>
      </c>
      <c r="AR1188" s="137">
        <v>1</v>
      </c>
      <c r="AS1188" s="158">
        <v>0.0721861525408278</v>
      </c>
      <c r="AT1188" s="141">
        <v>0</v>
      </c>
      <c r="AU1188" s="141">
        <v>0</v>
      </c>
      <c r="AV1188" s="141">
        <v>0</v>
      </c>
      <c r="AW1188" s="141">
        <v>0.036144578313253</v>
      </c>
      <c r="AX1188" s="95"/>
      <c r="AY1188" s="93"/>
    </row>
    <row r="1189" ht="14.5" spans="1:51">
      <c r="A1189" s="91"/>
      <c r="B1189" s="95"/>
      <c r="C1189" s="152" t="s">
        <v>1085</v>
      </c>
      <c r="D1189" s="153" t="s">
        <v>25</v>
      </c>
      <c r="E1189" s="130" t="s">
        <v>1086</v>
      </c>
      <c r="F1189" s="195" t="s">
        <v>1219</v>
      </c>
      <c r="G1189" s="195" t="s">
        <v>1219</v>
      </c>
      <c r="H1189" s="195" t="s">
        <v>1219</v>
      </c>
      <c r="I1189" s="195" t="s">
        <v>1219</v>
      </c>
      <c r="J1189" s="132">
        <v>0.9</v>
      </c>
      <c r="K1189" s="133">
        <v>1</v>
      </c>
      <c r="L1189" s="133">
        <v>1</v>
      </c>
      <c r="M1189" s="134">
        <v>1</v>
      </c>
      <c r="N1189" s="133">
        <v>0.975103734439834</v>
      </c>
      <c r="O1189" s="135">
        <v>0.9</v>
      </c>
      <c r="P1189" s="133">
        <v>0.975359342915811</v>
      </c>
      <c r="Q1189" s="133">
        <v>0.986863711001642</v>
      </c>
      <c r="R1189" s="133">
        <v>0.985611510791367</v>
      </c>
      <c r="S1189" s="133">
        <v>0.984942807200466</v>
      </c>
      <c r="T1189" s="135">
        <v>0.9</v>
      </c>
      <c r="U1189" s="133">
        <v>0.945585215605749</v>
      </c>
      <c r="V1189" s="133">
        <v>0.946360153256705</v>
      </c>
      <c r="W1189" s="133">
        <v>0.953237410071942</v>
      </c>
      <c r="X1189" s="133">
        <v>0.961943021865129</v>
      </c>
      <c r="Y1189" s="135">
        <v>0.92</v>
      </c>
      <c r="Z1189" s="135">
        <v>0.951882845188284</v>
      </c>
      <c r="AA1189" s="135">
        <v>0.962108731466227</v>
      </c>
      <c r="AB1189" s="135">
        <v>0.965785381026439</v>
      </c>
      <c r="AC1189" s="135">
        <v>0.975529192835543</v>
      </c>
      <c r="AD1189" s="135">
        <v>0.92</v>
      </c>
      <c r="AE1189" s="133">
        <v>0.99985116832862</v>
      </c>
      <c r="AF1189" s="133">
        <v>0.999390057944495</v>
      </c>
      <c r="AG1189" s="133">
        <v>0.998489806191795</v>
      </c>
      <c r="AH1189" s="133">
        <v>0.994701202590194</v>
      </c>
      <c r="AI1189" s="135">
        <v>0.92</v>
      </c>
      <c r="AJ1189" s="133">
        <v>0.960103626943005</v>
      </c>
      <c r="AK1189" s="133">
        <v>0.97822514379622</v>
      </c>
      <c r="AL1189" s="133">
        <v>0.977657413676371</v>
      </c>
      <c r="AM1189" s="133">
        <v>0.984604579814072</v>
      </c>
      <c r="AN1189" s="132">
        <v>0.99</v>
      </c>
      <c r="AO1189" s="137">
        <v>1</v>
      </c>
      <c r="AP1189" s="137">
        <v>1</v>
      </c>
      <c r="AQ1189" s="137">
        <v>1</v>
      </c>
      <c r="AR1189" s="137">
        <v>1</v>
      </c>
      <c r="AS1189" s="158">
        <v>0.0721861525408278</v>
      </c>
      <c r="AT1189" s="141">
        <v>0.0625</v>
      </c>
      <c r="AU1189" s="141">
        <v>0.0909090909090909</v>
      </c>
      <c r="AV1189" s="141">
        <v>0.04</v>
      </c>
      <c r="AW1189" s="141">
        <v>0.0462046204620462</v>
      </c>
      <c r="AX1189" s="95"/>
      <c r="AY1189" s="93"/>
    </row>
    <row r="1190" ht="14.5" spans="1:51">
      <c r="A1190" s="91"/>
      <c r="B1190" s="95"/>
      <c r="C1190" s="152" t="s">
        <v>1085</v>
      </c>
      <c r="D1190" s="153" t="s">
        <v>25</v>
      </c>
      <c r="E1190" s="130" t="s">
        <v>1086</v>
      </c>
      <c r="F1190" s="195" t="s">
        <v>1220</v>
      </c>
      <c r="G1190" s="195" t="s">
        <v>1220</v>
      </c>
      <c r="H1190" s="195" t="s">
        <v>1220</v>
      </c>
      <c r="I1190" s="195" t="s">
        <v>1220</v>
      </c>
      <c r="J1190" s="132">
        <v>0.9</v>
      </c>
      <c r="K1190" s="133">
        <v>0.984848484848485</v>
      </c>
      <c r="L1190" s="133">
        <v>0.970588235294118</v>
      </c>
      <c r="M1190" s="134">
        <v>1</v>
      </c>
      <c r="N1190" s="133">
        <v>0.975497702909648</v>
      </c>
      <c r="O1190" s="135">
        <v>0.9</v>
      </c>
      <c r="P1190" s="133">
        <v>0.989433962264151</v>
      </c>
      <c r="Q1190" s="133">
        <v>0.977768629065459</v>
      </c>
      <c r="R1190" s="133">
        <v>0.98449452139756</v>
      </c>
      <c r="S1190" s="133">
        <v>0.98619306656832</v>
      </c>
      <c r="T1190" s="135">
        <v>0.9</v>
      </c>
      <c r="U1190" s="133">
        <v>0.964528301886793</v>
      </c>
      <c r="V1190" s="133">
        <v>0.96315356113627</v>
      </c>
      <c r="W1190" s="133">
        <v>0.953070084763283</v>
      </c>
      <c r="X1190" s="133">
        <v>0.955490503411396</v>
      </c>
      <c r="Y1190" s="135">
        <v>0.92</v>
      </c>
      <c r="Z1190" s="135">
        <v>0.945790554414784</v>
      </c>
      <c r="AA1190" s="135">
        <v>0.91591784338896</v>
      </c>
      <c r="AB1190" s="135">
        <v>0.938974056603774</v>
      </c>
      <c r="AC1190" s="135">
        <v>0.945648834112867</v>
      </c>
      <c r="AD1190" s="135">
        <v>0.92</v>
      </c>
      <c r="AE1190" s="133">
        <v>0.994998883679393</v>
      </c>
      <c r="AF1190" s="133">
        <v>0.995401124169647</v>
      </c>
      <c r="AG1190" s="133">
        <v>0.991074176669745</v>
      </c>
      <c r="AH1190" s="133">
        <v>0.992311625249148</v>
      </c>
      <c r="AI1190" s="135">
        <v>0.92</v>
      </c>
      <c r="AJ1190" s="133">
        <v>0.964405113077679</v>
      </c>
      <c r="AK1190" s="133">
        <v>0.964931421446384</v>
      </c>
      <c r="AL1190" s="133">
        <v>0.965244865718799</v>
      </c>
      <c r="AM1190" s="133">
        <v>0.969310043547954</v>
      </c>
      <c r="AN1190" s="132">
        <v>0.99</v>
      </c>
      <c r="AO1190" s="137">
        <v>1</v>
      </c>
      <c r="AP1190" s="137">
        <v>1</v>
      </c>
      <c r="AQ1190" s="137">
        <v>1</v>
      </c>
      <c r="AR1190" s="137">
        <v>1</v>
      </c>
      <c r="AS1190" s="158">
        <v>0.0721861525408278</v>
      </c>
      <c r="AT1190" s="141">
        <v>0.0454545454545455</v>
      </c>
      <c r="AU1190" s="141">
        <v>0.0263157894736842</v>
      </c>
      <c r="AV1190" s="141">
        <v>0.0222222222222222</v>
      </c>
      <c r="AW1190" s="141">
        <v>0.0471380471380471</v>
      </c>
      <c r="AX1190" s="95"/>
      <c r="AY1190" s="93"/>
    </row>
    <row r="1191" ht="14.5" spans="1:51">
      <c r="A1191" s="91"/>
      <c r="B1191" s="95"/>
      <c r="C1191" s="152" t="s">
        <v>1085</v>
      </c>
      <c r="D1191" s="153" t="s">
        <v>25</v>
      </c>
      <c r="E1191" s="130" t="s">
        <v>1086</v>
      </c>
      <c r="F1191" s="195" t="s">
        <v>1221</v>
      </c>
      <c r="G1191" s="195" t="s">
        <v>1221</v>
      </c>
      <c r="H1191" s="195" t="s">
        <v>1221</v>
      </c>
      <c r="I1191" s="195" t="s">
        <v>1221</v>
      </c>
      <c r="J1191" s="132">
        <v>0.9</v>
      </c>
      <c r="K1191" s="133">
        <v>0.947368421052632</v>
      </c>
      <c r="L1191" s="133">
        <v>0.973684210526316</v>
      </c>
      <c r="M1191" s="134">
        <v>0.975609756097561</v>
      </c>
      <c r="N1191" s="133">
        <v>0.973007712082262</v>
      </c>
      <c r="O1191" s="135">
        <v>0.9</v>
      </c>
      <c r="P1191" s="133">
        <v>0.993682310469314</v>
      </c>
      <c r="Q1191" s="133">
        <v>0.990150336962157</v>
      </c>
      <c r="R1191" s="133">
        <v>0.99492385786802</v>
      </c>
      <c r="S1191" s="133">
        <v>0.989198350661506</v>
      </c>
      <c r="T1191" s="135">
        <v>0.9</v>
      </c>
      <c r="U1191" s="133">
        <v>0.922382671480144</v>
      </c>
      <c r="V1191" s="133">
        <v>0.95800933125972</v>
      </c>
      <c r="W1191" s="133">
        <v>0.96243654822335</v>
      </c>
      <c r="X1191" s="133">
        <v>0.959879588171309</v>
      </c>
      <c r="Y1191" s="135">
        <v>0.92</v>
      </c>
      <c r="Z1191" s="135">
        <v>0.956592956592957</v>
      </c>
      <c r="AA1191" s="135">
        <v>0.963060686015831</v>
      </c>
      <c r="AB1191" s="135">
        <v>0.954545454545455</v>
      </c>
      <c r="AC1191" s="135">
        <v>0.964253798033959</v>
      </c>
      <c r="AD1191" s="135">
        <v>0.92</v>
      </c>
      <c r="AE1191" s="133">
        <v>0.995753715498938</v>
      </c>
      <c r="AF1191" s="133">
        <v>0.992880613362541</v>
      </c>
      <c r="AG1191" s="133">
        <v>0.992046276211135</v>
      </c>
      <c r="AH1191" s="133">
        <v>0.960914085914086</v>
      </c>
      <c r="AI1191" s="135">
        <v>0.92</v>
      </c>
      <c r="AJ1191" s="133">
        <v>0.966938600257621</v>
      </c>
      <c r="AK1191" s="133">
        <v>0.976553777446967</v>
      </c>
      <c r="AL1191" s="133">
        <v>0.972768940415206</v>
      </c>
      <c r="AM1191" s="133">
        <v>0.978433463680531</v>
      </c>
      <c r="AN1191" s="132">
        <v>0.99</v>
      </c>
      <c r="AO1191" s="137">
        <v>1</v>
      </c>
      <c r="AP1191" s="137">
        <v>1</v>
      </c>
      <c r="AQ1191" s="137">
        <v>1</v>
      </c>
      <c r="AR1191" s="137">
        <v>1</v>
      </c>
      <c r="AS1191" s="158">
        <v>0.0721861525408278</v>
      </c>
      <c r="AT1191" s="141">
        <v>0.0833333333333333</v>
      </c>
      <c r="AU1191" s="141">
        <v>0</v>
      </c>
      <c r="AV1191" s="141">
        <v>0.0555555555555556</v>
      </c>
      <c r="AW1191" s="141">
        <v>0.0224719101123595</v>
      </c>
      <c r="AX1191" s="95"/>
      <c r="AY1191" s="93"/>
    </row>
    <row r="1192" ht="14.5" spans="1:51">
      <c r="A1192" s="91"/>
      <c r="B1192" s="95"/>
      <c r="C1192" s="152" t="s">
        <v>1085</v>
      </c>
      <c r="D1192" s="153" t="s">
        <v>25</v>
      </c>
      <c r="E1192" s="130" t="s">
        <v>1086</v>
      </c>
      <c r="F1192" s="195" t="s">
        <v>1222</v>
      </c>
      <c r="G1192" s="195" t="s">
        <v>1222</v>
      </c>
      <c r="H1192" s="195" t="s">
        <v>1222</v>
      </c>
      <c r="I1192" s="195" t="s">
        <v>1222</v>
      </c>
      <c r="J1192" s="132">
        <v>0.9</v>
      </c>
      <c r="K1192" s="133">
        <v>1</v>
      </c>
      <c r="L1192" s="133">
        <v>0.983606557377049</v>
      </c>
      <c r="M1192" s="134">
        <v>0.984848484848485</v>
      </c>
      <c r="N1192" s="133">
        <v>0.99328295549958</v>
      </c>
      <c r="O1192" s="135">
        <v>0.9</v>
      </c>
      <c r="P1192" s="133">
        <v>0.952715355805243</v>
      </c>
      <c r="Q1192" s="133">
        <v>0.951357466063348</v>
      </c>
      <c r="R1192" s="133">
        <v>0.97624371157071</v>
      </c>
      <c r="S1192" s="133">
        <v>0.980700100182686</v>
      </c>
      <c r="T1192" s="135">
        <v>0.9</v>
      </c>
      <c r="U1192" s="133">
        <v>0.938202247191011</v>
      </c>
      <c r="V1192" s="133">
        <v>0.929864253393665</v>
      </c>
      <c r="W1192" s="133">
        <v>0.92593627724986</v>
      </c>
      <c r="X1192" s="133">
        <v>0.949334079792563</v>
      </c>
      <c r="Y1192" s="135">
        <v>0.92</v>
      </c>
      <c r="Z1192" s="135">
        <v>0.944890315676833</v>
      </c>
      <c r="AA1192" s="135">
        <v>0.93195020746888</v>
      </c>
      <c r="AB1192" s="135">
        <v>0.941551142750094</v>
      </c>
      <c r="AC1192" s="135">
        <v>0.965331726974368</v>
      </c>
      <c r="AD1192" s="135">
        <v>0.92</v>
      </c>
      <c r="AE1192" s="133">
        <v>0.887033045977011</v>
      </c>
      <c r="AF1192" s="133">
        <v>0.987471176018447</v>
      </c>
      <c r="AG1192" s="133">
        <v>0.990054869684499</v>
      </c>
      <c r="AH1192" s="133">
        <v>0.967559135334755</v>
      </c>
      <c r="AI1192" s="135">
        <v>0.92</v>
      </c>
      <c r="AJ1192" s="133">
        <v>0.961048689138577</v>
      </c>
      <c r="AK1192" s="133">
        <v>0.959299873471109</v>
      </c>
      <c r="AL1192" s="133">
        <v>0.960787451984635</v>
      </c>
      <c r="AM1192" s="133">
        <v>0.975954494527277</v>
      </c>
      <c r="AN1192" s="132">
        <v>0.99</v>
      </c>
      <c r="AO1192" s="137">
        <v>1</v>
      </c>
      <c r="AP1192" s="137">
        <v>1</v>
      </c>
      <c r="AQ1192" s="137">
        <v>1</v>
      </c>
      <c r="AR1192" s="137">
        <v>1</v>
      </c>
      <c r="AS1192" s="158">
        <v>0.0721861525408278</v>
      </c>
      <c r="AT1192" s="141">
        <v>0.0285714285714286</v>
      </c>
      <c r="AU1192" s="141">
        <v>0.075</v>
      </c>
      <c r="AV1192" s="141">
        <v>0.0588235294117647</v>
      </c>
      <c r="AW1192" s="141">
        <v>0.0340909090909091</v>
      </c>
      <c r="AX1192" s="95"/>
      <c r="AY1192" s="93"/>
    </row>
    <row r="1193" ht="14.5" spans="1:51">
      <c r="A1193" s="91"/>
      <c r="B1193" s="95"/>
      <c r="C1193" s="152" t="s">
        <v>1085</v>
      </c>
      <c r="D1193" s="153" t="s">
        <v>25</v>
      </c>
      <c r="E1193" s="130" t="s">
        <v>1086</v>
      </c>
      <c r="F1193" s="195" t="s">
        <v>1223</v>
      </c>
      <c r="G1193" s="195" t="s">
        <v>1223</v>
      </c>
      <c r="H1193" s="195" t="s">
        <v>1223</v>
      </c>
      <c r="I1193" s="195" t="s">
        <v>1223</v>
      </c>
      <c r="J1193" s="132">
        <v>0.9</v>
      </c>
      <c r="K1193" s="133">
        <v>0.869565217391304</v>
      </c>
      <c r="L1193" s="133">
        <v>0.869565217391304</v>
      </c>
      <c r="M1193" s="134">
        <v>0.88</v>
      </c>
      <c r="N1193" s="133">
        <v>0.87032967032967</v>
      </c>
      <c r="O1193" s="135">
        <v>0.9</v>
      </c>
      <c r="P1193" s="133">
        <v>0.982167352537723</v>
      </c>
      <c r="Q1193" s="133">
        <v>0.945024356297843</v>
      </c>
      <c r="R1193" s="133">
        <v>0.951682484900777</v>
      </c>
      <c r="S1193" s="133">
        <v>0.969242645863806</v>
      </c>
      <c r="T1193" s="135">
        <v>0.9</v>
      </c>
      <c r="U1193" s="133">
        <v>0.927297668038409</v>
      </c>
      <c r="V1193" s="133">
        <v>0.950591510090466</v>
      </c>
      <c r="W1193" s="133">
        <v>0.917169974115617</v>
      </c>
      <c r="X1193" s="133">
        <v>0.944132943279701</v>
      </c>
      <c r="Y1193" s="135">
        <v>0.92</v>
      </c>
      <c r="Z1193" s="135">
        <v>0.957924263674614</v>
      </c>
      <c r="AA1193" s="135">
        <v>0.931506849315068</v>
      </c>
      <c r="AB1193" s="135">
        <v>0.967105263157895</v>
      </c>
      <c r="AC1193" s="135">
        <v>0.964353023531312</v>
      </c>
      <c r="AD1193" s="135">
        <v>0.92</v>
      </c>
      <c r="AE1193" s="133">
        <v>0.999416228838295</v>
      </c>
      <c r="AF1193" s="133">
        <v>0.998536942209217</v>
      </c>
      <c r="AG1193" s="133">
        <v>1</v>
      </c>
      <c r="AH1193" s="133">
        <v>0.975214738120716</v>
      </c>
      <c r="AI1193" s="135">
        <v>0.92</v>
      </c>
      <c r="AJ1193" s="133">
        <v>0.964632454923717</v>
      </c>
      <c r="AK1193" s="133">
        <v>0.968685831622177</v>
      </c>
      <c r="AL1193" s="133">
        <v>0.97795771479982</v>
      </c>
      <c r="AM1193" s="133">
        <v>0.976889588736569</v>
      </c>
      <c r="AN1193" s="132">
        <v>0.99</v>
      </c>
      <c r="AO1193" s="137">
        <v>1</v>
      </c>
      <c r="AP1193" s="137">
        <v>1</v>
      </c>
      <c r="AQ1193" s="137">
        <v>1</v>
      </c>
      <c r="AR1193" s="137">
        <v>1</v>
      </c>
      <c r="AS1193" s="158">
        <v>0.0721861525408278</v>
      </c>
      <c r="AT1193" s="141">
        <v>0</v>
      </c>
      <c r="AU1193" s="141">
        <v>0</v>
      </c>
      <c r="AV1193" s="141">
        <v>0</v>
      </c>
      <c r="AW1193" s="141">
        <v>0.0886075949367089</v>
      </c>
      <c r="AX1193" s="95"/>
      <c r="AY1193" s="93"/>
    </row>
    <row r="1194" ht="14.5" spans="1:51">
      <c r="A1194" s="91"/>
      <c r="B1194" s="95"/>
      <c r="C1194" s="152" t="s">
        <v>1085</v>
      </c>
      <c r="D1194" s="153" t="s">
        <v>25</v>
      </c>
      <c r="E1194" s="130" t="s">
        <v>1086</v>
      </c>
      <c r="F1194" s="195" t="s">
        <v>1224</v>
      </c>
      <c r="G1194" s="195" t="s">
        <v>1224</v>
      </c>
      <c r="H1194" s="195" t="s">
        <v>1224</v>
      </c>
      <c r="I1194" s="195" t="s">
        <v>1224</v>
      </c>
      <c r="J1194" s="132">
        <v>0.9</v>
      </c>
      <c r="K1194" s="133">
        <v>0.872340425531915</v>
      </c>
      <c r="L1194" s="133">
        <v>0.931818181818182</v>
      </c>
      <c r="M1194" s="134">
        <v>0.928571428571429</v>
      </c>
      <c r="N1194" s="133">
        <v>0.917840375586854</v>
      </c>
      <c r="O1194" s="135">
        <v>0.9</v>
      </c>
      <c r="P1194" s="133">
        <v>0.95975930801053</v>
      </c>
      <c r="Q1194" s="133">
        <v>0.945089100704517</v>
      </c>
      <c r="R1194" s="133">
        <v>0.900338552687262</v>
      </c>
      <c r="S1194" s="133">
        <v>0.940627076662841</v>
      </c>
      <c r="T1194" s="135">
        <v>0.9</v>
      </c>
      <c r="U1194" s="133">
        <v>0.913501316284317</v>
      </c>
      <c r="V1194" s="133">
        <v>0.928097803564028</v>
      </c>
      <c r="W1194" s="133">
        <v>0.903300888700804</v>
      </c>
      <c r="X1194" s="133">
        <v>0.925717392617652</v>
      </c>
      <c r="Y1194" s="135">
        <v>0.92</v>
      </c>
      <c r="Z1194" s="135">
        <v>0.125</v>
      </c>
      <c r="AA1194" s="135" t="s">
        <v>35</v>
      </c>
      <c r="AB1194" s="135">
        <v>1</v>
      </c>
      <c r="AC1194" s="135">
        <v>0.416666666666667</v>
      </c>
      <c r="AD1194" s="135">
        <v>0.92</v>
      </c>
      <c r="AE1194" s="133">
        <v>0.999090495679855</v>
      </c>
      <c r="AF1194" s="133">
        <v>0.635538805136795</v>
      </c>
      <c r="AG1194" s="133">
        <v>0.719779400804889</v>
      </c>
      <c r="AH1194" s="133">
        <v>0.91901285217087</v>
      </c>
      <c r="AI1194" s="135">
        <v>0.92</v>
      </c>
      <c r="AJ1194" s="133">
        <v>0.952773613193403</v>
      </c>
      <c r="AK1194" s="133">
        <v>0.960024855012428</v>
      </c>
      <c r="AL1194" s="133">
        <v>0.96319018404908</v>
      </c>
      <c r="AM1194" s="133">
        <v>0.971167667202165</v>
      </c>
      <c r="AN1194" s="132">
        <v>0.99</v>
      </c>
      <c r="AO1194" s="137">
        <v>1</v>
      </c>
      <c r="AP1194" s="137">
        <v>1</v>
      </c>
      <c r="AQ1194" s="137">
        <v>1</v>
      </c>
      <c r="AR1194" s="137">
        <v>1</v>
      </c>
      <c r="AS1194" s="158">
        <v>0.0721861525408278</v>
      </c>
      <c r="AT1194" s="141">
        <v>0.0666666666666667</v>
      </c>
      <c r="AU1194" s="141">
        <v>0</v>
      </c>
      <c r="AV1194" s="141">
        <v>0</v>
      </c>
      <c r="AW1194" s="141">
        <v>0.0342205323193916</v>
      </c>
      <c r="AX1194" s="95"/>
      <c r="AY1194" s="93"/>
    </row>
    <row r="1195" ht="14.5" spans="1:51">
      <c r="A1195" s="91"/>
      <c r="B1195" s="95"/>
      <c r="C1195" s="152" t="s">
        <v>1085</v>
      </c>
      <c r="D1195" s="153" t="s">
        <v>25</v>
      </c>
      <c r="E1195" s="130" t="s">
        <v>1086</v>
      </c>
      <c r="F1195" s="195" t="s">
        <v>1225</v>
      </c>
      <c r="G1195" s="195" t="s">
        <v>1225</v>
      </c>
      <c r="H1195" s="195" t="s">
        <v>1225</v>
      </c>
      <c r="I1195" s="195" t="s">
        <v>1225</v>
      </c>
      <c r="J1195" s="132">
        <v>0.9</v>
      </c>
      <c r="K1195" s="133">
        <v>0.984615384615385</v>
      </c>
      <c r="L1195" s="133">
        <v>0.953846153846154</v>
      </c>
      <c r="M1195" s="134">
        <v>0.96969696969697</v>
      </c>
      <c r="N1195" s="133">
        <v>0.973472668810289</v>
      </c>
      <c r="O1195" s="135">
        <v>0.9</v>
      </c>
      <c r="P1195" s="133">
        <v>0.973217964565307</v>
      </c>
      <c r="Q1195" s="133">
        <v>0.970781592403214</v>
      </c>
      <c r="R1195" s="133">
        <v>0.979750412055569</v>
      </c>
      <c r="S1195" s="133">
        <v>0.966990923521511</v>
      </c>
      <c r="T1195" s="135">
        <v>0.9</v>
      </c>
      <c r="U1195" s="133">
        <v>0.947259991759374</v>
      </c>
      <c r="V1195" s="133">
        <v>0.943511078646214</v>
      </c>
      <c r="W1195" s="133">
        <v>0.960913586060749</v>
      </c>
      <c r="X1195" s="133">
        <v>0.94912287842403</v>
      </c>
      <c r="Y1195" s="135">
        <v>0.92</v>
      </c>
      <c r="Z1195" s="135">
        <v>0.942759295499021</v>
      </c>
      <c r="AA1195" s="135">
        <v>0.892798690671031</v>
      </c>
      <c r="AB1195" s="135">
        <v>0.941693811074919</v>
      </c>
      <c r="AC1195" s="135">
        <v>0.942518117057749</v>
      </c>
      <c r="AD1195" s="135">
        <v>0.92</v>
      </c>
      <c r="AE1195" s="133">
        <v>0.997052111068848</v>
      </c>
      <c r="AF1195" s="133">
        <v>0.99599251936949</v>
      </c>
      <c r="AG1195" s="133">
        <v>0.996898812688286</v>
      </c>
      <c r="AH1195" s="133">
        <v>0.993062309808358</v>
      </c>
      <c r="AI1195" s="135">
        <v>0.92</v>
      </c>
      <c r="AJ1195" s="133">
        <v>0.960196779964222</v>
      </c>
      <c r="AK1195" s="133">
        <v>0.955730632151566</v>
      </c>
      <c r="AL1195" s="133">
        <v>0.968839688396884</v>
      </c>
      <c r="AM1195" s="133">
        <v>0.967458690342974</v>
      </c>
      <c r="AN1195" s="132">
        <v>0.99</v>
      </c>
      <c r="AO1195" s="137">
        <v>1</v>
      </c>
      <c r="AP1195" s="137">
        <v>1</v>
      </c>
      <c r="AQ1195" s="137">
        <v>1</v>
      </c>
      <c r="AR1195" s="137">
        <v>1</v>
      </c>
      <c r="AS1195" s="158">
        <v>0.0721861525408278</v>
      </c>
      <c r="AT1195" s="141">
        <v>0.04</v>
      </c>
      <c r="AU1195" s="141">
        <v>0.037037037037037</v>
      </c>
      <c r="AV1195" s="141">
        <v>0.0526315789473684</v>
      </c>
      <c r="AW1195" s="141">
        <v>0.0399113082039911</v>
      </c>
      <c r="AX1195" s="95"/>
      <c r="AY1195" s="93"/>
    </row>
    <row r="1196" ht="14.5" spans="1:51">
      <c r="A1196" s="91"/>
      <c r="B1196" s="95"/>
      <c r="C1196" s="152" t="s">
        <v>1085</v>
      </c>
      <c r="D1196" s="153" t="s">
        <v>25</v>
      </c>
      <c r="E1196" s="130" t="s">
        <v>1086</v>
      </c>
      <c r="F1196" s="195" t="s">
        <v>1226</v>
      </c>
      <c r="G1196" s="195" t="s">
        <v>1226</v>
      </c>
      <c r="H1196" s="195" t="s">
        <v>1226</v>
      </c>
      <c r="I1196" s="195" t="s">
        <v>1226</v>
      </c>
      <c r="J1196" s="132">
        <v>0.9</v>
      </c>
      <c r="K1196" s="133">
        <v>0.972222222222222</v>
      </c>
      <c r="L1196" s="133">
        <v>0.974358974358974</v>
      </c>
      <c r="M1196" s="134">
        <v>0.942857142857143</v>
      </c>
      <c r="N1196" s="133">
        <v>0.965811965811966</v>
      </c>
      <c r="O1196" s="135">
        <v>0.9</v>
      </c>
      <c r="P1196" s="133">
        <v>0.912080961416825</v>
      </c>
      <c r="Q1196" s="133">
        <v>0.950559364850235</v>
      </c>
      <c r="R1196" s="133">
        <v>0.864622288706058</v>
      </c>
      <c r="S1196" s="133">
        <v>0.924201119150593</v>
      </c>
      <c r="T1196" s="135">
        <v>0.9</v>
      </c>
      <c r="U1196" s="133">
        <v>0.944339025932954</v>
      </c>
      <c r="V1196" s="133">
        <v>0.937928545651389</v>
      </c>
      <c r="W1196" s="133">
        <v>0.915108451757666</v>
      </c>
      <c r="X1196" s="133">
        <v>0.932809969869023</v>
      </c>
      <c r="Y1196" s="135">
        <v>0.92</v>
      </c>
      <c r="Z1196" s="135">
        <v>0.953964194373402</v>
      </c>
      <c r="AA1196" s="135">
        <v>0.946583850931677</v>
      </c>
      <c r="AB1196" s="135">
        <v>0.91566985645933</v>
      </c>
      <c r="AC1196" s="135">
        <v>0.952539373562201</v>
      </c>
      <c r="AD1196" s="135">
        <v>0.92</v>
      </c>
      <c r="AE1196" s="133">
        <v>0.977222184783341</v>
      </c>
      <c r="AF1196" s="133">
        <v>0.985061215320678</v>
      </c>
      <c r="AG1196" s="133">
        <v>0.999233128834356</v>
      </c>
      <c r="AH1196" s="133">
        <v>0.989420579669258</v>
      </c>
      <c r="AI1196" s="135">
        <v>0.92</v>
      </c>
      <c r="AJ1196" s="133">
        <v>0.96589259796807</v>
      </c>
      <c r="AK1196" s="133">
        <v>0.968959731543624</v>
      </c>
      <c r="AL1196" s="133">
        <v>0.951909802116889</v>
      </c>
      <c r="AM1196" s="133">
        <v>0.969411856312292</v>
      </c>
      <c r="AN1196" s="132">
        <v>0.99</v>
      </c>
      <c r="AO1196" s="137">
        <v>1</v>
      </c>
      <c r="AP1196" s="137">
        <v>1</v>
      </c>
      <c r="AQ1196" s="137">
        <v>1</v>
      </c>
      <c r="AR1196" s="137">
        <v>1</v>
      </c>
      <c r="AS1196" s="158">
        <v>0.0721861525408278</v>
      </c>
      <c r="AT1196" s="141">
        <v>0.173913043478261</v>
      </c>
      <c r="AU1196" s="141">
        <v>0.0869565217391304</v>
      </c>
      <c r="AV1196" s="141">
        <v>0.0476190476190476</v>
      </c>
      <c r="AW1196" s="141">
        <v>0.0623145400593472</v>
      </c>
      <c r="AX1196" s="95"/>
      <c r="AY1196" s="93"/>
    </row>
    <row r="1197" ht="14.5" spans="1:51">
      <c r="A1197" s="91"/>
      <c r="B1197" s="95"/>
      <c r="C1197" s="152" t="s">
        <v>1085</v>
      </c>
      <c r="D1197" s="153" t="s">
        <v>25</v>
      </c>
      <c r="E1197" s="130" t="s">
        <v>1086</v>
      </c>
      <c r="F1197" s="195" t="s">
        <v>1227</v>
      </c>
      <c r="G1197" s="195" t="s">
        <v>1227</v>
      </c>
      <c r="H1197" s="195" t="s">
        <v>1227</v>
      </c>
      <c r="I1197" s="195" t="s">
        <v>1227</v>
      </c>
      <c r="J1197" s="132">
        <v>0.9</v>
      </c>
      <c r="K1197" s="133">
        <v>0.978260869565217</v>
      </c>
      <c r="L1197" s="133">
        <v>0.96078431372549</v>
      </c>
      <c r="M1197" s="134">
        <v>0.980392156862745</v>
      </c>
      <c r="N1197" s="133">
        <v>0.98615548455804</v>
      </c>
      <c r="O1197" s="135">
        <v>0.9</v>
      </c>
      <c r="P1197" s="133">
        <v>0.988957597173145</v>
      </c>
      <c r="Q1197" s="133">
        <v>0.987471811576046</v>
      </c>
      <c r="R1197" s="133">
        <v>0.985605649103748</v>
      </c>
      <c r="S1197" s="133">
        <v>0.984764091443797</v>
      </c>
      <c r="T1197" s="135">
        <v>0.9</v>
      </c>
      <c r="U1197" s="133">
        <v>0.93595406360424</v>
      </c>
      <c r="V1197" s="133">
        <v>0.9185667752443</v>
      </c>
      <c r="W1197" s="133">
        <v>0.939163498098859</v>
      </c>
      <c r="X1197" s="133">
        <v>0.927689669345352</v>
      </c>
      <c r="Y1197" s="135">
        <v>0.92</v>
      </c>
      <c r="Z1197" s="135">
        <v>0.944203347799132</v>
      </c>
      <c r="AA1197" s="135">
        <v>0.953675730110775</v>
      </c>
      <c r="AB1197" s="135">
        <v>0.958098307816277</v>
      </c>
      <c r="AC1197" s="135">
        <v>0.960909388289172</v>
      </c>
      <c r="AD1197" s="135">
        <v>0.92</v>
      </c>
      <c r="AE1197" s="133">
        <v>0.997457088366179</v>
      </c>
      <c r="AF1197" s="133">
        <v>1</v>
      </c>
      <c r="AG1197" s="133">
        <v>0.999303621169916</v>
      </c>
      <c r="AH1197" s="133">
        <v>0.998934398934399</v>
      </c>
      <c r="AI1197" s="135">
        <v>0.92</v>
      </c>
      <c r="AJ1197" s="133">
        <v>0.965953056486974</v>
      </c>
      <c r="AK1197" s="133">
        <v>0.971107544141252</v>
      </c>
      <c r="AL1197" s="133">
        <v>0.968207623682076</v>
      </c>
      <c r="AM1197" s="133">
        <v>0.97662427271371</v>
      </c>
      <c r="AN1197" s="132">
        <v>0.99</v>
      </c>
      <c r="AO1197" s="137">
        <v>1</v>
      </c>
      <c r="AP1197" s="137">
        <v>1</v>
      </c>
      <c r="AQ1197" s="137">
        <v>1</v>
      </c>
      <c r="AR1197" s="137">
        <v>1</v>
      </c>
      <c r="AS1197" s="158">
        <v>0.0721861525408278</v>
      </c>
      <c r="AT1197" s="141">
        <v>0</v>
      </c>
      <c r="AU1197" s="141">
        <v>0</v>
      </c>
      <c r="AV1197" s="141">
        <v>0</v>
      </c>
      <c r="AW1197" s="141">
        <v>0.0170212765957447</v>
      </c>
      <c r="AX1197" s="95"/>
      <c r="AY1197" s="93"/>
    </row>
    <row r="1198" ht="14.5" spans="1:51">
      <c r="A1198" s="91"/>
      <c r="B1198" s="95"/>
      <c r="C1198" s="152" t="s">
        <v>1085</v>
      </c>
      <c r="D1198" s="153" t="s">
        <v>25</v>
      </c>
      <c r="E1198" s="130" t="s">
        <v>1086</v>
      </c>
      <c r="F1198" s="195" t="s">
        <v>1228</v>
      </c>
      <c r="G1198" s="195" t="s">
        <v>1228</v>
      </c>
      <c r="H1198" s="195" t="s">
        <v>1228</v>
      </c>
      <c r="I1198" s="195" t="s">
        <v>1228</v>
      </c>
      <c r="J1198" s="132">
        <v>0.9</v>
      </c>
      <c r="K1198" s="133">
        <v>0.943661971830986</v>
      </c>
      <c r="L1198" s="133">
        <v>0.969230769230769</v>
      </c>
      <c r="M1198" s="134">
        <v>0.954545454545455</v>
      </c>
      <c r="N1198" s="133">
        <v>0.966061562746646</v>
      </c>
      <c r="O1198" s="135">
        <v>0.9</v>
      </c>
      <c r="P1198" s="133">
        <v>0.95304205798285</v>
      </c>
      <c r="Q1198" s="133">
        <v>0.95796507868075</v>
      </c>
      <c r="R1198" s="133">
        <v>0.960677966101695</v>
      </c>
      <c r="S1198" s="133">
        <v>0.954164891083649</v>
      </c>
      <c r="T1198" s="135">
        <v>0.9</v>
      </c>
      <c r="U1198" s="133">
        <v>0.935483870967742</v>
      </c>
      <c r="V1198" s="133">
        <v>0.953653804699289</v>
      </c>
      <c r="W1198" s="133">
        <v>0.948474576271186</v>
      </c>
      <c r="X1198" s="133">
        <v>0.95222219436994</v>
      </c>
      <c r="Y1198" s="135">
        <v>0.92</v>
      </c>
      <c r="Z1198" s="135">
        <v>0.951078379800105</v>
      </c>
      <c r="AA1198" s="135">
        <v>0.959670781893004</v>
      </c>
      <c r="AB1198" s="135">
        <v>0.961578400830737</v>
      </c>
      <c r="AC1198" s="135">
        <v>0.969572774284917</v>
      </c>
      <c r="AD1198" s="135">
        <v>0.92</v>
      </c>
      <c r="AE1198" s="133">
        <v>0.997874601487779</v>
      </c>
      <c r="AF1198" s="133">
        <v>0.998654104979812</v>
      </c>
      <c r="AG1198" s="133">
        <v>0.995904995904996</v>
      </c>
      <c r="AH1198" s="133">
        <v>0.997000870714954</v>
      </c>
      <c r="AI1198" s="135">
        <v>0.92</v>
      </c>
      <c r="AJ1198" s="133">
        <v>0.965754998850839</v>
      </c>
      <c r="AK1198" s="133">
        <v>0.982576016399043</v>
      </c>
      <c r="AL1198" s="133">
        <v>0.976483456385015</v>
      </c>
      <c r="AM1198" s="133">
        <v>0.982626444829469</v>
      </c>
      <c r="AN1198" s="132">
        <v>0.99</v>
      </c>
      <c r="AO1198" s="137">
        <v>1</v>
      </c>
      <c r="AP1198" s="137">
        <v>1</v>
      </c>
      <c r="AQ1198" s="137">
        <v>1</v>
      </c>
      <c r="AR1198" s="137">
        <v>1</v>
      </c>
      <c r="AS1198" s="158">
        <v>0.0721861525408278</v>
      </c>
      <c r="AT1198" s="141">
        <v>0.0526315789473684</v>
      </c>
      <c r="AU1198" s="141">
        <v>0</v>
      </c>
      <c r="AV1198" s="141">
        <v>0.1</v>
      </c>
      <c r="AW1198" s="141">
        <v>0.0580357142857143</v>
      </c>
      <c r="AX1198" s="95"/>
      <c r="AY1198" s="93"/>
    </row>
    <row r="1199" ht="14.5" spans="1:51">
      <c r="A1199" s="91"/>
      <c r="B1199" s="95"/>
      <c r="C1199" s="152" t="s">
        <v>1085</v>
      </c>
      <c r="D1199" s="153" t="s">
        <v>25</v>
      </c>
      <c r="E1199" s="130" t="s">
        <v>1086</v>
      </c>
      <c r="F1199" s="195" t="s">
        <v>1229</v>
      </c>
      <c r="G1199" s="195" t="s">
        <v>1229</v>
      </c>
      <c r="H1199" s="195" t="s">
        <v>1229</v>
      </c>
      <c r="I1199" s="195" t="s">
        <v>1229</v>
      </c>
      <c r="J1199" s="132">
        <v>0.9</v>
      </c>
      <c r="K1199" s="133">
        <v>0.875</v>
      </c>
      <c r="L1199" s="133">
        <v>0.970588235294118</v>
      </c>
      <c r="M1199" s="134">
        <v>0.941176470588235</v>
      </c>
      <c r="N1199" s="133">
        <v>0.947626841243863</v>
      </c>
      <c r="O1199" s="135">
        <v>0.9</v>
      </c>
      <c r="P1199" s="133">
        <v>0.976038338658147</v>
      </c>
      <c r="Q1199" s="133">
        <v>0.965547317924117</v>
      </c>
      <c r="R1199" s="133">
        <v>0.967227253126348</v>
      </c>
      <c r="S1199" s="133">
        <v>0.953083938784975</v>
      </c>
      <c r="T1199" s="135">
        <v>0.9</v>
      </c>
      <c r="U1199" s="133">
        <v>0.926517571884984</v>
      </c>
      <c r="V1199" s="133">
        <v>0.946794592237244</v>
      </c>
      <c r="W1199" s="133">
        <v>0.954290642518327</v>
      </c>
      <c r="X1199" s="133">
        <v>0.93932601638584</v>
      </c>
      <c r="Y1199" s="135">
        <v>0.92</v>
      </c>
      <c r="Z1199" s="135">
        <v>0.901060070671378</v>
      </c>
      <c r="AA1199" s="135">
        <v>0.920289855072464</v>
      </c>
      <c r="AB1199" s="135">
        <v>0.934799090219864</v>
      </c>
      <c r="AC1199" s="135">
        <v>0.946655980051652</v>
      </c>
      <c r="AD1199" s="135">
        <v>0.92</v>
      </c>
      <c r="AE1199" s="133">
        <v>0.998847262247839</v>
      </c>
      <c r="AF1199" s="133">
        <v>0.995680345572354</v>
      </c>
      <c r="AG1199" s="133">
        <v>0.997559487492373</v>
      </c>
      <c r="AH1199" s="133">
        <v>0.996356811658203</v>
      </c>
      <c r="AI1199" s="135">
        <v>0.92</v>
      </c>
      <c r="AJ1199" s="133">
        <v>0.942408376963351</v>
      </c>
      <c r="AK1199" s="133">
        <v>0.966959578207381</v>
      </c>
      <c r="AL1199" s="133">
        <v>0.965915338097856</v>
      </c>
      <c r="AM1199" s="133">
        <v>0.971781564172869</v>
      </c>
      <c r="AN1199" s="132">
        <v>0.99</v>
      </c>
      <c r="AO1199" s="137">
        <v>1</v>
      </c>
      <c r="AP1199" s="137">
        <v>1</v>
      </c>
      <c r="AQ1199" s="137">
        <v>1</v>
      </c>
      <c r="AR1199" s="137">
        <v>1</v>
      </c>
      <c r="AS1199" s="158">
        <v>0.0721861525408278</v>
      </c>
      <c r="AT1199" s="141">
        <v>0</v>
      </c>
      <c r="AU1199" s="141">
        <v>0</v>
      </c>
      <c r="AV1199" s="141">
        <v>0</v>
      </c>
      <c r="AW1199" s="141">
        <v>0.0191387559808612</v>
      </c>
      <c r="AX1199" s="95"/>
      <c r="AY1199" s="93"/>
    </row>
    <row r="1200" ht="14.5" spans="1:51">
      <c r="A1200" s="91"/>
      <c r="B1200" s="95"/>
      <c r="C1200" s="152" t="s">
        <v>1085</v>
      </c>
      <c r="D1200" s="153" t="s">
        <v>25</v>
      </c>
      <c r="E1200" s="130" t="s">
        <v>1086</v>
      </c>
      <c r="F1200" s="195" t="s">
        <v>1230</v>
      </c>
      <c r="G1200" s="195" t="s">
        <v>1230</v>
      </c>
      <c r="H1200" s="195" t="s">
        <v>1230</v>
      </c>
      <c r="I1200" s="195" t="s">
        <v>1230</v>
      </c>
      <c r="J1200" s="132">
        <v>0.9</v>
      </c>
      <c r="K1200" s="133">
        <v>0.971428571428571</v>
      </c>
      <c r="L1200" s="133">
        <v>0.974358974358974</v>
      </c>
      <c r="M1200" s="134">
        <v>0.974358974358974</v>
      </c>
      <c r="N1200" s="133">
        <v>0.991316931982634</v>
      </c>
      <c r="O1200" s="135">
        <v>0.9</v>
      </c>
      <c r="P1200" s="133">
        <v>0.979865771812081</v>
      </c>
      <c r="Q1200" s="133">
        <v>0.983618233618234</v>
      </c>
      <c r="R1200" s="133">
        <v>0.955031330630299</v>
      </c>
      <c r="S1200" s="133">
        <v>0.966784862872368</v>
      </c>
      <c r="T1200" s="135">
        <v>0.9</v>
      </c>
      <c r="U1200" s="133">
        <v>0.942647956070775</v>
      </c>
      <c r="V1200" s="133">
        <v>0.961538461538462</v>
      </c>
      <c r="W1200" s="133">
        <v>0.939181717655732</v>
      </c>
      <c r="X1200" s="133">
        <v>0.947893503215337</v>
      </c>
      <c r="Y1200" s="135">
        <v>0.92</v>
      </c>
      <c r="Z1200" s="135">
        <v>0.943868739205527</v>
      </c>
      <c r="AA1200" s="135">
        <v>0.974387527839644</v>
      </c>
      <c r="AB1200" s="135">
        <v>0.951189749847468</v>
      </c>
      <c r="AC1200" s="135">
        <v>0.954969528252201</v>
      </c>
      <c r="AD1200" s="135">
        <v>0.92</v>
      </c>
      <c r="AE1200" s="133">
        <v>0.991731517509728</v>
      </c>
      <c r="AF1200" s="133">
        <v>0.999670510708402</v>
      </c>
      <c r="AG1200" s="133">
        <v>0.997796316700771</v>
      </c>
      <c r="AH1200" s="133">
        <v>0.995358052183025</v>
      </c>
      <c r="AI1200" s="135">
        <v>0.92</v>
      </c>
      <c r="AJ1200" s="133">
        <v>0.9675</v>
      </c>
      <c r="AK1200" s="133">
        <v>0.983292912961466</v>
      </c>
      <c r="AL1200" s="133">
        <v>0.971520440973817</v>
      </c>
      <c r="AM1200" s="133">
        <v>0.976074741931269</v>
      </c>
      <c r="AN1200" s="132">
        <v>0.99</v>
      </c>
      <c r="AO1200" s="137">
        <v>1</v>
      </c>
      <c r="AP1200" s="137">
        <v>1</v>
      </c>
      <c r="AQ1200" s="137">
        <v>1</v>
      </c>
      <c r="AR1200" s="137">
        <v>1</v>
      </c>
      <c r="AS1200" s="158">
        <v>0.0721861525408278</v>
      </c>
      <c r="AT1200" s="141">
        <v>0</v>
      </c>
      <c r="AU1200" s="141">
        <v>0</v>
      </c>
      <c r="AV1200" s="141">
        <v>0</v>
      </c>
      <c r="AW1200" s="141">
        <v>0.0727969348659004</v>
      </c>
      <c r="AX1200" s="95"/>
      <c r="AY1200" s="93"/>
    </row>
    <row r="1201" ht="14.5" spans="1:51">
      <c r="A1201" s="91"/>
      <c r="B1201" s="95"/>
      <c r="C1201" s="152" t="s">
        <v>1085</v>
      </c>
      <c r="D1201" s="153" t="s">
        <v>25</v>
      </c>
      <c r="E1201" s="130" t="s">
        <v>1086</v>
      </c>
      <c r="F1201" s="195" t="s">
        <v>1231</v>
      </c>
      <c r="G1201" s="195" t="s">
        <v>1231</v>
      </c>
      <c r="H1201" s="195" t="s">
        <v>1231</v>
      </c>
      <c r="I1201" s="195" t="s">
        <v>1231</v>
      </c>
      <c r="J1201" s="132">
        <v>0.9</v>
      </c>
      <c r="K1201" s="133">
        <v>0.951612903225806</v>
      </c>
      <c r="L1201" s="133">
        <v>0.954545454545455</v>
      </c>
      <c r="M1201" s="134">
        <v>0.9375</v>
      </c>
      <c r="N1201" s="133">
        <v>0.954258675078864</v>
      </c>
      <c r="O1201" s="135">
        <v>0.9</v>
      </c>
      <c r="P1201" s="133">
        <v>0.969609261939218</v>
      </c>
      <c r="Q1201" s="133">
        <v>0.969495746005395</v>
      </c>
      <c r="R1201" s="133">
        <v>0.948250576157553</v>
      </c>
      <c r="S1201" s="133">
        <v>0.967824093726123</v>
      </c>
      <c r="T1201" s="135">
        <v>0.9</v>
      </c>
      <c r="U1201" s="133">
        <v>0.938133140376266</v>
      </c>
      <c r="V1201" s="133">
        <v>0.933803693712388</v>
      </c>
      <c r="W1201" s="133">
        <v>0.924156714854389</v>
      </c>
      <c r="X1201" s="133">
        <v>0.938571064727784</v>
      </c>
      <c r="Y1201" s="135">
        <v>0.92</v>
      </c>
      <c r="Z1201" s="135">
        <v>0.951909476661952</v>
      </c>
      <c r="AA1201" s="135">
        <v>0.943047337278107</v>
      </c>
      <c r="AB1201" s="135">
        <v>0.956536618754278</v>
      </c>
      <c r="AC1201" s="135">
        <v>0.954346821295012</v>
      </c>
      <c r="AD1201" s="135">
        <v>0.92</v>
      </c>
      <c r="AE1201" s="133">
        <v>0.996567862714509</v>
      </c>
      <c r="AF1201" s="133">
        <v>0.974427277570591</v>
      </c>
      <c r="AG1201" s="133">
        <v>0.982900569981001</v>
      </c>
      <c r="AH1201" s="133">
        <v>0.993579575496639</v>
      </c>
      <c r="AI1201" s="135">
        <v>0.92</v>
      </c>
      <c r="AJ1201" s="133">
        <v>0.966427840327533</v>
      </c>
      <c r="AK1201" s="133">
        <v>0.974720466699076</v>
      </c>
      <c r="AL1201" s="133">
        <v>0.972319688109162</v>
      </c>
      <c r="AM1201" s="133">
        <v>0.975012685867175</v>
      </c>
      <c r="AN1201" s="132">
        <v>0.99</v>
      </c>
      <c r="AO1201" s="137">
        <v>1</v>
      </c>
      <c r="AP1201" s="137">
        <v>1</v>
      </c>
      <c r="AQ1201" s="137">
        <v>1</v>
      </c>
      <c r="AR1201" s="137">
        <v>1</v>
      </c>
      <c r="AS1201" s="158">
        <v>0.0721861525408278</v>
      </c>
      <c r="AT1201" s="141">
        <v>0</v>
      </c>
      <c r="AU1201" s="141">
        <v>0.0476190476190476</v>
      </c>
      <c r="AV1201" s="141">
        <v>0</v>
      </c>
      <c r="AW1201" s="141">
        <v>0.0557275541795666</v>
      </c>
      <c r="AX1201" s="95"/>
      <c r="AY1201" s="93"/>
    </row>
    <row r="1202" ht="14.5" spans="1:51">
      <c r="A1202" s="91"/>
      <c r="B1202" s="95"/>
      <c r="C1202" s="152" t="s">
        <v>1085</v>
      </c>
      <c r="D1202" s="153" t="s">
        <v>25</v>
      </c>
      <c r="E1202" s="130" t="s">
        <v>1086</v>
      </c>
      <c r="F1202" s="195" t="s">
        <v>1232</v>
      </c>
      <c r="G1202" s="195" t="s">
        <v>1232</v>
      </c>
      <c r="H1202" s="195" t="s">
        <v>1232</v>
      </c>
      <c r="I1202" s="195" t="s">
        <v>1232</v>
      </c>
      <c r="J1202" s="132">
        <v>0.9</v>
      </c>
      <c r="K1202" s="133">
        <v>0.981818181818182</v>
      </c>
      <c r="L1202" s="133">
        <v>1</v>
      </c>
      <c r="M1202" s="134">
        <v>1</v>
      </c>
      <c r="N1202" s="133">
        <v>0.994230769230769</v>
      </c>
      <c r="O1202" s="135">
        <v>0.9</v>
      </c>
      <c r="P1202" s="133">
        <v>0.990510083036773</v>
      </c>
      <c r="Q1202" s="133">
        <v>0.993540051679587</v>
      </c>
      <c r="R1202" s="133">
        <v>0.987959442332066</v>
      </c>
      <c r="S1202" s="133">
        <v>0.989070950296163</v>
      </c>
      <c r="T1202" s="135">
        <v>0.9</v>
      </c>
      <c r="U1202" s="133">
        <v>0.951364175563464</v>
      </c>
      <c r="V1202" s="133">
        <v>0.965762273901809</v>
      </c>
      <c r="W1202" s="133">
        <v>0.949936628643853</v>
      </c>
      <c r="X1202" s="133">
        <v>0.951036569662632</v>
      </c>
      <c r="Y1202" s="135">
        <v>0.92</v>
      </c>
      <c r="Z1202" s="135">
        <v>0.96996996996997</v>
      </c>
      <c r="AA1202" s="135">
        <v>0.980544747081712</v>
      </c>
      <c r="AB1202" s="135">
        <v>0.971557562076749</v>
      </c>
      <c r="AC1202" s="135">
        <v>0.971137349883944</v>
      </c>
      <c r="AD1202" s="135">
        <v>0.92</v>
      </c>
      <c r="AE1202" s="133">
        <v>0.998669623059867</v>
      </c>
      <c r="AF1202" s="133">
        <v>0.998808814770697</v>
      </c>
      <c r="AG1202" s="133">
        <v>0.989309712889432</v>
      </c>
      <c r="AH1202" s="133">
        <v>0.976934306569343</v>
      </c>
      <c r="AI1202" s="135">
        <v>0.92</v>
      </c>
      <c r="AJ1202" s="133">
        <v>0.975828111011638</v>
      </c>
      <c r="AK1202" s="133">
        <v>0.988360814742968</v>
      </c>
      <c r="AL1202" s="133">
        <v>0.980450567864457</v>
      </c>
      <c r="AM1202" s="133">
        <v>0.982901783520857</v>
      </c>
      <c r="AN1202" s="132">
        <v>0.99</v>
      </c>
      <c r="AO1202" s="137">
        <v>1</v>
      </c>
      <c r="AP1202" s="137">
        <v>1</v>
      </c>
      <c r="AQ1202" s="137">
        <v>1</v>
      </c>
      <c r="AR1202" s="137">
        <v>1</v>
      </c>
      <c r="AS1202" s="158">
        <v>0.0721861525408278</v>
      </c>
      <c r="AT1202" s="141">
        <v>0.0606060606060606</v>
      </c>
      <c r="AU1202" s="141">
        <v>0</v>
      </c>
      <c r="AV1202" s="141">
        <v>0.0285714285714286</v>
      </c>
      <c r="AW1202" s="141">
        <v>0.0283687943262411</v>
      </c>
      <c r="AX1202" s="95"/>
      <c r="AY1202" s="93"/>
    </row>
    <row r="1203" ht="14.5" spans="1:51">
      <c r="A1203" s="91"/>
      <c r="B1203" s="95"/>
      <c r="C1203" s="152" t="s">
        <v>1085</v>
      </c>
      <c r="D1203" s="153" t="s">
        <v>25</v>
      </c>
      <c r="E1203" s="130" t="s">
        <v>1086</v>
      </c>
      <c r="F1203" s="195" t="s">
        <v>1233</v>
      </c>
      <c r="G1203" s="195" t="s">
        <v>1233</v>
      </c>
      <c r="H1203" s="195" t="s">
        <v>1233</v>
      </c>
      <c r="I1203" s="195" t="s">
        <v>1233</v>
      </c>
      <c r="J1203" s="132">
        <v>0.9</v>
      </c>
      <c r="K1203" s="133">
        <v>1</v>
      </c>
      <c r="L1203" s="133">
        <v>0.984126984126984</v>
      </c>
      <c r="M1203" s="134">
        <v>0.983333333333333</v>
      </c>
      <c r="N1203" s="133">
        <v>0.984271523178808</v>
      </c>
      <c r="O1203" s="135">
        <v>0.9</v>
      </c>
      <c r="P1203" s="133">
        <v>0.95831694848604</v>
      </c>
      <c r="Q1203" s="133">
        <v>0.981677237491191</v>
      </c>
      <c r="R1203" s="133">
        <v>0.96760758907913</v>
      </c>
      <c r="S1203" s="133">
        <v>0.980614669488554</v>
      </c>
      <c r="T1203" s="135">
        <v>0.9</v>
      </c>
      <c r="U1203" s="133">
        <v>0.946519858434919</v>
      </c>
      <c r="V1203" s="133">
        <v>0.947145877378435</v>
      </c>
      <c r="W1203" s="133">
        <v>0.934752429430819</v>
      </c>
      <c r="X1203" s="133">
        <v>0.950426529207837</v>
      </c>
      <c r="Y1203" s="135">
        <v>0.92</v>
      </c>
      <c r="Z1203" s="135">
        <v>0.956795679567957</v>
      </c>
      <c r="AA1203" s="135">
        <v>0.946741415557113</v>
      </c>
      <c r="AB1203" s="135">
        <v>0.943899018232819</v>
      </c>
      <c r="AC1203" s="135">
        <v>0.964602495032468</v>
      </c>
      <c r="AD1203" s="135">
        <v>0.92</v>
      </c>
      <c r="AE1203" s="133">
        <v>0.99412915851272</v>
      </c>
      <c r="AF1203" s="133">
        <v>0.958150680928166</v>
      </c>
      <c r="AG1203" s="133">
        <v>0.994435612082671</v>
      </c>
      <c r="AH1203" s="133">
        <v>0.962839489061212</v>
      </c>
      <c r="AI1203" s="135">
        <v>0.92</v>
      </c>
      <c r="AJ1203" s="133">
        <v>0.971458551941238</v>
      </c>
      <c r="AK1203" s="133">
        <v>0.975017593244194</v>
      </c>
      <c r="AL1203" s="133">
        <v>0.967809364548495</v>
      </c>
      <c r="AM1203" s="133">
        <v>0.979801029813744</v>
      </c>
      <c r="AN1203" s="132">
        <v>0.99</v>
      </c>
      <c r="AO1203" s="137">
        <v>1</v>
      </c>
      <c r="AP1203" s="137">
        <v>1</v>
      </c>
      <c r="AQ1203" s="137">
        <v>1</v>
      </c>
      <c r="AR1203" s="137">
        <v>1</v>
      </c>
      <c r="AS1203" s="158">
        <v>0.0721861525408278</v>
      </c>
      <c r="AT1203" s="141">
        <v>0.037037037037037</v>
      </c>
      <c r="AU1203" s="141">
        <v>0</v>
      </c>
      <c r="AV1203" s="141">
        <v>0.0526315789473684</v>
      </c>
      <c r="AW1203" s="141">
        <v>0.037914691943128</v>
      </c>
      <c r="AX1203" s="95"/>
      <c r="AY1203" s="93"/>
    </row>
    <row r="1204" ht="14.5" spans="1:51">
      <c r="A1204" s="91"/>
      <c r="B1204" s="95"/>
      <c r="C1204" s="152" t="s">
        <v>1085</v>
      </c>
      <c r="D1204" s="153" t="s">
        <v>25</v>
      </c>
      <c r="E1204" s="130" t="s">
        <v>1086</v>
      </c>
      <c r="F1204" s="195" t="s">
        <v>1234</v>
      </c>
      <c r="G1204" s="195" t="s">
        <v>1234</v>
      </c>
      <c r="H1204" s="195" t="s">
        <v>1234</v>
      </c>
      <c r="I1204" s="195" t="s">
        <v>1234</v>
      </c>
      <c r="J1204" s="132">
        <v>0.9</v>
      </c>
      <c r="K1204" s="133">
        <v>1</v>
      </c>
      <c r="L1204" s="133">
        <v>1</v>
      </c>
      <c r="M1204" s="134">
        <v>1</v>
      </c>
      <c r="N1204" s="133">
        <v>0.989690721649485</v>
      </c>
      <c r="O1204" s="135">
        <v>0.9</v>
      </c>
      <c r="P1204" s="133">
        <v>0.984760522496372</v>
      </c>
      <c r="Q1204" s="133">
        <v>0.9923273657289</v>
      </c>
      <c r="R1204" s="133">
        <v>0.967146974063401</v>
      </c>
      <c r="S1204" s="133">
        <v>0.989081746920493</v>
      </c>
      <c r="T1204" s="135">
        <v>0.9</v>
      </c>
      <c r="U1204" s="133">
        <v>0.970972423802613</v>
      </c>
      <c r="V1204" s="133">
        <v>0.967263427109974</v>
      </c>
      <c r="W1204" s="133">
        <v>0.959654178674352</v>
      </c>
      <c r="X1204" s="133">
        <v>0.964974492970014</v>
      </c>
      <c r="Y1204" s="135">
        <v>0.92</v>
      </c>
      <c r="Z1204" s="135">
        <v>0.974890829694323</v>
      </c>
      <c r="AA1204" s="135">
        <v>0.978294573643411</v>
      </c>
      <c r="AB1204" s="135">
        <v>0.977952755905512</v>
      </c>
      <c r="AC1204" s="135">
        <v>0.97725782865211</v>
      </c>
      <c r="AD1204" s="135">
        <v>0.92</v>
      </c>
      <c r="AE1204" s="133">
        <v>0.993489649560043</v>
      </c>
      <c r="AF1204" s="133">
        <v>0.981286916522921</v>
      </c>
      <c r="AG1204" s="133">
        <v>0.998811292719168</v>
      </c>
      <c r="AH1204" s="133">
        <v>0.949909463803998</v>
      </c>
      <c r="AI1204" s="135">
        <v>0.92</v>
      </c>
      <c r="AJ1204" s="133">
        <v>0.984306887532694</v>
      </c>
      <c r="AK1204" s="133">
        <v>0.986153846153846</v>
      </c>
      <c r="AL1204" s="133">
        <v>0.987354409317804</v>
      </c>
      <c r="AM1204" s="133">
        <v>0.98709143725592</v>
      </c>
      <c r="AN1204" s="132">
        <v>0.99</v>
      </c>
      <c r="AO1204" s="137">
        <v>1</v>
      </c>
      <c r="AP1204" s="137">
        <v>1</v>
      </c>
      <c r="AQ1204" s="137">
        <v>1</v>
      </c>
      <c r="AR1204" s="137">
        <v>0.997080291970803</v>
      </c>
      <c r="AS1204" s="158">
        <v>0.0721861525408278</v>
      </c>
      <c r="AT1204" s="141">
        <v>0</v>
      </c>
      <c r="AU1204" s="141">
        <v>0</v>
      </c>
      <c r="AV1204" s="141">
        <v>0.0666666666666667</v>
      </c>
      <c r="AW1204" s="141">
        <v>0.0401785714285714</v>
      </c>
      <c r="AX1204" s="95"/>
      <c r="AY1204" s="93"/>
    </row>
    <row r="1205" ht="14.5" spans="1:51">
      <c r="A1205" s="91"/>
      <c r="B1205" s="95"/>
      <c r="C1205" s="152" t="s">
        <v>1085</v>
      </c>
      <c r="D1205" s="153" t="s">
        <v>25</v>
      </c>
      <c r="E1205" s="130" t="s">
        <v>1086</v>
      </c>
      <c r="F1205" s="195" t="s">
        <v>1235</v>
      </c>
      <c r="G1205" s="195" t="s">
        <v>1235</v>
      </c>
      <c r="H1205" s="195" t="s">
        <v>1235</v>
      </c>
      <c r="I1205" s="195" t="s">
        <v>1235</v>
      </c>
      <c r="J1205" s="132">
        <v>0.9</v>
      </c>
      <c r="K1205" s="133">
        <v>0.96875</v>
      </c>
      <c r="L1205" s="133">
        <v>0.967741935483871</v>
      </c>
      <c r="M1205" s="134">
        <v>1</v>
      </c>
      <c r="N1205" s="133">
        <v>0.984051036682616</v>
      </c>
      <c r="O1205" s="135">
        <v>0.9</v>
      </c>
      <c r="P1205" s="133">
        <v>0.993700787401575</v>
      </c>
      <c r="Q1205" s="133">
        <v>0.984156570363467</v>
      </c>
      <c r="R1205" s="133">
        <v>0.989325570111596</v>
      </c>
      <c r="S1205" s="133">
        <v>0.990811999371761</v>
      </c>
      <c r="T1205" s="135">
        <v>0.9</v>
      </c>
      <c r="U1205" s="133">
        <v>0.954330708661417</v>
      </c>
      <c r="V1205" s="133">
        <v>0.943150046598322</v>
      </c>
      <c r="W1205" s="133">
        <v>0.950024260067928</v>
      </c>
      <c r="X1205" s="133">
        <v>0.951861159101618</v>
      </c>
      <c r="Y1205" s="135">
        <v>0.92</v>
      </c>
      <c r="Z1205" s="135">
        <v>0.963654223968566</v>
      </c>
      <c r="AA1205" s="135">
        <v>0.963492063492064</v>
      </c>
      <c r="AB1205" s="135">
        <v>0.962861072902338</v>
      </c>
      <c r="AC1205" s="135">
        <v>0.969771986970684</v>
      </c>
      <c r="AD1205" s="135">
        <v>0.92</v>
      </c>
      <c r="AE1205" s="133">
        <v>0.998723675813657</v>
      </c>
      <c r="AF1205" s="133">
        <v>1</v>
      </c>
      <c r="AG1205" s="133">
        <v>0.997244732576985</v>
      </c>
      <c r="AH1205" s="133">
        <v>0.997750934087859</v>
      </c>
      <c r="AI1205" s="135">
        <v>0.92</v>
      </c>
      <c r="AJ1205" s="133">
        <v>0.975961538461538</v>
      </c>
      <c r="AK1205" s="133">
        <v>0.980547550432277</v>
      </c>
      <c r="AL1205" s="133">
        <v>0.978947368421053</v>
      </c>
      <c r="AM1205" s="133">
        <v>0.983097901526905</v>
      </c>
      <c r="AN1205" s="132">
        <v>0.99</v>
      </c>
      <c r="AO1205" s="137">
        <v>1</v>
      </c>
      <c r="AP1205" s="137">
        <v>1</v>
      </c>
      <c r="AQ1205" s="137">
        <v>1</v>
      </c>
      <c r="AR1205" s="137">
        <v>1</v>
      </c>
      <c r="AS1205" s="158">
        <v>0.0721861525408278</v>
      </c>
      <c r="AT1205" s="141">
        <v>0</v>
      </c>
      <c r="AU1205" s="141">
        <v>0</v>
      </c>
      <c r="AV1205" s="141">
        <v>0.0769230769230769</v>
      </c>
      <c r="AW1205" s="141">
        <v>0.0357142857142857</v>
      </c>
      <c r="AX1205" s="95"/>
      <c r="AY1205" s="93"/>
    </row>
    <row r="1206" ht="14.5" spans="1:51">
      <c r="A1206" s="91"/>
      <c r="B1206" s="95"/>
      <c r="C1206" s="152" t="s">
        <v>1085</v>
      </c>
      <c r="D1206" s="153" t="s">
        <v>25</v>
      </c>
      <c r="E1206" s="130" t="s">
        <v>1086</v>
      </c>
      <c r="F1206" s="195" t="s">
        <v>1236</v>
      </c>
      <c r="G1206" s="195" t="s">
        <v>1236</v>
      </c>
      <c r="H1206" s="195" t="s">
        <v>1236</v>
      </c>
      <c r="I1206" s="195" t="s">
        <v>1236</v>
      </c>
      <c r="J1206" s="132">
        <v>0.9</v>
      </c>
      <c r="K1206" s="133">
        <v>1</v>
      </c>
      <c r="L1206" s="133">
        <v>1</v>
      </c>
      <c r="M1206" s="134">
        <v>0.967741935483871</v>
      </c>
      <c r="N1206" s="133">
        <v>0.985401459854015</v>
      </c>
      <c r="O1206" s="135">
        <v>0.9</v>
      </c>
      <c r="P1206" s="133">
        <v>0.987543252595156</v>
      </c>
      <c r="Q1206" s="133">
        <v>0.979304635761589</v>
      </c>
      <c r="R1206" s="133">
        <v>0.987313094698686</v>
      </c>
      <c r="S1206" s="133">
        <v>0.986514742159051</v>
      </c>
      <c r="T1206" s="135">
        <v>0.9</v>
      </c>
      <c r="U1206" s="133">
        <v>0.95363321799308</v>
      </c>
      <c r="V1206" s="133">
        <v>0.954470198675497</v>
      </c>
      <c r="W1206" s="133">
        <v>0.953330312641595</v>
      </c>
      <c r="X1206" s="133">
        <v>0.951955832256549</v>
      </c>
      <c r="Y1206" s="135">
        <v>0.92</v>
      </c>
      <c r="Z1206" s="135">
        <v>0.912133891213389</v>
      </c>
      <c r="AA1206" s="135">
        <v>0.954856361149111</v>
      </c>
      <c r="AB1206" s="135">
        <v>0.956843403205919</v>
      </c>
      <c r="AC1206" s="135">
        <v>0.969958046149236</v>
      </c>
      <c r="AD1206" s="135">
        <v>0.92</v>
      </c>
      <c r="AE1206" s="133">
        <v>0.992976232706634</v>
      </c>
      <c r="AF1206" s="133">
        <v>0.997527608373166</v>
      </c>
      <c r="AG1206" s="133">
        <v>0.998251408587527</v>
      </c>
      <c r="AH1206" s="133">
        <v>0.978056408376484</v>
      </c>
      <c r="AI1206" s="135">
        <v>0.92</v>
      </c>
      <c r="AJ1206" s="133">
        <v>0.951893939393939</v>
      </c>
      <c r="AK1206" s="133">
        <v>0.979669631512071</v>
      </c>
      <c r="AL1206" s="133">
        <v>0.976501305483029</v>
      </c>
      <c r="AM1206" s="133">
        <v>0.983542896738895</v>
      </c>
      <c r="AN1206" s="132">
        <v>0.99</v>
      </c>
      <c r="AO1206" s="137">
        <v>1</v>
      </c>
      <c r="AP1206" s="137">
        <v>1</v>
      </c>
      <c r="AQ1206" s="137">
        <v>1</v>
      </c>
      <c r="AR1206" s="137">
        <v>1</v>
      </c>
      <c r="AS1206" s="158">
        <v>0.0721861525408278</v>
      </c>
      <c r="AT1206" s="141">
        <v>0</v>
      </c>
      <c r="AU1206" s="141">
        <v>0.125</v>
      </c>
      <c r="AV1206" s="141">
        <v>0</v>
      </c>
      <c r="AW1206" s="141">
        <v>0.0378378378378378</v>
      </c>
      <c r="AX1206" s="95"/>
      <c r="AY1206" s="93"/>
    </row>
    <row r="1207" ht="14.5" spans="1:51">
      <c r="A1207" s="91"/>
      <c r="B1207" s="95"/>
      <c r="C1207" s="152" t="s">
        <v>1085</v>
      </c>
      <c r="D1207" s="153" t="s">
        <v>25</v>
      </c>
      <c r="E1207" s="130" t="s">
        <v>1086</v>
      </c>
      <c r="F1207" s="195" t="s">
        <v>1237</v>
      </c>
      <c r="G1207" s="195" t="s">
        <v>1237</v>
      </c>
      <c r="H1207" s="195" t="s">
        <v>1237</v>
      </c>
      <c r="I1207" s="195" t="s">
        <v>1237</v>
      </c>
      <c r="J1207" s="132">
        <v>0.9</v>
      </c>
      <c r="K1207" s="133">
        <v>0.956521739130435</v>
      </c>
      <c r="L1207" s="133">
        <v>0.88</v>
      </c>
      <c r="M1207" s="134">
        <v>0.956521739130435</v>
      </c>
      <c r="N1207" s="133">
        <v>0.937639198218263</v>
      </c>
      <c r="O1207" s="135">
        <v>0.9</v>
      </c>
      <c r="P1207" s="133">
        <v>0.896663078579117</v>
      </c>
      <c r="Q1207" s="133">
        <v>0.988545246277205</v>
      </c>
      <c r="R1207" s="133">
        <v>0.99675535366645</v>
      </c>
      <c r="S1207" s="133">
        <v>0.983760249157821</v>
      </c>
      <c r="T1207" s="135">
        <v>0.9</v>
      </c>
      <c r="U1207" s="133">
        <v>0.917115177610334</v>
      </c>
      <c r="V1207" s="133">
        <v>0.935853379152348</v>
      </c>
      <c r="W1207" s="133">
        <v>0.931213497728748</v>
      </c>
      <c r="X1207" s="133">
        <v>0.94311320155088</v>
      </c>
      <c r="Y1207" s="135">
        <v>0.92</v>
      </c>
      <c r="Z1207" s="135">
        <v>0.952677459526775</v>
      </c>
      <c r="AA1207" s="135">
        <v>0.94824016563147</v>
      </c>
      <c r="AB1207" s="135">
        <v>0.952777777777778</v>
      </c>
      <c r="AC1207" s="135">
        <v>0.957427888623353</v>
      </c>
      <c r="AD1207" s="135">
        <v>0.92</v>
      </c>
      <c r="AE1207" s="133">
        <v>0.999559471365639</v>
      </c>
      <c r="AF1207" s="133">
        <v>0.998535871156662</v>
      </c>
      <c r="AG1207" s="133">
        <v>0.011172089376715</v>
      </c>
      <c r="AH1207" s="133">
        <v>0.938261125847333</v>
      </c>
      <c r="AI1207" s="135">
        <v>0.92</v>
      </c>
      <c r="AJ1207" s="133">
        <v>0.956697459584296</v>
      </c>
      <c r="AK1207" s="133">
        <v>0.970390309555855</v>
      </c>
      <c r="AL1207" s="133">
        <v>0.966043494849294</v>
      </c>
      <c r="AM1207" s="133">
        <v>0.973331985442782</v>
      </c>
      <c r="AN1207" s="132">
        <v>0.99</v>
      </c>
      <c r="AO1207" s="137">
        <v>1</v>
      </c>
      <c r="AP1207" s="137">
        <v>1</v>
      </c>
      <c r="AQ1207" s="137">
        <v>1</v>
      </c>
      <c r="AR1207" s="137">
        <v>1</v>
      </c>
      <c r="AS1207" s="158">
        <v>0.0721861525408278</v>
      </c>
      <c r="AT1207" s="141">
        <v>0.117647058823529</v>
      </c>
      <c r="AU1207" s="141">
        <v>0.0769230769230769</v>
      </c>
      <c r="AV1207" s="141">
        <v>0</v>
      </c>
      <c r="AW1207" s="141">
        <v>0.0552763819095477</v>
      </c>
      <c r="AX1207" s="95"/>
      <c r="AY1207" s="93"/>
    </row>
    <row r="1208" ht="14.5" spans="1:51">
      <c r="A1208" s="91"/>
      <c r="B1208" s="95"/>
      <c r="C1208" s="152" t="s">
        <v>1085</v>
      </c>
      <c r="D1208" s="153" t="s">
        <v>25</v>
      </c>
      <c r="E1208" s="130" t="s">
        <v>1086</v>
      </c>
      <c r="F1208" s="195" t="s">
        <v>1238</v>
      </c>
      <c r="G1208" s="195" t="s">
        <v>1238</v>
      </c>
      <c r="H1208" s="195" t="s">
        <v>1238</v>
      </c>
      <c r="I1208" s="195" t="s">
        <v>1238</v>
      </c>
      <c r="J1208" s="132">
        <v>0.9</v>
      </c>
      <c r="K1208" s="133">
        <v>0.844444444444444</v>
      </c>
      <c r="L1208" s="133">
        <v>0.877551020408163</v>
      </c>
      <c r="M1208" s="134">
        <v>0.888888888888889</v>
      </c>
      <c r="N1208" s="133">
        <v>0.905142857142857</v>
      </c>
      <c r="O1208" s="135">
        <v>0.9</v>
      </c>
      <c r="P1208" s="133">
        <v>0.963494913225613</v>
      </c>
      <c r="Q1208" s="133">
        <v>0.919412607449857</v>
      </c>
      <c r="R1208" s="133">
        <v>0.939372576665492</v>
      </c>
      <c r="S1208" s="133">
        <v>0.92792327554408</v>
      </c>
      <c r="T1208" s="135">
        <v>0.9</v>
      </c>
      <c r="U1208" s="133">
        <v>0.923997606223818</v>
      </c>
      <c r="V1208" s="133">
        <v>0.933381088825215</v>
      </c>
      <c r="W1208" s="133">
        <v>0.928445541064505</v>
      </c>
      <c r="X1208" s="133">
        <v>0.923957949096274</v>
      </c>
      <c r="Y1208" s="135">
        <v>0.92</v>
      </c>
      <c r="Z1208" s="135">
        <v>0.939371804236669</v>
      </c>
      <c r="AA1208" s="135">
        <v>0.945868945868946</v>
      </c>
      <c r="AB1208" s="135">
        <v>0.954569190600522</v>
      </c>
      <c r="AC1208" s="135">
        <v>0.95771569745344</v>
      </c>
      <c r="AD1208" s="135">
        <v>0.92</v>
      </c>
      <c r="AE1208" s="133">
        <v>0.999417103838788</v>
      </c>
      <c r="AF1208" s="133">
        <v>0.995521433141395</v>
      </c>
      <c r="AG1208" s="133">
        <v>0.999118942731278</v>
      </c>
      <c r="AH1208" s="133">
        <v>0.995452206828121</v>
      </c>
      <c r="AI1208" s="135">
        <v>0.92</v>
      </c>
      <c r="AJ1208" s="133">
        <v>0.961842105263158</v>
      </c>
      <c r="AK1208" s="133">
        <v>0.97191887675507</v>
      </c>
      <c r="AL1208" s="133">
        <v>0.973490427098675</v>
      </c>
      <c r="AM1208" s="133">
        <v>0.975898559507715</v>
      </c>
      <c r="AN1208" s="132">
        <v>0.99</v>
      </c>
      <c r="AO1208" s="137">
        <v>1</v>
      </c>
      <c r="AP1208" s="137">
        <v>1</v>
      </c>
      <c r="AQ1208" s="137">
        <v>1</v>
      </c>
      <c r="AR1208" s="137">
        <v>1</v>
      </c>
      <c r="AS1208" s="158">
        <v>0.0721861525408278</v>
      </c>
      <c r="AT1208" s="141">
        <v>0.0833333333333333</v>
      </c>
      <c r="AU1208" s="141">
        <v>0.0526315789473684</v>
      </c>
      <c r="AV1208" s="141">
        <v>0.05</v>
      </c>
      <c r="AW1208" s="141">
        <v>0.0546218487394958</v>
      </c>
      <c r="AX1208" s="95"/>
      <c r="AY1208" s="93"/>
    </row>
    <row r="1209" ht="14.5" spans="1:51">
      <c r="A1209" s="91"/>
      <c r="B1209" s="95"/>
      <c r="C1209" s="152" t="s">
        <v>1085</v>
      </c>
      <c r="D1209" s="153" t="s">
        <v>25</v>
      </c>
      <c r="E1209" s="130" t="s">
        <v>1086</v>
      </c>
      <c r="F1209" s="195" t="s">
        <v>1239</v>
      </c>
      <c r="G1209" s="195" t="s">
        <v>1239</v>
      </c>
      <c r="H1209" s="195" t="s">
        <v>1239</v>
      </c>
      <c r="I1209" s="195" t="s">
        <v>1239</v>
      </c>
      <c r="J1209" s="132">
        <v>0.9</v>
      </c>
      <c r="K1209" s="133">
        <v>1</v>
      </c>
      <c r="L1209" s="133">
        <v>0.939393939393939</v>
      </c>
      <c r="M1209" s="134">
        <v>1</v>
      </c>
      <c r="N1209" s="133">
        <v>0.990922844175492</v>
      </c>
      <c r="O1209" s="135">
        <v>0.9</v>
      </c>
      <c r="P1209" s="133">
        <v>0.993782383419689</v>
      </c>
      <c r="Q1209" s="133">
        <v>0.936549554273728</v>
      </c>
      <c r="R1209" s="133">
        <v>0.921079958463136</v>
      </c>
      <c r="S1209" s="133">
        <v>0.978554408260524</v>
      </c>
      <c r="T1209" s="135">
        <v>0.9</v>
      </c>
      <c r="U1209" s="133">
        <v>0.946113989637306</v>
      </c>
      <c r="V1209" s="133">
        <v>0.961195595175669</v>
      </c>
      <c r="W1209" s="133">
        <v>0.913811007268951</v>
      </c>
      <c r="X1209" s="133">
        <v>0.957055864442679</v>
      </c>
      <c r="Y1209" s="135">
        <v>0.92</v>
      </c>
      <c r="Z1209" s="135">
        <v>0.956140350877193</v>
      </c>
      <c r="AA1209" s="135">
        <v>0.983483483483483</v>
      </c>
      <c r="AB1209" s="135">
        <v>0.973033707865169</v>
      </c>
      <c r="AC1209" s="135">
        <v>0.977582997207571</v>
      </c>
      <c r="AD1209" s="135">
        <v>0.92</v>
      </c>
      <c r="AE1209" s="133">
        <v>0.997368421052632</v>
      </c>
      <c r="AF1209" s="133">
        <v>1</v>
      </c>
      <c r="AG1209" s="133">
        <v>0.998973305954825</v>
      </c>
      <c r="AH1209" s="133">
        <v>0.994036259541985</v>
      </c>
      <c r="AI1209" s="135">
        <v>0.92</v>
      </c>
      <c r="AJ1209" s="133">
        <v>0.973361747469366</v>
      </c>
      <c r="AK1209" s="133">
        <v>0.983287990672367</v>
      </c>
      <c r="AL1209" s="133">
        <v>0.98098742716958</v>
      </c>
      <c r="AM1209" s="133">
        <v>0.986248347913651</v>
      </c>
      <c r="AN1209" s="132">
        <v>0.99</v>
      </c>
      <c r="AO1209" s="137">
        <v>1</v>
      </c>
      <c r="AP1209" s="137">
        <v>1</v>
      </c>
      <c r="AQ1209" s="137">
        <v>1</v>
      </c>
      <c r="AR1209" s="137">
        <v>1</v>
      </c>
      <c r="AS1209" s="158">
        <v>0.0721861525408278</v>
      </c>
      <c r="AT1209" s="141">
        <v>0.4</v>
      </c>
      <c r="AU1209" s="141">
        <v>0</v>
      </c>
      <c r="AV1209" s="141">
        <v>0</v>
      </c>
      <c r="AW1209" s="141">
        <v>0.0526315789473684</v>
      </c>
      <c r="AX1209" s="95"/>
      <c r="AY1209" s="93"/>
    </row>
    <row r="1210" ht="14.5" spans="1:51">
      <c r="A1210" s="91"/>
      <c r="B1210" s="95"/>
      <c r="C1210" s="152" t="s">
        <v>1085</v>
      </c>
      <c r="D1210" s="153" t="s">
        <v>25</v>
      </c>
      <c r="E1210" s="130" t="s">
        <v>1086</v>
      </c>
      <c r="F1210" s="195" t="s">
        <v>1240</v>
      </c>
      <c r="G1210" s="195" t="s">
        <v>1240</v>
      </c>
      <c r="H1210" s="195" t="s">
        <v>1240</v>
      </c>
      <c r="I1210" s="195" t="s">
        <v>1240</v>
      </c>
      <c r="J1210" s="132">
        <v>0.9</v>
      </c>
      <c r="K1210" s="133">
        <v>1</v>
      </c>
      <c r="L1210" s="133">
        <v>1</v>
      </c>
      <c r="M1210" s="134">
        <v>0.96875</v>
      </c>
      <c r="N1210" s="133">
        <v>0.98811544991511</v>
      </c>
      <c r="O1210" s="135">
        <v>0.9</v>
      </c>
      <c r="P1210" s="133">
        <v>0.899159663865546</v>
      </c>
      <c r="Q1210" s="133">
        <v>0.922314911366006</v>
      </c>
      <c r="R1210" s="133">
        <v>0.954620918649696</v>
      </c>
      <c r="S1210" s="133">
        <v>0.951783125543636</v>
      </c>
      <c r="T1210" s="135">
        <v>0.9</v>
      </c>
      <c r="U1210" s="133">
        <v>0.935574229691877</v>
      </c>
      <c r="V1210" s="133">
        <v>0.957247132429614</v>
      </c>
      <c r="W1210" s="133">
        <v>0.933591588267847</v>
      </c>
      <c r="X1210" s="133">
        <v>0.944012757320963</v>
      </c>
      <c r="Y1210" s="135">
        <v>0.92</v>
      </c>
      <c r="Z1210" s="135">
        <v>0.945285215366706</v>
      </c>
      <c r="AA1210" s="135">
        <v>0.968576709796673</v>
      </c>
      <c r="AB1210" s="135">
        <v>0.965782122905028</v>
      </c>
      <c r="AC1210" s="135">
        <v>0.970289920114891</v>
      </c>
      <c r="AD1210" s="135">
        <v>0.92</v>
      </c>
      <c r="AE1210" s="133">
        <v>0.998663101604278</v>
      </c>
      <c r="AF1210" s="133">
        <v>0.981818181818182</v>
      </c>
      <c r="AG1210" s="133">
        <v>0.998700032499187</v>
      </c>
      <c r="AH1210" s="133">
        <v>0.994738601770223</v>
      </c>
      <c r="AI1210" s="135">
        <v>0.92</v>
      </c>
      <c r="AJ1210" s="133">
        <v>0.961658031088083</v>
      </c>
      <c r="AK1210" s="133">
        <v>0.979259861732412</v>
      </c>
      <c r="AL1210" s="133">
        <v>0.977462179685088</v>
      </c>
      <c r="AM1210" s="133">
        <v>0.982385993341905</v>
      </c>
      <c r="AN1210" s="132">
        <v>0.99</v>
      </c>
      <c r="AO1210" s="137">
        <v>1</v>
      </c>
      <c r="AP1210" s="137">
        <v>1</v>
      </c>
      <c r="AQ1210" s="137">
        <v>1</v>
      </c>
      <c r="AR1210" s="137">
        <v>1</v>
      </c>
      <c r="AS1210" s="158">
        <v>0.0721861525408278</v>
      </c>
      <c r="AT1210" s="141">
        <v>0</v>
      </c>
      <c r="AU1210" s="141">
        <v>0</v>
      </c>
      <c r="AV1210" s="141">
        <v>0</v>
      </c>
      <c r="AW1210" s="141">
        <v>0.0246305418719212</v>
      </c>
      <c r="AX1210" s="95"/>
      <c r="AY1210" s="93"/>
    </row>
    <row r="1211" ht="14.5" spans="1:51">
      <c r="A1211" s="91"/>
      <c r="B1211" s="95"/>
      <c r="C1211" s="152" t="s">
        <v>1085</v>
      </c>
      <c r="D1211" s="153" t="s">
        <v>25</v>
      </c>
      <c r="E1211" s="130" t="s">
        <v>1086</v>
      </c>
      <c r="F1211" s="195" t="s">
        <v>1241</v>
      </c>
      <c r="G1211" s="195" t="s">
        <v>1241</v>
      </c>
      <c r="H1211" s="195" t="s">
        <v>1241</v>
      </c>
      <c r="I1211" s="195" t="s">
        <v>1241</v>
      </c>
      <c r="J1211" s="132">
        <v>0.9</v>
      </c>
      <c r="K1211" s="133">
        <v>0.925925925925926</v>
      </c>
      <c r="L1211" s="133">
        <v>0.945454545454545</v>
      </c>
      <c r="M1211" s="134">
        <v>0.941176470588235</v>
      </c>
      <c r="N1211" s="133">
        <v>0.962888665997994</v>
      </c>
      <c r="O1211" s="135">
        <v>0.9</v>
      </c>
      <c r="P1211" s="133">
        <v>0.984894259818731</v>
      </c>
      <c r="Q1211" s="133">
        <v>0.989908854166667</v>
      </c>
      <c r="R1211" s="133">
        <v>0.985201511335013</v>
      </c>
      <c r="S1211" s="133">
        <v>0.979150432057077</v>
      </c>
      <c r="T1211" s="135">
        <v>0.9</v>
      </c>
      <c r="U1211" s="133">
        <v>0.927492447129909</v>
      </c>
      <c r="V1211" s="133">
        <v>0.9482421875</v>
      </c>
      <c r="W1211" s="133">
        <v>0.946788413098237</v>
      </c>
      <c r="X1211" s="133">
        <v>0.938576895769477</v>
      </c>
      <c r="Y1211" s="135">
        <v>0.92</v>
      </c>
      <c r="Z1211" s="135">
        <v>0.930247718383312</v>
      </c>
      <c r="AA1211" s="135">
        <v>0.924229074889868</v>
      </c>
      <c r="AB1211" s="135">
        <v>0.952179432924249</v>
      </c>
      <c r="AC1211" s="135">
        <v>0.948911244110531</v>
      </c>
      <c r="AD1211" s="135">
        <v>0.92</v>
      </c>
      <c r="AE1211" s="133">
        <v>0.99250936329588</v>
      </c>
      <c r="AF1211" s="133">
        <v>1</v>
      </c>
      <c r="AG1211" s="133">
        <v>0.988454706927176</v>
      </c>
      <c r="AH1211" s="133">
        <v>0.991973825469046</v>
      </c>
      <c r="AI1211" s="135">
        <v>0.92</v>
      </c>
      <c r="AJ1211" s="133">
        <v>0.955771643663739</v>
      </c>
      <c r="AK1211" s="133">
        <v>0.968148324221536</v>
      </c>
      <c r="AL1211" s="133">
        <v>0.971480144404332</v>
      </c>
      <c r="AM1211" s="133">
        <v>0.97263309797454</v>
      </c>
      <c r="AN1211" s="132">
        <v>0.99</v>
      </c>
      <c r="AO1211" s="137">
        <v>1</v>
      </c>
      <c r="AP1211" s="137">
        <v>1</v>
      </c>
      <c r="AQ1211" s="137">
        <v>1</v>
      </c>
      <c r="AR1211" s="137">
        <v>1</v>
      </c>
      <c r="AS1211" s="158">
        <v>0.0721861525408278</v>
      </c>
      <c r="AT1211" s="141">
        <v>0.0714285714285714</v>
      </c>
      <c r="AU1211" s="141">
        <v>0</v>
      </c>
      <c r="AV1211" s="141">
        <v>0</v>
      </c>
      <c r="AW1211" s="141">
        <v>0.0288808664259928</v>
      </c>
      <c r="AX1211" s="95"/>
      <c r="AY1211" s="93"/>
    </row>
    <row r="1212" ht="14.5" spans="1:51">
      <c r="A1212" s="91"/>
      <c r="B1212" s="95"/>
      <c r="C1212" s="152" t="s">
        <v>1085</v>
      </c>
      <c r="D1212" s="153" t="s">
        <v>25</v>
      </c>
      <c r="E1212" s="130" t="s">
        <v>1086</v>
      </c>
      <c r="F1212" s="195" t="s">
        <v>1242</v>
      </c>
      <c r="G1212" s="195" t="s">
        <v>1242</v>
      </c>
      <c r="H1212" s="195" t="s">
        <v>1242</v>
      </c>
      <c r="I1212" s="195" t="s">
        <v>1242</v>
      </c>
      <c r="J1212" s="132">
        <v>0.9</v>
      </c>
      <c r="K1212" s="133">
        <v>0.896551724137931</v>
      </c>
      <c r="L1212" s="133">
        <v>0.833333333333333</v>
      </c>
      <c r="M1212" s="134">
        <v>0.785714285714286</v>
      </c>
      <c r="N1212" s="133">
        <v>0.897959183673469</v>
      </c>
      <c r="O1212" s="135">
        <v>0.9</v>
      </c>
      <c r="P1212" s="133">
        <v>0.928671328671329</v>
      </c>
      <c r="Q1212" s="133">
        <v>0.927962489343564</v>
      </c>
      <c r="R1212" s="133">
        <v>0.870398196844478</v>
      </c>
      <c r="S1212" s="133">
        <v>0.916015882275456</v>
      </c>
      <c r="T1212" s="135">
        <v>0.9</v>
      </c>
      <c r="U1212" s="133">
        <v>0.865734265734266</v>
      </c>
      <c r="V1212" s="133">
        <v>0.835038363171355</v>
      </c>
      <c r="W1212" s="133">
        <v>0.802028549962434</v>
      </c>
      <c r="X1212" s="133">
        <v>0.843567113904518</v>
      </c>
      <c r="Y1212" s="135">
        <v>0.92</v>
      </c>
      <c r="Z1212" s="135">
        <v>0.927238805970149</v>
      </c>
      <c r="AA1212" s="135">
        <v>0.897435897435897</v>
      </c>
      <c r="AB1212" s="135">
        <v>0.892794376098418</v>
      </c>
      <c r="AC1212" s="135">
        <v>0.927793036236378</v>
      </c>
      <c r="AD1212" s="135">
        <v>0.92</v>
      </c>
      <c r="AE1212" s="133">
        <v>0.999263080324245</v>
      </c>
      <c r="AF1212" s="133">
        <v>0.963648380700595</v>
      </c>
      <c r="AG1212" s="133">
        <v>0.999751058003485</v>
      </c>
      <c r="AH1212" s="133">
        <v>0.996679285382214</v>
      </c>
      <c r="AI1212" s="135">
        <v>0.92</v>
      </c>
      <c r="AJ1212" s="133">
        <v>0.944557477110885</v>
      </c>
      <c r="AK1212" s="133">
        <v>0.930921052631579</v>
      </c>
      <c r="AL1212" s="133">
        <v>0.911509900990099</v>
      </c>
      <c r="AM1212" s="133">
        <v>0.958452321827663</v>
      </c>
      <c r="AN1212" s="132">
        <v>0.99</v>
      </c>
      <c r="AO1212" s="137">
        <v>1</v>
      </c>
      <c r="AP1212" s="137">
        <v>1</v>
      </c>
      <c r="AQ1212" s="137">
        <v>1</v>
      </c>
      <c r="AR1212" s="137">
        <v>1</v>
      </c>
      <c r="AS1212" s="158">
        <v>0.0721861525408278</v>
      </c>
      <c r="AT1212" s="141">
        <v>0</v>
      </c>
      <c r="AU1212" s="141">
        <v>0.04</v>
      </c>
      <c r="AV1212" s="141">
        <v>0</v>
      </c>
      <c r="AW1212" s="141">
        <v>0.0477707006369427</v>
      </c>
      <c r="AX1212" s="95"/>
      <c r="AY1212" s="93"/>
    </row>
    <row r="1213" ht="14.5" spans="1:51">
      <c r="A1213" s="91"/>
      <c r="B1213" s="95"/>
      <c r="C1213" s="152" t="s">
        <v>1085</v>
      </c>
      <c r="D1213" s="153" t="s">
        <v>25</v>
      </c>
      <c r="E1213" s="130" t="s">
        <v>1086</v>
      </c>
      <c r="F1213" s="195" t="s">
        <v>1243</v>
      </c>
      <c r="G1213" s="195" t="s">
        <v>1243</v>
      </c>
      <c r="H1213" s="195" t="s">
        <v>1243</v>
      </c>
      <c r="I1213" s="195" t="s">
        <v>1243</v>
      </c>
      <c r="J1213" s="132">
        <v>0.9</v>
      </c>
      <c r="K1213" s="133">
        <v>1</v>
      </c>
      <c r="L1213" s="133">
        <v>0.934782608695652</v>
      </c>
      <c r="M1213" s="134">
        <v>0.934782608695652</v>
      </c>
      <c r="N1213" s="133">
        <v>0.879587155963303</v>
      </c>
      <c r="O1213" s="135">
        <v>0.9</v>
      </c>
      <c r="P1213" s="133">
        <v>0.952967525195969</v>
      </c>
      <c r="Q1213" s="133">
        <v>0.946002076843198</v>
      </c>
      <c r="R1213" s="133">
        <v>0.884468022399057</v>
      </c>
      <c r="S1213" s="133">
        <v>0.859381073404096</v>
      </c>
      <c r="T1213" s="135">
        <v>0.9</v>
      </c>
      <c r="U1213" s="133">
        <v>0.838185890257559</v>
      </c>
      <c r="V1213" s="133">
        <v>0.790584977500865</v>
      </c>
      <c r="W1213" s="133">
        <v>0.718832891246684</v>
      </c>
      <c r="X1213" s="133">
        <v>0.664359396023322</v>
      </c>
      <c r="Y1213" s="135">
        <v>0.92</v>
      </c>
      <c r="Z1213" s="135">
        <v>0.857142857142857</v>
      </c>
      <c r="AA1213" s="135">
        <v>0.785867237687366</v>
      </c>
      <c r="AB1213" s="135">
        <v>0.659125188536953</v>
      </c>
      <c r="AC1213" s="135">
        <v>0.675022197937299</v>
      </c>
      <c r="AD1213" s="135">
        <v>0.92</v>
      </c>
      <c r="AE1213" s="133">
        <v>0.986111111111111</v>
      </c>
      <c r="AF1213" s="133">
        <v>1</v>
      </c>
      <c r="AG1213" s="133">
        <v>1</v>
      </c>
      <c r="AH1213" s="133">
        <v>0.981703830760435</v>
      </c>
      <c r="AI1213" s="135">
        <v>0.92</v>
      </c>
      <c r="AJ1213" s="133">
        <v>0.905476673427992</v>
      </c>
      <c r="AK1213" s="133">
        <v>0.901668653158522</v>
      </c>
      <c r="AL1213" s="133">
        <v>0.821393523061825</v>
      </c>
      <c r="AM1213" s="133">
        <v>0.850418127866199</v>
      </c>
      <c r="AN1213" s="132">
        <v>0.99</v>
      </c>
      <c r="AO1213" s="137">
        <v>1</v>
      </c>
      <c r="AP1213" s="137">
        <v>1</v>
      </c>
      <c r="AQ1213" s="137">
        <v>1</v>
      </c>
      <c r="AR1213" s="137">
        <v>1</v>
      </c>
      <c r="AS1213" s="158">
        <v>0.0721861525408278</v>
      </c>
      <c r="AT1213" s="141">
        <v>0.0909090909090909</v>
      </c>
      <c r="AU1213" s="141">
        <v>0.03125</v>
      </c>
      <c r="AV1213" s="141">
        <v>0</v>
      </c>
      <c r="AW1213" s="141">
        <v>0.0440835266821346</v>
      </c>
      <c r="AX1213" s="95"/>
      <c r="AY1213" s="93"/>
    </row>
    <row r="1214" ht="14.5" spans="1:51">
      <c r="A1214" s="91"/>
      <c r="B1214" s="95"/>
      <c r="C1214" s="152" t="s">
        <v>1085</v>
      </c>
      <c r="D1214" s="153" t="s">
        <v>25</v>
      </c>
      <c r="E1214" s="130" t="s">
        <v>1086</v>
      </c>
      <c r="F1214" s="195" t="s">
        <v>1244</v>
      </c>
      <c r="G1214" s="195" t="s">
        <v>1244</v>
      </c>
      <c r="H1214" s="195" t="s">
        <v>1244</v>
      </c>
      <c r="I1214" s="195" t="s">
        <v>1244</v>
      </c>
      <c r="J1214" s="132">
        <v>0.9</v>
      </c>
      <c r="K1214" s="133">
        <v>0.91304347826087</v>
      </c>
      <c r="L1214" s="133">
        <v>0.875</v>
      </c>
      <c r="M1214" s="134">
        <v>0.904761904761905</v>
      </c>
      <c r="N1214" s="133">
        <v>0.902377972465582</v>
      </c>
      <c r="O1214" s="135">
        <v>0.9</v>
      </c>
      <c r="P1214" s="133">
        <v>0.990554899645809</v>
      </c>
      <c r="Q1214" s="133">
        <v>0.995234604105572</v>
      </c>
      <c r="R1214" s="133">
        <v>0.983463035019455</v>
      </c>
      <c r="S1214" s="133">
        <v>0.98412295589005</v>
      </c>
      <c r="T1214" s="135">
        <v>0.9</v>
      </c>
      <c r="U1214" s="133">
        <v>0.933884297520661</v>
      </c>
      <c r="V1214" s="133">
        <v>0.894428152492669</v>
      </c>
      <c r="W1214" s="133">
        <v>0.886186770428016</v>
      </c>
      <c r="X1214" s="133">
        <v>0.900582105413422</v>
      </c>
      <c r="Y1214" s="135">
        <v>0.92</v>
      </c>
      <c r="Z1214" s="135">
        <v>0.926100628930818</v>
      </c>
      <c r="AA1214" s="135">
        <v>0.86283185840708</v>
      </c>
      <c r="AB1214" s="135">
        <v>0.905120481927711</v>
      </c>
      <c r="AC1214" s="135">
        <v>0.937121324072706</v>
      </c>
      <c r="AD1214" s="135">
        <v>0.92</v>
      </c>
      <c r="AE1214" s="133">
        <v>1</v>
      </c>
      <c r="AF1214" s="133">
        <v>1</v>
      </c>
      <c r="AG1214" s="133">
        <v>0.99163179916318</v>
      </c>
      <c r="AH1214" s="133">
        <v>0.999105545617174</v>
      </c>
      <c r="AI1214" s="135">
        <v>0.92</v>
      </c>
      <c r="AJ1214" s="133">
        <v>0.957510729613734</v>
      </c>
      <c r="AK1214" s="133">
        <v>0.927987421383648</v>
      </c>
      <c r="AL1214" s="133">
        <v>0.92824753267538</v>
      </c>
      <c r="AM1214" s="133">
        <v>0.967225102176723</v>
      </c>
      <c r="AN1214" s="132">
        <v>0.99</v>
      </c>
      <c r="AO1214" s="137">
        <v>1</v>
      </c>
      <c r="AP1214" s="137">
        <v>1</v>
      </c>
      <c r="AQ1214" s="137">
        <v>1</v>
      </c>
      <c r="AR1214" s="137">
        <v>1</v>
      </c>
      <c r="AS1214" s="158">
        <v>0.0721861525408278</v>
      </c>
      <c r="AT1214" s="141">
        <v>0.117647058823529</v>
      </c>
      <c r="AU1214" s="141">
        <v>0.0434782608695652</v>
      </c>
      <c r="AV1214" s="141">
        <v>0</v>
      </c>
      <c r="AW1214" s="141">
        <v>0.0424528301886792</v>
      </c>
      <c r="AX1214" s="95"/>
      <c r="AY1214" s="93"/>
    </row>
    <row r="1215" ht="14.5" spans="1:51">
      <c r="A1215" s="91"/>
      <c r="B1215" s="95"/>
      <c r="C1215" s="152" t="s">
        <v>1085</v>
      </c>
      <c r="D1215" s="153" t="s">
        <v>125</v>
      </c>
      <c r="E1215" s="130" t="s">
        <v>1086</v>
      </c>
      <c r="F1215" s="195" t="s">
        <v>1245</v>
      </c>
      <c r="G1215" s="195" t="s">
        <v>1245</v>
      </c>
      <c r="H1215" s="195" t="s">
        <v>1245</v>
      </c>
      <c r="I1215" s="195" t="s">
        <v>1245</v>
      </c>
      <c r="J1215" s="132">
        <v>0.9</v>
      </c>
      <c r="K1215" s="133" t="s">
        <v>35</v>
      </c>
      <c r="L1215" s="133" t="s">
        <v>35</v>
      </c>
      <c r="M1215" s="134" t="s">
        <v>35</v>
      </c>
      <c r="N1215" s="133" t="s">
        <v>35</v>
      </c>
      <c r="O1215" s="135">
        <v>0.9</v>
      </c>
      <c r="P1215" s="133">
        <v>0.333333333333333</v>
      </c>
      <c r="Q1215" s="133" t="s">
        <v>35</v>
      </c>
      <c r="R1215" s="133" t="s">
        <v>35</v>
      </c>
      <c r="S1215" s="133">
        <v>0.0454545454545455</v>
      </c>
      <c r="T1215" s="135">
        <v>0.9</v>
      </c>
      <c r="U1215" s="133">
        <v>1</v>
      </c>
      <c r="V1215" s="133" t="s">
        <v>35</v>
      </c>
      <c r="W1215" s="133" t="s">
        <v>35</v>
      </c>
      <c r="X1215" s="133">
        <v>0.636363636363636</v>
      </c>
      <c r="Y1215" s="135">
        <v>0.92</v>
      </c>
      <c r="Z1215" s="135" t="s">
        <v>35</v>
      </c>
      <c r="AA1215" s="135" t="s">
        <v>35</v>
      </c>
      <c r="AB1215" s="135" t="s">
        <v>35</v>
      </c>
      <c r="AC1215" s="135">
        <v>1</v>
      </c>
      <c r="AD1215" s="135">
        <v>0.92</v>
      </c>
      <c r="AE1215" s="133">
        <v>0.999206058385245</v>
      </c>
      <c r="AF1215" s="133">
        <v>0.998679693688936</v>
      </c>
      <c r="AG1215" s="133">
        <v>0.818901533894112</v>
      </c>
      <c r="AH1215" s="133">
        <v>0.903865385667872</v>
      </c>
      <c r="AI1215" s="135">
        <v>0.92</v>
      </c>
      <c r="AJ1215" s="133">
        <v>1</v>
      </c>
      <c r="AK1215" s="133">
        <v>1</v>
      </c>
      <c r="AL1215" s="133" t="s">
        <v>35</v>
      </c>
      <c r="AM1215" s="133">
        <v>0.833333333333333</v>
      </c>
      <c r="AN1215" s="132">
        <v>0.99</v>
      </c>
      <c r="AO1215" s="137">
        <v>1</v>
      </c>
      <c r="AP1215" s="137">
        <v>1</v>
      </c>
      <c r="AQ1215" s="137">
        <v>1</v>
      </c>
      <c r="AR1215" s="137">
        <v>1</v>
      </c>
      <c r="AS1215" s="158">
        <v>0.0721861525408278</v>
      </c>
      <c r="AT1215" s="141" t="s">
        <v>35</v>
      </c>
      <c r="AU1215" s="141" t="s">
        <v>35</v>
      </c>
      <c r="AV1215" s="141" t="s">
        <v>35</v>
      </c>
      <c r="AW1215" s="141" t="s">
        <v>35</v>
      </c>
      <c r="AX1215" s="95"/>
      <c r="AY1215" s="93"/>
    </row>
    <row r="1216" ht="14.5" spans="1:51">
      <c r="A1216" s="91"/>
      <c r="B1216" s="95"/>
      <c r="C1216" s="152" t="s">
        <v>1085</v>
      </c>
      <c r="D1216" s="153" t="s">
        <v>25</v>
      </c>
      <c r="E1216" s="130" t="s">
        <v>1086</v>
      </c>
      <c r="F1216" s="195" t="s">
        <v>1246</v>
      </c>
      <c r="G1216" s="195" t="s">
        <v>1246</v>
      </c>
      <c r="H1216" s="195" t="s">
        <v>1246</v>
      </c>
      <c r="I1216" s="195" t="s">
        <v>1246</v>
      </c>
      <c r="J1216" s="132">
        <v>0.9</v>
      </c>
      <c r="K1216" s="133">
        <v>0.952380952380952</v>
      </c>
      <c r="L1216" s="133">
        <v>1</v>
      </c>
      <c r="M1216" s="134">
        <v>0.942857142857143</v>
      </c>
      <c r="N1216" s="133">
        <v>0.959424083769634</v>
      </c>
      <c r="O1216" s="135">
        <v>0.9</v>
      </c>
      <c r="P1216" s="133">
        <v>0.990518962075848</v>
      </c>
      <c r="Q1216" s="133">
        <v>0.935160624815797</v>
      </c>
      <c r="R1216" s="133">
        <v>0.952080042127435</v>
      </c>
      <c r="S1216" s="133">
        <v>0.910604595237473</v>
      </c>
      <c r="T1216" s="135">
        <v>0.9</v>
      </c>
      <c r="U1216" s="133">
        <v>0.895708582834331</v>
      </c>
      <c r="V1216" s="133">
        <v>0.801355732390215</v>
      </c>
      <c r="W1216" s="133">
        <v>0.746182201158504</v>
      </c>
      <c r="X1216" s="133">
        <v>0.821104634445984</v>
      </c>
      <c r="Y1216" s="135">
        <v>0.92</v>
      </c>
      <c r="Z1216" s="135">
        <v>0.919246298788694</v>
      </c>
      <c r="AA1216" s="135">
        <v>0.85278276481149</v>
      </c>
      <c r="AB1216" s="135">
        <v>0.712296983758701</v>
      </c>
      <c r="AC1216" s="135">
        <v>0.895918860178701</v>
      </c>
      <c r="AD1216" s="135">
        <v>0.92</v>
      </c>
      <c r="AE1216" s="133">
        <v>0.999254128929142</v>
      </c>
      <c r="AF1216" s="133">
        <v>0.998264692272096</v>
      </c>
      <c r="AG1216" s="133">
        <v>0.988718775181305</v>
      </c>
      <c r="AH1216" s="133">
        <v>0.993865291358825</v>
      </c>
      <c r="AI1216" s="135">
        <v>0.92</v>
      </c>
      <c r="AJ1216" s="133">
        <v>0.939206406989443</v>
      </c>
      <c r="AK1216" s="133">
        <v>0.898987341772152</v>
      </c>
      <c r="AL1216" s="133">
        <v>0.856652360515021</v>
      </c>
      <c r="AM1216" s="133">
        <v>0.941257358944609</v>
      </c>
      <c r="AN1216" s="132">
        <v>0.99</v>
      </c>
      <c r="AO1216" s="137">
        <v>1</v>
      </c>
      <c r="AP1216" s="137">
        <v>1</v>
      </c>
      <c r="AQ1216" s="137">
        <v>1</v>
      </c>
      <c r="AR1216" s="137">
        <v>1</v>
      </c>
      <c r="AS1216" s="158">
        <v>0.0721861525408278</v>
      </c>
      <c r="AT1216" s="141">
        <v>0</v>
      </c>
      <c r="AU1216" s="141">
        <v>0.0483870967741935</v>
      </c>
      <c r="AV1216" s="141">
        <v>0.0263157894736842</v>
      </c>
      <c r="AW1216" s="141">
        <v>0.0294117647058824</v>
      </c>
      <c r="AX1216" s="95"/>
      <c r="AY1216" s="93"/>
    </row>
    <row r="1217" ht="14.5" spans="1:51">
      <c r="A1217" s="91"/>
      <c r="B1217" s="95"/>
      <c r="C1217" s="152" t="s">
        <v>1085</v>
      </c>
      <c r="D1217" s="153" t="s">
        <v>25</v>
      </c>
      <c r="E1217" s="130" t="s">
        <v>1086</v>
      </c>
      <c r="F1217" s="196" t="s">
        <v>1247</v>
      </c>
      <c r="G1217" s="196" t="s">
        <v>1247</v>
      </c>
      <c r="H1217" s="196" t="s">
        <v>1247</v>
      </c>
      <c r="I1217" s="196" t="s">
        <v>1247</v>
      </c>
      <c r="J1217" s="132">
        <v>0.9</v>
      </c>
      <c r="K1217" s="133">
        <v>0.931034482758621</v>
      </c>
      <c r="L1217" s="133">
        <v>0.96551724137931</v>
      </c>
      <c r="M1217" s="134">
        <v>0.92</v>
      </c>
      <c r="N1217" s="133">
        <v>0.954716981132075</v>
      </c>
      <c r="O1217" s="135">
        <v>0.9</v>
      </c>
      <c r="P1217" s="133">
        <v>0.930811808118081</v>
      </c>
      <c r="Q1217" s="133">
        <v>0.983212087297146</v>
      </c>
      <c r="R1217" s="133">
        <v>0.963438735177866</v>
      </c>
      <c r="S1217" s="133">
        <v>0.947757125154895</v>
      </c>
      <c r="T1217" s="135">
        <v>0.9</v>
      </c>
      <c r="U1217" s="133">
        <v>0.855166051660517</v>
      </c>
      <c r="V1217" s="133">
        <v>0.824286513710129</v>
      </c>
      <c r="W1217" s="133">
        <v>0.795948616600791</v>
      </c>
      <c r="X1217" s="133">
        <v>0.86820322180917</v>
      </c>
      <c r="Y1217" s="135">
        <v>0.92</v>
      </c>
      <c r="Z1217" s="135">
        <v>0.877284595300261</v>
      </c>
      <c r="AA1217" s="135">
        <v>0.76953125</v>
      </c>
      <c r="AB1217" s="135">
        <v>0.681818181818182</v>
      </c>
      <c r="AC1217" s="135">
        <v>0.874343257443082</v>
      </c>
      <c r="AD1217" s="135">
        <v>0.92</v>
      </c>
      <c r="AE1217" s="133">
        <v>0.999779784188505</v>
      </c>
      <c r="AF1217" s="133">
        <v>0.997521685254027</v>
      </c>
      <c r="AG1217" s="133">
        <v>0.999248967330079</v>
      </c>
      <c r="AH1217" s="133">
        <v>0.997583501145754</v>
      </c>
      <c r="AI1217" s="135">
        <v>0.92</v>
      </c>
      <c r="AJ1217" s="133">
        <v>0.896387184730743</v>
      </c>
      <c r="AK1217" s="133">
        <v>0.864904552129222</v>
      </c>
      <c r="AL1217" s="133">
        <v>0.849681020733652</v>
      </c>
      <c r="AM1217" s="133">
        <v>0.934812479793081</v>
      </c>
      <c r="AN1217" s="132">
        <v>0.99</v>
      </c>
      <c r="AO1217" s="137">
        <v>1</v>
      </c>
      <c r="AP1217" s="137">
        <v>1</v>
      </c>
      <c r="AQ1217" s="137">
        <v>1</v>
      </c>
      <c r="AR1217" s="137">
        <v>1</v>
      </c>
      <c r="AS1217" s="158">
        <v>0.0721861525408278</v>
      </c>
      <c r="AT1217" s="141">
        <v>0.1</v>
      </c>
      <c r="AU1217" s="141">
        <v>0.0416666666666667</v>
      </c>
      <c r="AV1217" s="141">
        <v>0.111111111111111</v>
      </c>
      <c r="AW1217" s="141">
        <v>0.062111801242236</v>
      </c>
      <c r="AX1217" s="95"/>
      <c r="AY1217" s="93"/>
    </row>
    <row r="1218" ht="14.5" spans="1:51">
      <c r="A1218" s="91"/>
      <c r="B1218" s="95"/>
      <c r="C1218" s="152" t="s">
        <v>1085</v>
      </c>
      <c r="D1218" s="153" t="s">
        <v>125</v>
      </c>
      <c r="E1218" s="130" t="s">
        <v>1086</v>
      </c>
      <c r="F1218" s="195" t="s">
        <v>1248</v>
      </c>
      <c r="G1218" s="195" t="s">
        <v>1248</v>
      </c>
      <c r="H1218" s="195" t="s">
        <v>1248</v>
      </c>
      <c r="I1218" s="195" t="s">
        <v>1248</v>
      </c>
      <c r="J1218" s="132">
        <v>0.9</v>
      </c>
      <c r="K1218" s="133" t="s">
        <v>35</v>
      </c>
      <c r="L1218" s="133" t="s">
        <v>35</v>
      </c>
      <c r="M1218" s="134" t="s">
        <v>35</v>
      </c>
      <c r="N1218" s="133" t="s">
        <v>35</v>
      </c>
      <c r="O1218" s="135">
        <v>0.9</v>
      </c>
      <c r="P1218" s="133">
        <v>0</v>
      </c>
      <c r="Q1218" s="133">
        <v>0</v>
      </c>
      <c r="R1218" s="133" t="s">
        <v>35</v>
      </c>
      <c r="S1218" s="133">
        <v>0.176470588235294</v>
      </c>
      <c r="T1218" s="135">
        <v>0.9</v>
      </c>
      <c r="U1218" s="133">
        <v>0</v>
      </c>
      <c r="V1218" s="133">
        <v>0</v>
      </c>
      <c r="W1218" s="133" t="s">
        <v>35</v>
      </c>
      <c r="X1218" s="133">
        <v>0.823529411764706</v>
      </c>
      <c r="Y1218" s="135">
        <v>0.92</v>
      </c>
      <c r="Z1218" s="135">
        <v>0</v>
      </c>
      <c r="AA1218" s="135" t="s">
        <v>35</v>
      </c>
      <c r="AB1218" s="135" t="s">
        <v>35</v>
      </c>
      <c r="AC1218" s="135">
        <v>0</v>
      </c>
      <c r="AD1218" s="135">
        <v>0.92</v>
      </c>
      <c r="AE1218" s="133">
        <v>0.999364221568783</v>
      </c>
      <c r="AF1218" s="133">
        <v>0.99721865639709</v>
      </c>
      <c r="AG1218" s="133">
        <v>0.99945696443117</v>
      </c>
      <c r="AH1218" s="133">
        <v>0.972256904031319</v>
      </c>
      <c r="AI1218" s="135">
        <v>0.92</v>
      </c>
      <c r="AJ1218" s="133">
        <v>0</v>
      </c>
      <c r="AK1218" s="133">
        <v>0</v>
      </c>
      <c r="AL1218" s="133">
        <v>1</v>
      </c>
      <c r="AM1218" s="133">
        <v>0.84</v>
      </c>
      <c r="AN1218" s="132">
        <v>0.99</v>
      </c>
      <c r="AO1218" s="137">
        <v>1</v>
      </c>
      <c r="AP1218" s="137">
        <v>1</v>
      </c>
      <c r="AQ1218" s="137">
        <v>1</v>
      </c>
      <c r="AR1218" s="137">
        <v>1</v>
      </c>
      <c r="AS1218" s="158">
        <v>0.0721861525408278</v>
      </c>
      <c r="AT1218" s="141" t="s">
        <v>35</v>
      </c>
      <c r="AU1218" s="141" t="s">
        <v>35</v>
      </c>
      <c r="AV1218" s="141" t="s">
        <v>35</v>
      </c>
      <c r="AW1218" s="141" t="s">
        <v>35</v>
      </c>
      <c r="AX1218" s="95"/>
      <c r="AY1218" s="93"/>
    </row>
    <row r="1219" ht="14.5" spans="1:51">
      <c r="A1219" s="91"/>
      <c r="B1219" s="95"/>
      <c r="C1219" s="152" t="s">
        <v>1085</v>
      </c>
      <c r="D1219" s="153" t="s">
        <v>125</v>
      </c>
      <c r="E1219" s="130" t="s">
        <v>1086</v>
      </c>
      <c r="F1219" s="195" t="s">
        <v>1249</v>
      </c>
      <c r="G1219" s="195" t="s">
        <v>1249</v>
      </c>
      <c r="H1219" s="195" t="s">
        <v>1249</v>
      </c>
      <c r="I1219" s="195" t="s">
        <v>1249</v>
      </c>
      <c r="J1219" s="132">
        <v>0.9</v>
      </c>
      <c r="K1219" s="133" t="s">
        <v>35</v>
      </c>
      <c r="L1219" s="133" t="s">
        <v>35</v>
      </c>
      <c r="M1219" s="134" t="s">
        <v>35</v>
      </c>
      <c r="N1219" s="133" t="s">
        <v>35</v>
      </c>
      <c r="O1219" s="135">
        <v>0.9</v>
      </c>
      <c r="P1219" s="133">
        <v>0.988472622478386</v>
      </c>
      <c r="Q1219" s="133">
        <v>0.97766323024055</v>
      </c>
      <c r="R1219" s="133">
        <v>0.997830802603037</v>
      </c>
      <c r="S1219" s="133">
        <v>0.914276558243871</v>
      </c>
      <c r="T1219" s="135">
        <v>0.9</v>
      </c>
      <c r="U1219" s="133">
        <v>0.994236311239193</v>
      </c>
      <c r="V1219" s="133">
        <v>0.981099656357388</v>
      </c>
      <c r="W1219" s="133">
        <v>0.997830802603037</v>
      </c>
      <c r="X1219" s="133">
        <v>0.99567377022913</v>
      </c>
      <c r="Y1219" s="135">
        <v>0.92</v>
      </c>
      <c r="Z1219" s="135">
        <v>0.99236641221374</v>
      </c>
      <c r="AA1219" s="135">
        <v>1</v>
      </c>
      <c r="AB1219" s="135">
        <v>1</v>
      </c>
      <c r="AC1219" s="135">
        <v>0.997293640054127</v>
      </c>
      <c r="AD1219" s="135">
        <v>0.92</v>
      </c>
      <c r="AE1219" s="133">
        <v>0.996620620145847</v>
      </c>
      <c r="AF1219" s="133">
        <v>0.651013156631134</v>
      </c>
      <c r="AG1219" s="133">
        <v>0.998968008255934</v>
      </c>
      <c r="AH1219" s="133">
        <v>0.956224058188718</v>
      </c>
      <c r="AI1219" s="135">
        <v>0.92</v>
      </c>
      <c r="AJ1219" s="133">
        <v>0.993723849372385</v>
      </c>
      <c r="AK1219" s="133">
        <v>0.98478561549101</v>
      </c>
      <c r="AL1219" s="133">
        <v>0.998054474708171</v>
      </c>
      <c r="AM1219" s="133">
        <v>0.996116504854369</v>
      </c>
      <c r="AN1219" s="132">
        <v>0.99</v>
      </c>
      <c r="AO1219" s="137">
        <v>1</v>
      </c>
      <c r="AP1219" s="137">
        <v>1</v>
      </c>
      <c r="AQ1219" s="137">
        <v>1</v>
      </c>
      <c r="AR1219" s="137">
        <v>1</v>
      </c>
      <c r="AS1219" s="158">
        <v>0.0721861525408278</v>
      </c>
      <c r="AT1219" s="141">
        <v>0</v>
      </c>
      <c r="AU1219" s="141">
        <v>0</v>
      </c>
      <c r="AV1219" s="141">
        <v>0</v>
      </c>
      <c r="AW1219" s="141">
        <v>0.00531107738998483</v>
      </c>
      <c r="AX1219" s="95"/>
      <c r="AY1219" s="93"/>
    </row>
    <row r="1220" ht="14.5" spans="1:51">
      <c r="A1220" s="91"/>
      <c r="B1220" s="95"/>
      <c r="C1220" s="152" t="s">
        <v>1085</v>
      </c>
      <c r="D1220" s="153" t="s">
        <v>25</v>
      </c>
      <c r="E1220" s="130" t="s">
        <v>1086</v>
      </c>
      <c r="F1220" s="197" t="s">
        <v>1250</v>
      </c>
      <c r="G1220" s="197" t="s">
        <v>1250</v>
      </c>
      <c r="H1220" s="197" t="s">
        <v>1250</v>
      </c>
      <c r="I1220" s="197" t="s">
        <v>1250</v>
      </c>
      <c r="J1220" s="132">
        <v>0.9</v>
      </c>
      <c r="K1220" s="133">
        <v>1</v>
      </c>
      <c r="L1220" s="133">
        <v>0.6</v>
      </c>
      <c r="M1220" s="134">
        <v>1</v>
      </c>
      <c r="N1220" s="133">
        <v>0.897350993377483</v>
      </c>
      <c r="O1220" s="135">
        <v>0.9</v>
      </c>
      <c r="P1220" s="133">
        <v>0.960679177837355</v>
      </c>
      <c r="Q1220" s="133">
        <v>0.956803455723542</v>
      </c>
      <c r="R1220" s="133">
        <v>0.95643294758339</v>
      </c>
      <c r="S1220" s="133">
        <v>0.945470125418712</v>
      </c>
      <c r="T1220" s="135">
        <v>0.9</v>
      </c>
      <c r="U1220" s="133">
        <v>0.938337801608579</v>
      </c>
      <c r="V1220" s="133">
        <v>0.901367890568755</v>
      </c>
      <c r="W1220" s="133">
        <v>0.929884275017018</v>
      </c>
      <c r="X1220" s="133">
        <v>0.908662460076342</v>
      </c>
      <c r="Y1220" s="135">
        <v>0.92</v>
      </c>
      <c r="Z1220" s="135">
        <v>0.956395348837209</v>
      </c>
      <c r="AA1220" s="135">
        <v>0.923694779116466</v>
      </c>
      <c r="AB1220" s="135">
        <v>0.873972602739726</v>
      </c>
      <c r="AC1220" s="135">
        <v>0.945573875460221</v>
      </c>
      <c r="AD1220" s="135">
        <v>0.92</v>
      </c>
      <c r="AE1220" s="133">
        <v>0.908174046681395</v>
      </c>
      <c r="AF1220" s="133">
        <v>0.961738002594034</v>
      </c>
      <c r="AG1220" s="133">
        <v>0.93320774105155</v>
      </c>
      <c r="AH1220" s="133">
        <v>0.884247675304753</v>
      </c>
      <c r="AI1220" s="135">
        <v>0.92</v>
      </c>
      <c r="AJ1220" s="133">
        <v>0.962406015037594</v>
      </c>
      <c r="AK1220" s="133">
        <v>0.951159951159951</v>
      </c>
      <c r="AL1220" s="133">
        <v>0.955288985823337</v>
      </c>
      <c r="AM1220" s="133">
        <v>0.972123034517321</v>
      </c>
      <c r="AN1220" s="132">
        <v>0.99</v>
      </c>
      <c r="AO1220" s="137">
        <v>1</v>
      </c>
      <c r="AP1220" s="137">
        <v>1</v>
      </c>
      <c r="AQ1220" s="137">
        <v>1</v>
      </c>
      <c r="AR1220" s="137">
        <v>1</v>
      </c>
      <c r="AS1220" s="158">
        <v>0.0721861525408278</v>
      </c>
      <c r="AT1220" s="141">
        <v>0.125</v>
      </c>
      <c r="AU1220" s="141">
        <v>0</v>
      </c>
      <c r="AV1220" s="141">
        <v>0</v>
      </c>
      <c r="AW1220" s="141">
        <v>0.0422535211267606</v>
      </c>
      <c r="AX1220" s="95"/>
      <c r="AY1220" s="93"/>
    </row>
    <row r="1221" ht="14.5" spans="1:51">
      <c r="A1221" s="91"/>
      <c r="B1221" s="95"/>
      <c r="C1221" s="152" t="s">
        <v>1085</v>
      </c>
      <c r="D1221" s="153" t="s">
        <v>125</v>
      </c>
      <c r="E1221" s="130" t="s">
        <v>1086</v>
      </c>
      <c r="F1221" s="195" t="s">
        <v>1251</v>
      </c>
      <c r="G1221" s="195" t="s">
        <v>1251</v>
      </c>
      <c r="H1221" s="195" t="s">
        <v>1251</v>
      </c>
      <c r="I1221" s="195" t="s">
        <v>1251</v>
      </c>
      <c r="J1221" s="132">
        <v>0.9</v>
      </c>
      <c r="K1221" s="133" t="s">
        <v>35</v>
      </c>
      <c r="L1221" s="133" t="s">
        <v>35</v>
      </c>
      <c r="M1221" s="134" t="s">
        <v>35</v>
      </c>
      <c r="N1221" s="133" t="s">
        <v>35</v>
      </c>
      <c r="O1221" s="135">
        <v>0.9</v>
      </c>
      <c r="P1221" s="133" t="s">
        <v>35</v>
      </c>
      <c r="Q1221" s="133" t="s">
        <v>35</v>
      </c>
      <c r="R1221" s="133">
        <v>0</v>
      </c>
      <c r="S1221" s="133">
        <v>0</v>
      </c>
      <c r="T1221" s="135">
        <v>0.9</v>
      </c>
      <c r="U1221" s="133" t="s">
        <v>35</v>
      </c>
      <c r="V1221" s="133" t="s">
        <v>35</v>
      </c>
      <c r="W1221" s="133">
        <v>1</v>
      </c>
      <c r="X1221" s="133">
        <v>1</v>
      </c>
      <c r="Y1221" s="135">
        <v>0.92</v>
      </c>
      <c r="Z1221" s="135" t="s">
        <v>35</v>
      </c>
      <c r="AA1221" s="135" t="s">
        <v>35</v>
      </c>
      <c r="AB1221" s="135" t="s">
        <v>35</v>
      </c>
      <c r="AC1221" s="135" t="s">
        <v>35</v>
      </c>
      <c r="AD1221" s="135">
        <v>0.92</v>
      </c>
      <c r="AE1221" s="133">
        <v>0.776972889913292</v>
      </c>
      <c r="AF1221" s="133">
        <v>0.999408633944412</v>
      </c>
      <c r="AG1221" s="133">
        <v>1</v>
      </c>
      <c r="AH1221" s="133">
        <v>0.912553059133489</v>
      </c>
      <c r="AI1221" s="135">
        <v>0.92</v>
      </c>
      <c r="AJ1221" s="133">
        <v>1</v>
      </c>
      <c r="AK1221" s="133" t="s">
        <v>35</v>
      </c>
      <c r="AL1221" s="133">
        <v>1</v>
      </c>
      <c r="AM1221" s="133">
        <v>1</v>
      </c>
      <c r="AN1221" s="132">
        <v>0.99</v>
      </c>
      <c r="AO1221" s="137">
        <v>1</v>
      </c>
      <c r="AP1221" s="137">
        <v>1</v>
      </c>
      <c r="AQ1221" s="137">
        <v>1</v>
      </c>
      <c r="AR1221" s="137">
        <v>1</v>
      </c>
      <c r="AS1221" s="158">
        <v>0.0721861525408278</v>
      </c>
      <c r="AT1221" s="141" t="s">
        <v>35</v>
      </c>
      <c r="AU1221" s="141" t="s">
        <v>35</v>
      </c>
      <c r="AV1221" s="141" t="s">
        <v>35</v>
      </c>
      <c r="AW1221" s="141" t="s">
        <v>35</v>
      </c>
      <c r="AX1221" s="95"/>
      <c r="AY1221" s="93"/>
    </row>
    <row r="1222" ht="14.5" spans="1:51">
      <c r="A1222" s="91"/>
      <c r="B1222" s="95"/>
      <c r="C1222" s="152" t="s">
        <v>1085</v>
      </c>
      <c r="D1222" s="153" t="s">
        <v>25</v>
      </c>
      <c r="E1222" s="130" t="s">
        <v>1086</v>
      </c>
      <c r="F1222" s="195" t="s">
        <v>1252</v>
      </c>
      <c r="G1222" s="195" t="s">
        <v>1252</v>
      </c>
      <c r="H1222" s="195" t="s">
        <v>1252</v>
      </c>
      <c r="I1222" s="195" t="s">
        <v>1252</v>
      </c>
      <c r="J1222" s="132">
        <v>0.9</v>
      </c>
      <c r="K1222" s="133">
        <v>0.967741935483871</v>
      </c>
      <c r="L1222" s="133">
        <v>0.964285714285714</v>
      </c>
      <c r="M1222" s="134">
        <v>1</v>
      </c>
      <c r="N1222" s="133">
        <v>0.965364120781528</v>
      </c>
      <c r="O1222" s="135">
        <v>0.9</v>
      </c>
      <c r="P1222" s="133">
        <v>0.969960638077481</v>
      </c>
      <c r="Q1222" s="133">
        <v>0.981484463049428</v>
      </c>
      <c r="R1222" s="133">
        <v>0.977500809323406</v>
      </c>
      <c r="S1222" s="133">
        <v>0.948753438789546</v>
      </c>
      <c r="T1222" s="135">
        <v>0.9</v>
      </c>
      <c r="U1222" s="133">
        <v>0.956494717215662</v>
      </c>
      <c r="V1222" s="133">
        <v>0.924166800837224</v>
      </c>
      <c r="W1222" s="133">
        <v>0.898834574295889</v>
      </c>
      <c r="X1222" s="133">
        <v>0.909405089408528</v>
      </c>
      <c r="Y1222" s="135">
        <v>0.92</v>
      </c>
      <c r="Z1222" s="135">
        <v>0.937284631288766</v>
      </c>
      <c r="AA1222" s="135">
        <v>0.950880444856348</v>
      </c>
      <c r="AB1222" s="135">
        <v>0.886380737396539</v>
      </c>
      <c r="AC1222" s="135">
        <v>0.936804814871248</v>
      </c>
      <c r="AD1222" s="135">
        <v>0.92</v>
      </c>
      <c r="AE1222" s="133">
        <v>0.909263979865122</v>
      </c>
      <c r="AF1222" s="133">
        <v>0.994081349955925</v>
      </c>
      <c r="AG1222" s="133">
        <v>0.951018069039914</v>
      </c>
      <c r="AH1222" s="133">
        <v>0.940904464696506</v>
      </c>
      <c r="AI1222" s="135">
        <v>0.92</v>
      </c>
      <c r="AJ1222" s="133">
        <v>0.965445859872611</v>
      </c>
      <c r="AK1222" s="133">
        <v>0.958304759292278</v>
      </c>
      <c r="AL1222" s="133">
        <v>0.938340657877214</v>
      </c>
      <c r="AM1222" s="133">
        <v>0.964767101000042</v>
      </c>
      <c r="AN1222" s="132">
        <v>0.99</v>
      </c>
      <c r="AO1222" s="137">
        <v>1</v>
      </c>
      <c r="AP1222" s="137">
        <v>1</v>
      </c>
      <c r="AQ1222" s="137">
        <v>1</v>
      </c>
      <c r="AR1222" s="137">
        <v>1</v>
      </c>
      <c r="AS1222" s="158">
        <v>0.0721861525408278</v>
      </c>
      <c r="AT1222" s="141">
        <v>0.151515151515152</v>
      </c>
      <c r="AU1222" s="141">
        <v>0.0784313725490196</v>
      </c>
      <c r="AV1222" s="141">
        <v>0</v>
      </c>
      <c r="AW1222" s="141">
        <v>0.0499219968798752</v>
      </c>
      <c r="AX1222" s="95"/>
      <c r="AY1222" s="93"/>
    </row>
    <row r="1223" ht="14.5" spans="1:51">
      <c r="A1223" s="91"/>
      <c r="B1223" s="95"/>
      <c r="C1223" s="152" t="s">
        <v>1085</v>
      </c>
      <c r="D1223" s="153" t="s">
        <v>25</v>
      </c>
      <c r="E1223" s="130" t="s">
        <v>1086</v>
      </c>
      <c r="F1223" s="195" t="s">
        <v>1253</v>
      </c>
      <c r="G1223" s="195" t="s">
        <v>1253</v>
      </c>
      <c r="H1223" s="195" t="s">
        <v>1253</v>
      </c>
      <c r="I1223" s="195" t="s">
        <v>1253</v>
      </c>
      <c r="J1223" s="132">
        <v>0.9</v>
      </c>
      <c r="K1223" s="133">
        <v>0.971428571428571</v>
      </c>
      <c r="L1223" s="133">
        <v>0.923076923076923</v>
      </c>
      <c r="M1223" s="134">
        <v>0.972222222222222</v>
      </c>
      <c r="N1223" s="133">
        <v>0.933739527798934</v>
      </c>
      <c r="O1223" s="135">
        <v>0.9</v>
      </c>
      <c r="P1223" s="133">
        <v>0.964840858623242</v>
      </c>
      <c r="Q1223" s="133">
        <v>0.935202889313788</v>
      </c>
      <c r="R1223" s="133">
        <v>0.921658109906826</v>
      </c>
      <c r="S1223" s="133">
        <v>0.953126268777913</v>
      </c>
      <c r="T1223" s="135">
        <v>0.9</v>
      </c>
      <c r="U1223" s="133">
        <v>0.905625462620281</v>
      </c>
      <c r="V1223" s="133">
        <v>0.896961971531761</v>
      </c>
      <c r="W1223" s="133">
        <v>0.883057615516258</v>
      </c>
      <c r="X1223" s="133">
        <v>0.897360941940723</v>
      </c>
      <c r="Y1223" s="135">
        <v>0.92</v>
      </c>
      <c r="Z1223" s="135">
        <v>0.922529644268775</v>
      </c>
      <c r="AA1223" s="135">
        <v>0.879839786381842</v>
      </c>
      <c r="AB1223" s="135">
        <v>0.927621861152142</v>
      </c>
      <c r="AC1223" s="135">
        <v>0.937684486716956</v>
      </c>
      <c r="AD1223" s="135">
        <v>0.92</v>
      </c>
      <c r="AE1223" s="133">
        <v>0.995642701525055</v>
      </c>
      <c r="AF1223" s="133">
        <v>0.976905311778291</v>
      </c>
      <c r="AG1223" s="133">
        <v>0.998355263157895</v>
      </c>
      <c r="AH1223" s="133">
        <v>0.99465744814582</v>
      </c>
      <c r="AI1223" s="135">
        <v>0.92</v>
      </c>
      <c r="AJ1223" s="133">
        <v>0.943786236450718</v>
      </c>
      <c r="AK1223" s="133">
        <v>0.94116568914956</v>
      </c>
      <c r="AL1223" s="133">
        <v>0.948434900952669</v>
      </c>
      <c r="AM1223" s="133">
        <v>0.9668488960479</v>
      </c>
      <c r="AN1223" s="132">
        <v>0.99</v>
      </c>
      <c r="AO1223" s="137">
        <v>1</v>
      </c>
      <c r="AP1223" s="137">
        <v>1</v>
      </c>
      <c r="AQ1223" s="137">
        <v>1</v>
      </c>
      <c r="AR1223" s="137">
        <v>1</v>
      </c>
      <c r="AS1223" s="158">
        <v>0.0721861525408278</v>
      </c>
      <c r="AT1223" s="141">
        <v>0</v>
      </c>
      <c r="AU1223" s="141">
        <v>0</v>
      </c>
      <c r="AV1223" s="141">
        <v>0.1</v>
      </c>
      <c r="AW1223" s="141">
        <v>0.0418604651162791</v>
      </c>
      <c r="AX1223" s="95"/>
      <c r="AY1223" s="93"/>
    </row>
    <row r="1224" ht="14.5" spans="1:51">
      <c r="A1224" s="91"/>
      <c r="B1224" s="95"/>
      <c r="C1224" s="152" t="s">
        <v>1085</v>
      </c>
      <c r="D1224" s="153" t="s">
        <v>125</v>
      </c>
      <c r="E1224" s="130" t="s">
        <v>1086</v>
      </c>
      <c r="F1224" s="195" t="s">
        <v>1254</v>
      </c>
      <c r="G1224" s="195" t="s">
        <v>1254</v>
      </c>
      <c r="H1224" s="195" t="s">
        <v>1254</v>
      </c>
      <c r="I1224" s="195" t="s">
        <v>1254</v>
      </c>
      <c r="J1224" s="132">
        <v>0.9</v>
      </c>
      <c r="K1224" s="133" t="s">
        <v>35</v>
      </c>
      <c r="L1224" s="133" t="s">
        <v>35</v>
      </c>
      <c r="M1224" s="134" t="s">
        <v>35</v>
      </c>
      <c r="N1224" s="133" t="s">
        <v>35</v>
      </c>
      <c r="O1224" s="135">
        <v>0.9</v>
      </c>
      <c r="P1224" s="133" t="s">
        <v>35</v>
      </c>
      <c r="Q1224" s="133" t="s">
        <v>35</v>
      </c>
      <c r="R1224" s="133" t="s">
        <v>35</v>
      </c>
      <c r="S1224" s="133">
        <v>1</v>
      </c>
      <c r="T1224" s="135">
        <v>0.9</v>
      </c>
      <c r="U1224" s="133" t="s">
        <v>35</v>
      </c>
      <c r="V1224" s="133" t="s">
        <v>35</v>
      </c>
      <c r="W1224" s="133" t="s">
        <v>35</v>
      </c>
      <c r="X1224" s="133">
        <v>1</v>
      </c>
      <c r="Y1224" s="135">
        <v>0.92</v>
      </c>
      <c r="Z1224" s="135" t="s">
        <v>35</v>
      </c>
      <c r="AA1224" s="135" t="s">
        <v>35</v>
      </c>
      <c r="AB1224" s="135" t="s">
        <v>35</v>
      </c>
      <c r="AC1224" s="135">
        <v>1</v>
      </c>
      <c r="AD1224" s="135">
        <v>0.92</v>
      </c>
      <c r="AE1224" s="133">
        <v>0.998834498834499</v>
      </c>
      <c r="AF1224" s="133">
        <v>0.996420047732697</v>
      </c>
      <c r="AG1224" s="133">
        <v>0.999407933688573</v>
      </c>
      <c r="AH1224" s="133">
        <v>0.999120901851277</v>
      </c>
      <c r="AI1224" s="135">
        <v>0.92</v>
      </c>
      <c r="AJ1224" s="133" t="s">
        <v>35</v>
      </c>
      <c r="AK1224" s="133" t="s">
        <v>35</v>
      </c>
      <c r="AL1224" s="133" t="s">
        <v>35</v>
      </c>
      <c r="AM1224" s="133">
        <v>1</v>
      </c>
      <c r="AN1224" s="132">
        <v>0.99</v>
      </c>
      <c r="AO1224" s="137">
        <v>1</v>
      </c>
      <c r="AP1224" s="137">
        <v>1</v>
      </c>
      <c r="AQ1224" s="137">
        <v>1</v>
      </c>
      <c r="AR1224" s="137">
        <v>1</v>
      </c>
      <c r="AS1224" s="158">
        <v>0.0721861525408278</v>
      </c>
      <c r="AT1224" s="141" t="s">
        <v>35</v>
      </c>
      <c r="AU1224" s="141" t="s">
        <v>35</v>
      </c>
      <c r="AV1224" s="141" t="s">
        <v>35</v>
      </c>
      <c r="AW1224" s="141" t="s">
        <v>35</v>
      </c>
      <c r="AX1224" s="95"/>
      <c r="AY1224" s="93"/>
    </row>
    <row r="1225" ht="14.5" spans="1:51">
      <c r="A1225" s="91"/>
      <c r="B1225" s="95"/>
      <c r="C1225" s="152" t="s">
        <v>1085</v>
      </c>
      <c r="D1225" s="153" t="s">
        <v>25</v>
      </c>
      <c r="E1225" s="130" t="s">
        <v>1086</v>
      </c>
      <c r="F1225" s="195" t="s">
        <v>1255</v>
      </c>
      <c r="G1225" s="195" t="s">
        <v>1255</v>
      </c>
      <c r="H1225" s="195" t="s">
        <v>1255</v>
      </c>
      <c r="I1225" s="195" t="s">
        <v>1255</v>
      </c>
      <c r="J1225" s="132">
        <v>0.9</v>
      </c>
      <c r="K1225" s="133">
        <v>1</v>
      </c>
      <c r="L1225" s="133">
        <v>1</v>
      </c>
      <c r="M1225" s="134">
        <v>0.96</v>
      </c>
      <c r="N1225" s="133">
        <v>0.953703703703704</v>
      </c>
      <c r="O1225" s="135">
        <v>0.9</v>
      </c>
      <c r="P1225" s="133">
        <v>0.971994829814735</v>
      </c>
      <c r="Q1225" s="133">
        <v>0.938764200609587</v>
      </c>
      <c r="R1225" s="133">
        <v>0.977522477522478</v>
      </c>
      <c r="S1225" s="133">
        <v>0.951565932031886</v>
      </c>
      <c r="T1225" s="135">
        <v>0.9</v>
      </c>
      <c r="U1225" s="133">
        <v>0.940542869452822</v>
      </c>
      <c r="V1225" s="133">
        <v>0.896924355777224</v>
      </c>
      <c r="W1225" s="133">
        <v>0.91033966033966</v>
      </c>
      <c r="X1225" s="133">
        <v>0.915508773661739</v>
      </c>
      <c r="Y1225" s="135">
        <v>0.92</v>
      </c>
      <c r="Z1225" s="135">
        <v>0.922774869109948</v>
      </c>
      <c r="AA1225" s="135">
        <v>0.928044280442804</v>
      </c>
      <c r="AB1225" s="135">
        <v>0.922384701912261</v>
      </c>
      <c r="AC1225" s="135">
        <v>0.944541130061492</v>
      </c>
      <c r="AD1225" s="135">
        <v>0.92</v>
      </c>
      <c r="AE1225" s="133">
        <v>0.989046575864368</v>
      </c>
      <c r="AF1225" s="133">
        <v>0.997507929315813</v>
      </c>
      <c r="AG1225" s="133">
        <v>0.998359310910582</v>
      </c>
      <c r="AH1225" s="133">
        <v>0.936376098199265</v>
      </c>
      <c r="AI1225" s="135">
        <v>0.92</v>
      </c>
      <c r="AJ1225" s="133">
        <v>0.961114711600778</v>
      </c>
      <c r="AK1225" s="133">
        <v>0.945809248554913</v>
      </c>
      <c r="AL1225" s="133">
        <v>0.952614379084967</v>
      </c>
      <c r="AM1225" s="133">
        <v>0.970343164684457</v>
      </c>
      <c r="AN1225" s="132">
        <v>0.99</v>
      </c>
      <c r="AO1225" s="137">
        <v>1</v>
      </c>
      <c r="AP1225" s="137">
        <v>1</v>
      </c>
      <c r="AQ1225" s="137">
        <v>1</v>
      </c>
      <c r="AR1225" s="137">
        <v>1</v>
      </c>
      <c r="AS1225" s="158">
        <v>0.0721861525408278</v>
      </c>
      <c r="AT1225" s="141">
        <v>0.0571428571428571</v>
      </c>
      <c r="AU1225" s="141">
        <v>0.0869565217391304</v>
      </c>
      <c r="AV1225" s="141">
        <v>0.024390243902439</v>
      </c>
      <c r="AW1225" s="141">
        <v>0.0369276218611521</v>
      </c>
      <c r="AX1225" s="95"/>
      <c r="AY1225" s="93"/>
    </row>
    <row r="1226" ht="14.5" spans="1:51">
      <c r="A1226" s="91"/>
      <c r="B1226" s="95"/>
      <c r="C1226" s="152" t="s">
        <v>1085</v>
      </c>
      <c r="D1226" s="153" t="s">
        <v>125</v>
      </c>
      <c r="E1226" s="130" t="s">
        <v>1086</v>
      </c>
      <c r="F1226" s="195" t="s">
        <v>1256</v>
      </c>
      <c r="G1226" s="195" t="s">
        <v>1256</v>
      </c>
      <c r="H1226" s="195" t="s">
        <v>1256</v>
      </c>
      <c r="I1226" s="195" t="s">
        <v>1256</v>
      </c>
      <c r="J1226" s="132">
        <v>0.9</v>
      </c>
      <c r="K1226" s="133" t="s">
        <v>35</v>
      </c>
      <c r="L1226" s="133" t="s">
        <v>35</v>
      </c>
      <c r="M1226" s="134" t="s">
        <v>35</v>
      </c>
      <c r="N1226" s="133" t="s">
        <v>35</v>
      </c>
      <c r="O1226" s="135">
        <v>0.9</v>
      </c>
      <c r="P1226" s="133">
        <v>0</v>
      </c>
      <c r="Q1226" s="133">
        <v>0</v>
      </c>
      <c r="R1226" s="133">
        <v>0</v>
      </c>
      <c r="S1226" s="133">
        <v>0</v>
      </c>
      <c r="T1226" s="135">
        <v>0.9</v>
      </c>
      <c r="U1226" s="133">
        <v>1</v>
      </c>
      <c r="V1226" s="133">
        <v>1</v>
      </c>
      <c r="W1226" s="133">
        <v>1</v>
      </c>
      <c r="X1226" s="133">
        <v>1</v>
      </c>
      <c r="Y1226" s="135">
        <v>0.92</v>
      </c>
      <c r="Z1226" s="135" t="s">
        <v>35</v>
      </c>
      <c r="AA1226" s="135" t="s">
        <v>35</v>
      </c>
      <c r="AB1226" s="135" t="s">
        <v>35</v>
      </c>
      <c r="AC1226" s="135">
        <v>1</v>
      </c>
      <c r="AD1226" s="135">
        <v>0.92</v>
      </c>
      <c r="AE1226" s="133">
        <v>0.999083409715857</v>
      </c>
      <c r="AF1226" s="133">
        <v>0.988532883642496</v>
      </c>
      <c r="AG1226" s="133">
        <v>0.970011995201919</v>
      </c>
      <c r="AH1226" s="133">
        <v>0.99118775860203</v>
      </c>
      <c r="AI1226" s="135">
        <v>0.92</v>
      </c>
      <c r="AJ1226" s="133">
        <v>1</v>
      </c>
      <c r="AK1226" s="133">
        <v>1</v>
      </c>
      <c r="AL1226" s="133">
        <v>1</v>
      </c>
      <c r="AM1226" s="133">
        <v>1</v>
      </c>
      <c r="AN1226" s="132">
        <v>0.99</v>
      </c>
      <c r="AO1226" s="137">
        <v>1</v>
      </c>
      <c r="AP1226" s="137">
        <v>1</v>
      </c>
      <c r="AQ1226" s="137">
        <v>1</v>
      </c>
      <c r="AR1226" s="137">
        <v>1</v>
      </c>
      <c r="AS1226" s="158">
        <v>0.0721861525408278</v>
      </c>
      <c r="AT1226" s="141" t="s">
        <v>35</v>
      </c>
      <c r="AU1226" s="141" t="s">
        <v>35</v>
      </c>
      <c r="AV1226" s="141" t="s">
        <v>35</v>
      </c>
      <c r="AW1226" s="141" t="s">
        <v>35</v>
      </c>
      <c r="AX1226" s="95"/>
      <c r="AY1226" s="93"/>
    </row>
    <row r="1227" ht="14.5" spans="1:51">
      <c r="A1227" s="91"/>
      <c r="B1227" s="95"/>
      <c r="C1227" s="152" t="s">
        <v>1085</v>
      </c>
      <c r="D1227" s="153" t="s">
        <v>125</v>
      </c>
      <c r="E1227" s="130" t="s">
        <v>1086</v>
      </c>
      <c r="F1227" s="195" t="s">
        <v>1257</v>
      </c>
      <c r="G1227" s="195" t="s">
        <v>1257</v>
      </c>
      <c r="H1227" s="195" t="s">
        <v>1257</v>
      </c>
      <c r="I1227" s="195" t="s">
        <v>1257</v>
      </c>
      <c r="J1227" s="132">
        <v>0.9</v>
      </c>
      <c r="K1227" s="133" t="s">
        <v>35</v>
      </c>
      <c r="L1227" s="133" t="s">
        <v>35</v>
      </c>
      <c r="M1227" s="134" t="s">
        <v>35</v>
      </c>
      <c r="N1227" s="133" t="s">
        <v>35</v>
      </c>
      <c r="O1227" s="135">
        <v>0.9</v>
      </c>
      <c r="P1227" s="133">
        <v>0</v>
      </c>
      <c r="Q1227" s="133" t="s">
        <v>35</v>
      </c>
      <c r="R1227" s="133" t="s">
        <v>35</v>
      </c>
      <c r="S1227" s="133">
        <v>0</v>
      </c>
      <c r="T1227" s="135">
        <v>0.9</v>
      </c>
      <c r="U1227" s="133">
        <v>1</v>
      </c>
      <c r="V1227" s="133" t="s">
        <v>35</v>
      </c>
      <c r="W1227" s="133" t="s">
        <v>35</v>
      </c>
      <c r="X1227" s="133">
        <v>1</v>
      </c>
      <c r="Y1227" s="135">
        <v>0.92</v>
      </c>
      <c r="Z1227" s="135" t="s">
        <v>35</v>
      </c>
      <c r="AA1227" s="135" t="s">
        <v>35</v>
      </c>
      <c r="AB1227" s="135" t="s">
        <v>35</v>
      </c>
      <c r="AC1227" s="135">
        <v>1</v>
      </c>
      <c r="AD1227" s="135">
        <v>0.92</v>
      </c>
      <c r="AE1227" s="133">
        <v>0.998365567965132</v>
      </c>
      <c r="AF1227" s="133">
        <v>0.998150716597319</v>
      </c>
      <c r="AG1227" s="133">
        <v>0.998038061604866</v>
      </c>
      <c r="AH1227" s="133">
        <v>0.997192384081858</v>
      </c>
      <c r="AI1227" s="135">
        <v>0.92</v>
      </c>
      <c r="AJ1227" s="133">
        <v>1</v>
      </c>
      <c r="AK1227" s="133" t="s">
        <v>35</v>
      </c>
      <c r="AL1227" s="133" t="s">
        <v>35</v>
      </c>
      <c r="AM1227" s="133">
        <v>1</v>
      </c>
      <c r="AN1227" s="132">
        <v>0.99</v>
      </c>
      <c r="AO1227" s="137">
        <v>1</v>
      </c>
      <c r="AP1227" s="137">
        <v>1</v>
      </c>
      <c r="AQ1227" s="137">
        <v>1</v>
      </c>
      <c r="AR1227" s="137">
        <v>1</v>
      </c>
      <c r="AS1227" s="158">
        <v>0.0721861525408278</v>
      </c>
      <c r="AT1227" s="141" t="s">
        <v>35</v>
      </c>
      <c r="AU1227" s="141" t="s">
        <v>35</v>
      </c>
      <c r="AV1227" s="141" t="s">
        <v>35</v>
      </c>
      <c r="AW1227" s="141" t="s">
        <v>35</v>
      </c>
      <c r="AX1227" s="95"/>
      <c r="AY1227" s="93"/>
    </row>
    <row r="1228" ht="14.5" spans="1:51">
      <c r="A1228" s="91"/>
      <c r="B1228" s="95"/>
      <c r="C1228" s="152" t="s">
        <v>1085</v>
      </c>
      <c r="D1228" s="153" t="s">
        <v>25</v>
      </c>
      <c r="E1228" s="130" t="s">
        <v>1086</v>
      </c>
      <c r="F1228" s="195" t="s">
        <v>1258</v>
      </c>
      <c r="G1228" s="195" t="s">
        <v>1258</v>
      </c>
      <c r="H1228" s="195" t="s">
        <v>1258</v>
      </c>
      <c r="I1228" s="195" t="s">
        <v>1258</v>
      </c>
      <c r="J1228" s="132">
        <v>0.9</v>
      </c>
      <c r="K1228" s="133">
        <v>0.88</v>
      </c>
      <c r="L1228" s="133">
        <v>0.916666666666667</v>
      </c>
      <c r="M1228" s="134">
        <v>0.782608695652174</v>
      </c>
      <c r="N1228" s="133">
        <v>0.921478060046189</v>
      </c>
      <c r="O1228" s="135">
        <v>0.9</v>
      </c>
      <c r="P1228" s="133">
        <v>0.899006622516556</v>
      </c>
      <c r="Q1228" s="133">
        <v>0.97723292469352</v>
      </c>
      <c r="R1228" s="133">
        <v>0.930473372781065</v>
      </c>
      <c r="S1228" s="133">
        <v>0.864312077096576</v>
      </c>
      <c r="T1228" s="135">
        <v>0.9</v>
      </c>
      <c r="U1228" s="133">
        <v>0.836920529801324</v>
      </c>
      <c r="V1228" s="133">
        <v>0.896672504378284</v>
      </c>
      <c r="W1228" s="133">
        <v>0.80276134122288</v>
      </c>
      <c r="X1228" s="133">
        <v>0.826378921468116</v>
      </c>
      <c r="Y1228" s="135">
        <v>0.92</v>
      </c>
      <c r="Z1228" s="135">
        <v>0.898305084745763</v>
      </c>
      <c r="AA1228" s="135">
        <v>0.836298932384342</v>
      </c>
      <c r="AB1228" s="135">
        <v>0.898488120950324</v>
      </c>
      <c r="AC1228" s="135">
        <v>0.864926629781092</v>
      </c>
      <c r="AD1228" s="135">
        <v>0.92</v>
      </c>
      <c r="AE1228" s="133">
        <v>0.996101364522417</v>
      </c>
      <c r="AF1228" s="133">
        <v>0.994649227110583</v>
      </c>
      <c r="AG1228" s="133">
        <v>0.999630723781389</v>
      </c>
      <c r="AH1228" s="133">
        <v>0.997506150372392</v>
      </c>
      <c r="AI1228" s="135">
        <v>0.92</v>
      </c>
      <c r="AJ1228" s="133">
        <v>0.879001280409731</v>
      </c>
      <c r="AK1228" s="133">
        <v>0.923308270676692</v>
      </c>
      <c r="AL1228" s="133">
        <v>0.932155760738659</v>
      </c>
      <c r="AM1228" s="133">
        <v>0.93547705569171</v>
      </c>
      <c r="AN1228" s="132">
        <v>0.99</v>
      </c>
      <c r="AO1228" s="137">
        <v>1</v>
      </c>
      <c r="AP1228" s="137">
        <v>1</v>
      </c>
      <c r="AQ1228" s="137">
        <v>1</v>
      </c>
      <c r="AR1228" s="137">
        <v>1</v>
      </c>
      <c r="AS1228" s="158">
        <v>0.0721861525408278</v>
      </c>
      <c r="AT1228" s="141">
        <v>0.0526315789473684</v>
      </c>
      <c r="AU1228" s="141">
        <v>0</v>
      </c>
      <c r="AV1228" s="141">
        <v>0</v>
      </c>
      <c r="AW1228" s="141">
        <v>0.0107816711590297</v>
      </c>
      <c r="AX1228" s="95"/>
      <c r="AY1228" s="93"/>
    </row>
    <row r="1229" ht="14.5" spans="1:51">
      <c r="A1229" s="91"/>
      <c r="B1229" s="95"/>
      <c r="C1229" s="152" t="s">
        <v>1085</v>
      </c>
      <c r="D1229" s="153" t="s">
        <v>25</v>
      </c>
      <c r="E1229" s="130" t="s">
        <v>1086</v>
      </c>
      <c r="F1229" s="195" t="s">
        <v>1259</v>
      </c>
      <c r="G1229" s="195" t="s">
        <v>1259</v>
      </c>
      <c r="H1229" s="195" t="s">
        <v>1259</v>
      </c>
      <c r="I1229" s="195" t="s">
        <v>1259</v>
      </c>
      <c r="J1229" s="132">
        <v>0.9</v>
      </c>
      <c r="K1229" s="133">
        <v>0.933333333333333</v>
      </c>
      <c r="L1229" s="133">
        <v>0.896551724137931</v>
      </c>
      <c r="M1229" s="134">
        <v>0.964285714285714</v>
      </c>
      <c r="N1229" s="133">
        <v>0.961538461538462</v>
      </c>
      <c r="O1229" s="135">
        <v>0.9</v>
      </c>
      <c r="P1229" s="133">
        <v>0.912621359223301</v>
      </c>
      <c r="Q1229" s="133">
        <v>0.970521541950113</v>
      </c>
      <c r="R1229" s="133">
        <v>0.968076616121309</v>
      </c>
      <c r="S1229" s="133">
        <v>0.966379514060452</v>
      </c>
      <c r="T1229" s="135">
        <v>0.9</v>
      </c>
      <c r="U1229" s="133">
        <v>0.921723300970874</v>
      </c>
      <c r="V1229" s="133">
        <v>0.921995464852608</v>
      </c>
      <c r="W1229" s="133">
        <v>0.914205905826018</v>
      </c>
      <c r="X1229" s="133">
        <v>0.930374444134138</v>
      </c>
      <c r="Y1229" s="135">
        <v>0.92</v>
      </c>
      <c r="Z1229" s="135">
        <v>0.961240310077519</v>
      </c>
      <c r="AA1229" s="135">
        <v>0.962162162162162</v>
      </c>
      <c r="AB1229" s="135">
        <v>0.930275229357798</v>
      </c>
      <c r="AC1229" s="135">
        <v>0.966362325804901</v>
      </c>
      <c r="AD1229" s="135">
        <v>0.92</v>
      </c>
      <c r="AE1229" s="133">
        <v>1</v>
      </c>
      <c r="AF1229" s="133">
        <v>0.999214454045562</v>
      </c>
      <c r="AG1229" s="133">
        <v>0.999476165531692</v>
      </c>
      <c r="AH1229" s="133">
        <v>0.998614659193452</v>
      </c>
      <c r="AI1229" s="135">
        <v>0.92</v>
      </c>
      <c r="AJ1229" s="133">
        <v>0.97185048454084</v>
      </c>
      <c r="AK1229" s="133">
        <v>0.968580294802172</v>
      </c>
      <c r="AL1229" s="133">
        <v>0.963654223968566</v>
      </c>
      <c r="AM1229" s="133">
        <v>0.981245285005</v>
      </c>
      <c r="AN1229" s="132">
        <v>0.99</v>
      </c>
      <c r="AO1229" s="137">
        <v>1</v>
      </c>
      <c r="AP1229" s="137">
        <v>1</v>
      </c>
      <c r="AQ1229" s="137">
        <v>1</v>
      </c>
      <c r="AR1229" s="137">
        <v>1</v>
      </c>
      <c r="AS1229" s="158">
        <v>0.0721861525408278</v>
      </c>
      <c r="AT1229" s="141">
        <v>0.142857142857143</v>
      </c>
      <c r="AU1229" s="141">
        <v>0</v>
      </c>
      <c r="AV1229" s="141">
        <v>0.04</v>
      </c>
      <c r="AW1229" s="141">
        <v>0.0224089635854342</v>
      </c>
      <c r="AX1229" s="95"/>
      <c r="AY1229" s="93"/>
    </row>
    <row r="1230" ht="14.5" spans="1:51">
      <c r="A1230" s="91"/>
      <c r="B1230" s="95"/>
      <c r="C1230" s="152" t="s">
        <v>1085</v>
      </c>
      <c r="D1230" s="153" t="s">
        <v>25</v>
      </c>
      <c r="E1230" s="130" t="s">
        <v>1086</v>
      </c>
      <c r="F1230" s="195" t="s">
        <v>1260</v>
      </c>
      <c r="G1230" s="195" t="s">
        <v>1260</v>
      </c>
      <c r="H1230" s="195" t="s">
        <v>1260</v>
      </c>
      <c r="I1230" s="195" t="s">
        <v>1260</v>
      </c>
      <c r="J1230" s="132">
        <v>0.9</v>
      </c>
      <c r="K1230" s="133">
        <v>0.983333333333333</v>
      </c>
      <c r="L1230" s="133">
        <v>0.983870967741935</v>
      </c>
      <c r="M1230" s="134">
        <v>0.983333333333333</v>
      </c>
      <c r="N1230" s="133">
        <v>0.981276595744681</v>
      </c>
      <c r="O1230" s="135">
        <v>0.9</v>
      </c>
      <c r="P1230" s="133">
        <v>0.960861650485437</v>
      </c>
      <c r="Q1230" s="133">
        <v>0.925408855205425</v>
      </c>
      <c r="R1230" s="133">
        <v>0.930142530353686</v>
      </c>
      <c r="S1230" s="133">
        <v>0.897462523630748</v>
      </c>
      <c r="T1230" s="135">
        <v>0.9</v>
      </c>
      <c r="U1230" s="133">
        <v>0.863470873786408</v>
      </c>
      <c r="V1230" s="133">
        <v>0.82728360590347</v>
      </c>
      <c r="W1230" s="133">
        <v>0.787788140066866</v>
      </c>
      <c r="X1230" s="133">
        <v>0.807252975477275</v>
      </c>
      <c r="Y1230" s="135">
        <v>0.92</v>
      </c>
      <c r="Z1230" s="135">
        <v>0.877118644067797</v>
      </c>
      <c r="AA1230" s="135">
        <v>0.825609756097561</v>
      </c>
      <c r="AB1230" s="135">
        <v>0.800635424940429</v>
      </c>
      <c r="AC1230" s="135">
        <v>0.876402737047898</v>
      </c>
      <c r="AD1230" s="135">
        <v>0.92</v>
      </c>
      <c r="AE1230" s="133">
        <v>0.998326359832636</v>
      </c>
      <c r="AF1230" s="133">
        <v>0.996803652968037</v>
      </c>
      <c r="AG1230" s="133">
        <v>0.998227735932654</v>
      </c>
      <c r="AH1230" s="133">
        <v>0.987701982901392</v>
      </c>
      <c r="AI1230" s="135">
        <v>0.92</v>
      </c>
      <c r="AJ1230" s="133">
        <v>0.934107661380389</v>
      </c>
      <c r="AK1230" s="133">
        <v>0.921151868357902</v>
      </c>
      <c r="AL1230" s="133">
        <v>0.900172860847018</v>
      </c>
      <c r="AM1230" s="133">
        <v>0.945222423146474</v>
      </c>
      <c r="AN1230" s="132">
        <v>0.99</v>
      </c>
      <c r="AO1230" s="137">
        <v>1</v>
      </c>
      <c r="AP1230" s="137">
        <v>1</v>
      </c>
      <c r="AQ1230" s="137">
        <v>1</v>
      </c>
      <c r="AR1230" s="137">
        <v>1</v>
      </c>
      <c r="AS1230" s="158">
        <v>0.0721861525408278</v>
      </c>
      <c r="AT1230" s="141">
        <v>0.0185185185185185</v>
      </c>
      <c r="AU1230" s="141">
        <v>0.0357142857142857</v>
      </c>
      <c r="AV1230" s="141">
        <v>0.0701754385964912</v>
      </c>
      <c r="AW1230" s="141">
        <v>0.0420098846787479</v>
      </c>
      <c r="AX1230" s="95"/>
      <c r="AY1230" s="93"/>
    </row>
    <row r="1231" ht="14.5" spans="1:51">
      <c r="A1231" s="91"/>
      <c r="B1231" s="95"/>
      <c r="C1231" s="152" t="s">
        <v>1085</v>
      </c>
      <c r="D1231" s="153" t="s">
        <v>125</v>
      </c>
      <c r="E1231" s="130" t="s">
        <v>1086</v>
      </c>
      <c r="F1231" s="195" t="s">
        <v>1261</v>
      </c>
      <c r="G1231" s="195" t="s">
        <v>1261</v>
      </c>
      <c r="H1231" s="195" t="s">
        <v>1261</v>
      </c>
      <c r="I1231" s="195" t="s">
        <v>1261</v>
      </c>
      <c r="J1231" s="132">
        <v>0.9</v>
      </c>
      <c r="K1231" s="133" t="s">
        <v>35</v>
      </c>
      <c r="L1231" s="133" t="s">
        <v>35</v>
      </c>
      <c r="M1231" s="134" t="s">
        <v>35</v>
      </c>
      <c r="N1231" s="133" t="s">
        <v>35</v>
      </c>
      <c r="O1231" s="135">
        <v>0.9</v>
      </c>
      <c r="P1231" s="133">
        <v>0</v>
      </c>
      <c r="Q1231" s="133" t="s">
        <v>35</v>
      </c>
      <c r="R1231" s="133" t="s">
        <v>35</v>
      </c>
      <c r="S1231" s="133">
        <v>0</v>
      </c>
      <c r="T1231" s="135">
        <v>0.9</v>
      </c>
      <c r="U1231" s="133">
        <v>1</v>
      </c>
      <c r="V1231" s="133" t="s">
        <v>35</v>
      </c>
      <c r="W1231" s="133" t="s">
        <v>35</v>
      </c>
      <c r="X1231" s="133">
        <v>0.666666666666667</v>
      </c>
      <c r="Y1231" s="135">
        <v>0.92</v>
      </c>
      <c r="Z1231" s="135" t="s">
        <v>35</v>
      </c>
      <c r="AA1231" s="135" t="s">
        <v>35</v>
      </c>
      <c r="AB1231" s="135" t="s">
        <v>35</v>
      </c>
      <c r="AC1231" s="135" t="s">
        <v>35</v>
      </c>
      <c r="AD1231" s="135">
        <v>0.92</v>
      </c>
      <c r="AE1231" s="133" t="s">
        <v>35</v>
      </c>
      <c r="AF1231" s="133" t="s">
        <v>35</v>
      </c>
      <c r="AG1231" s="133" t="s">
        <v>35</v>
      </c>
      <c r="AH1231" s="133">
        <v>0.814747794616603</v>
      </c>
      <c r="AI1231" s="135">
        <v>0.92</v>
      </c>
      <c r="AJ1231" s="133">
        <v>1</v>
      </c>
      <c r="AK1231" s="133" t="s">
        <v>35</v>
      </c>
      <c r="AL1231" s="133" t="s">
        <v>35</v>
      </c>
      <c r="AM1231" s="133">
        <v>0.75</v>
      </c>
      <c r="AN1231" s="132">
        <v>0.99</v>
      </c>
      <c r="AO1231" s="137" t="s">
        <v>35</v>
      </c>
      <c r="AP1231" s="137" t="s">
        <v>35</v>
      </c>
      <c r="AQ1231" s="137" t="s">
        <v>35</v>
      </c>
      <c r="AR1231" s="137">
        <v>1</v>
      </c>
      <c r="AS1231" s="158">
        <v>0.0721861525408278</v>
      </c>
      <c r="AT1231" s="141" t="s">
        <v>35</v>
      </c>
      <c r="AU1231" s="141" t="s">
        <v>35</v>
      </c>
      <c r="AV1231" s="141" t="s">
        <v>35</v>
      </c>
      <c r="AW1231" s="141" t="s">
        <v>35</v>
      </c>
      <c r="AX1231" s="95"/>
      <c r="AY1231" s="93"/>
    </row>
    <row r="1232" ht="14.5" spans="1:51">
      <c r="A1232" s="91"/>
      <c r="B1232" s="95"/>
      <c r="C1232" s="152" t="s">
        <v>1085</v>
      </c>
      <c r="D1232" s="153" t="s">
        <v>25</v>
      </c>
      <c r="E1232" s="130" t="s">
        <v>1086</v>
      </c>
      <c r="F1232" s="195" t="s">
        <v>1262</v>
      </c>
      <c r="G1232" s="195" t="s">
        <v>1262</v>
      </c>
      <c r="H1232" s="195" t="s">
        <v>1262</v>
      </c>
      <c r="I1232" s="195" t="s">
        <v>1262</v>
      </c>
      <c r="J1232" s="132">
        <v>0.9</v>
      </c>
      <c r="K1232" s="133">
        <v>1</v>
      </c>
      <c r="L1232" s="133">
        <v>0.814814814814815</v>
      </c>
      <c r="M1232" s="134">
        <v>0.857142857142857</v>
      </c>
      <c r="N1232" s="133">
        <v>0.907473309608541</v>
      </c>
      <c r="O1232" s="135">
        <v>0.9</v>
      </c>
      <c r="P1232" s="133">
        <v>0.980342422320862</v>
      </c>
      <c r="Q1232" s="133">
        <v>0.977465986394558</v>
      </c>
      <c r="R1232" s="133">
        <v>0.987900355871886</v>
      </c>
      <c r="S1232" s="133">
        <v>0.969582023770817</v>
      </c>
      <c r="T1232" s="135">
        <v>0.9</v>
      </c>
      <c r="U1232" s="133">
        <v>0.903614457831325</v>
      </c>
      <c r="V1232" s="133">
        <v>0.880527210884354</v>
      </c>
      <c r="W1232" s="133">
        <v>0.811387900355872</v>
      </c>
      <c r="X1232" s="133">
        <v>0.883313464108956</v>
      </c>
      <c r="Y1232" s="135">
        <v>0.92</v>
      </c>
      <c r="Z1232" s="135">
        <v>0.933189655172414</v>
      </c>
      <c r="AA1232" s="135">
        <v>0.884931506849315</v>
      </c>
      <c r="AB1232" s="135">
        <v>0.880903490759754</v>
      </c>
      <c r="AC1232" s="135">
        <v>0.936323414591828</v>
      </c>
      <c r="AD1232" s="135">
        <v>0.92</v>
      </c>
      <c r="AE1232" s="133">
        <v>0.979948253557568</v>
      </c>
      <c r="AF1232" s="133">
        <v>0.989701338825953</v>
      </c>
      <c r="AG1232" s="133">
        <v>0.991727249937328</v>
      </c>
      <c r="AH1232" s="133">
        <v>0.986549335185936</v>
      </c>
      <c r="AI1232" s="135">
        <v>0.92</v>
      </c>
      <c r="AJ1232" s="133">
        <v>0.959823615874571</v>
      </c>
      <c r="AK1232" s="133">
        <v>0.929727740986019</v>
      </c>
      <c r="AL1232" s="133">
        <v>0.922960266909312</v>
      </c>
      <c r="AM1232" s="133">
        <v>0.963809495336044</v>
      </c>
      <c r="AN1232" s="132">
        <v>0.99</v>
      </c>
      <c r="AO1232" s="137">
        <v>1</v>
      </c>
      <c r="AP1232" s="137">
        <v>1</v>
      </c>
      <c r="AQ1232" s="137">
        <v>1</v>
      </c>
      <c r="AR1232" s="137">
        <v>1</v>
      </c>
      <c r="AS1232" s="158">
        <v>0.0721861525408278</v>
      </c>
      <c r="AT1232" s="141">
        <v>0</v>
      </c>
      <c r="AU1232" s="141">
        <v>0</v>
      </c>
      <c r="AV1232" s="141">
        <v>0.0434782608695652</v>
      </c>
      <c r="AW1232" s="141">
        <v>0.0311203319502075</v>
      </c>
      <c r="AX1232" s="95"/>
      <c r="AY1232" s="93"/>
    </row>
    <row r="1233" ht="14.5" spans="1:51">
      <c r="A1233" s="91"/>
      <c r="B1233" s="95"/>
      <c r="C1233" s="152" t="s">
        <v>1085</v>
      </c>
      <c r="D1233" s="153" t="s">
        <v>125</v>
      </c>
      <c r="E1233" s="130" t="s">
        <v>1086</v>
      </c>
      <c r="F1233" s="195" t="s">
        <v>1263</v>
      </c>
      <c r="G1233" s="195" t="s">
        <v>1263</v>
      </c>
      <c r="H1233" s="195" t="s">
        <v>1263</v>
      </c>
      <c r="I1233" s="195" t="s">
        <v>1263</v>
      </c>
      <c r="J1233" s="132">
        <v>0.9</v>
      </c>
      <c r="K1233" s="133" t="s">
        <v>35</v>
      </c>
      <c r="L1233" s="133" t="s">
        <v>35</v>
      </c>
      <c r="M1233" s="134" t="s">
        <v>35</v>
      </c>
      <c r="N1233" s="133" t="s">
        <v>35</v>
      </c>
      <c r="O1233" s="135">
        <v>0.9</v>
      </c>
      <c r="P1233" s="133">
        <v>0</v>
      </c>
      <c r="Q1233" s="133" t="s">
        <v>35</v>
      </c>
      <c r="R1233" s="133" t="s">
        <v>35</v>
      </c>
      <c r="S1233" s="133">
        <v>0</v>
      </c>
      <c r="T1233" s="135">
        <v>0.9</v>
      </c>
      <c r="U1233" s="133">
        <v>0</v>
      </c>
      <c r="V1233" s="133" t="s">
        <v>35</v>
      </c>
      <c r="W1233" s="133" t="s">
        <v>35</v>
      </c>
      <c r="X1233" s="133">
        <v>0.8</v>
      </c>
      <c r="Y1233" s="135">
        <v>0.92</v>
      </c>
      <c r="Z1233" s="135" t="s">
        <v>35</v>
      </c>
      <c r="AA1233" s="135" t="s">
        <v>35</v>
      </c>
      <c r="AB1233" s="135" t="s">
        <v>35</v>
      </c>
      <c r="AC1233" s="135">
        <v>1</v>
      </c>
      <c r="AD1233" s="135">
        <v>0.92</v>
      </c>
      <c r="AE1233" s="133">
        <v>1</v>
      </c>
      <c r="AF1233" s="133">
        <v>0.998833138856476</v>
      </c>
      <c r="AG1233" s="133">
        <v>1</v>
      </c>
      <c r="AH1233" s="133">
        <v>0.865382924470237</v>
      </c>
      <c r="AI1233" s="135">
        <v>0.92</v>
      </c>
      <c r="AJ1233" s="133">
        <v>0</v>
      </c>
      <c r="AK1233" s="133" t="s">
        <v>35</v>
      </c>
      <c r="AL1233" s="133" t="s">
        <v>35</v>
      </c>
      <c r="AM1233" s="133">
        <v>0.923076923076923</v>
      </c>
      <c r="AN1233" s="132">
        <v>0.99</v>
      </c>
      <c r="AO1233" s="137">
        <v>1</v>
      </c>
      <c r="AP1233" s="137">
        <v>1</v>
      </c>
      <c r="AQ1233" s="137">
        <v>1</v>
      </c>
      <c r="AR1233" s="137">
        <v>1</v>
      </c>
      <c r="AS1233" s="158">
        <v>0.0721861525408278</v>
      </c>
      <c r="AT1233" s="141" t="s">
        <v>35</v>
      </c>
      <c r="AU1233" s="141" t="s">
        <v>35</v>
      </c>
      <c r="AV1233" s="141" t="s">
        <v>35</v>
      </c>
      <c r="AW1233" s="141" t="s">
        <v>35</v>
      </c>
      <c r="AX1233" s="95"/>
      <c r="AY1233" s="93"/>
    </row>
    <row r="1234" ht="14.5" spans="1:51">
      <c r="A1234" s="91"/>
      <c r="B1234" s="95"/>
      <c r="C1234" s="152" t="s">
        <v>1085</v>
      </c>
      <c r="D1234" s="153" t="s">
        <v>25</v>
      </c>
      <c r="E1234" s="130" t="s">
        <v>1086</v>
      </c>
      <c r="F1234" s="195" t="s">
        <v>1264</v>
      </c>
      <c r="G1234" s="195" t="s">
        <v>1264</v>
      </c>
      <c r="H1234" s="195" t="s">
        <v>1264</v>
      </c>
      <c r="I1234" s="195" t="s">
        <v>1264</v>
      </c>
      <c r="J1234" s="132">
        <v>0.9</v>
      </c>
      <c r="K1234" s="133">
        <v>0.923076923076923</v>
      </c>
      <c r="L1234" s="133">
        <v>0.890909090909091</v>
      </c>
      <c r="M1234" s="134">
        <v>0.944444444444444</v>
      </c>
      <c r="N1234" s="133">
        <v>0.929411764705882</v>
      </c>
      <c r="O1234" s="135">
        <v>0.9</v>
      </c>
      <c r="P1234" s="133">
        <v>0.969398907103825</v>
      </c>
      <c r="Q1234" s="133">
        <v>0.953710165154687</v>
      </c>
      <c r="R1234" s="133">
        <v>0.947184545828196</v>
      </c>
      <c r="S1234" s="133">
        <v>0.957032975860545</v>
      </c>
      <c r="T1234" s="135">
        <v>0.9</v>
      </c>
      <c r="U1234" s="133">
        <v>0.930054644808743</v>
      </c>
      <c r="V1234" s="133">
        <v>0.891835310537334</v>
      </c>
      <c r="W1234" s="133">
        <v>0.892725030826141</v>
      </c>
      <c r="X1234" s="133">
        <v>0.906986785556493</v>
      </c>
      <c r="Y1234" s="135">
        <v>0.92</v>
      </c>
      <c r="Z1234" s="135">
        <v>0.941116751269035</v>
      </c>
      <c r="AA1234" s="135">
        <v>0.949074074074074</v>
      </c>
      <c r="AB1234" s="135">
        <v>0.876565295169946</v>
      </c>
      <c r="AC1234" s="135">
        <v>0.944324157129601</v>
      </c>
      <c r="AD1234" s="135">
        <v>0.92</v>
      </c>
      <c r="AE1234" s="133">
        <v>0.999464046449308</v>
      </c>
      <c r="AF1234" s="133">
        <v>0.987271347888392</v>
      </c>
      <c r="AG1234" s="133">
        <v>0.998240985048373</v>
      </c>
      <c r="AH1234" s="133">
        <v>0.980455425948541</v>
      </c>
      <c r="AI1234" s="135">
        <v>0.92</v>
      </c>
      <c r="AJ1234" s="133">
        <v>0.961940498525864</v>
      </c>
      <c r="AK1234" s="133">
        <v>0.952496462502527</v>
      </c>
      <c r="AL1234" s="133">
        <v>0.932197728790915</v>
      </c>
      <c r="AM1234" s="133">
        <v>0.971029788348101</v>
      </c>
      <c r="AN1234" s="132">
        <v>0.99</v>
      </c>
      <c r="AO1234" s="137">
        <v>1</v>
      </c>
      <c r="AP1234" s="137">
        <v>1</v>
      </c>
      <c r="AQ1234" s="137">
        <v>1</v>
      </c>
      <c r="AR1234" s="137">
        <v>1</v>
      </c>
      <c r="AS1234" s="158">
        <v>0.0721861525408278</v>
      </c>
      <c r="AT1234" s="141">
        <v>0.121212121212121</v>
      </c>
      <c r="AU1234" s="141">
        <v>0</v>
      </c>
      <c r="AV1234" s="141">
        <v>0.0588235294117647</v>
      </c>
      <c r="AW1234" s="141">
        <v>0.0270700636942675</v>
      </c>
      <c r="AX1234" s="95"/>
      <c r="AY1234" s="93"/>
    </row>
    <row r="1235" ht="14.5" spans="1:51">
      <c r="A1235" s="91"/>
      <c r="B1235" s="95"/>
      <c r="C1235" s="152" t="s">
        <v>1085</v>
      </c>
      <c r="D1235" s="153" t="s">
        <v>25</v>
      </c>
      <c r="E1235" s="130" t="s">
        <v>1086</v>
      </c>
      <c r="F1235" s="195" t="s">
        <v>1265</v>
      </c>
      <c r="G1235" s="195" t="s">
        <v>1265</v>
      </c>
      <c r="H1235" s="195" t="s">
        <v>1265</v>
      </c>
      <c r="I1235" s="195" t="s">
        <v>1265</v>
      </c>
      <c r="J1235" s="132">
        <v>0.9</v>
      </c>
      <c r="K1235" s="133">
        <v>0.923076923076923</v>
      </c>
      <c r="L1235" s="133">
        <v>0.941176470588235</v>
      </c>
      <c r="M1235" s="134">
        <v>0.96969696969697</v>
      </c>
      <c r="N1235" s="133">
        <v>0.949253731343284</v>
      </c>
      <c r="O1235" s="135">
        <v>0.9</v>
      </c>
      <c r="P1235" s="133">
        <v>0.963172804532578</v>
      </c>
      <c r="Q1235" s="133">
        <v>0.972477064220184</v>
      </c>
      <c r="R1235" s="133">
        <v>0.965183166818044</v>
      </c>
      <c r="S1235" s="133">
        <v>0.953911978544964</v>
      </c>
      <c r="T1235" s="135">
        <v>0.9</v>
      </c>
      <c r="U1235" s="133">
        <v>0.934372049102927</v>
      </c>
      <c r="V1235" s="133">
        <v>0.911861074705111</v>
      </c>
      <c r="W1235" s="133">
        <v>0.895549500454133</v>
      </c>
      <c r="X1235" s="133">
        <v>0.908475049219465</v>
      </c>
      <c r="Y1235" s="135">
        <v>0.92</v>
      </c>
      <c r="Z1235" s="135">
        <v>0.942470389170897</v>
      </c>
      <c r="AA1235" s="135">
        <v>0.941176470588235</v>
      </c>
      <c r="AB1235" s="135">
        <v>0.917431192660551</v>
      </c>
      <c r="AC1235" s="135">
        <v>0.939162668992586</v>
      </c>
      <c r="AD1235" s="135">
        <v>0.92</v>
      </c>
      <c r="AE1235" s="133">
        <v>0.999112622938697</v>
      </c>
      <c r="AF1235" s="133">
        <v>0.997386048031367</v>
      </c>
      <c r="AG1235" s="133">
        <v>0.9996996996997</v>
      </c>
      <c r="AH1235" s="133">
        <v>0.952362252578235</v>
      </c>
      <c r="AI1235" s="135">
        <v>0.92</v>
      </c>
      <c r="AJ1235" s="133">
        <v>0.96234772978959</v>
      </c>
      <c r="AK1235" s="133">
        <v>0.960603520536463</v>
      </c>
      <c r="AL1235" s="133">
        <v>0.946630595179538</v>
      </c>
      <c r="AM1235" s="133">
        <v>0.966640261665048</v>
      </c>
      <c r="AN1235" s="132">
        <v>0.99</v>
      </c>
      <c r="AO1235" s="137">
        <v>1</v>
      </c>
      <c r="AP1235" s="137">
        <v>1</v>
      </c>
      <c r="AQ1235" s="137">
        <v>1</v>
      </c>
      <c r="AR1235" s="137">
        <v>1</v>
      </c>
      <c r="AS1235" s="158">
        <v>0.0721861525408278</v>
      </c>
      <c r="AT1235" s="141">
        <v>0</v>
      </c>
      <c r="AU1235" s="141">
        <v>0.0588235294117647</v>
      </c>
      <c r="AV1235" s="141">
        <v>0.04</v>
      </c>
      <c r="AW1235" s="141">
        <v>0.0694980694980695</v>
      </c>
      <c r="AX1235" s="95"/>
      <c r="AY1235" s="93"/>
    </row>
    <row r="1236" ht="14.5" spans="1:51">
      <c r="A1236" s="91"/>
      <c r="B1236" s="95"/>
      <c r="C1236" s="152" t="s">
        <v>1085</v>
      </c>
      <c r="D1236" s="153" t="s">
        <v>125</v>
      </c>
      <c r="E1236" s="130" t="s">
        <v>1086</v>
      </c>
      <c r="F1236" s="195" t="s">
        <v>1266</v>
      </c>
      <c r="G1236" s="195" t="s">
        <v>1266</v>
      </c>
      <c r="H1236" s="195" t="s">
        <v>1266</v>
      </c>
      <c r="I1236" s="195" t="s">
        <v>1266</v>
      </c>
      <c r="J1236" s="132">
        <v>0.9</v>
      </c>
      <c r="K1236" s="133" t="s">
        <v>35</v>
      </c>
      <c r="L1236" s="133" t="s">
        <v>35</v>
      </c>
      <c r="M1236" s="134" t="s">
        <v>35</v>
      </c>
      <c r="N1236" s="133" t="s">
        <v>35</v>
      </c>
      <c r="O1236" s="135">
        <v>0.9</v>
      </c>
      <c r="P1236" s="133">
        <v>0</v>
      </c>
      <c r="Q1236" s="133">
        <v>0</v>
      </c>
      <c r="R1236" s="133">
        <v>0</v>
      </c>
      <c r="S1236" s="133">
        <v>0.26</v>
      </c>
      <c r="T1236" s="135">
        <v>0.9</v>
      </c>
      <c r="U1236" s="133">
        <v>0.333333333333333</v>
      </c>
      <c r="V1236" s="133">
        <v>1</v>
      </c>
      <c r="W1236" s="133">
        <v>0</v>
      </c>
      <c r="X1236" s="133">
        <v>0.8</v>
      </c>
      <c r="Y1236" s="135">
        <v>0.92</v>
      </c>
      <c r="Z1236" s="135" t="s">
        <v>35</v>
      </c>
      <c r="AA1236" s="135" t="s">
        <v>35</v>
      </c>
      <c r="AB1236" s="135" t="s">
        <v>35</v>
      </c>
      <c r="AC1236" s="135">
        <v>1</v>
      </c>
      <c r="AD1236" s="135">
        <v>0.92</v>
      </c>
      <c r="AE1236" s="133">
        <v>0.9990738935465</v>
      </c>
      <c r="AF1236" s="133">
        <v>0.99864070858546</v>
      </c>
      <c r="AG1236" s="133">
        <v>0.998327759197324</v>
      </c>
      <c r="AH1236" s="133">
        <v>0.971133149470869</v>
      </c>
      <c r="AI1236" s="135">
        <v>0.92</v>
      </c>
      <c r="AJ1236" s="133">
        <v>0.4</v>
      </c>
      <c r="AK1236" s="133">
        <v>1</v>
      </c>
      <c r="AL1236" s="133">
        <v>0</v>
      </c>
      <c r="AM1236" s="133">
        <v>0.806451612903226</v>
      </c>
      <c r="AN1236" s="132">
        <v>0.99</v>
      </c>
      <c r="AO1236" s="137">
        <v>1</v>
      </c>
      <c r="AP1236" s="137">
        <v>1</v>
      </c>
      <c r="AQ1236" s="137">
        <v>1</v>
      </c>
      <c r="AR1236" s="137">
        <v>1</v>
      </c>
      <c r="AS1236" s="158">
        <v>0.0721861525408278</v>
      </c>
      <c r="AT1236" s="141" t="s">
        <v>35</v>
      </c>
      <c r="AU1236" s="141" t="s">
        <v>35</v>
      </c>
      <c r="AV1236" s="141" t="s">
        <v>35</v>
      </c>
      <c r="AW1236" s="141">
        <v>0</v>
      </c>
      <c r="AX1236" s="95"/>
      <c r="AY1236" s="93"/>
    </row>
    <row r="1237" ht="14.5" spans="1:51">
      <c r="A1237" s="91"/>
      <c r="B1237" s="95"/>
      <c r="C1237" s="152" t="s">
        <v>1085</v>
      </c>
      <c r="D1237" s="153" t="s">
        <v>25</v>
      </c>
      <c r="E1237" s="130" t="s">
        <v>1086</v>
      </c>
      <c r="F1237" s="195" t="s">
        <v>1267</v>
      </c>
      <c r="G1237" s="195" t="s">
        <v>1267</v>
      </c>
      <c r="H1237" s="195" t="s">
        <v>1267</v>
      </c>
      <c r="I1237" s="195" t="s">
        <v>1267</v>
      </c>
      <c r="J1237" s="132">
        <v>0.9</v>
      </c>
      <c r="K1237" s="133">
        <v>0.962264150943396</v>
      </c>
      <c r="L1237" s="133">
        <v>0.956521739130435</v>
      </c>
      <c r="M1237" s="134">
        <v>0.956521739130435</v>
      </c>
      <c r="N1237" s="133">
        <v>0.961658031088083</v>
      </c>
      <c r="O1237" s="135">
        <v>0.9</v>
      </c>
      <c r="P1237" s="133">
        <v>0.979195561719834</v>
      </c>
      <c r="Q1237" s="133">
        <v>0.964251668255481</v>
      </c>
      <c r="R1237" s="133">
        <v>0.828879407141253</v>
      </c>
      <c r="S1237" s="133">
        <v>0.851359251680795</v>
      </c>
      <c r="T1237" s="135">
        <v>0.9</v>
      </c>
      <c r="U1237" s="133">
        <v>0.915742024965326</v>
      </c>
      <c r="V1237" s="133">
        <v>0.820305052430887</v>
      </c>
      <c r="W1237" s="133">
        <v>0.746238490905008</v>
      </c>
      <c r="X1237" s="133">
        <v>0.814820228003508</v>
      </c>
      <c r="Y1237" s="135">
        <v>0.92</v>
      </c>
      <c r="Z1237" s="135">
        <v>0.93640350877193</v>
      </c>
      <c r="AA1237" s="135">
        <v>0.89010989010989</v>
      </c>
      <c r="AB1237" s="135">
        <v>0.850627137970353</v>
      </c>
      <c r="AC1237" s="135">
        <v>0.92896174863388</v>
      </c>
      <c r="AD1237" s="135">
        <v>0.92</v>
      </c>
      <c r="AE1237" s="133">
        <v>0.9936875</v>
      </c>
      <c r="AF1237" s="133">
        <v>0.996975070407844</v>
      </c>
      <c r="AG1237" s="133">
        <v>0.992379500857306</v>
      </c>
      <c r="AH1237" s="133">
        <v>0.971474157076055</v>
      </c>
      <c r="AI1237" s="135">
        <v>0.92</v>
      </c>
      <c r="AJ1237" s="133">
        <v>0.956796628029505</v>
      </c>
      <c r="AK1237" s="133">
        <v>0.921811535337124</v>
      </c>
      <c r="AL1237" s="133">
        <v>0.910148189833052</v>
      </c>
      <c r="AM1237" s="133">
        <v>0.958615215645737</v>
      </c>
      <c r="AN1237" s="132">
        <v>0.99</v>
      </c>
      <c r="AO1237" s="137">
        <v>1</v>
      </c>
      <c r="AP1237" s="137">
        <v>1</v>
      </c>
      <c r="AQ1237" s="137">
        <v>1</v>
      </c>
      <c r="AR1237" s="137">
        <v>1</v>
      </c>
      <c r="AS1237" s="158">
        <v>0.0721861525408278</v>
      </c>
      <c r="AT1237" s="141">
        <v>0.0555555555555556</v>
      </c>
      <c r="AU1237" s="141">
        <v>0</v>
      </c>
      <c r="AV1237" s="141">
        <v>0.0434782608695652</v>
      </c>
      <c r="AW1237" s="141">
        <v>0.0153301886792453</v>
      </c>
      <c r="AX1237" s="95"/>
      <c r="AY1237" s="93"/>
    </row>
    <row r="1238" ht="14.5" spans="1:51">
      <c r="A1238" s="91"/>
      <c r="B1238" s="95"/>
      <c r="C1238" s="152" t="s">
        <v>1085</v>
      </c>
      <c r="D1238" s="153" t="s">
        <v>125</v>
      </c>
      <c r="E1238" s="130" t="s">
        <v>1086</v>
      </c>
      <c r="F1238" s="195" t="s">
        <v>1268</v>
      </c>
      <c r="G1238" s="195" t="s">
        <v>1268</v>
      </c>
      <c r="H1238" s="195" t="s">
        <v>1268</v>
      </c>
      <c r="I1238" s="195" t="s">
        <v>1268</v>
      </c>
      <c r="J1238" s="132">
        <v>0.9</v>
      </c>
      <c r="K1238" s="133" t="s">
        <v>35</v>
      </c>
      <c r="L1238" s="133" t="s">
        <v>35</v>
      </c>
      <c r="M1238" s="134" t="s">
        <v>35</v>
      </c>
      <c r="N1238" s="133" t="s">
        <v>35</v>
      </c>
      <c r="O1238" s="135">
        <v>0.9</v>
      </c>
      <c r="P1238" s="133">
        <v>0</v>
      </c>
      <c r="Q1238" s="133" t="s">
        <v>35</v>
      </c>
      <c r="R1238" s="133">
        <v>0</v>
      </c>
      <c r="S1238" s="133">
        <v>0</v>
      </c>
      <c r="T1238" s="135">
        <v>0.9</v>
      </c>
      <c r="U1238" s="133">
        <v>1</v>
      </c>
      <c r="V1238" s="133" t="s">
        <v>35</v>
      </c>
      <c r="W1238" s="133">
        <v>1</v>
      </c>
      <c r="X1238" s="133">
        <v>1</v>
      </c>
      <c r="Y1238" s="135">
        <v>0.92</v>
      </c>
      <c r="Z1238" s="135" t="s">
        <v>35</v>
      </c>
      <c r="AA1238" s="135" t="s">
        <v>35</v>
      </c>
      <c r="AB1238" s="135" t="s">
        <v>35</v>
      </c>
      <c r="AC1238" s="135">
        <v>1</v>
      </c>
      <c r="AD1238" s="135">
        <v>0.92</v>
      </c>
      <c r="AE1238" s="133">
        <v>0.775316455696203</v>
      </c>
      <c r="AF1238" s="133">
        <v>1</v>
      </c>
      <c r="AG1238" s="133">
        <v>1</v>
      </c>
      <c r="AH1238" s="133">
        <v>0.898605374992518</v>
      </c>
      <c r="AI1238" s="135">
        <v>0.92</v>
      </c>
      <c r="AJ1238" s="133">
        <v>1</v>
      </c>
      <c r="AK1238" s="133" t="s">
        <v>35</v>
      </c>
      <c r="AL1238" s="133">
        <v>1</v>
      </c>
      <c r="AM1238" s="133">
        <v>1</v>
      </c>
      <c r="AN1238" s="132">
        <v>0.99</v>
      </c>
      <c r="AO1238" s="137">
        <v>1</v>
      </c>
      <c r="AP1238" s="137">
        <v>1</v>
      </c>
      <c r="AQ1238" s="137">
        <v>1</v>
      </c>
      <c r="AR1238" s="137">
        <v>1</v>
      </c>
      <c r="AS1238" s="158">
        <v>0.0721861525408278</v>
      </c>
      <c r="AT1238" s="141" t="s">
        <v>35</v>
      </c>
      <c r="AU1238" s="141" t="s">
        <v>35</v>
      </c>
      <c r="AV1238" s="141" t="s">
        <v>35</v>
      </c>
      <c r="AW1238" s="141" t="s">
        <v>35</v>
      </c>
      <c r="AX1238" s="95"/>
      <c r="AY1238" s="93"/>
    </row>
    <row r="1239" ht="14.5" spans="1:51">
      <c r="A1239" s="91"/>
      <c r="B1239" s="95"/>
      <c r="C1239" s="152" t="s">
        <v>1085</v>
      </c>
      <c r="D1239" s="153" t="s">
        <v>125</v>
      </c>
      <c r="E1239" s="130" t="s">
        <v>1086</v>
      </c>
      <c r="F1239" s="195" t="s">
        <v>1269</v>
      </c>
      <c r="G1239" s="195" t="s">
        <v>1269</v>
      </c>
      <c r="H1239" s="195" t="s">
        <v>1269</v>
      </c>
      <c r="I1239" s="195" t="s">
        <v>1269</v>
      </c>
      <c r="J1239" s="132">
        <v>0.9</v>
      </c>
      <c r="K1239" s="133" t="s">
        <v>35</v>
      </c>
      <c r="L1239" s="133" t="s">
        <v>35</v>
      </c>
      <c r="M1239" s="134" t="s">
        <v>35</v>
      </c>
      <c r="N1239" s="133" t="s">
        <v>35</v>
      </c>
      <c r="O1239" s="135">
        <v>0.9</v>
      </c>
      <c r="P1239" s="133">
        <v>0</v>
      </c>
      <c r="Q1239" s="133">
        <v>0</v>
      </c>
      <c r="R1239" s="133">
        <v>0</v>
      </c>
      <c r="S1239" s="133">
        <v>0</v>
      </c>
      <c r="T1239" s="135">
        <v>0.9</v>
      </c>
      <c r="U1239" s="133">
        <v>1</v>
      </c>
      <c r="V1239" s="133">
        <v>1</v>
      </c>
      <c r="W1239" s="133">
        <v>1</v>
      </c>
      <c r="X1239" s="133">
        <v>1</v>
      </c>
      <c r="Y1239" s="135">
        <v>0.92</v>
      </c>
      <c r="Z1239" s="135">
        <v>1</v>
      </c>
      <c r="AA1239" s="135" t="s">
        <v>35</v>
      </c>
      <c r="AB1239" s="135">
        <v>1</v>
      </c>
      <c r="AC1239" s="135">
        <v>1</v>
      </c>
      <c r="AD1239" s="135">
        <v>0.92</v>
      </c>
      <c r="AE1239" s="133">
        <v>0.998971105204493</v>
      </c>
      <c r="AF1239" s="133">
        <v>0.989326014028667</v>
      </c>
      <c r="AG1239" s="133">
        <v>0.99926321606189</v>
      </c>
      <c r="AH1239" s="133">
        <v>0.963702553368669</v>
      </c>
      <c r="AI1239" s="135">
        <v>0.92</v>
      </c>
      <c r="AJ1239" s="133">
        <v>1</v>
      </c>
      <c r="AK1239" s="133">
        <v>1</v>
      </c>
      <c r="AL1239" s="133">
        <v>1</v>
      </c>
      <c r="AM1239" s="133">
        <v>1</v>
      </c>
      <c r="AN1239" s="132">
        <v>0.99</v>
      </c>
      <c r="AO1239" s="137">
        <v>1</v>
      </c>
      <c r="AP1239" s="137">
        <v>1</v>
      </c>
      <c r="AQ1239" s="137">
        <v>1</v>
      </c>
      <c r="AR1239" s="137">
        <v>1</v>
      </c>
      <c r="AS1239" s="158">
        <v>0.0721861525408278</v>
      </c>
      <c r="AT1239" s="141" t="s">
        <v>35</v>
      </c>
      <c r="AU1239" s="141" t="s">
        <v>35</v>
      </c>
      <c r="AV1239" s="141" t="s">
        <v>35</v>
      </c>
      <c r="AW1239" s="141" t="s">
        <v>35</v>
      </c>
      <c r="AX1239" s="95"/>
      <c r="AY1239" s="93"/>
    </row>
    <row r="1240" ht="14.5" spans="1:51">
      <c r="A1240" s="91"/>
      <c r="B1240" s="95"/>
      <c r="C1240" s="152" t="s">
        <v>1085</v>
      </c>
      <c r="D1240" s="153" t="s">
        <v>81</v>
      </c>
      <c r="E1240" s="130" t="s">
        <v>1086</v>
      </c>
      <c r="F1240" s="195" t="s">
        <v>1270</v>
      </c>
      <c r="G1240" s="195" t="s">
        <v>1270</v>
      </c>
      <c r="H1240" s="195" t="s">
        <v>1270</v>
      </c>
      <c r="I1240" s="195" t="s">
        <v>1270</v>
      </c>
      <c r="J1240" s="132">
        <v>0.9</v>
      </c>
      <c r="K1240" s="133" t="s">
        <v>35</v>
      </c>
      <c r="L1240" s="133" t="s">
        <v>35</v>
      </c>
      <c r="M1240" s="134" t="s">
        <v>35</v>
      </c>
      <c r="N1240" s="133" t="s">
        <v>35</v>
      </c>
      <c r="O1240" s="135">
        <v>0.9</v>
      </c>
      <c r="P1240" s="133" t="s">
        <v>35</v>
      </c>
      <c r="Q1240" s="133" t="s">
        <v>35</v>
      </c>
      <c r="R1240" s="133">
        <v>0</v>
      </c>
      <c r="S1240" s="133">
        <v>0</v>
      </c>
      <c r="T1240" s="135">
        <v>0.9</v>
      </c>
      <c r="U1240" s="133" t="s">
        <v>35</v>
      </c>
      <c r="V1240" s="133" t="s">
        <v>35</v>
      </c>
      <c r="W1240" s="133">
        <v>1</v>
      </c>
      <c r="X1240" s="133">
        <v>1</v>
      </c>
      <c r="Y1240" s="135">
        <v>0.92</v>
      </c>
      <c r="Z1240" s="135" t="s">
        <v>35</v>
      </c>
      <c r="AA1240" s="135" t="s">
        <v>35</v>
      </c>
      <c r="AB1240" s="135" t="s">
        <v>35</v>
      </c>
      <c r="AC1240" s="135">
        <v>1</v>
      </c>
      <c r="AD1240" s="135">
        <v>0.92</v>
      </c>
      <c r="AE1240" s="133">
        <v>0.991042866282789</v>
      </c>
      <c r="AF1240" s="133">
        <v>0.977011494252874</v>
      </c>
      <c r="AG1240" s="133">
        <v>0.998430141287284</v>
      </c>
      <c r="AH1240" s="133">
        <v>0.937303804394782</v>
      </c>
      <c r="AI1240" s="135">
        <v>0.92</v>
      </c>
      <c r="AJ1240" s="133" t="s">
        <v>35</v>
      </c>
      <c r="AK1240" s="133" t="s">
        <v>35</v>
      </c>
      <c r="AL1240" s="133">
        <v>1</v>
      </c>
      <c r="AM1240" s="133">
        <v>1</v>
      </c>
      <c r="AN1240" s="132">
        <v>0.99</v>
      </c>
      <c r="AO1240" s="137">
        <v>1</v>
      </c>
      <c r="AP1240" s="137">
        <v>1</v>
      </c>
      <c r="AQ1240" s="137">
        <v>1</v>
      </c>
      <c r="AR1240" s="137">
        <v>1</v>
      </c>
      <c r="AS1240" s="158">
        <v>0.0721861525408278</v>
      </c>
      <c r="AT1240" s="141" t="s">
        <v>35</v>
      </c>
      <c r="AU1240" s="141" t="s">
        <v>35</v>
      </c>
      <c r="AV1240" s="141" t="s">
        <v>35</v>
      </c>
      <c r="AW1240" s="141" t="s">
        <v>35</v>
      </c>
      <c r="AX1240" s="95"/>
      <c r="AY1240" s="93"/>
    </row>
    <row r="1241" ht="14.5" spans="1:51">
      <c r="A1241" s="91"/>
      <c r="B1241" s="95"/>
      <c r="C1241" s="152" t="s">
        <v>1085</v>
      </c>
      <c r="D1241" s="153" t="s">
        <v>25</v>
      </c>
      <c r="E1241" s="130" t="s">
        <v>1086</v>
      </c>
      <c r="F1241" s="195" t="s">
        <v>1271</v>
      </c>
      <c r="G1241" s="195" t="s">
        <v>1271</v>
      </c>
      <c r="H1241" s="195" t="s">
        <v>1271</v>
      </c>
      <c r="I1241" s="195" t="s">
        <v>1271</v>
      </c>
      <c r="J1241" s="132">
        <v>0.9</v>
      </c>
      <c r="K1241" s="133">
        <v>0.972602739726027</v>
      </c>
      <c r="L1241" s="133">
        <v>0.984615384615385</v>
      </c>
      <c r="M1241" s="134">
        <v>0.909090909090909</v>
      </c>
      <c r="N1241" s="133">
        <v>0.964965727341965</v>
      </c>
      <c r="O1241" s="135">
        <v>0.9</v>
      </c>
      <c r="P1241" s="133">
        <v>0.970675275760022</v>
      </c>
      <c r="Q1241" s="133">
        <v>0.96286329386437</v>
      </c>
      <c r="R1241" s="133">
        <v>0.951894356233297</v>
      </c>
      <c r="S1241" s="133">
        <v>0.944349916485849</v>
      </c>
      <c r="T1241" s="135">
        <v>0.9</v>
      </c>
      <c r="U1241" s="133">
        <v>0.924670433145009</v>
      </c>
      <c r="V1241" s="133">
        <v>0.904736275565124</v>
      </c>
      <c r="W1241" s="133">
        <v>0.863071844049678</v>
      </c>
      <c r="X1241" s="133">
        <v>0.896614164624342</v>
      </c>
      <c r="Y1241" s="135">
        <v>0.92</v>
      </c>
      <c r="Z1241" s="135">
        <v>0.914391143911439</v>
      </c>
      <c r="AA1241" s="135">
        <v>0.851367419738407</v>
      </c>
      <c r="AB1241" s="135">
        <v>0.836019621583742</v>
      </c>
      <c r="AC1241" s="135">
        <v>0.911436088427239</v>
      </c>
      <c r="AD1241" s="135">
        <v>0.92</v>
      </c>
      <c r="AE1241" s="133">
        <v>0.999627051218299</v>
      </c>
      <c r="AF1241" s="133">
        <v>0.998663697104677</v>
      </c>
      <c r="AG1241" s="133">
        <v>0.998717948717949</v>
      </c>
      <c r="AH1241" s="133">
        <v>0.993013026020088</v>
      </c>
      <c r="AI1241" s="135">
        <v>0.92</v>
      </c>
      <c r="AJ1241" s="133">
        <v>0.951498422712934</v>
      </c>
      <c r="AK1241" s="133">
        <v>0.932522985818918</v>
      </c>
      <c r="AL1241" s="133">
        <v>0.921566110397946</v>
      </c>
      <c r="AM1241" s="133">
        <v>0.95938554193905</v>
      </c>
      <c r="AN1241" s="132">
        <v>0.99</v>
      </c>
      <c r="AO1241" s="137">
        <v>1</v>
      </c>
      <c r="AP1241" s="137">
        <v>1</v>
      </c>
      <c r="AQ1241" s="137">
        <v>1</v>
      </c>
      <c r="AR1241" s="137">
        <v>1</v>
      </c>
      <c r="AS1241" s="158">
        <v>0.0721861525408278</v>
      </c>
      <c r="AT1241" s="141">
        <v>0.0350877192982456</v>
      </c>
      <c r="AU1241" s="141">
        <v>0.0238095238095238</v>
      </c>
      <c r="AV1241" s="141">
        <v>0.0422535211267606</v>
      </c>
      <c r="AW1241" s="141">
        <v>0.0388967468175389</v>
      </c>
      <c r="AX1241" s="95"/>
      <c r="AY1241" s="93"/>
    </row>
    <row r="1242" ht="14.5" spans="1:51">
      <c r="A1242" s="91"/>
      <c r="B1242" s="95"/>
      <c r="C1242" s="152" t="s">
        <v>1085</v>
      </c>
      <c r="D1242" s="153" t="s">
        <v>25</v>
      </c>
      <c r="E1242" s="130" t="s">
        <v>1086</v>
      </c>
      <c r="F1242" s="198" t="s">
        <v>1272</v>
      </c>
      <c r="G1242" s="198" t="s">
        <v>1272</v>
      </c>
      <c r="H1242" s="198" t="s">
        <v>1272</v>
      </c>
      <c r="I1242" s="198" t="s">
        <v>1272</v>
      </c>
      <c r="J1242" s="132">
        <v>0.9</v>
      </c>
      <c r="K1242" s="133" t="s">
        <v>35</v>
      </c>
      <c r="L1242" s="133" t="s">
        <v>35</v>
      </c>
      <c r="M1242" s="134" t="s">
        <v>35</v>
      </c>
      <c r="N1242" s="133" t="s">
        <v>35</v>
      </c>
      <c r="O1242" s="135">
        <v>0.9</v>
      </c>
      <c r="P1242" s="133">
        <v>0</v>
      </c>
      <c r="Q1242" s="133">
        <v>0</v>
      </c>
      <c r="R1242" s="133">
        <v>0</v>
      </c>
      <c r="S1242" s="133">
        <v>0</v>
      </c>
      <c r="T1242" s="135">
        <v>0.9</v>
      </c>
      <c r="U1242" s="133">
        <v>1</v>
      </c>
      <c r="V1242" s="133">
        <v>1</v>
      </c>
      <c r="W1242" s="133">
        <v>1</v>
      </c>
      <c r="X1242" s="133">
        <v>0.990512333965844</v>
      </c>
      <c r="Y1242" s="135">
        <v>0.92</v>
      </c>
      <c r="Z1242" s="135">
        <v>1</v>
      </c>
      <c r="AA1242" s="135">
        <v>1</v>
      </c>
      <c r="AB1242" s="135">
        <v>1</v>
      </c>
      <c r="AC1242" s="135">
        <v>0.981818181818182</v>
      </c>
      <c r="AD1242" s="135">
        <v>0.92</v>
      </c>
      <c r="AE1242" s="133">
        <v>0.999270072992701</v>
      </c>
      <c r="AF1242" s="133">
        <v>0.998965873836608</v>
      </c>
      <c r="AG1242" s="133">
        <v>0.999516674722088</v>
      </c>
      <c r="AH1242" s="133">
        <v>0.987255563047876</v>
      </c>
      <c r="AI1242" s="135">
        <v>0.92</v>
      </c>
      <c r="AJ1242" s="133">
        <v>1</v>
      </c>
      <c r="AK1242" s="133">
        <v>1</v>
      </c>
      <c r="AL1242" s="133">
        <v>1</v>
      </c>
      <c r="AM1242" s="133">
        <v>0.989010989010989</v>
      </c>
      <c r="AN1242" s="132">
        <v>0.99</v>
      </c>
      <c r="AO1242" s="137">
        <v>1</v>
      </c>
      <c r="AP1242" s="137">
        <v>1</v>
      </c>
      <c r="AQ1242" s="137">
        <v>1</v>
      </c>
      <c r="AR1242" s="137">
        <v>0.995378927911275</v>
      </c>
      <c r="AS1242" s="158">
        <v>0.0721861525408278</v>
      </c>
      <c r="AT1242" s="141" t="s">
        <v>35</v>
      </c>
      <c r="AU1242" s="141" t="s">
        <v>35</v>
      </c>
      <c r="AV1242" s="141" t="s">
        <v>35</v>
      </c>
      <c r="AW1242" s="141" t="s">
        <v>35</v>
      </c>
      <c r="AX1242" s="95"/>
      <c r="AY1242" s="93"/>
    </row>
    <row r="1243" ht="14.5" spans="1:51">
      <c r="A1243" s="91"/>
      <c r="B1243" s="95"/>
      <c r="C1243" s="152" t="s">
        <v>1085</v>
      </c>
      <c r="D1243" s="153" t="s">
        <v>25</v>
      </c>
      <c r="E1243" s="130" t="s">
        <v>1086</v>
      </c>
      <c r="F1243" s="195" t="s">
        <v>1273</v>
      </c>
      <c r="G1243" s="195" t="s">
        <v>1273</v>
      </c>
      <c r="H1243" s="195" t="s">
        <v>1273</v>
      </c>
      <c r="I1243" s="195" t="s">
        <v>1273</v>
      </c>
      <c r="J1243" s="132">
        <v>0.9</v>
      </c>
      <c r="K1243" s="133">
        <v>1</v>
      </c>
      <c r="L1243" s="133">
        <v>0.977777777777778</v>
      </c>
      <c r="M1243" s="134">
        <v>1</v>
      </c>
      <c r="N1243" s="133">
        <v>0.985507246376812</v>
      </c>
      <c r="O1243" s="135">
        <v>0.9</v>
      </c>
      <c r="P1243" s="133">
        <v>0.947735191637631</v>
      </c>
      <c r="Q1243" s="133">
        <v>0.95459201092523</v>
      </c>
      <c r="R1243" s="133">
        <v>0.984725381865453</v>
      </c>
      <c r="S1243" s="133">
        <v>0.971296871424368</v>
      </c>
      <c r="T1243" s="135">
        <v>0.9</v>
      </c>
      <c r="U1243" s="133">
        <v>0.90741662518666</v>
      </c>
      <c r="V1243" s="133">
        <v>0.840218504609082</v>
      </c>
      <c r="W1243" s="133">
        <v>0.800779980500487</v>
      </c>
      <c r="X1243" s="133">
        <v>0.876197325836085</v>
      </c>
      <c r="Y1243" s="135">
        <v>0.92</v>
      </c>
      <c r="Z1243" s="135">
        <v>0.890756302521008</v>
      </c>
      <c r="AA1243" s="135">
        <v>0.772030651340996</v>
      </c>
      <c r="AB1243" s="135">
        <v>0.724743777452416</v>
      </c>
      <c r="AC1243" s="135">
        <v>0.895973154362416</v>
      </c>
      <c r="AD1243" s="135">
        <v>0.92</v>
      </c>
      <c r="AE1243" s="133">
        <v>0.999701561826442</v>
      </c>
      <c r="AF1243" s="133">
        <v>0.992557600606088</v>
      </c>
      <c r="AG1243" s="133">
        <v>0.975269590222861</v>
      </c>
      <c r="AH1243" s="133">
        <v>0.957549812953296</v>
      </c>
      <c r="AI1243" s="135">
        <v>0.92</v>
      </c>
      <c r="AJ1243" s="133">
        <v>0.94348623853211</v>
      </c>
      <c r="AK1243" s="133">
        <v>0.870295309785756</v>
      </c>
      <c r="AL1243" s="133">
        <v>0.841755319148936</v>
      </c>
      <c r="AM1243" s="133">
        <v>0.944598853677673</v>
      </c>
      <c r="AN1243" s="132">
        <v>0.99</v>
      </c>
      <c r="AO1243" s="137">
        <v>1</v>
      </c>
      <c r="AP1243" s="137">
        <v>1</v>
      </c>
      <c r="AQ1243" s="137">
        <v>1</v>
      </c>
      <c r="AR1243" s="137">
        <v>1</v>
      </c>
      <c r="AS1243" s="158">
        <v>0.0721861525408278</v>
      </c>
      <c r="AT1243" s="141">
        <v>0.117647058823529</v>
      </c>
      <c r="AU1243" s="141">
        <v>0.15</v>
      </c>
      <c r="AV1243" s="141">
        <v>0</v>
      </c>
      <c r="AW1243" s="141">
        <v>0.00842696629213483</v>
      </c>
      <c r="AX1243" s="95"/>
      <c r="AY1243" s="93"/>
    </row>
    <row r="1244" ht="14.5" spans="1:51">
      <c r="A1244" s="91"/>
      <c r="B1244" s="95"/>
      <c r="C1244" s="152" t="s">
        <v>1085</v>
      </c>
      <c r="D1244" s="153" t="s">
        <v>25</v>
      </c>
      <c r="E1244" s="130" t="s">
        <v>1086</v>
      </c>
      <c r="F1244" s="195" t="s">
        <v>1274</v>
      </c>
      <c r="G1244" s="195" t="s">
        <v>1274</v>
      </c>
      <c r="H1244" s="195" t="s">
        <v>1274</v>
      </c>
      <c r="I1244" s="195" t="s">
        <v>1274</v>
      </c>
      <c r="J1244" s="132">
        <v>0.9</v>
      </c>
      <c r="K1244" s="133">
        <v>1</v>
      </c>
      <c r="L1244" s="133">
        <v>0.96</v>
      </c>
      <c r="M1244" s="134">
        <v>0.978260869565217</v>
      </c>
      <c r="N1244" s="133">
        <v>0.967436974789916</v>
      </c>
      <c r="O1244" s="135">
        <v>0.9</v>
      </c>
      <c r="P1244" s="133">
        <v>0.940897325280414</v>
      </c>
      <c r="Q1244" s="133">
        <v>0.959410619961079</v>
      </c>
      <c r="R1244" s="133">
        <v>0.888195777351248</v>
      </c>
      <c r="S1244" s="133">
        <v>0.937473059349483</v>
      </c>
      <c r="T1244" s="135">
        <v>0.9</v>
      </c>
      <c r="U1244" s="133">
        <v>0.874029335634167</v>
      </c>
      <c r="V1244" s="133">
        <v>0.878787878787879</v>
      </c>
      <c r="W1244" s="133">
        <v>0.846449136276392</v>
      </c>
      <c r="X1244" s="133">
        <v>0.887951525302659</v>
      </c>
      <c r="Y1244" s="135">
        <v>0.92</v>
      </c>
      <c r="Z1244" s="135">
        <v>0.879177377892031</v>
      </c>
      <c r="AA1244" s="135">
        <v>0.883185840707965</v>
      </c>
      <c r="AB1244" s="135">
        <v>0.845336481700118</v>
      </c>
      <c r="AC1244" s="135">
        <v>0.90709965353221</v>
      </c>
      <c r="AD1244" s="135">
        <v>0.92</v>
      </c>
      <c r="AE1244" s="133">
        <v>0.999671700590939</v>
      </c>
      <c r="AF1244" s="133">
        <v>0.952959830866808</v>
      </c>
      <c r="AG1244" s="133">
        <v>0.994959677419355</v>
      </c>
      <c r="AH1244" s="133">
        <v>0.989535794956899</v>
      </c>
      <c r="AI1244" s="135">
        <v>0.92</v>
      </c>
      <c r="AJ1244" s="133">
        <v>0.923797223119148</v>
      </c>
      <c r="AK1244" s="133">
        <v>0.932260389142445</v>
      </c>
      <c r="AL1244" s="133">
        <v>0.914057826520439</v>
      </c>
      <c r="AM1244" s="133">
        <v>0.954794841257723</v>
      </c>
      <c r="AN1244" s="132">
        <v>0.99</v>
      </c>
      <c r="AO1244" s="137">
        <v>1</v>
      </c>
      <c r="AP1244" s="137">
        <v>1</v>
      </c>
      <c r="AQ1244" s="137">
        <v>1</v>
      </c>
      <c r="AR1244" s="137">
        <v>1</v>
      </c>
      <c r="AS1244" s="158">
        <v>0.0721861525408278</v>
      </c>
      <c r="AT1244" s="141">
        <v>0.0833333333333333</v>
      </c>
      <c r="AU1244" s="141">
        <v>0.04</v>
      </c>
      <c r="AV1244" s="141">
        <v>0.05</v>
      </c>
      <c r="AW1244" s="141">
        <v>0.0766129032258065</v>
      </c>
      <c r="AX1244" s="95"/>
      <c r="AY1244" s="93"/>
    </row>
    <row r="1245" ht="14.5" spans="1:51">
      <c r="A1245" s="91"/>
      <c r="B1245" s="95"/>
      <c r="C1245" s="152" t="s">
        <v>1085</v>
      </c>
      <c r="D1245" s="153" t="s">
        <v>25</v>
      </c>
      <c r="E1245" s="130" t="s">
        <v>1086</v>
      </c>
      <c r="F1245" s="195" t="s">
        <v>1275</v>
      </c>
      <c r="G1245" s="195" t="s">
        <v>1275</v>
      </c>
      <c r="H1245" s="195" t="s">
        <v>1275</v>
      </c>
      <c r="I1245" s="195" t="s">
        <v>1275</v>
      </c>
      <c r="J1245" s="132">
        <v>0.9</v>
      </c>
      <c r="K1245" s="133">
        <v>1</v>
      </c>
      <c r="L1245" s="133">
        <v>0.95</v>
      </c>
      <c r="M1245" s="134">
        <v>0.95</v>
      </c>
      <c r="N1245" s="133">
        <v>0.990196078431373</v>
      </c>
      <c r="O1245" s="135">
        <v>0.9</v>
      </c>
      <c r="P1245" s="133">
        <v>0.926193921852388</v>
      </c>
      <c r="Q1245" s="133">
        <v>0.950920245398773</v>
      </c>
      <c r="R1245" s="133">
        <v>0.955267558528428</v>
      </c>
      <c r="S1245" s="133">
        <v>0.940966772790458</v>
      </c>
      <c r="T1245" s="135">
        <v>0.9</v>
      </c>
      <c r="U1245" s="133">
        <v>0.893632416787265</v>
      </c>
      <c r="V1245" s="133">
        <v>0.894289759320434</v>
      </c>
      <c r="W1245" s="133">
        <v>0.894648829431438</v>
      </c>
      <c r="X1245" s="133">
        <v>0.901842966683108</v>
      </c>
      <c r="Y1245" s="135">
        <v>0.92</v>
      </c>
      <c r="Z1245" s="135">
        <v>0.912472647702407</v>
      </c>
      <c r="AA1245" s="135">
        <v>0.788778877887789</v>
      </c>
      <c r="AB1245" s="135">
        <v>0.900390625</v>
      </c>
      <c r="AC1245" s="135">
        <v>0.921755525295904</v>
      </c>
      <c r="AD1245" s="135">
        <v>0.92</v>
      </c>
      <c r="AE1245" s="133">
        <v>0.99012373708707</v>
      </c>
      <c r="AF1245" s="133">
        <v>0.992527754056362</v>
      </c>
      <c r="AG1245" s="133">
        <v>0.947319491788038</v>
      </c>
      <c r="AH1245" s="133">
        <v>0.956561880596822</v>
      </c>
      <c r="AI1245" s="135">
        <v>0.92</v>
      </c>
      <c r="AJ1245" s="133">
        <v>0.936413043478261</v>
      </c>
      <c r="AK1245" s="133">
        <v>0.923616845582164</v>
      </c>
      <c r="AL1245" s="133">
        <v>0.946969696969697</v>
      </c>
      <c r="AM1245" s="133">
        <v>0.963642071053992</v>
      </c>
      <c r="AN1245" s="132">
        <v>0.99</v>
      </c>
      <c r="AO1245" s="137">
        <v>1</v>
      </c>
      <c r="AP1245" s="137">
        <v>1</v>
      </c>
      <c r="AQ1245" s="137">
        <v>1</v>
      </c>
      <c r="AR1245" s="137">
        <v>1</v>
      </c>
      <c r="AS1245" s="158">
        <v>0.0721861525408278</v>
      </c>
      <c r="AT1245" s="141">
        <v>0</v>
      </c>
      <c r="AU1245" s="141">
        <v>0</v>
      </c>
      <c r="AV1245" s="141">
        <v>0.0208333333333333</v>
      </c>
      <c r="AW1245" s="141">
        <v>0.0299479166666667</v>
      </c>
      <c r="AX1245" s="95"/>
      <c r="AY1245" s="93"/>
    </row>
    <row r="1246" ht="14.5" spans="1:51">
      <c r="A1246" s="91"/>
      <c r="B1246" s="95"/>
      <c r="C1246" s="152" t="s">
        <v>1085</v>
      </c>
      <c r="D1246" s="153" t="s">
        <v>125</v>
      </c>
      <c r="E1246" s="130" t="s">
        <v>1086</v>
      </c>
      <c r="F1246" s="195" t="s">
        <v>1276</v>
      </c>
      <c r="G1246" s="195" t="s">
        <v>1276</v>
      </c>
      <c r="H1246" s="195" t="s">
        <v>1276</v>
      </c>
      <c r="I1246" s="195" t="s">
        <v>1276</v>
      </c>
      <c r="J1246" s="132">
        <v>0.9</v>
      </c>
      <c r="K1246" s="133" t="s">
        <v>35</v>
      </c>
      <c r="L1246" s="133" t="s">
        <v>35</v>
      </c>
      <c r="M1246" s="134" t="s">
        <v>35</v>
      </c>
      <c r="N1246" s="133" t="s">
        <v>35</v>
      </c>
      <c r="O1246" s="135">
        <v>0.9</v>
      </c>
      <c r="P1246" s="133">
        <v>0.463687150837989</v>
      </c>
      <c r="Q1246" s="133">
        <v>0.498316498316498</v>
      </c>
      <c r="R1246" s="133">
        <v>0.458620689655172</v>
      </c>
      <c r="S1246" s="133">
        <v>0.460992907801418</v>
      </c>
      <c r="T1246" s="135">
        <v>0.9</v>
      </c>
      <c r="U1246" s="133">
        <v>1</v>
      </c>
      <c r="V1246" s="133">
        <v>0.98989898989899</v>
      </c>
      <c r="W1246" s="133">
        <v>1</v>
      </c>
      <c r="X1246" s="133">
        <v>0.994934143870314</v>
      </c>
      <c r="Y1246" s="135">
        <v>0.92</v>
      </c>
      <c r="Z1246" s="135">
        <v>1</v>
      </c>
      <c r="AA1246" s="135">
        <v>0.984615384615385</v>
      </c>
      <c r="AB1246" s="135">
        <v>1</v>
      </c>
      <c r="AC1246" s="135">
        <v>0.987217305801377</v>
      </c>
      <c r="AD1246" s="135">
        <v>0.92</v>
      </c>
      <c r="AE1246" s="133">
        <v>0.939232673267327</v>
      </c>
      <c r="AF1246" s="133">
        <v>0.977272727272727</v>
      </c>
      <c r="AG1246" s="133">
        <v>0.979228486646884</v>
      </c>
      <c r="AH1246" s="133">
        <v>0.963605331794853</v>
      </c>
      <c r="AI1246" s="135">
        <v>0.92</v>
      </c>
      <c r="AJ1246" s="133">
        <v>1</v>
      </c>
      <c r="AK1246" s="133">
        <v>0.989041095890411</v>
      </c>
      <c r="AL1246" s="133">
        <v>1</v>
      </c>
      <c r="AM1246" s="133">
        <v>0.993608947473537</v>
      </c>
      <c r="AN1246" s="132">
        <v>0.99</v>
      </c>
      <c r="AO1246" s="137">
        <v>1</v>
      </c>
      <c r="AP1246" s="137">
        <v>1</v>
      </c>
      <c r="AQ1246" s="137">
        <v>1</v>
      </c>
      <c r="AR1246" s="137">
        <v>1</v>
      </c>
      <c r="AS1246" s="158">
        <v>0.0721861525408278</v>
      </c>
      <c r="AT1246" s="141" t="s">
        <v>35</v>
      </c>
      <c r="AU1246" s="141">
        <v>0</v>
      </c>
      <c r="AV1246" s="141" t="s">
        <v>35</v>
      </c>
      <c r="AW1246" s="141">
        <v>0</v>
      </c>
      <c r="AX1246" s="95"/>
      <c r="AY1246" s="93"/>
    </row>
    <row r="1247" ht="14.5" spans="1:51">
      <c r="A1247" s="91"/>
      <c r="B1247" s="95"/>
      <c r="C1247" s="152" t="s">
        <v>1085</v>
      </c>
      <c r="D1247" s="153" t="s">
        <v>125</v>
      </c>
      <c r="E1247" s="130" t="s">
        <v>1086</v>
      </c>
      <c r="F1247" s="195" t="s">
        <v>1277</v>
      </c>
      <c r="G1247" s="195" t="s">
        <v>1277</v>
      </c>
      <c r="H1247" s="195" t="s">
        <v>1277</v>
      </c>
      <c r="I1247" s="195" t="s">
        <v>1277</v>
      </c>
      <c r="J1247" s="132">
        <v>0.9</v>
      </c>
      <c r="K1247" s="133" t="s">
        <v>35</v>
      </c>
      <c r="L1247" s="133" t="s">
        <v>35</v>
      </c>
      <c r="M1247" s="134" t="s">
        <v>35</v>
      </c>
      <c r="N1247" s="133" t="s">
        <v>35</v>
      </c>
      <c r="O1247" s="135">
        <v>0.9</v>
      </c>
      <c r="P1247" s="133" t="s">
        <v>35</v>
      </c>
      <c r="Q1247" s="133">
        <v>0</v>
      </c>
      <c r="R1247" s="133" t="s">
        <v>35</v>
      </c>
      <c r="S1247" s="133">
        <v>0</v>
      </c>
      <c r="T1247" s="135">
        <v>0.9</v>
      </c>
      <c r="U1247" s="133" t="s">
        <v>35</v>
      </c>
      <c r="V1247" s="133">
        <v>1</v>
      </c>
      <c r="W1247" s="133" t="s">
        <v>35</v>
      </c>
      <c r="X1247" s="133">
        <v>1</v>
      </c>
      <c r="Y1247" s="135">
        <v>0.92</v>
      </c>
      <c r="Z1247" s="135" t="s">
        <v>35</v>
      </c>
      <c r="AA1247" s="135" t="s">
        <v>35</v>
      </c>
      <c r="AB1247" s="135" t="s">
        <v>35</v>
      </c>
      <c r="AC1247" s="135">
        <v>1</v>
      </c>
      <c r="AD1247" s="135">
        <v>0.92</v>
      </c>
      <c r="AE1247" s="133">
        <v>0.997984741615086</v>
      </c>
      <c r="AF1247" s="133">
        <v>0.99679003021148</v>
      </c>
      <c r="AG1247" s="133">
        <v>0.96562112351586</v>
      </c>
      <c r="AH1247" s="133">
        <v>0.976486723992083</v>
      </c>
      <c r="AI1247" s="135">
        <v>0.92</v>
      </c>
      <c r="AJ1247" s="133" t="s">
        <v>35</v>
      </c>
      <c r="AK1247" s="133">
        <v>1</v>
      </c>
      <c r="AL1247" s="133" t="s">
        <v>35</v>
      </c>
      <c r="AM1247" s="133">
        <v>1</v>
      </c>
      <c r="AN1247" s="132">
        <v>0.99</v>
      </c>
      <c r="AO1247" s="137">
        <v>1</v>
      </c>
      <c r="AP1247" s="137">
        <v>1</v>
      </c>
      <c r="AQ1247" s="137">
        <v>1</v>
      </c>
      <c r="AR1247" s="137">
        <v>1</v>
      </c>
      <c r="AS1247" s="158">
        <v>0.0721861525408278</v>
      </c>
      <c r="AT1247" s="141" t="s">
        <v>35</v>
      </c>
      <c r="AU1247" s="141" t="s">
        <v>35</v>
      </c>
      <c r="AV1247" s="141" t="s">
        <v>35</v>
      </c>
      <c r="AW1247" s="141" t="s">
        <v>35</v>
      </c>
      <c r="AX1247" s="95"/>
      <c r="AY1247" s="93"/>
    </row>
    <row r="1248" ht="14.5" spans="1:51">
      <c r="A1248" s="91"/>
      <c r="B1248" s="95"/>
      <c r="C1248" s="152" t="s">
        <v>1085</v>
      </c>
      <c r="D1248" s="153" t="s">
        <v>25</v>
      </c>
      <c r="E1248" s="130" t="s">
        <v>1086</v>
      </c>
      <c r="F1248" s="195" t="s">
        <v>1278</v>
      </c>
      <c r="G1248" s="195" t="s">
        <v>1278</v>
      </c>
      <c r="H1248" s="195" t="s">
        <v>1278</v>
      </c>
      <c r="I1248" s="195" t="s">
        <v>1278</v>
      </c>
      <c r="J1248" s="132">
        <v>0.9</v>
      </c>
      <c r="K1248" s="133">
        <v>0.971428571428571</v>
      </c>
      <c r="L1248" s="133">
        <v>1</v>
      </c>
      <c r="M1248" s="134">
        <v>0.96969696969697</v>
      </c>
      <c r="N1248" s="133">
        <v>0.944444444444444</v>
      </c>
      <c r="O1248" s="135">
        <v>0.9</v>
      </c>
      <c r="P1248" s="133">
        <v>0.990780754825699</v>
      </c>
      <c r="Q1248" s="133">
        <v>0.975136747886624</v>
      </c>
      <c r="R1248" s="133">
        <v>0.970262643802909</v>
      </c>
      <c r="S1248" s="133">
        <v>0.944952455069433</v>
      </c>
      <c r="T1248" s="135">
        <v>0.9</v>
      </c>
      <c r="U1248" s="133">
        <v>0.92336502448862</v>
      </c>
      <c r="V1248" s="133">
        <v>0.868473396320239</v>
      </c>
      <c r="W1248" s="133">
        <v>0.864771000651183</v>
      </c>
      <c r="X1248" s="133">
        <v>0.867056591843187</v>
      </c>
      <c r="Y1248" s="135">
        <v>0.92</v>
      </c>
      <c r="Z1248" s="135">
        <v>0.893738140417457</v>
      </c>
      <c r="AA1248" s="135">
        <v>0.870535714285714</v>
      </c>
      <c r="AB1248" s="135">
        <v>0.840460526315789</v>
      </c>
      <c r="AC1248" s="135">
        <v>0.897681189560154</v>
      </c>
      <c r="AD1248" s="135">
        <v>0.92</v>
      </c>
      <c r="AE1248" s="133">
        <v>0.89350186573436</v>
      </c>
      <c r="AF1248" s="133">
        <v>0.997161275060619</v>
      </c>
      <c r="AG1248" s="133">
        <v>0.986701654509874</v>
      </c>
      <c r="AH1248" s="133">
        <v>0.984003715504831</v>
      </c>
      <c r="AI1248" s="135">
        <v>0.92</v>
      </c>
      <c r="AJ1248" s="133">
        <v>0.950287229341582</v>
      </c>
      <c r="AK1248" s="133">
        <v>0.92260816575259</v>
      </c>
      <c r="AL1248" s="133">
        <v>0.920041180507893</v>
      </c>
      <c r="AM1248" s="133">
        <v>0.95155395754322</v>
      </c>
      <c r="AN1248" s="132">
        <v>0.99</v>
      </c>
      <c r="AO1248" s="137">
        <v>1</v>
      </c>
      <c r="AP1248" s="137">
        <v>1</v>
      </c>
      <c r="AQ1248" s="137">
        <v>1</v>
      </c>
      <c r="AR1248" s="137">
        <v>1</v>
      </c>
      <c r="AS1248" s="158">
        <v>0.0721861525408278</v>
      </c>
      <c r="AT1248" s="141">
        <v>0.111111111111111</v>
      </c>
      <c r="AU1248" s="141">
        <v>0</v>
      </c>
      <c r="AV1248" s="141">
        <v>0.05</v>
      </c>
      <c r="AW1248" s="141">
        <v>0.0272727272727273</v>
      </c>
      <c r="AX1248" s="95"/>
      <c r="AY1248" s="93"/>
    </row>
    <row r="1249" ht="14.5" spans="1:51">
      <c r="A1249" s="91"/>
      <c r="B1249" s="95"/>
      <c r="C1249" s="152" t="s">
        <v>1085</v>
      </c>
      <c r="D1249" s="153" t="s">
        <v>125</v>
      </c>
      <c r="E1249" s="130" t="s">
        <v>1086</v>
      </c>
      <c r="F1249" s="195" t="s">
        <v>1279</v>
      </c>
      <c r="G1249" s="195" t="s">
        <v>1279</v>
      </c>
      <c r="H1249" s="195" t="s">
        <v>1279</v>
      </c>
      <c r="I1249" s="195" t="s">
        <v>1279</v>
      </c>
      <c r="J1249" s="132">
        <v>0.9</v>
      </c>
      <c r="K1249" s="133" t="s">
        <v>35</v>
      </c>
      <c r="L1249" s="133" t="s">
        <v>35</v>
      </c>
      <c r="M1249" s="134" t="s">
        <v>35</v>
      </c>
      <c r="N1249" s="133" t="s">
        <v>35</v>
      </c>
      <c r="O1249" s="135">
        <v>0.9</v>
      </c>
      <c r="P1249" s="133">
        <v>0</v>
      </c>
      <c r="Q1249" s="133">
        <v>0</v>
      </c>
      <c r="R1249" s="133">
        <v>0</v>
      </c>
      <c r="S1249" s="133">
        <v>0</v>
      </c>
      <c r="T1249" s="135">
        <v>0.9</v>
      </c>
      <c r="U1249" s="133">
        <v>1</v>
      </c>
      <c r="V1249" s="133">
        <v>1</v>
      </c>
      <c r="W1249" s="133">
        <v>1</v>
      </c>
      <c r="X1249" s="133">
        <v>0.942857142857143</v>
      </c>
      <c r="Y1249" s="135">
        <v>0.92</v>
      </c>
      <c r="Z1249" s="135">
        <v>1</v>
      </c>
      <c r="AA1249" s="135" t="s">
        <v>35</v>
      </c>
      <c r="AB1249" s="135" t="s">
        <v>35</v>
      </c>
      <c r="AC1249" s="135">
        <v>1</v>
      </c>
      <c r="AD1249" s="135">
        <v>0.92</v>
      </c>
      <c r="AE1249" s="133">
        <v>0.999590079934413</v>
      </c>
      <c r="AF1249" s="133">
        <v>0.996958174904943</v>
      </c>
      <c r="AG1249" s="133">
        <v>0.999092558983666</v>
      </c>
      <c r="AH1249" s="133">
        <v>0.99603656517035</v>
      </c>
      <c r="AI1249" s="135">
        <v>0.92</v>
      </c>
      <c r="AJ1249" s="133">
        <v>1</v>
      </c>
      <c r="AK1249" s="133">
        <v>1</v>
      </c>
      <c r="AL1249" s="133">
        <v>1</v>
      </c>
      <c r="AM1249" s="133">
        <v>0.941176470588235</v>
      </c>
      <c r="AN1249" s="132">
        <v>0.99</v>
      </c>
      <c r="AO1249" s="137">
        <v>1</v>
      </c>
      <c r="AP1249" s="137">
        <v>1</v>
      </c>
      <c r="AQ1249" s="137">
        <v>1</v>
      </c>
      <c r="AR1249" s="137">
        <v>1</v>
      </c>
      <c r="AS1249" s="158">
        <v>0.0721861525408278</v>
      </c>
      <c r="AT1249" s="141" t="s">
        <v>35</v>
      </c>
      <c r="AU1249" s="141" t="s">
        <v>35</v>
      </c>
      <c r="AV1249" s="141" t="s">
        <v>35</v>
      </c>
      <c r="AW1249" s="141" t="s">
        <v>35</v>
      </c>
      <c r="AX1249" s="95"/>
      <c r="AY1249" s="93"/>
    </row>
    <row r="1250" ht="14.5" spans="1:51">
      <c r="A1250" s="91"/>
      <c r="B1250" s="95"/>
      <c r="C1250" s="152" t="s">
        <v>1085</v>
      </c>
      <c r="D1250" s="153" t="s">
        <v>25</v>
      </c>
      <c r="E1250" s="130" t="s">
        <v>1086</v>
      </c>
      <c r="F1250" s="195" t="s">
        <v>1280</v>
      </c>
      <c r="G1250" s="195" t="s">
        <v>1280</v>
      </c>
      <c r="H1250" s="195" t="s">
        <v>1280</v>
      </c>
      <c r="I1250" s="195" t="s">
        <v>1280</v>
      </c>
      <c r="J1250" s="132">
        <v>0.9</v>
      </c>
      <c r="K1250" s="133">
        <v>1</v>
      </c>
      <c r="L1250" s="133">
        <v>1</v>
      </c>
      <c r="M1250" s="134">
        <v>1</v>
      </c>
      <c r="N1250" s="133">
        <v>0.991042345276873</v>
      </c>
      <c r="O1250" s="135">
        <v>0.9</v>
      </c>
      <c r="P1250" s="133">
        <v>0.937105329628694</v>
      </c>
      <c r="Q1250" s="133">
        <v>0.942387574498826</v>
      </c>
      <c r="R1250" s="133">
        <v>0.96499087439854</v>
      </c>
      <c r="S1250" s="133">
        <v>0.940349306622975</v>
      </c>
      <c r="T1250" s="135">
        <v>0.9</v>
      </c>
      <c r="U1250" s="133">
        <v>0.888103056327355</v>
      </c>
      <c r="V1250" s="133">
        <v>0.81921618204804</v>
      </c>
      <c r="W1250" s="133">
        <v>0.772357723577236</v>
      </c>
      <c r="X1250" s="133">
        <v>0.870623110315356</v>
      </c>
      <c r="Y1250" s="135">
        <v>0.92</v>
      </c>
      <c r="Z1250" s="135">
        <v>0.867288378766141</v>
      </c>
      <c r="AA1250" s="135">
        <v>0.763589301121657</v>
      </c>
      <c r="AB1250" s="135">
        <v>0.70694087403599</v>
      </c>
      <c r="AC1250" s="135">
        <v>0.877508771929825</v>
      </c>
      <c r="AD1250" s="135">
        <v>0.92</v>
      </c>
      <c r="AE1250" s="133">
        <v>0.900777586859656</v>
      </c>
      <c r="AF1250" s="133">
        <v>0.996135646687697</v>
      </c>
      <c r="AG1250" s="133">
        <v>0.996493864262459</v>
      </c>
      <c r="AH1250" s="133">
        <v>0.973162128837952</v>
      </c>
      <c r="AI1250" s="135">
        <v>0.92</v>
      </c>
      <c r="AJ1250" s="133">
        <v>0.919686215913336</v>
      </c>
      <c r="AK1250" s="133">
        <v>0.868742550655542</v>
      </c>
      <c r="AL1250" s="133">
        <v>0.814790403374637</v>
      </c>
      <c r="AM1250" s="133">
        <v>0.934349586580013</v>
      </c>
      <c r="AN1250" s="132">
        <v>0.99</v>
      </c>
      <c r="AO1250" s="137">
        <v>1</v>
      </c>
      <c r="AP1250" s="137">
        <v>1</v>
      </c>
      <c r="AQ1250" s="137">
        <v>1</v>
      </c>
      <c r="AR1250" s="137">
        <v>1</v>
      </c>
      <c r="AS1250" s="158">
        <v>0.0721861525408278</v>
      </c>
      <c r="AT1250" s="141">
        <v>0.0377358490566038</v>
      </c>
      <c r="AU1250" s="141">
        <v>0.0158730158730159</v>
      </c>
      <c r="AV1250" s="141">
        <v>0.0408163265306122</v>
      </c>
      <c r="AW1250" s="141">
        <v>0.0336590662323561</v>
      </c>
      <c r="AX1250" s="95"/>
      <c r="AY1250" s="93"/>
    </row>
    <row r="1251" ht="14.5" spans="1:51">
      <c r="A1251" s="91"/>
      <c r="B1251" s="95"/>
      <c r="C1251" s="152" t="s">
        <v>1085</v>
      </c>
      <c r="D1251" s="153" t="s">
        <v>25</v>
      </c>
      <c r="E1251" s="130" t="s">
        <v>1086</v>
      </c>
      <c r="F1251" s="195" t="s">
        <v>1281</v>
      </c>
      <c r="G1251" s="195" t="s">
        <v>1281</v>
      </c>
      <c r="H1251" s="195" t="s">
        <v>1281</v>
      </c>
      <c r="I1251" s="195" t="s">
        <v>1281</v>
      </c>
      <c r="J1251" s="132">
        <v>0.9</v>
      </c>
      <c r="K1251" s="133">
        <v>0.92156862745098</v>
      </c>
      <c r="L1251" s="133">
        <v>0.760869565217391</v>
      </c>
      <c r="M1251" s="134">
        <v>0.869565217391304</v>
      </c>
      <c r="N1251" s="133">
        <v>0.863636363636364</v>
      </c>
      <c r="O1251" s="135">
        <v>0.9</v>
      </c>
      <c r="P1251" s="133">
        <v>0.926585094549499</v>
      </c>
      <c r="Q1251" s="133">
        <v>0.943211643999046</v>
      </c>
      <c r="R1251" s="133">
        <v>0.936189608021878</v>
      </c>
      <c r="S1251" s="133">
        <v>0.940824831481144</v>
      </c>
      <c r="T1251" s="135">
        <v>0.9</v>
      </c>
      <c r="U1251" s="133">
        <v>0.862439747868001</v>
      </c>
      <c r="V1251" s="133">
        <v>0.794798377475543</v>
      </c>
      <c r="W1251" s="133">
        <v>0.755697356426618</v>
      </c>
      <c r="X1251" s="133">
        <v>0.804825560211332</v>
      </c>
      <c r="Y1251" s="135">
        <v>0.92</v>
      </c>
      <c r="Z1251" s="135">
        <v>0.863088718510405</v>
      </c>
      <c r="AA1251" s="135">
        <v>0.678082191780822</v>
      </c>
      <c r="AB1251" s="135">
        <v>0.685294117647059</v>
      </c>
      <c r="AC1251" s="135">
        <v>0.858507524010066</v>
      </c>
      <c r="AD1251" s="135">
        <v>0.92</v>
      </c>
      <c r="AE1251" s="133">
        <v>0.96995941592402</v>
      </c>
      <c r="AF1251" s="133">
        <v>0.997474291899693</v>
      </c>
      <c r="AG1251" s="133">
        <v>0.996464159434265</v>
      </c>
      <c r="AH1251" s="133">
        <v>0.961231448642417</v>
      </c>
      <c r="AI1251" s="135">
        <v>0.92</v>
      </c>
      <c r="AJ1251" s="133">
        <v>0.921606648199446</v>
      </c>
      <c r="AK1251" s="133">
        <v>0.849857781389679</v>
      </c>
      <c r="AL1251" s="133">
        <v>0.834719911259013</v>
      </c>
      <c r="AM1251" s="133">
        <v>0.926686982209921</v>
      </c>
      <c r="AN1251" s="132">
        <v>0.99</v>
      </c>
      <c r="AO1251" s="137">
        <v>1</v>
      </c>
      <c r="AP1251" s="137">
        <v>1</v>
      </c>
      <c r="AQ1251" s="137">
        <v>1</v>
      </c>
      <c r="AR1251" s="137">
        <v>1</v>
      </c>
      <c r="AS1251" s="158">
        <v>0.0721861525408278</v>
      </c>
      <c r="AT1251" s="141">
        <v>0</v>
      </c>
      <c r="AU1251" s="141">
        <v>0.0204081632653061</v>
      </c>
      <c r="AV1251" s="141">
        <v>0.0882352941176471</v>
      </c>
      <c r="AW1251" s="141">
        <v>0.0355618776671408</v>
      </c>
      <c r="AX1251" s="95"/>
      <c r="AY1251" s="93"/>
    </row>
    <row r="1252" ht="14.5" spans="1:51">
      <c r="A1252" s="91"/>
      <c r="B1252" s="95"/>
      <c r="C1252" s="152" t="s">
        <v>1085</v>
      </c>
      <c r="D1252" s="153" t="s">
        <v>25</v>
      </c>
      <c r="E1252" s="130" t="s">
        <v>1086</v>
      </c>
      <c r="F1252" s="195" t="s">
        <v>1282</v>
      </c>
      <c r="G1252" s="195" t="s">
        <v>1282</v>
      </c>
      <c r="H1252" s="195" t="s">
        <v>1282</v>
      </c>
      <c r="I1252" s="195" t="s">
        <v>1282</v>
      </c>
      <c r="J1252" s="132">
        <v>0.9</v>
      </c>
      <c r="K1252" s="133">
        <v>1</v>
      </c>
      <c r="L1252" s="133">
        <v>1</v>
      </c>
      <c r="M1252" s="134">
        <v>1</v>
      </c>
      <c r="N1252" s="133">
        <v>0.99250936329588</v>
      </c>
      <c r="O1252" s="135">
        <v>0.9</v>
      </c>
      <c r="P1252" s="133">
        <v>0.975510204081633</v>
      </c>
      <c r="Q1252" s="133">
        <v>0.981740064446831</v>
      </c>
      <c r="R1252" s="133">
        <v>0.979929754139488</v>
      </c>
      <c r="S1252" s="133">
        <v>0.979054502544435</v>
      </c>
      <c r="T1252" s="135">
        <v>0.9</v>
      </c>
      <c r="U1252" s="133">
        <v>0.935510204081633</v>
      </c>
      <c r="V1252" s="133">
        <v>0.828678839957035</v>
      </c>
      <c r="W1252" s="133">
        <v>0.81334671349724</v>
      </c>
      <c r="X1252" s="133">
        <v>0.916168842343339</v>
      </c>
      <c r="Y1252" s="135">
        <v>0.92</v>
      </c>
      <c r="Z1252" s="135">
        <v>0.950431034482759</v>
      </c>
      <c r="AA1252" s="135">
        <v>0.835016835016835</v>
      </c>
      <c r="AB1252" s="135">
        <v>0.841558441558442</v>
      </c>
      <c r="AC1252" s="135">
        <v>0.917254093916061</v>
      </c>
      <c r="AD1252" s="135">
        <v>0.92</v>
      </c>
      <c r="AE1252" s="133">
        <v>0.966229952563813</v>
      </c>
      <c r="AF1252" s="133">
        <v>0.996620352985355</v>
      </c>
      <c r="AG1252" s="133">
        <v>0.983870967741935</v>
      </c>
      <c r="AH1252" s="133">
        <v>0.987640689861771</v>
      </c>
      <c r="AI1252" s="135">
        <v>0.92</v>
      </c>
      <c r="AJ1252" s="133">
        <v>0.956830277942046</v>
      </c>
      <c r="AK1252" s="133">
        <v>0.875</v>
      </c>
      <c r="AL1252" s="133">
        <v>0.870479394449117</v>
      </c>
      <c r="AM1252" s="133">
        <v>0.946419268224262</v>
      </c>
      <c r="AN1252" s="132">
        <v>0.99</v>
      </c>
      <c r="AO1252" s="137">
        <v>1</v>
      </c>
      <c r="AP1252" s="137">
        <v>1</v>
      </c>
      <c r="AQ1252" s="137">
        <v>1</v>
      </c>
      <c r="AR1252" s="137">
        <v>1</v>
      </c>
      <c r="AS1252" s="158">
        <v>0.0721861525408278</v>
      </c>
      <c r="AT1252" s="141">
        <v>0.142857142857143</v>
      </c>
      <c r="AU1252" s="141">
        <v>0.0666666666666667</v>
      </c>
      <c r="AV1252" s="141">
        <v>0.0769230769230769</v>
      </c>
      <c r="AW1252" s="141">
        <v>0.0553359683794466</v>
      </c>
      <c r="AX1252" s="95"/>
      <c r="AY1252" s="93"/>
    </row>
    <row r="1253" ht="14.5" spans="1:51">
      <c r="A1253" s="91"/>
      <c r="B1253" s="95"/>
      <c r="C1253" s="152" t="s">
        <v>1085</v>
      </c>
      <c r="D1253" s="153" t="s">
        <v>25</v>
      </c>
      <c r="E1253" s="130" t="s">
        <v>1086</v>
      </c>
      <c r="F1253" s="195" t="s">
        <v>1283</v>
      </c>
      <c r="G1253" s="195" t="s">
        <v>1283</v>
      </c>
      <c r="H1253" s="195" t="s">
        <v>1283</v>
      </c>
      <c r="I1253" s="195" t="s">
        <v>1283</v>
      </c>
      <c r="J1253" s="132">
        <v>0.9</v>
      </c>
      <c r="K1253" s="133">
        <v>0.928571428571429</v>
      </c>
      <c r="L1253" s="133">
        <v>0.87719298245614</v>
      </c>
      <c r="M1253" s="134">
        <v>0.907407407407407</v>
      </c>
      <c r="N1253" s="133">
        <v>0.951335877862595</v>
      </c>
      <c r="O1253" s="135">
        <v>0.9</v>
      </c>
      <c r="P1253" s="133">
        <v>0.980017761989343</v>
      </c>
      <c r="Q1253" s="133">
        <v>0.988639437381661</v>
      </c>
      <c r="R1253" s="133">
        <v>0.988008464613214</v>
      </c>
      <c r="S1253" s="133">
        <v>0.984753737852746</v>
      </c>
      <c r="T1253" s="135">
        <v>0.9</v>
      </c>
      <c r="U1253" s="133">
        <v>0.88854351687389</v>
      </c>
      <c r="V1253" s="133">
        <v>0.829591560724912</v>
      </c>
      <c r="W1253" s="133">
        <v>0.849047731013402</v>
      </c>
      <c r="X1253" s="133">
        <v>0.888927110335762</v>
      </c>
      <c r="Y1253" s="135">
        <v>0.92</v>
      </c>
      <c r="Z1253" s="135">
        <v>0.905477980665951</v>
      </c>
      <c r="AA1253" s="135">
        <v>0.829953198127925</v>
      </c>
      <c r="AB1253" s="135">
        <v>0.84012539184953</v>
      </c>
      <c r="AC1253" s="135">
        <v>0.928625664388762</v>
      </c>
      <c r="AD1253" s="135">
        <v>0.92</v>
      </c>
      <c r="AE1253" s="133">
        <v>0.999604743083004</v>
      </c>
      <c r="AF1253" s="133">
        <v>0.999032882011605</v>
      </c>
      <c r="AG1253" s="133">
        <v>1</v>
      </c>
      <c r="AH1253" s="133">
        <v>0.998773522094123</v>
      </c>
      <c r="AI1253" s="135">
        <v>0.92</v>
      </c>
      <c r="AJ1253" s="133">
        <v>0.93498743718593</v>
      </c>
      <c r="AK1253" s="133">
        <v>0.880359612724758</v>
      </c>
      <c r="AL1253" s="133">
        <v>0.887715930902111</v>
      </c>
      <c r="AM1253" s="133">
        <v>0.950895819508958</v>
      </c>
      <c r="AN1253" s="132">
        <v>0.99</v>
      </c>
      <c r="AO1253" s="137">
        <v>1</v>
      </c>
      <c r="AP1253" s="137">
        <v>1</v>
      </c>
      <c r="AQ1253" s="137">
        <v>1</v>
      </c>
      <c r="AR1253" s="137">
        <v>1</v>
      </c>
      <c r="AS1253" s="158">
        <v>0.0721861525408278</v>
      </c>
      <c r="AT1253" s="141">
        <v>0.027027027027027</v>
      </c>
      <c r="AU1253" s="141">
        <v>0.105263157894737</v>
      </c>
      <c r="AV1253" s="141">
        <v>0.0833333333333333</v>
      </c>
      <c r="AW1253" s="141">
        <v>0.0564784053156146</v>
      </c>
      <c r="AX1253" s="95"/>
      <c r="AY1253" s="93"/>
    </row>
    <row r="1254" ht="14.5" spans="1:51">
      <c r="A1254" s="91"/>
      <c r="B1254" s="95"/>
      <c r="C1254" s="152" t="s">
        <v>1085</v>
      </c>
      <c r="D1254" s="153" t="s">
        <v>25</v>
      </c>
      <c r="E1254" s="130" t="s">
        <v>1086</v>
      </c>
      <c r="F1254" s="195" t="s">
        <v>1284</v>
      </c>
      <c r="G1254" s="195" t="s">
        <v>1284</v>
      </c>
      <c r="H1254" s="195" t="s">
        <v>1284</v>
      </c>
      <c r="I1254" s="195" t="s">
        <v>1284</v>
      </c>
      <c r="J1254" s="132">
        <v>0.9</v>
      </c>
      <c r="K1254" s="133">
        <v>0.96551724137931</v>
      </c>
      <c r="L1254" s="133">
        <v>1</v>
      </c>
      <c r="M1254" s="134">
        <v>0.96551724137931</v>
      </c>
      <c r="N1254" s="133">
        <v>0.991243432574431</v>
      </c>
      <c r="O1254" s="135">
        <v>0.9</v>
      </c>
      <c r="P1254" s="133">
        <v>0.981907894736842</v>
      </c>
      <c r="Q1254" s="133">
        <v>0.986373165618449</v>
      </c>
      <c r="R1254" s="133">
        <v>0.980995475113122</v>
      </c>
      <c r="S1254" s="133">
        <v>0.983203564957642</v>
      </c>
      <c r="T1254" s="135">
        <v>0.9</v>
      </c>
      <c r="U1254" s="133">
        <v>0.90625</v>
      </c>
      <c r="V1254" s="133">
        <v>0.869496855345912</v>
      </c>
      <c r="W1254" s="133">
        <v>0.864705882352941</v>
      </c>
      <c r="X1254" s="133">
        <v>0.912565496302826</v>
      </c>
      <c r="Y1254" s="135">
        <v>0.92</v>
      </c>
      <c r="Z1254" s="135">
        <v>0.912133891213389</v>
      </c>
      <c r="AA1254" s="135">
        <v>0.787878787878788</v>
      </c>
      <c r="AB1254" s="135">
        <v>0.833652007648184</v>
      </c>
      <c r="AC1254" s="135">
        <v>0.929711775420551</v>
      </c>
      <c r="AD1254" s="135">
        <v>0.92</v>
      </c>
      <c r="AE1254" s="133">
        <v>0.998802156118986</v>
      </c>
      <c r="AF1254" s="133">
        <v>0.989291958041958</v>
      </c>
      <c r="AG1254" s="133">
        <v>0.999638074556641</v>
      </c>
      <c r="AH1254" s="133">
        <v>0.99264007214984</v>
      </c>
      <c r="AI1254" s="135">
        <v>0.92</v>
      </c>
      <c r="AJ1254" s="133">
        <v>0.945754716981132</v>
      </c>
      <c r="AK1254" s="133">
        <v>0.884859474161378</v>
      </c>
      <c r="AL1254" s="133">
        <v>0.903438185808339</v>
      </c>
      <c r="AM1254" s="133">
        <v>0.958256953853511</v>
      </c>
      <c r="AN1254" s="132">
        <v>0.99</v>
      </c>
      <c r="AO1254" s="137">
        <v>1</v>
      </c>
      <c r="AP1254" s="137">
        <v>1</v>
      </c>
      <c r="AQ1254" s="137">
        <v>1</v>
      </c>
      <c r="AR1254" s="137">
        <v>1</v>
      </c>
      <c r="AS1254" s="158">
        <v>0.0721861525408278</v>
      </c>
      <c r="AT1254" s="141">
        <v>0</v>
      </c>
      <c r="AU1254" s="141">
        <v>0.157894736842105</v>
      </c>
      <c r="AV1254" s="141">
        <v>0.176470588235294</v>
      </c>
      <c r="AW1254" s="141">
        <v>0.0663507109004739</v>
      </c>
      <c r="AX1254" s="95"/>
      <c r="AY1254" s="93"/>
    </row>
    <row r="1255" ht="14.5" spans="1:51">
      <c r="A1255" s="91"/>
      <c r="B1255" s="95"/>
      <c r="C1255" s="152" t="s">
        <v>1085</v>
      </c>
      <c r="D1255" s="153" t="s">
        <v>25</v>
      </c>
      <c r="E1255" s="130" t="s">
        <v>1086</v>
      </c>
      <c r="F1255" s="195" t="s">
        <v>1285</v>
      </c>
      <c r="G1255" s="195" t="s">
        <v>1285</v>
      </c>
      <c r="H1255" s="195" t="s">
        <v>1285</v>
      </c>
      <c r="I1255" s="195" t="s">
        <v>1285</v>
      </c>
      <c r="J1255" s="132">
        <v>0.9</v>
      </c>
      <c r="K1255" s="133">
        <v>0.931034482758621</v>
      </c>
      <c r="L1255" s="133">
        <v>0.950819672131147</v>
      </c>
      <c r="M1255" s="134">
        <v>0.847457627118644</v>
      </c>
      <c r="N1255" s="133">
        <v>0.940231935771632</v>
      </c>
      <c r="O1255" s="135">
        <v>0.9</v>
      </c>
      <c r="P1255" s="133">
        <v>0.953551912568306</v>
      </c>
      <c r="Q1255" s="133">
        <v>0.947882736156352</v>
      </c>
      <c r="R1255" s="133">
        <v>0.913812402059548</v>
      </c>
      <c r="S1255" s="133">
        <v>0.952773062708416</v>
      </c>
      <c r="T1255" s="135">
        <v>0.9</v>
      </c>
      <c r="U1255" s="133">
        <v>0.878610460577674</v>
      </c>
      <c r="V1255" s="133">
        <v>0.877223753445252</v>
      </c>
      <c r="W1255" s="133">
        <v>0.875979404522051</v>
      </c>
      <c r="X1255" s="133">
        <v>0.906870357663091</v>
      </c>
      <c r="Y1255" s="135">
        <v>0.92</v>
      </c>
      <c r="Z1255" s="135">
        <v>0.929038281979458</v>
      </c>
      <c r="AA1255" s="135">
        <v>0.891846921797005</v>
      </c>
      <c r="AB1255" s="135">
        <v>0.905871388630009</v>
      </c>
      <c r="AC1255" s="135">
        <v>0.933635761251848</v>
      </c>
      <c r="AD1255" s="135">
        <v>0.92</v>
      </c>
      <c r="AE1255" s="133">
        <v>0.8509738595592</v>
      </c>
      <c r="AF1255" s="133">
        <v>0.995787700084246</v>
      </c>
      <c r="AG1255" s="133">
        <v>0.996261682242991</v>
      </c>
      <c r="AH1255" s="133">
        <v>0.96433938273032</v>
      </c>
      <c r="AI1255" s="135">
        <v>0.92</v>
      </c>
      <c r="AJ1255" s="133">
        <v>0.944169416941694</v>
      </c>
      <c r="AK1255" s="133">
        <v>0.932273519163763</v>
      </c>
      <c r="AL1255" s="133">
        <v>0.935029778018408</v>
      </c>
      <c r="AM1255" s="133">
        <v>0.964137568404448</v>
      </c>
      <c r="AN1255" s="132">
        <v>0.99</v>
      </c>
      <c r="AO1255" s="137">
        <v>1</v>
      </c>
      <c r="AP1255" s="137">
        <v>1</v>
      </c>
      <c r="AQ1255" s="137">
        <v>1</v>
      </c>
      <c r="AR1255" s="137">
        <v>1</v>
      </c>
      <c r="AS1255" s="158">
        <v>0.0721861525408278</v>
      </c>
      <c r="AT1255" s="141">
        <v>0</v>
      </c>
      <c r="AU1255" s="141">
        <v>0.032258064516129</v>
      </c>
      <c r="AV1255" s="141">
        <v>0.0625</v>
      </c>
      <c r="AW1255" s="141">
        <v>0.0197368421052632</v>
      </c>
      <c r="AX1255" s="95"/>
      <c r="AY1255" s="93"/>
    </row>
    <row r="1256" ht="14.5" spans="1:51">
      <c r="A1256" s="91"/>
      <c r="B1256" s="95"/>
      <c r="C1256" s="152" t="s">
        <v>1085</v>
      </c>
      <c r="D1256" s="153" t="s">
        <v>125</v>
      </c>
      <c r="E1256" s="130" t="s">
        <v>1086</v>
      </c>
      <c r="F1256" s="195" t="s">
        <v>1286</v>
      </c>
      <c r="G1256" s="195" t="s">
        <v>1286</v>
      </c>
      <c r="H1256" s="195" t="s">
        <v>1286</v>
      </c>
      <c r="I1256" s="195" t="s">
        <v>1286</v>
      </c>
      <c r="J1256" s="132">
        <v>0.9</v>
      </c>
      <c r="K1256" s="133" t="s">
        <v>35</v>
      </c>
      <c r="L1256" s="133" t="s">
        <v>35</v>
      </c>
      <c r="M1256" s="134" t="s">
        <v>35</v>
      </c>
      <c r="N1256" s="133" t="s">
        <v>35</v>
      </c>
      <c r="O1256" s="135">
        <v>0.9</v>
      </c>
      <c r="P1256" s="133" t="s">
        <v>35</v>
      </c>
      <c r="Q1256" s="133">
        <v>1</v>
      </c>
      <c r="R1256" s="133">
        <v>1</v>
      </c>
      <c r="S1256" s="133">
        <v>0.863636363636364</v>
      </c>
      <c r="T1256" s="135">
        <v>0.9</v>
      </c>
      <c r="U1256" s="133" t="s">
        <v>35</v>
      </c>
      <c r="V1256" s="133">
        <v>1</v>
      </c>
      <c r="W1256" s="133">
        <v>1</v>
      </c>
      <c r="X1256" s="133">
        <v>0.909090909090909</v>
      </c>
      <c r="Y1256" s="135">
        <v>0.92</v>
      </c>
      <c r="Z1256" s="135" t="s">
        <v>35</v>
      </c>
      <c r="AA1256" s="135" t="s">
        <v>35</v>
      </c>
      <c r="AB1256" s="135" t="s">
        <v>35</v>
      </c>
      <c r="AC1256" s="135" t="s">
        <v>35</v>
      </c>
      <c r="AD1256" s="135">
        <v>0.92</v>
      </c>
      <c r="AE1256" s="133">
        <v>0.997738343771747</v>
      </c>
      <c r="AF1256" s="133">
        <v>0.998374130611508</v>
      </c>
      <c r="AG1256" s="133">
        <v>0.998192713782935</v>
      </c>
      <c r="AH1256" s="133">
        <v>0.985852195081138</v>
      </c>
      <c r="AI1256" s="135">
        <v>0.92</v>
      </c>
      <c r="AJ1256" s="133">
        <v>1</v>
      </c>
      <c r="AK1256" s="133">
        <v>1</v>
      </c>
      <c r="AL1256" s="133">
        <v>1</v>
      </c>
      <c r="AM1256" s="133">
        <v>0.945945945945946</v>
      </c>
      <c r="AN1256" s="132">
        <v>0.99</v>
      </c>
      <c r="AO1256" s="137">
        <v>1</v>
      </c>
      <c r="AP1256" s="137">
        <v>1</v>
      </c>
      <c r="AQ1256" s="137">
        <v>1</v>
      </c>
      <c r="AR1256" s="137">
        <v>1</v>
      </c>
      <c r="AS1256" s="158">
        <v>0.0721861525408278</v>
      </c>
      <c r="AT1256" s="141" t="s">
        <v>35</v>
      </c>
      <c r="AU1256" s="141" t="s">
        <v>35</v>
      </c>
      <c r="AV1256" s="141" t="s">
        <v>35</v>
      </c>
      <c r="AW1256" s="141">
        <v>0.285714285714286</v>
      </c>
      <c r="AX1256" s="95"/>
      <c r="AY1256" s="93"/>
    </row>
    <row r="1257" ht="14.5" spans="1:51">
      <c r="A1257" s="91"/>
      <c r="B1257" s="95"/>
      <c r="C1257" s="152" t="s">
        <v>1085</v>
      </c>
      <c r="D1257" s="153" t="s">
        <v>25</v>
      </c>
      <c r="E1257" s="130" t="s">
        <v>1086</v>
      </c>
      <c r="F1257" s="195" t="s">
        <v>1287</v>
      </c>
      <c r="G1257" s="195" t="s">
        <v>1287</v>
      </c>
      <c r="H1257" s="195" t="s">
        <v>1287</v>
      </c>
      <c r="I1257" s="195" t="s">
        <v>1287</v>
      </c>
      <c r="J1257" s="132">
        <v>0.9</v>
      </c>
      <c r="K1257" s="133">
        <v>1</v>
      </c>
      <c r="L1257" s="133">
        <v>0.916666666666667</v>
      </c>
      <c r="M1257" s="134">
        <v>0.942857142857143</v>
      </c>
      <c r="N1257" s="133">
        <v>0.959938366718028</v>
      </c>
      <c r="O1257" s="135">
        <v>0.9</v>
      </c>
      <c r="P1257" s="133">
        <v>0.993123209169054</v>
      </c>
      <c r="Q1257" s="133">
        <v>0.988608624898291</v>
      </c>
      <c r="R1257" s="133">
        <v>0.987398739873987</v>
      </c>
      <c r="S1257" s="133">
        <v>0.978270619365834</v>
      </c>
      <c r="T1257" s="135">
        <v>0.9</v>
      </c>
      <c r="U1257" s="133">
        <v>0.959312320916905</v>
      </c>
      <c r="V1257" s="133">
        <v>0.970707892595606</v>
      </c>
      <c r="W1257" s="133">
        <v>0.962646264626463</v>
      </c>
      <c r="X1257" s="133">
        <v>0.97017535991389</v>
      </c>
      <c r="Y1257" s="135">
        <v>0.92</v>
      </c>
      <c r="Z1257" s="135">
        <v>0.954802259887006</v>
      </c>
      <c r="AA1257" s="135">
        <v>0.973026973026973</v>
      </c>
      <c r="AB1257" s="135">
        <v>0.964926590538336</v>
      </c>
      <c r="AC1257" s="135">
        <v>0.975446651362411</v>
      </c>
      <c r="AD1257" s="135">
        <v>0.92</v>
      </c>
      <c r="AE1257" s="133">
        <v>1</v>
      </c>
      <c r="AF1257" s="133">
        <v>0.996664813785436</v>
      </c>
      <c r="AG1257" s="133">
        <v>0.996111975116641</v>
      </c>
      <c r="AH1257" s="133">
        <v>0.996248896734334</v>
      </c>
      <c r="AI1257" s="135">
        <v>0.92</v>
      </c>
      <c r="AJ1257" s="133">
        <v>0.972278842233999</v>
      </c>
      <c r="AK1257" s="133">
        <v>0.983810349812084</v>
      </c>
      <c r="AL1257" s="133">
        <v>0.979988399071926</v>
      </c>
      <c r="AM1257" s="133">
        <v>0.985426529286178</v>
      </c>
      <c r="AN1257" s="132">
        <v>0.99</v>
      </c>
      <c r="AO1257" s="137">
        <v>1</v>
      </c>
      <c r="AP1257" s="137">
        <v>1</v>
      </c>
      <c r="AQ1257" s="137">
        <v>1</v>
      </c>
      <c r="AR1257" s="137">
        <v>1</v>
      </c>
      <c r="AS1257" s="158">
        <v>0.0721861525408278</v>
      </c>
      <c r="AT1257" s="141">
        <v>0</v>
      </c>
      <c r="AU1257" s="141">
        <v>0.0714285714285714</v>
      </c>
      <c r="AV1257" s="141">
        <v>0.153846153846154</v>
      </c>
      <c r="AW1257" s="141">
        <v>0.036</v>
      </c>
      <c r="AX1257" s="95"/>
      <c r="AY1257" s="93"/>
    </row>
    <row r="1258" ht="14.5" spans="1:51">
      <c r="A1258" s="91"/>
      <c r="B1258" s="95"/>
      <c r="C1258" s="152" t="s">
        <v>1085</v>
      </c>
      <c r="D1258" s="153" t="s">
        <v>25</v>
      </c>
      <c r="E1258" s="130" t="s">
        <v>1086</v>
      </c>
      <c r="F1258" s="195" t="s">
        <v>1288</v>
      </c>
      <c r="G1258" s="195" t="s">
        <v>1288</v>
      </c>
      <c r="H1258" s="195" t="s">
        <v>1288</v>
      </c>
      <c r="I1258" s="195" t="s">
        <v>1288</v>
      </c>
      <c r="J1258" s="132">
        <v>0.9</v>
      </c>
      <c r="K1258" s="133">
        <v>0.882352941176471</v>
      </c>
      <c r="L1258" s="133">
        <v>0.842105263157895</v>
      </c>
      <c r="M1258" s="134">
        <v>1</v>
      </c>
      <c r="N1258" s="133">
        <v>0.949080622347949</v>
      </c>
      <c r="O1258" s="135">
        <v>0.9</v>
      </c>
      <c r="P1258" s="133">
        <v>0.989114299851559</v>
      </c>
      <c r="Q1258" s="133">
        <v>0.965692934782609</v>
      </c>
      <c r="R1258" s="133">
        <v>0.98963133640553</v>
      </c>
      <c r="S1258" s="133">
        <v>0.973656626386884</v>
      </c>
      <c r="T1258" s="135">
        <v>0.9</v>
      </c>
      <c r="U1258" s="133">
        <v>0.916378030677882</v>
      </c>
      <c r="V1258" s="133">
        <v>0.925271739130435</v>
      </c>
      <c r="W1258" s="133">
        <v>0.947772657450077</v>
      </c>
      <c r="X1258" s="133">
        <v>0.934991990190455</v>
      </c>
      <c r="Y1258" s="135">
        <v>0.92</v>
      </c>
      <c r="Z1258" s="135">
        <v>0.925667828106852</v>
      </c>
      <c r="AA1258" s="135">
        <v>0.943640517897944</v>
      </c>
      <c r="AB1258" s="135">
        <v>0.957683741648107</v>
      </c>
      <c r="AC1258" s="135">
        <v>0.960417400493131</v>
      </c>
      <c r="AD1258" s="135">
        <v>0.92</v>
      </c>
      <c r="AE1258" s="133">
        <v>0.979685452162516</v>
      </c>
      <c r="AF1258" s="133">
        <v>0.998727735368957</v>
      </c>
      <c r="AG1258" s="133">
        <v>0.996073298429319</v>
      </c>
      <c r="AH1258" s="133">
        <v>0.995899000169463</v>
      </c>
      <c r="AI1258" s="135">
        <v>0.92</v>
      </c>
      <c r="AJ1258" s="133">
        <v>0.957668285912561</v>
      </c>
      <c r="AK1258" s="133">
        <v>0.967112990368804</v>
      </c>
      <c r="AL1258" s="133">
        <v>0.977220956719818</v>
      </c>
      <c r="AM1258" s="133">
        <v>0.978043721514151</v>
      </c>
      <c r="AN1258" s="132">
        <v>0.99</v>
      </c>
      <c r="AO1258" s="137">
        <v>1</v>
      </c>
      <c r="AP1258" s="137">
        <v>1</v>
      </c>
      <c r="AQ1258" s="137">
        <v>1</v>
      </c>
      <c r="AR1258" s="137">
        <v>1</v>
      </c>
      <c r="AS1258" s="158">
        <v>0.0721861525408278</v>
      </c>
      <c r="AT1258" s="141">
        <v>0</v>
      </c>
      <c r="AU1258" s="141">
        <v>0</v>
      </c>
      <c r="AV1258" s="141">
        <v>0</v>
      </c>
      <c r="AW1258" s="141">
        <v>0.0600858369098712</v>
      </c>
      <c r="AX1258" s="95"/>
      <c r="AY1258" s="93"/>
    </row>
    <row r="1259" ht="14.5" spans="1:51">
      <c r="A1259" s="91"/>
      <c r="B1259" s="95"/>
      <c r="C1259" s="152" t="s">
        <v>1085</v>
      </c>
      <c r="D1259" s="153" t="s">
        <v>25</v>
      </c>
      <c r="E1259" s="130" t="s">
        <v>1086</v>
      </c>
      <c r="F1259" s="195" t="s">
        <v>1289</v>
      </c>
      <c r="G1259" s="195" t="s">
        <v>1289</v>
      </c>
      <c r="H1259" s="195" t="s">
        <v>1289</v>
      </c>
      <c r="I1259" s="195" t="s">
        <v>1289</v>
      </c>
      <c r="J1259" s="132">
        <v>0.9</v>
      </c>
      <c r="K1259" s="133">
        <v>0.861111111111111</v>
      </c>
      <c r="L1259" s="133">
        <v>0.878048780487805</v>
      </c>
      <c r="M1259" s="134">
        <v>0.925</v>
      </c>
      <c r="N1259" s="133">
        <v>0.894806924101198</v>
      </c>
      <c r="O1259" s="135">
        <v>0.9</v>
      </c>
      <c r="P1259" s="133">
        <v>0.975521305530372</v>
      </c>
      <c r="Q1259" s="133">
        <v>0.91955098222638</v>
      </c>
      <c r="R1259" s="133">
        <v>0.986510472133475</v>
      </c>
      <c r="S1259" s="133">
        <v>0.960315427400468</v>
      </c>
      <c r="T1259" s="135">
        <v>0.9</v>
      </c>
      <c r="U1259" s="133">
        <v>0.914777878513146</v>
      </c>
      <c r="V1259" s="133">
        <v>0.950420954162769</v>
      </c>
      <c r="W1259" s="133">
        <v>0.951011714589989</v>
      </c>
      <c r="X1259" s="133">
        <v>0.938506293911007</v>
      </c>
      <c r="Y1259" s="135">
        <v>0.92</v>
      </c>
      <c r="Z1259" s="135">
        <v>0.924892703862661</v>
      </c>
      <c r="AA1259" s="135">
        <v>0.930473372781065</v>
      </c>
      <c r="AB1259" s="135">
        <v>0.946872898453262</v>
      </c>
      <c r="AC1259" s="135">
        <v>0.946214569103031</v>
      </c>
      <c r="AD1259" s="135">
        <v>0.92</v>
      </c>
      <c r="AE1259" s="133">
        <v>0.999640417116145</v>
      </c>
      <c r="AF1259" s="133">
        <v>0.998067165982121</v>
      </c>
      <c r="AG1259" s="133">
        <v>0.995224450811843</v>
      </c>
      <c r="AH1259" s="133">
        <v>0.998448362413861</v>
      </c>
      <c r="AI1259" s="135">
        <v>0.92</v>
      </c>
      <c r="AJ1259" s="133">
        <v>0.955399808856324</v>
      </c>
      <c r="AK1259" s="133">
        <v>0.966659355121737</v>
      </c>
      <c r="AL1259" s="133">
        <v>0.970267131242741</v>
      </c>
      <c r="AM1259" s="133">
        <v>0.971966278643562</v>
      </c>
      <c r="AN1259" s="132">
        <v>0.99</v>
      </c>
      <c r="AO1259" s="137">
        <v>1</v>
      </c>
      <c r="AP1259" s="137">
        <v>1</v>
      </c>
      <c r="AQ1259" s="137">
        <v>1</v>
      </c>
      <c r="AR1259" s="137">
        <v>1</v>
      </c>
      <c r="AS1259" s="158">
        <v>0.0721861525408278</v>
      </c>
      <c r="AT1259" s="141">
        <v>0</v>
      </c>
      <c r="AU1259" s="141">
        <v>0.0588235294117647</v>
      </c>
      <c r="AV1259" s="141">
        <v>0</v>
      </c>
      <c r="AW1259" s="141">
        <v>0.0355731225296443</v>
      </c>
      <c r="AX1259" s="95"/>
      <c r="AY1259" s="93"/>
    </row>
    <row r="1260" ht="14.5" spans="1:51">
      <c r="A1260" s="91"/>
      <c r="B1260" s="95"/>
      <c r="C1260" s="152" t="s">
        <v>1085</v>
      </c>
      <c r="D1260" s="153" t="s">
        <v>25</v>
      </c>
      <c r="E1260" s="130" t="s">
        <v>1086</v>
      </c>
      <c r="F1260" s="195" t="s">
        <v>1290</v>
      </c>
      <c r="G1260" s="195" t="s">
        <v>1290</v>
      </c>
      <c r="H1260" s="195" t="s">
        <v>1290</v>
      </c>
      <c r="I1260" s="195" t="s">
        <v>1290</v>
      </c>
      <c r="J1260" s="132">
        <v>0.9</v>
      </c>
      <c r="K1260" s="133">
        <v>0.941176470588235</v>
      </c>
      <c r="L1260" s="133">
        <v>0.947368421052632</v>
      </c>
      <c r="M1260" s="134">
        <v>0.942857142857143</v>
      </c>
      <c r="N1260" s="133">
        <v>0.921237693389592</v>
      </c>
      <c r="O1260" s="135">
        <v>0.9</v>
      </c>
      <c r="P1260" s="133">
        <v>0.987012987012987</v>
      </c>
      <c r="Q1260" s="133">
        <v>0.981969949916528</v>
      </c>
      <c r="R1260" s="133">
        <v>0.984375</v>
      </c>
      <c r="S1260" s="133">
        <v>0.980493130368509</v>
      </c>
      <c r="T1260" s="135">
        <v>0.9</v>
      </c>
      <c r="U1260" s="133">
        <v>0.951168831168831</v>
      </c>
      <c r="V1260" s="133">
        <v>0.956260434056761</v>
      </c>
      <c r="W1260" s="133">
        <v>0.953125</v>
      </c>
      <c r="X1260" s="133">
        <v>0.966444888458607</v>
      </c>
      <c r="Y1260" s="135">
        <v>0.92</v>
      </c>
      <c r="Z1260" s="135">
        <v>0.963953488372093</v>
      </c>
      <c r="AA1260" s="135">
        <v>0.907569721115538</v>
      </c>
      <c r="AB1260" s="135">
        <v>0.963687150837989</v>
      </c>
      <c r="AC1260" s="135">
        <v>0.96836642599278</v>
      </c>
      <c r="AD1260" s="135">
        <v>0.92</v>
      </c>
      <c r="AE1260" s="133">
        <v>0.997747747747748</v>
      </c>
      <c r="AF1260" s="133">
        <v>0.994202898550725</v>
      </c>
      <c r="AG1260" s="133">
        <v>0.995967741935484</v>
      </c>
      <c r="AH1260" s="133">
        <v>0.997098295248458</v>
      </c>
      <c r="AI1260" s="135">
        <v>0.92</v>
      </c>
      <c r="AJ1260" s="133">
        <v>0.976301615798923</v>
      </c>
      <c r="AK1260" s="133">
        <v>0.964470588235294</v>
      </c>
      <c r="AL1260" s="133">
        <v>0.977810650887574</v>
      </c>
      <c r="AM1260" s="133">
        <v>0.982875889082142</v>
      </c>
      <c r="AN1260" s="132">
        <v>0.99</v>
      </c>
      <c r="AO1260" s="137">
        <v>1</v>
      </c>
      <c r="AP1260" s="137">
        <v>1</v>
      </c>
      <c r="AQ1260" s="137">
        <v>1</v>
      </c>
      <c r="AR1260" s="137">
        <v>1</v>
      </c>
      <c r="AS1260" s="158">
        <v>0.0721861525408278</v>
      </c>
      <c r="AT1260" s="141">
        <v>0</v>
      </c>
      <c r="AU1260" s="141">
        <v>0</v>
      </c>
      <c r="AV1260" s="141">
        <v>0</v>
      </c>
      <c r="AW1260" s="141">
        <v>0.0307692307692308</v>
      </c>
      <c r="AX1260" s="95"/>
      <c r="AY1260" s="93"/>
    </row>
    <row r="1261" ht="14.5" spans="1:51">
      <c r="A1261" s="91"/>
      <c r="B1261" s="95"/>
      <c r="C1261" s="152" t="s">
        <v>1085</v>
      </c>
      <c r="D1261" s="153" t="s">
        <v>25</v>
      </c>
      <c r="E1261" s="130" t="s">
        <v>1086</v>
      </c>
      <c r="F1261" s="195" t="s">
        <v>1291</v>
      </c>
      <c r="G1261" s="195" t="s">
        <v>1291</v>
      </c>
      <c r="H1261" s="195" t="s">
        <v>1291</v>
      </c>
      <c r="I1261" s="195" t="s">
        <v>1291</v>
      </c>
      <c r="J1261" s="132">
        <v>0.9</v>
      </c>
      <c r="K1261" s="133">
        <v>1</v>
      </c>
      <c r="L1261" s="133">
        <v>0.96</v>
      </c>
      <c r="M1261" s="134">
        <v>0.925925925925926</v>
      </c>
      <c r="N1261" s="133">
        <v>0.957805907172996</v>
      </c>
      <c r="O1261" s="135">
        <v>0.9</v>
      </c>
      <c r="P1261" s="133">
        <v>0.984528832630098</v>
      </c>
      <c r="Q1261" s="133">
        <v>0.94639175257732</v>
      </c>
      <c r="R1261" s="133">
        <v>0.952662721893491</v>
      </c>
      <c r="S1261" s="133">
        <v>0.978153236786731</v>
      </c>
      <c r="T1261" s="135">
        <v>0.9</v>
      </c>
      <c r="U1261" s="133">
        <v>0.952180028129395</v>
      </c>
      <c r="V1261" s="133">
        <v>0.964948453608247</v>
      </c>
      <c r="W1261" s="133">
        <v>0.954437869822485</v>
      </c>
      <c r="X1261" s="133">
        <v>0.963114246812724</v>
      </c>
      <c r="Y1261" s="135">
        <v>0.92</v>
      </c>
      <c r="Z1261" s="135">
        <v>0.922794117647059</v>
      </c>
      <c r="AA1261" s="135">
        <v>0.952898550724638</v>
      </c>
      <c r="AB1261" s="135">
        <v>0.9520624303233</v>
      </c>
      <c r="AC1261" s="135">
        <v>0.962331838565022</v>
      </c>
      <c r="AD1261" s="135">
        <v>0.92</v>
      </c>
      <c r="AE1261" s="133">
        <v>0.999028811913241</v>
      </c>
      <c r="AF1261" s="133">
        <v>0.998348472336912</v>
      </c>
      <c r="AG1261" s="133">
        <v>0.995889003083248</v>
      </c>
      <c r="AH1261" s="133">
        <v>0.995879007665046</v>
      </c>
      <c r="AI1261" s="135">
        <v>0.92</v>
      </c>
      <c r="AJ1261" s="133">
        <v>0.963904422979156</v>
      </c>
      <c r="AK1261" s="133">
        <v>0.976156069364162</v>
      </c>
      <c r="AL1261" s="133">
        <v>0.969849246231156</v>
      </c>
      <c r="AM1261" s="133">
        <v>0.979365147178195</v>
      </c>
      <c r="AN1261" s="132">
        <v>0.99</v>
      </c>
      <c r="AO1261" s="137">
        <v>1</v>
      </c>
      <c r="AP1261" s="137">
        <v>1</v>
      </c>
      <c r="AQ1261" s="137">
        <v>1</v>
      </c>
      <c r="AR1261" s="137">
        <v>1</v>
      </c>
      <c r="AS1261" s="158">
        <v>0.0721861525408278</v>
      </c>
      <c r="AT1261" s="141">
        <v>0</v>
      </c>
      <c r="AU1261" s="141">
        <v>0.0588235294117647</v>
      </c>
      <c r="AV1261" s="141">
        <v>0</v>
      </c>
      <c r="AW1261" s="141">
        <v>0</v>
      </c>
      <c r="AX1261" s="95"/>
      <c r="AY1261" s="93"/>
    </row>
    <row r="1262" ht="14.5" spans="1:51">
      <c r="A1262" s="91"/>
      <c r="B1262" s="95"/>
      <c r="C1262" s="152" t="s">
        <v>1085</v>
      </c>
      <c r="D1262" s="153" t="s">
        <v>25</v>
      </c>
      <c r="E1262" s="130" t="s">
        <v>1086</v>
      </c>
      <c r="F1262" s="195" t="s">
        <v>1292</v>
      </c>
      <c r="G1262" s="195" t="s">
        <v>1292</v>
      </c>
      <c r="H1262" s="195" t="s">
        <v>1292</v>
      </c>
      <c r="I1262" s="195" t="s">
        <v>1292</v>
      </c>
      <c r="J1262" s="132">
        <v>0.9</v>
      </c>
      <c r="K1262" s="133">
        <v>0.941176470588235</v>
      </c>
      <c r="L1262" s="133">
        <v>0.923076923076923</v>
      </c>
      <c r="M1262" s="134">
        <v>0.947368421052632</v>
      </c>
      <c r="N1262" s="133">
        <v>0.94468085106383</v>
      </c>
      <c r="O1262" s="135">
        <v>0.9</v>
      </c>
      <c r="P1262" s="133">
        <v>0.965349544072948</v>
      </c>
      <c r="Q1262" s="133">
        <v>0.967002012072435</v>
      </c>
      <c r="R1262" s="133">
        <v>0.962451445835132</v>
      </c>
      <c r="S1262" s="133">
        <v>0.956434469230418</v>
      </c>
      <c r="T1262" s="135">
        <v>0.9</v>
      </c>
      <c r="U1262" s="133">
        <v>0.956838905775076</v>
      </c>
      <c r="V1262" s="133">
        <v>0.973843058350101</v>
      </c>
      <c r="W1262" s="133">
        <v>0.974967630556754</v>
      </c>
      <c r="X1262" s="133">
        <v>0.973632589754117</v>
      </c>
      <c r="Y1262" s="135">
        <v>0.92</v>
      </c>
      <c r="Z1262" s="135">
        <v>0.96611909650924</v>
      </c>
      <c r="AA1262" s="135">
        <v>0.968911917098446</v>
      </c>
      <c r="AB1262" s="135">
        <v>0.969624300559552</v>
      </c>
      <c r="AC1262" s="135">
        <v>0.972027008405677</v>
      </c>
      <c r="AD1262" s="135">
        <v>0.92</v>
      </c>
      <c r="AE1262" s="133">
        <v>0.999724669603524</v>
      </c>
      <c r="AF1262" s="133">
        <v>0.995047052996533</v>
      </c>
      <c r="AG1262" s="133">
        <v>0.997473684210526</v>
      </c>
      <c r="AH1262" s="133">
        <v>0.960852610456972</v>
      </c>
      <c r="AI1262" s="135">
        <v>0.92</v>
      </c>
      <c r="AJ1262" s="133">
        <v>0.974799541809851</v>
      </c>
      <c r="AK1262" s="133">
        <v>0.981491136600626</v>
      </c>
      <c r="AL1262" s="133">
        <v>0.983464125560538</v>
      </c>
      <c r="AM1262" s="133">
        <v>0.985111246571167</v>
      </c>
      <c r="AN1262" s="132">
        <v>0.99</v>
      </c>
      <c r="AO1262" s="137">
        <v>1</v>
      </c>
      <c r="AP1262" s="137">
        <v>1</v>
      </c>
      <c r="AQ1262" s="137">
        <v>1</v>
      </c>
      <c r="AR1262" s="137">
        <v>1</v>
      </c>
      <c r="AS1262" s="158">
        <v>0.0721861525408278</v>
      </c>
      <c r="AT1262" s="141">
        <v>0</v>
      </c>
      <c r="AU1262" s="141">
        <v>0.0714285714285714</v>
      </c>
      <c r="AV1262" s="141">
        <v>0</v>
      </c>
      <c r="AW1262" s="141">
        <v>0.024390243902439</v>
      </c>
      <c r="AX1262" s="95"/>
      <c r="AY1262" s="93"/>
    </row>
    <row r="1263" ht="14.5" spans="1:51">
      <c r="A1263" s="91"/>
      <c r="B1263" s="95"/>
      <c r="C1263" s="152" t="s">
        <v>1085</v>
      </c>
      <c r="D1263" s="153" t="s">
        <v>25</v>
      </c>
      <c r="E1263" s="130" t="s">
        <v>1086</v>
      </c>
      <c r="F1263" s="195" t="s">
        <v>1293</v>
      </c>
      <c r="G1263" s="195" t="s">
        <v>1293</v>
      </c>
      <c r="H1263" s="195" t="s">
        <v>1293</v>
      </c>
      <c r="I1263" s="195" t="s">
        <v>1293</v>
      </c>
      <c r="J1263" s="132">
        <v>0.9</v>
      </c>
      <c r="K1263" s="133">
        <v>0.9</v>
      </c>
      <c r="L1263" s="133">
        <v>0.857142857142857</v>
      </c>
      <c r="M1263" s="134">
        <v>0.939393939393939</v>
      </c>
      <c r="N1263" s="133">
        <v>0.929392446633826</v>
      </c>
      <c r="O1263" s="135">
        <v>0.9</v>
      </c>
      <c r="P1263" s="133">
        <v>0.992592592592593</v>
      </c>
      <c r="Q1263" s="133">
        <v>0.992490118577075</v>
      </c>
      <c r="R1263" s="133">
        <v>0.990018148820327</v>
      </c>
      <c r="S1263" s="133">
        <v>0.972458113380767</v>
      </c>
      <c r="T1263" s="135">
        <v>0.9</v>
      </c>
      <c r="U1263" s="133">
        <v>0.964672364672365</v>
      </c>
      <c r="V1263" s="133">
        <v>0.968774703557312</v>
      </c>
      <c r="W1263" s="133">
        <v>0.955535390199637</v>
      </c>
      <c r="X1263" s="133">
        <v>0.965664448014689</v>
      </c>
      <c r="Y1263" s="135">
        <v>0.92</v>
      </c>
      <c r="Z1263" s="135">
        <v>0.951149425287356</v>
      </c>
      <c r="AA1263" s="135">
        <v>0.96604600219058</v>
      </c>
      <c r="AB1263" s="135">
        <v>0.962247585601405</v>
      </c>
      <c r="AC1263" s="135">
        <v>0.965914348876664</v>
      </c>
      <c r="AD1263" s="135">
        <v>0.92</v>
      </c>
      <c r="AE1263" s="133">
        <v>1</v>
      </c>
      <c r="AF1263" s="133">
        <v>0.996038483305037</v>
      </c>
      <c r="AG1263" s="133">
        <v>1</v>
      </c>
      <c r="AH1263" s="133">
        <v>0.994485394485395</v>
      </c>
      <c r="AI1263" s="135">
        <v>0.92</v>
      </c>
      <c r="AJ1263" s="133">
        <v>0.973072215422277</v>
      </c>
      <c r="AK1263" s="133">
        <v>0.981121115306419</v>
      </c>
      <c r="AL1263" s="133">
        <v>0.979359856416392</v>
      </c>
      <c r="AM1263" s="133">
        <v>0.982816615365087</v>
      </c>
      <c r="AN1263" s="132">
        <v>0.99</v>
      </c>
      <c r="AO1263" s="137">
        <v>1</v>
      </c>
      <c r="AP1263" s="137">
        <v>1</v>
      </c>
      <c r="AQ1263" s="137">
        <v>1</v>
      </c>
      <c r="AR1263" s="137">
        <v>1</v>
      </c>
      <c r="AS1263" s="158">
        <v>0.0721861525408278</v>
      </c>
      <c r="AT1263" s="141">
        <v>0</v>
      </c>
      <c r="AU1263" s="141">
        <v>0.0769230769230769</v>
      </c>
      <c r="AV1263" s="141">
        <v>0.0769230769230769</v>
      </c>
      <c r="AW1263" s="141">
        <v>0.036697247706422</v>
      </c>
      <c r="AX1263" s="95"/>
      <c r="AY1263" s="93"/>
    </row>
    <row r="1264" ht="14.5" spans="1:51">
      <c r="A1264" s="91"/>
      <c r="B1264" s="95"/>
      <c r="C1264" s="152" t="s">
        <v>1085</v>
      </c>
      <c r="D1264" s="153" t="s">
        <v>25</v>
      </c>
      <c r="E1264" s="130" t="s">
        <v>1086</v>
      </c>
      <c r="F1264" s="195" t="s">
        <v>1294</v>
      </c>
      <c r="G1264" s="195" t="s">
        <v>1294</v>
      </c>
      <c r="H1264" s="195" t="s">
        <v>1294</v>
      </c>
      <c r="I1264" s="195" t="s">
        <v>1294</v>
      </c>
      <c r="J1264" s="132">
        <v>0.9</v>
      </c>
      <c r="K1264" s="133">
        <v>0.944444444444444</v>
      </c>
      <c r="L1264" s="133">
        <v>0.894736842105263</v>
      </c>
      <c r="M1264" s="134">
        <v>0.894736842105263</v>
      </c>
      <c r="N1264" s="133">
        <v>0.934659090909091</v>
      </c>
      <c r="O1264" s="135">
        <v>0.9</v>
      </c>
      <c r="P1264" s="133">
        <v>0.997354497354497</v>
      </c>
      <c r="Q1264" s="133">
        <v>0.993033565547815</v>
      </c>
      <c r="R1264" s="133">
        <v>0.99109131403118</v>
      </c>
      <c r="S1264" s="133">
        <v>0.970071812610445</v>
      </c>
      <c r="T1264" s="135">
        <v>0.9</v>
      </c>
      <c r="U1264" s="133">
        <v>0.96031746031746</v>
      </c>
      <c r="V1264" s="133">
        <v>0.965801139962001</v>
      </c>
      <c r="W1264" s="133">
        <v>0.974016332590943</v>
      </c>
      <c r="X1264" s="133">
        <v>0.962702560439147</v>
      </c>
      <c r="Y1264" s="135">
        <v>0.92</v>
      </c>
      <c r="Z1264" s="135">
        <v>0.961538461538462</v>
      </c>
      <c r="AA1264" s="135">
        <v>0.955665024630542</v>
      </c>
      <c r="AB1264" s="135">
        <v>0.974203338391502</v>
      </c>
      <c r="AC1264" s="135">
        <v>0.970623297002725</v>
      </c>
      <c r="AD1264" s="135">
        <v>0.92</v>
      </c>
      <c r="AE1264" s="133">
        <v>1</v>
      </c>
      <c r="AF1264" s="133">
        <v>0.998310810810811</v>
      </c>
      <c r="AG1264" s="133">
        <v>0.998468606431853</v>
      </c>
      <c r="AH1264" s="133">
        <v>0.998230253353204</v>
      </c>
      <c r="AI1264" s="135">
        <v>0.92</v>
      </c>
      <c r="AJ1264" s="133">
        <v>0.978064516129032</v>
      </c>
      <c r="AK1264" s="133">
        <v>0.979433272394881</v>
      </c>
      <c r="AL1264" s="133">
        <v>0.98654037886341</v>
      </c>
      <c r="AM1264" s="133">
        <v>0.985107326360815</v>
      </c>
      <c r="AN1264" s="132">
        <v>0.99</v>
      </c>
      <c r="AO1264" s="137">
        <v>1</v>
      </c>
      <c r="AP1264" s="137">
        <v>1</v>
      </c>
      <c r="AQ1264" s="137">
        <v>1</v>
      </c>
      <c r="AR1264" s="137">
        <v>1</v>
      </c>
      <c r="AS1264" s="158">
        <v>0.0721861525408278</v>
      </c>
      <c r="AT1264" s="141">
        <v>0</v>
      </c>
      <c r="AU1264" s="141">
        <v>0</v>
      </c>
      <c r="AV1264" s="141">
        <v>0</v>
      </c>
      <c r="AW1264" s="141">
        <v>0.0594059405940594</v>
      </c>
      <c r="AX1264" s="95"/>
      <c r="AY1264" s="93"/>
    </row>
    <row r="1265" ht="14.5" spans="1:51">
      <c r="A1265" s="91"/>
      <c r="B1265" s="95"/>
      <c r="C1265" s="152" t="s">
        <v>1085</v>
      </c>
      <c r="D1265" s="153" t="s">
        <v>25</v>
      </c>
      <c r="E1265" s="130" t="s">
        <v>1086</v>
      </c>
      <c r="F1265" s="195" t="s">
        <v>1295</v>
      </c>
      <c r="G1265" s="195" t="s">
        <v>1295</v>
      </c>
      <c r="H1265" s="195" t="s">
        <v>1295</v>
      </c>
      <c r="I1265" s="195" t="s">
        <v>1295</v>
      </c>
      <c r="J1265" s="132">
        <v>0.9</v>
      </c>
      <c r="K1265" s="133">
        <v>0.794117647058823</v>
      </c>
      <c r="L1265" s="133">
        <v>0.85</v>
      </c>
      <c r="M1265" s="134">
        <v>0.871794871794872</v>
      </c>
      <c r="N1265" s="133">
        <v>0.865546218487395</v>
      </c>
      <c r="O1265" s="135">
        <v>0.9</v>
      </c>
      <c r="P1265" s="133">
        <v>0.992076966610074</v>
      </c>
      <c r="Q1265" s="133">
        <v>0.966536964980545</v>
      </c>
      <c r="R1265" s="133">
        <v>0.982844243792325</v>
      </c>
      <c r="S1265" s="133">
        <v>0.972711308285965</v>
      </c>
      <c r="T1265" s="135">
        <v>0.9</v>
      </c>
      <c r="U1265" s="133">
        <v>0.925863044708546</v>
      </c>
      <c r="V1265" s="133">
        <v>0.94591439688716</v>
      </c>
      <c r="W1265" s="133">
        <v>0.939051918735892</v>
      </c>
      <c r="X1265" s="133">
        <v>0.940061925227598</v>
      </c>
      <c r="Y1265" s="135">
        <v>0.92</v>
      </c>
      <c r="Z1265" s="135">
        <v>0.908587257617729</v>
      </c>
      <c r="AA1265" s="135">
        <v>0.939160239931448</v>
      </c>
      <c r="AB1265" s="135">
        <v>0.917898193760263</v>
      </c>
      <c r="AC1265" s="135">
        <v>0.929671457905544</v>
      </c>
      <c r="AD1265" s="135">
        <v>0.92</v>
      </c>
      <c r="AE1265" s="133">
        <v>1</v>
      </c>
      <c r="AF1265" s="133">
        <v>1</v>
      </c>
      <c r="AG1265" s="133">
        <v>1</v>
      </c>
      <c r="AH1265" s="133">
        <v>0.999144689950107</v>
      </c>
      <c r="AI1265" s="135">
        <v>0.92</v>
      </c>
      <c r="AJ1265" s="133">
        <v>0.950180795500201</v>
      </c>
      <c r="AK1265" s="133">
        <v>0.970037453183521</v>
      </c>
      <c r="AL1265" s="133">
        <v>0.959801922516749</v>
      </c>
      <c r="AM1265" s="133">
        <v>0.966861039416244</v>
      </c>
      <c r="AN1265" s="132">
        <v>0.99</v>
      </c>
      <c r="AO1265" s="137">
        <v>1</v>
      </c>
      <c r="AP1265" s="137">
        <v>1</v>
      </c>
      <c r="AQ1265" s="137">
        <v>1</v>
      </c>
      <c r="AR1265" s="137">
        <v>1</v>
      </c>
      <c r="AS1265" s="158">
        <v>0.0721861525408278</v>
      </c>
      <c r="AT1265" s="141">
        <v>0</v>
      </c>
      <c r="AU1265" s="141">
        <v>0</v>
      </c>
      <c r="AV1265" s="141">
        <v>0</v>
      </c>
      <c r="AW1265" s="141">
        <v>0.0437158469945355</v>
      </c>
      <c r="AX1265" s="95"/>
      <c r="AY1265" s="93"/>
    </row>
    <row r="1266" ht="14.5" spans="1:51">
      <c r="A1266" s="91"/>
      <c r="B1266" s="95"/>
      <c r="C1266" s="152" t="s">
        <v>1085</v>
      </c>
      <c r="D1266" s="153" t="s">
        <v>25</v>
      </c>
      <c r="E1266" s="130" t="s">
        <v>1086</v>
      </c>
      <c r="F1266" s="195" t="s">
        <v>1296</v>
      </c>
      <c r="G1266" s="195" t="s">
        <v>1296</v>
      </c>
      <c r="H1266" s="195" t="s">
        <v>1296</v>
      </c>
      <c r="I1266" s="195" t="s">
        <v>1296</v>
      </c>
      <c r="J1266" s="132">
        <v>0.9</v>
      </c>
      <c r="K1266" s="133">
        <v>0.961538461538462</v>
      </c>
      <c r="L1266" s="133">
        <v>0.962962962962963</v>
      </c>
      <c r="M1266" s="134">
        <v>0.956521739130435</v>
      </c>
      <c r="N1266" s="133">
        <v>0.970833333333333</v>
      </c>
      <c r="O1266" s="135">
        <v>0.9</v>
      </c>
      <c r="P1266" s="133">
        <v>0.993754879000781</v>
      </c>
      <c r="Q1266" s="133">
        <v>0.991913746630728</v>
      </c>
      <c r="R1266" s="133">
        <v>0.992154496077248</v>
      </c>
      <c r="S1266" s="133">
        <v>0.989659387492154</v>
      </c>
      <c r="T1266" s="135">
        <v>0.9</v>
      </c>
      <c r="U1266" s="133">
        <v>0.982045277127244</v>
      </c>
      <c r="V1266" s="133">
        <v>0.985983827493261</v>
      </c>
      <c r="W1266" s="133">
        <v>0.985515992757996</v>
      </c>
      <c r="X1266" s="133">
        <v>0.981499223628134</v>
      </c>
      <c r="Y1266" s="135">
        <v>0.92</v>
      </c>
      <c r="Z1266" s="135">
        <v>0.980882352941176</v>
      </c>
      <c r="AA1266" s="135">
        <v>0.984357541899441</v>
      </c>
      <c r="AB1266" s="135">
        <v>0.986794717887155</v>
      </c>
      <c r="AC1266" s="135">
        <v>0.986239163341131</v>
      </c>
      <c r="AD1266" s="135">
        <v>0.92</v>
      </c>
      <c r="AE1266" s="133">
        <v>1</v>
      </c>
      <c r="AF1266" s="133">
        <v>1</v>
      </c>
      <c r="AG1266" s="133">
        <v>1</v>
      </c>
      <c r="AH1266" s="133">
        <v>0.997564370215727</v>
      </c>
      <c r="AI1266" s="135">
        <v>0.92</v>
      </c>
      <c r="AJ1266" s="133">
        <v>0.987251402345742</v>
      </c>
      <c r="AK1266" s="133">
        <v>0.992363636363636</v>
      </c>
      <c r="AL1266" s="133">
        <v>0.991164658634538</v>
      </c>
      <c r="AM1266" s="133">
        <v>0.99232245681382</v>
      </c>
      <c r="AN1266" s="132">
        <v>0.99</v>
      </c>
      <c r="AO1266" s="137">
        <v>1</v>
      </c>
      <c r="AP1266" s="137">
        <v>1</v>
      </c>
      <c r="AQ1266" s="137">
        <v>1</v>
      </c>
      <c r="AR1266" s="137">
        <v>1</v>
      </c>
      <c r="AS1266" s="158">
        <v>0.0721861525408278</v>
      </c>
      <c r="AT1266" s="141">
        <v>0</v>
      </c>
      <c r="AU1266" s="141">
        <v>0</v>
      </c>
      <c r="AV1266" s="141">
        <v>0</v>
      </c>
      <c r="AW1266" s="141">
        <v>0.0212765957446809</v>
      </c>
      <c r="AX1266" s="95"/>
      <c r="AY1266" s="93"/>
    </row>
    <row r="1267" ht="14.5" spans="1:51">
      <c r="A1267" s="91"/>
      <c r="B1267" s="95"/>
      <c r="C1267" s="152" t="s">
        <v>1085</v>
      </c>
      <c r="D1267" s="153" t="s">
        <v>25</v>
      </c>
      <c r="E1267" s="130" t="s">
        <v>1086</v>
      </c>
      <c r="F1267" s="195" t="s">
        <v>1297</v>
      </c>
      <c r="G1267" s="195" t="s">
        <v>1297</v>
      </c>
      <c r="H1267" s="195" t="s">
        <v>1297</v>
      </c>
      <c r="I1267" s="195" t="s">
        <v>1297</v>
      </c>
      <c r="J1267" s="132">
        <v>0.9</v>
      </c>
      <c r="K1267" s="133">
        <v>1</v>
      </c>
      <c r="L1267" s="133">
        <v>0.973684210526316</v>
      </c>
      <c r="M1267" s="134">
        <v>0.971428571428571</v>
      </c>
      <c r="N1267" s="133">
        <v>0.957507082152975</v>
      </c>
      <c r="O1267" s="135">
        <v>0.9</v>
      </c>
      <c r="P1267" s="133">
        <v>0.986604542807222</v>
      </c>
      <c r="Q1267" s="133">
        <v>0.985681114551084</v>
      </c>
      <c r="R1267" s="133">
        <v>0.986990459670425</v>
      </c>
      <c r="S1267" s="133">
        <v>0.985674511576994</v>
      </c>
      <c r="T1267" s="135">
        <v>0.9</v>
      </c>
      <c r="U1267" s="133">
        <v>0.882352941176471</v>
      </c>
      <c r="V1267" s="133">
        <v>0.876547987616099</v>
      </c>
      <c r="W1267" s="133">
        <v>0.873807458803122</v>
      </c>
      <c r="X1267" s="133">
        <v>0.906003855031768</v>
      </c>
      <c r="Y1267" s="135">
        <v>0.92</v>
      </c>
      <c r="Z1267" s="135">
        <v>0.833095577746077</v>
      </c>
      <c r="AA1267" s="135">
        <v>0.895043731778426</v>
      </c>
      <c r="AB1267" s="135">
        <v>0.888698630136986</v>
      </c>
      <c r="AC1267" s="135">
        <v>0.913349449368789</v>
      </c>
      <c r="AD1267" s="135">
        <v>0.92</v>
      </c>
      <c r="AE1267" s="133">
        <v>1</v>
      </c>
      <c r="AF1267" s="133">
        <v>0.991489361702128</v>
      </c>
      <c r="AG1267" s="133">
        <v>1</v>
      </c>
      <c r="AH1267" s="133">
        <v>0.993629264282778</v>
      </c>
      <c r="AI1267" s="135">
        <v>0.92</v>
      </c>
      <c r="AJ1267" s="133">
        <v>0.903225806451613</v>
      </c>
      <c r="AK1267" s="133">
        <v>0.940492665375035</v>
      </c>
      <c r="AL1267" s="133">
        <v>0.939838802533103</v>
      </c>
      <c r="AM1267" s="133">
        <v>0.95263696032191</v>
      </c>
      <c r="AN1267" s="132">
        <v>0.99</v>
      </c>
      <c r="AO1267" s="137">
        <v>1</v>
      </c>
      <c r="AP1267" s="137">
        <v>1</v>
      </c>
      <c r="AQ1267" s="137">
        <v>1</v>
      </c>
      <c r="AR1267" s="137">
        <v>1</v>
      </c>
      <c r="AS1267" s="158">
        <v>0.0721861525408278</v>
      </c>
      <c r="AT1267" s="141">
        <v>0</v>
      </c>
      <c r="AU1267" s="141">
        <v>0</v>
      </c>
      <c r="AV1267" s="141">
        <v>0</v>
      </c>
      <c r="AW1267" s="141">
        <v>0.0661157024793388</v>
      </c>
      <c r="AX1267" s="95"/>
      <c r="AY1267" s="93"/>
    </row>
    <row r="1268" ht="14.5" spans="1:51">
      <c r="A1268" s="91"/>
      <c r="B1268" s="95"/>
      <c r="C1268" s="152" t="s">
        <v>1085</v>
      </c>
      <c r="D1268" s="153" t="s">
        <v>25</v>
      </c>
      <c r="E1268" s="130" t="s">
        <v>1086</v>
      </c>
      <c r="F1268" s="195" t="s">
        <v>1298</v>
      </c>
      <c r="G1268" s="195" t="s">
        <v>1298</v>
      </c>
      <c r="H1268" s="195" t="s">
        <v>1298</v>
      </c>
      <c r="I1268" s="195" t="s">
        <v>1298</v>
      </c>
      <c r="J1268" s="132">
        <v>0.9</v>
      </c>
      <c r="K1268" s="133">
        <v>0.961538461538462</v>
      </c>
      <c r="L1268" s="133">
        <v>1</v>
      </c>
      <c r="M1268" s="134">
        <v>1</v>
      </c>
      <c r="N1268" s="133">
        <v>0.976237623762376</v>
      </c>
      <c r="O1268" s="135">
        <v>0.9</v>
      </c>
      <c r="P1268" s="133">
        <v>0.945070422535211</v>
      </c>
      <c r="Q1268" s="133">
        <v>0.984965635738832</v>
      </c>
      <c r="R1268" s="133">
        <v>0.986861313868613</v>
      </c>
      <c r="S1268" s="133">
        <v>0.984544412010008</v>
      </c>
      <c r="T1268" s="135">
        <v>0.9</v>
      </c>
      <c r="U1268" s="133">
        <v>0.919718309859155</v>
      </c>
      <c r="V1268" s="133">
        <v>0.960481099656357</v>
      </c>
      <c r="W1268" s="133">
        <v>0.95036496350365</v>
      </c>
      <c r="X1268" s="133">
        <v>0.9667170558799</v>
      </c>
      <c r="Y1268" s="135">
        <v>0.92</v>
      </c>
      <c r="Z1268" s="135" t="s">
        <v>35</v>
      </c>
      <c r="AA1268" s="135" t="s">
        <v>35</v>
      </c>
      <c r="AB1268" s="135" t="s">
        <v>35</v>
      </c>
      <c r="AC1268" s="135" t="s">
        <v>35</v>
      </c>
      <c r="AD1268" s="135">
        <v>0.92</v>
      </c>
      <c r="AE1268" s="133">
        <v>0.996732026143791</v>
      </c>
      <c r="AF1268" s="133">
        <v>1</v>
      </c>
      <c r="AG1268" s="133">
        <v>1</v>
      </c>
      <c r="AH1268" s="133">
        <v>0.997612225405922</v>
      </c>
      <c r="AI1268" s="135">
        <v>0.92</v>
      </c>
      <c r="AJ1268" s="133">
        <v>0.930281690140845</v>
      </c>
      <c r="AK1268" s="133">
        <v>0.971219931271478</v>
      </c>
      <c r="AL1268" s="133">
        <v>0.966423357664234</v>
      </c>
      <c r="AM1268" s="133">
        <v>0.979983841121739</v>
      </c>
      <c r="AN1268" s="132">
        <v>0.99</v>
      </c>
      <c r="AO1268" s="137">
        <v>1</v>
      </c>
      <c r="AP1268" s="137">
        <v>1</v>
      </c>
      <c r="AQ1268" s="137">
        <v>1</v>
      </c>
      <c r="AR1268" s="137">
        <v>1</v>
      </c>
      <c r="AS1268" s="158">
        <v>0.0721861525408278</v>
      </c>
      <c r="AT1268" s="141">
        <v>0</v>
      </c>
      <c r="AU1268" s="141">
        <v>0.0588235294117647</v>
      </c>
      <c r="AV1268" s="141">
        <v>0.25</v>
      </c>
      <c r="AW1268" s="141">
        <v>0.0461538461538462</v>
      </c>
      <c r="AX1268" s="95"/>
      <c r="AY1268" s="93"/>
    </row>
    <row r="1269" ht="14.5" spans="1:51">
      <c r="A1269" s="91"/>
      <c r="B1269" s="95"/>
      <c r="C1269" s="152" t="s">
        <v>1085</v>
      </c>
      <c r="D1269" s="153" t="s">
        <v>25</v>
      </c>
      <c r="E1269" s="130" t="s">
        <v>1086</v>
      </c>
      <c r="F1269" s="195" t="s">
        <v>1299</v>
      </c>
      <c r="G1269" s="195" t="s">
        <v>1299</v>
      </c>
      <c r="H1269" s="195" t="s">
        <v>1299</v>
      </c>
      <c r="I1269" s="195" t="s">
        <v>1299</v>
      </c>
      <c r="J1269" s="132">
        <v>0.9</v>
      </c>
      <c r="K1269" s="133">
        <v>1</v>
      </c>
      <c r="L1269" s="133">
        <v>1</v>
      </c>
      <c r="M1269" s="134">
        <v>0.923076923076923</v>
      </c>
      <c r="N1269" s="133">
        <v>0.96969696969697</v>
      </c>
      <c r="O1269" s="135">
        <v>0.9</v>
      </c>
      <c r="P1269" s="133">
        <v>0.980099502487562</v>
      </c>
      <c r="Q1269" s="133">
        <v>0.99182156133829</v>
      </c>
      <c r="R1269" s="133">
        <v>0.988215488215488</v>
      </c>
      <c r="S1269" s="133">
        <v>0.984215775551797</v>
      </c>
      <c r="T1269" s="135">
        <v>0.9</v>
      </c>
      <c r="U1269" s="133">
        <v>0.953980099502488</v>
      </c>
      <c r="V1269" s="133">
        <v>0.93457249070632</v>
      </c>
      <c r="W1269" s="133">
        <v>0.976430976430976</v>
      </c>
      <c r="X1269" s="133">
        <v>0.926889553792117</v>
      </c>
      <c r="Y1269" s="135">
        <v>0.92</v>
      </c>
      <c r="Z1269" s="135">
        <v>0</v>
      </c>
      <c r="AA1269" s="135" t="s">
        <v>35</v>
      </c>
      <c r="AB1269" s="135" t="s">
        <v>35</v>
      </c>
      <c r="AC1269" s="135">
        <v>0.25</v>
      </c>
      <c r="AD1269" s="135">
        <v>0.92</v>
      </c>
      <c r="AE1269" s="133">
        <v>0.994845360824742</v>
      </c>
      <c r="AF1269" s="133">
        <v>1</v>
      </c>
      <c r="AG1269" s="133">
        <v>1</v>
      </c>
      <c r="AH1269" s="133">
        <v>0.997795414462081</v>
      </c>
      <c r="AI1269" s="135">
        <v>0.92</v>
      </c>
      <c r="AJ1269" s="133">
        <v>0.967781908302354</v>
      </c>
      <c r="AK1269" s="133">
        <v>0.986617100371747</v>
      </c>
      <c r="AL1269" s="133">
        <v>0.988215488215488</v>
      </c>
      <c r="AM1269" s="133">
        <v>0.979752872317364</v>
      </c>
      <c r="AN1269" s="132">
        <v>0.99</v>
      </c>
      <c r="AO1269" s="137">
        <v>1</v>
      </c>
      <c r="AP1269" s="137">
        <v>1</v>
      </c>
      <c r="AQ1269" s="137">
        <v>1</v>
      </c>
      <c r="AR1269" s="137">
        <v>1</v>
      </c>
      <c r="AS1269" s="158">
        <v>0.0721861525408278</v>
      </c>
      <c r="AT1269" s="141">
        <v>0</v>
      </c>
      <c r="AU1269" s="141">
        <v>0.5</v>
      </c>
      <c r="AV1269" s="141">
        <v>0</v>
      </c>
      <c r="AW1269" s="141">
        <v>0.0645161290322581</v>
      </c>
      <c r="AX1269" s="95"/>
      <c r="AY1269" s="93"/>
    </row>
    <row r="1270" ht="14.5" spans="1:51">
      <c r="A1270" s="91"/>
      <c r="B1270" s="95"/>
      <c r="C1270" s="152" t="s">
        <v>1085</v>
      </c>
      <c r="D1270" s="153" t="s">
        <v>25</v>
      </c>
      <c r="E1270" s="130" t="s">
        <v>1086</v>
      </c>
      <c r="F1270" s="195" t="s">
        <v>1300</v>
      </c>
      <c r="G1270" s="195" t="s">
        <v>1300</v>
      </c>
      <c r="H1270" s="195" t="s">
        <v>1300</v>
      </c>
      <c r="I1270" s="195" t="s">
        <v>1300</v>
      </c>
      <c r="J1270" s="132">
        <v>0.9</v>
      </c>
      <c r="K1270" s="133">
        <v>1</v>
      </c>
      <c r="L1270" s="133">
        <v>0.909090909090909</v>
      </c>
      <c r="M1270" s="134">
        <v>0.9</v>
      </c>
      <c r="N1270" s="133">
        <v>0.967213114754098</v>
      </c>
      <c r="O1270" s="135">
        <v>0.9</v>
      </c>
      <c r="P1270" s="133">
        <v>0.918330308529946</v>
      </c>
      <c r="Q1270" s="133">
        <v>0.960406091370558</v>
      </c>
      <c r="R1270" s="133">
        <v>0.95822454308094</v>
      </c>
      <c r="S1270" s="133">
        <v>0.954738058551618</v>
      </c>
      <c r="T1270" s="135">
        <v>0.9</v>
      </c>
      <c r="U1270" s="133">
        <v>0.923774954627949</v>
      </c>
      <c r="V1270" s="133">
        <v>0.915736040609137</v>
      </c>
      <c r="W1270" s="133">
        <v>0.921671018276762</v>
      </c>
      <c r="X1270" s="133">
        <v>0.904532614278377</v>
      </c>
      <c r="Y1270" s="135">
        <v>0.92</v>
      </c>
      <c r="Z1270" s="135">
        <v>1</v>
      </c>
      <c r="AA1270" s="135">
        <v>0</v>
      </c>
      <c r="AB1270" s="135" t="s">
        <v>35</v>
      </c>
      <c r="AC1270" s="135">
        <v>0.5</v>
      </c>
      <c r="AD1270" s="135">
        <v>0.92</v>
      </c>
      <c r="AE1270" s="133">
        <v>0.998315080033698</v>
      </c>
      <c r="AF1270" s="133">
        <v>0.999018645731109</v>
      </c>
      <c r="AG1270" s="133">
        <v>0.998902305159166</v>
      </c>
      <c r="AH1270" s="133">
        <v>0.986054577422385</v>
      </c>
      <c r="AI1270" s="135">
        <v>0.92</v>
      </c>
      <c r="AJ1270" s="133">
        <v>0.942028985507246</v>
      </c>
      <c r="AK1270" s="133">
        <v>0.964503042596349</v>
      </c>
      <c r="AL1270" s="133">
        <v>0.949086161879896</v>
      </c>
      <c r="AM1270" s="133">
        <v>0.954557124518614</v>
      </c>
      <c r="AN1270" s="132">
        <v>0.99</v>
      </c>
      <c r="AO1270" s="137">
        <v>1</v>
      </c>
      <c r="AP1270" s="137">
        <v>1</v>
      </c>
      <c r="AQ1270" s="137">
        <v>1</v>
      </c>
      <c r="AR1270" s="137">
        <v>1</v>
      </c>
      <c r="AS1270" s="158">
        <v>0.0721861525408278</v>
      </c>
      <c r="AT1270" s="141">
        <v>0</v>
      </c>
      <c r="AU1270" s="141">
        <v>0.2</v>
      </c>
      <c r="AV1270" s="141">
        <v>0</v>
      </c>
      <c r="AW1270" s="141">
        <v>0.0166666666666667</v>
      </c>
      <c r="AX1270" s="95"/>
      <c r="AY1270" s="93"/>
    </row>
    <row r="1271" ht="14.5" spans="1:51">
      <c r="A1271" s="91"/>
      <c r="B1271" s="95"/>
      <c r="C1271" s="152" t="s">
        <v>1085</v>
      </c>
      <c r="D1271" s="153" t="s">
        <v>25</v>
      </c>
      <c r="E1271" s="130" t="s">
        <v>1086</v>
      </c>
      <c r="F1271" s="195" t="s">
        <v>1301</v>
      </c>
      <c r="G1271" s="195" t="s">
        <v>1301</v>
      </c>
      <c r="H1271" s="195" t="s">
        <v>1301</v>
      </c>
      <c r="I1271" s="195" t="s">
        <v>1301</v>
      </c>
      <c r="J1271" s="132">
        <v>0.9</v>
      </c>
      <c r="K1271" s="133">
        <v>0.821428571428571</v>
      </c>
      <c r="L1271" s="133">
        <v>0.872727272727273</v>
      </c>
      <c r="M1271" s="134">
        <v>0.898305084745763</v>
      </c>
      <c r="N1271" s="133">
        <v>0.873252562907735</v>
      </c>
      <c r="O1271" s="135">
        <v>0.9</v>
      </c>
      <c r="P1271" s="133">
        <v>0.98721071863581</v>
      </c>
      <c r="Q1271" s="133">
        <v>0.989110707803993</v>
      </c>
      <c r="R1271" s="133">
        <v>0.968372867249272</v>
      </c>
      <c r="S1271" s="133">
        <v>0.982727970587047</v>
      </c>
      <c r="T1271" s="135">
        <v>0.9</v>
      </c>
      <c r="U1271" s="133">
        <v>0.880633373934227</v>
      </c>
      <c r="V1271" s="133">
        <v>0.899092558983666</v>
      </c>
      <c r="W1271" s="133">
        <v>0.915106117353308</v>
      </c>
      <c r="X1271" s="133">
        <v>0.925497959678397</v>
      </c>
      <c r="Y1271" s="135">
        <v>0.92</v>
      </c>
      <c r="Z1271" s="135">
        <v>0.917177914110429</v>
      </c>
      <c r="AA1271" s="135">
        <v>0.920493488690884</v>
      </c>
      <c r="AB1271" s="135">
        <v>0.935766423357664</v>
      </c>
      <c r="AC1271" s="135">
        <v>0.946510853272636</v>
      </c>
      <c r="AD1271" s="135">
        <v>0.92</v>
      </c>
      <c r="AE1271" s="133">
        <v>0.996696035242291</v>
      </c>
      <c r="AF1271" s="133">
        <v>0.9958071278826</v>
      </c>
      <c r="AG1271" s="133">
        <v>0.999298245614035</v>
      </c>
      <c r="AH1271" s="133">
        <v>0.998460918318737</v>
      </c>
      <c r="AI1271" s="135">
        <v>0.92</v>
      </c>
      <c r="AJ1271" s="133">
        <v>0.931771894093686</v>
      </c>
      <c r="AK1271" s="133">
        <v>0.950166112956811</v>
      </c>
      <c r="AL1271" s="133">
        <v>0.952954898911353</v>
      </c>
      <c r="AM1271" s="133">
        <v>0.965757108118219</v>
      </c>
      <c r="AN1271" s="132">
        <v>0.99</v>
      </c>
      <c r="AO1271" s="137">
        <v>1</v>
      </c>
      <c r="AP1271" s="137">
        <v>1</v>
      </c>
      <c r="AQ1271" s="137">
        <v>1</v>
      </c>
      <c r="AR1271" s="137">
        <v>1</v>
      </c>
      <c r="AS1271" s="158">
        <v>0.0721861525408278</v>
      </c>
      <c r="AT1271" s="141">
        <v>0</v>
      </c>
      <c r="AU1271" s="141">
        <v>0.0714285714285714</v>
      </c>
      <c r="AV1271" s="141">
        <v>0.153846153846154</v>
      </c>
      <c r="AW1271" s="141">
        <v>0.0320284697508897</v>
      </c>
      <c r="AX1271" s="95"/>
      <c r="AY1271" s="93"/>
    </row>
    <row r="1272" ht="14.5" spans="1:51">
      <c r="A1272" s="91"/>
      <c r="B1272" s="95"/>
      <c r="C1272" s="152" t="s">
        <v>1085</v>
      </c>
      <c r="D1272" s="153" t="s">
        <v>25</v>
      </c>
      <c r="E1272" s="130" t="s">
        <v>1086</v>
      </c>
      <c r="F1272" s="195" t="s">
        <v>1302</v>
      </c>
      <c r="G1272" s="195" t="s">
        <v>1302</v>
      </c>
      <c r="H1272" s="195" t="s">
        <v>1302</v>
      </c>
      <c r="I1272" s="195" t="s">
        <v>1302</v>
      </c>
      <c r="J1272" s="132">
        <v>0.9</v>
      </c>
      <c r="K1272" s="133">
        <v>0.904761904761905</v>
      </c>
      <c r="L1272" s="133">
        <v>0.923076923076923</v>
      </c>
      <c r="M1272" s="134">
        <v>0.911111111111111</v>
      </c>
      <c r="N1272" s="133">
        <v>0.939977349943375</v>
      </c>
      <c r="O1272" s="135">
        <v>0.9</v>
      </c>
      <c r="P1272" s="133">
        <v>0.988</v>
      </c>
      <c r="Q1272" s="133">
        <v>0.988421458896179</v>
      </c>
      <c r="R1272" s="133">
        <v>0.992578849721707</v>
      </c>
      <c r="S1272" s="133">
        <v>0.981618324360838</v>
      </c>
      <c r="T1272" s="135">
        <v>0.9</v>
      </c>
      <c r="U1272" s="133">
        <v>0.952</v>
      </c>
      <c r="V1272" s="133">
        <v>0.953685835584716</v>
      </c>
      <c r="W1272" s="133">
        <v>0.942949907235622</v>
      </c>
      <c r="X1272" s="133">
        <v>0.958180664442307</v>
      </c>
      <c r="Y1272" s="135">
        <v>0.92</v>
      </c>
      <c r="Z1272" s="135">
        <v>0.967576791808874</v>
      </c>
      <c r="AA1272" s="135">
        <v>0.953277545327755</v>
      </c>
      <c r="AB1272" s="135">
        <v>0.948674080410607</v>
      </c>
      <c r="AC1272" s="135">
        <v>0.972503160556258</v>
      </c>
      <c r="AD1272" s="135">
        <v>0.92</v>
      </c>
      <c r="AE1272" s="133">
        <v>0.999659052165019</v>
      </c>
      <c r="AF1272" s="133">
        <v>0.999209486166008</v>
      </c>
      <c r="AG1272" s="133">
        <v>1</v>
      </c>
      <c r="AH1272" s="133">
        <v>0.999588856362859</v>
      </c>
      <c r="AI1272" s="135">
        <v>0.92</v>
      </c>
      <c r="AJ1272" s="133">
        <v>0.973802395209581</v>
      </c>
      <c r="AK1272" s="133">
        <v>0.969184890656064</v>
      </c>
      <c r="AL1272" s="133">
        <v>0.960169114374722</v>
      </c>
      <c r="AM1272" s="133">
        <v>0.982070284484819</v>
      </c>
      <c r="AN1272" s="132">
        <v>0.99</v>
      </c>
      <c r="AO1272" s="137">
        <v>1</v>
      </c>
      <c r="AP1272" s="137">
        <v>1</v>
      </c>
      <c r="AQ1272" s="137">
        <v>1</v>
      </c>
      <c r="AR1272" s="137">
        <v>1</v>
      </c>
      <c r="AS1272" s="158">
        <v>0.0721861525408278</v>
      </c>
      <c r="AT1272" s="141">
        <v>0.05</v>
      </c>
      <c r="AU1272" s="141">
        <v>0.0526315789473684</v>
      </c>
      <c r="AV1272" s="141">
        <v>0.0476190476190476</v>
      </c>
      <c r="AW1272" s="141">
        <v>0.0412371134020619</v>
      </c>
      <c r="AX1272" s="95"/>
      <c r="AY1272" s="93"/>
    </row>
    <row r="1273" ht="14.5" spans="1:51">
      <c r="A1273" s="91"/>
      <c r="B1273" s="95"/>
      <c r="C1273" s="152" t="s">
        <v>1085</v>
      </c>
      <c r="D1273" s="153" t="s">
        <v>25</v>
      </c>
      <c r="E1273" s="130" t="s">
        <v>1086</v>
      </c>
      <c r="F1273" s="195" t="s">
        <v>1303</v>
      </c>
      <c r="G1273" s="195" t="s">
        <v>1303</v>
      </c>
      <c r="H1273" s="195" t="s">
        <v>1303</v>
      </c>
      <c r="I1273" s="195" t="s">
        <v>1303</v>
      </c>
      <c r="J1273" s="132">
        <v>0.9</v>
      </c>
      <c r="K1273" s="133">
        <v>1</v>
      </c>
      <c r="L1273" s="133">
        <v>0.962962962962963</v>
      </c>
      <c r="M1273" s="134">
        <v>0.96</v>
      </c>
      <c r="N1273" s="133">
        <v>0.880503144654088</v>
      </c>
      <c r="O1273" s="135">
        <v>0.9</v>
      </c>
      <c r="P1273" s="133">
        <v>0.992932862190813</v>
      </c>
      <c r="Q1273" s="133">
        <v>0.990987607960946</v>
      </c>
      <c r="R1273" s="133">
        <v>0.992665036674817</v>
      </c>
      <c r="S1273" s="133">
        <v>0.986075734420105</v>
      </c>
      <c r="T1273" s="135">
        <v>0.9</v>
      </c>
      <c r="U1273" s="133">
        <v>0.907420494699647</v>
      </c>
      <c r="V1273" s="133">
        <v>0.911378144949305</v>
      </c>
      <c r="W1273" s="133">
        <v>0.922249388753056</v>
      </c>
      <c r="X1273" s="133">
        <v>0.910608155641268</v>
      </c>
      <c r="Y1273" s="135">
        <v>0.92</v>
      </c>
      <c r="Z1273" s="135">
        <v>0</v>
      </c>
      <c r="AA1273" s="135" t="s">
        <v>35</v>
      </c>
      <c r="AB1273" s="135" t="s">
        <v>35</v>
      </c>
      <c r="AC1273" s="135">
        <v>0.333333333333333</v>
      </c>
      <c r="AD1273" s="135">
        <v>0.92</v>
      </c>
      <c r="AE1273" s="133">
        <v>1</v>
      </c>
      <c r="AF1273" s="133">
        <v>1</v>
      </c>
      <c r="AG1273" s="133">
        <v>1</v>
      </c>
      <c r="AH1273" s="133">
        <v>0.999510763209393</v>
      </c>
      <c r="AI1273" s="135">
        <v>0.92</v>
      </c>
      <c r="AJ1273" s="133">
        <v>0.938645980253879</v>
      </c>
      <c r="AK1273" s="133">
        <v>0.968081111528352</v>
      </c>
      <c r="AL1273" s="133">
        <v>0.974083129584352</v>
      </c>
      <c r="AM1273" s="133">
        <v>0.979723010502316</v>
      </c>
      <c r="AN1273" s="132">
        <v>0.99</v>
      </c>
      <c r="AO1273" s="137">
        <v>1</v>
      </c>
      <c r="AP1273" s="137">
        <v>1</v>
      </c>
      <c r="AQ1273" s="137">
        <v>1</v>
      </c>
      <c r="AR1273" s="137">
        <v>1</v>
      </c>
      <c r="AS1273" s="158">
        <v>0.0721861525408278</v>
      </c>
      <c r="AT1273" s="141">
        <v>0</v>
      </c>
      <c r="AU1273" s="141">
        <v>0</v>
      </c>
      <c r="AV1273" s="141">
        <v>0</v>
      </c>
      <c r="AW1273" s="141">
        <v>0.0075187969924812</v>
      </c>
      <c r="AX1273" s="95"/>
      <c r="AY1273" s="93"/>
    </row>
    <row r="1274" ht="14.5" spans="1:51">
      <c r="A1274" s="91"/>
      <c r="B1274" s="95"/>
      <c r="C1274" s="152" t="s">
        <v>1085</v>
      </c>
      <c r="D1274" s="153" t="s">
        <v>25</v>
      </c>
      <c r="E1274" s="130" t="s">
        <v>1086</v>
      </c>
      <c r="F1274" s="195" t="s">
        <v>1304</v>
      </c>
      <c r="G1274" s="195" t="s">
        <v>1304</v>
      </c>
      <c r="H1274" s="195" t="s">
        <v>1304</v>
      </c>
      <c r="I1274" s="195" t="s">
        <v>1304</v>
      </c>
      <c r="J1274" s="132">
        <v>0.9</v>
      </c>
      <c r="K1274" s="133">
        <v>1</v>
      </c>
      <c r="L1274" s="133">
        <v>1</v>
      </c>
      <c r="M1274" s="134">
        <v>0.976744186046512</v>
      </c>
      <c r="N1274" s="133">
        <v>0.996098829648895</v>
      </c>
      <c r="O1274" s="135">
        <v>0.9</v>
      </c>
      <c r="P1274" s="133">
        <v>0.986511627906977</v>
      </c>
      <c r="Q1274" s="133">
        <v>0.992006394884093</v>
      </c>
      <c r="R1274" s="133">
        <v>0.992419456727732</v>
      </c>
      <c r="S1274" s="133">
        <v>0.990864574135024</v>
      </c>
      <c r="T1274" s="135">
        <v>0.9</v>
      </c>
      <c r="U1274" s="133">
        <v>0.96093023255814</v>
      </c>
      <c r="V1274" s="133">
        <v>0.966160405009326</v>
      </c>
      <c r="W1274" s="133">
        <v>0.981364497789008</v>
      </c>
      <c r="X1274" s="133">
        <v>0.975692381793369</v>
      </c>
      <c r="Y1274" s="135">
        <v>0.92</v>
      </c>
      <c r="Z1274" s="135" t="s">
        <v>35</v>
      </c>
      <c r="AA1274" s="135" t="s">
        <v>35</v>
      </c>
      <c r="AB1274" s="135" t="s">
        <v>35</v>
      </c>
      <c r="AC1274" s="135" t="s">
        <v>35</v>
      </c>
      <c r="AD1274" s="135">
        <v>0.92</v>
      </c>
      <c r="AE1274" s="133">
        <v>0.991038088125467</v>
      </c>
      <c r="AF1274" s="133">
        <v>0.998796630565584</v>
      </c>
      <c r="AG1274" s="133">
        <v>1</v>
      </c>
      <c r="AH1274" s="133">
        <v>0.998042861336726</v>
      </c>
      <c r="AI1274" s="135">
        <v>0.92</v>
      </c>
      <c r="AJ1274" s="133">
        <v>0.971627906976744</v>
      </c>
      <c r="AK1274" s="133">
        <v>0.97841726618705</v>
      </c>
      <c r="AL1274" s="133">
        <v>0.988629185091598</v>
      </c>
      <c r="AM1274" s="133">
        <v>0.987412699686923</v>
      </c>
      <c r="AN1274" s="132">
        <v>0.99</v>
      </c>
      <c r="AO1274" s="137">
        <v>1</v>
      </c>
      <c r="AP1274" s="137">
        <v>1</v>
      </c>
      <c r="AQ1274" s="137">
        <v>1</v>
      </c>
      <c r="AR1274" s="137">
        <v>1</v>
      </c>
      <c r="AS1274" s="158">
        <v>0.0721861525408278</v>
      </c>
      <c r="AT1274" s="141">
        <v>0.0769230769230769</v>
      </c>
      <c r="AU1274" s="141">
        <v>0</v>
      </c>
      <c r="AV1274" s="141">
        <v>0</v>
      </c>
      <c r="AW1274" s="141">
        <v>0.0392156862745098</v>
      </c>
      <c r="AX1274" s="95"/>
      <c r="AY1274" s="93"/>
    </row>
    <row r="1275" ht="14.5" spans="1:51">
      <c r="A1275" s="91"/>
      <c r="B1275" s="95"/>
      <c r="C1275" s="152" t="s">
        <v>1085</v>
      </c>
      <c r="D1275" s="153" t="s">
        <v>25</v>
      </c>
      <c r="E1275" s="130" t="s">
        <v>1086</v>
      </c>
      <c r="F1275" s="195" t="s">
        <v>1305</v>
      </c>
      <c r="G1275" s="195" t="s">
        <v>1305</v>
      </c>
      <c r="H1275" s="195" t="s">
        <v>1305</v>
      </c>
      <c r="I1275" s="195" t="s">
        <v>1305</v>
      </c>
      <c r="J1275" s="132">
        <v>0.9</v>
      </c>
      <c r="K1275" s="133">
        <v>0.818181818181818</v>
      </c>
      <c r="L1275" s="133">
        <v>0.826086956521739</v>
      </c>
      <c r="M1275" s="134">
        <v>0.894736842105263</v>
      </c>
      <c r="N1275" s="133">
        <v>0.851941747572815</v>
      </c>
      <c r="O1275" s="135">
        <v>0.9</v>
      </c>
      <c r="P1275" s="133">
        <v>0.977288368891948</v>
      </c>
      <c r="Q1275" s="133">
        <v>0.985014175779668</v>
      </c>
      <c r="R1275" s="133">
        <v>0.70005136106831</v>
      </c>
      <c r="S1275" s="133">
        <v>0.932224901637264</v>
      </c>
      <c r="T1275" s="135">
        <v>0.9</v>
      </c>
      <c r="U1275" s="133">
        <v>0.89538885065382</v>
      </c>
      <c r="V1275" s="133">
        <v>0.769542324827866</v>
      </c>
      <c r="W1275" s="133">
        <v>0.76271186440678</v>
      </c>
      <c r="X1275" s="133">
        <v>0.823480137073233</v>
      </c>
      <c r="Y1275" s="135">
        <v>0.92</v>
      </c>
      <c r="Z1275" s="135" t="s">
        <v>35</v>
      </c>
      <c r="AA1275" s="135" t="s">
        <v>35</v>
      </c>
      <c r="AB1275" s="135" t="s">
        <v>35</v>
      </c>
      <c r="AC1275" s="135">
        <v>0</v>
      </c>
      <c r="AD1275" s="135">
        <v>0.92</v>
      </c>
      <c r="AE1275" s="133">
        <v>0.998766193707588</v>
      </c>
      <c r="AF1275" s="133">
        <v>1</v>
      </c>
      <c r="AG1275" s="133">
        <v>0.999215070643642</v>
      </c>
      <c r="AH1275" s="133">
        <v>0.991969663171983</v>
      </c>
      <c r="AI1275" s="135">
        <v>0.92</v>
      </c>
      <c r="AJ1275" s="133">
        <v>0.947006194081211</v>
      </c>
      <c r="AK1275" s="133">
        <v>0.935196435803969</v>
      </c>
      <c r="AL1275" s="133">
        <v>0.949666153055984</v>
      </c>
      <c r="AM1275" s="133">
        <v>0.953272925708774</v>
      </c>
      <c r="AN1275" s="132">
        <v>0.99</v>
      </c>
      <c r="AO1275" s="137">
        <v>1</v>
      </c>
      <c r="AP1275" s="137">
        <v>1</v>
      </c>
      <c r="AQ1275" s="137">
        <v>1</v>
      </c>
      <c r="AR1275" s="137">
        <v>1</v>
      </c>
      <c r="AS1275" s="158">
        <v>0.0721861525408278</v>
      </c>
      <c r="AT1275" s="141">
        <v>0</v>
      </c>
      <c r="AU1275" s="141">
        <v>0</v>
      </c>
      <c r="AV1275" s="141">
        <v>0</v>
      </c>
      <c r="AW1275" s="141">
        <v>0.0252631578947368</v>
      </c>
      <c r="AX1275" s="95"/>
      <c r="AY1275" s="93"/>
    </row>
    <row r="1276" ht="14.5" spans="1:51">
      <c r="A1276" s="91"/>
      <c r="B1276" s="95"/>
      <c r="C1276" s="152" t="s">
        <v>1085</v>
      </c>
      <c r="D1276" s="153" t="s">
        <v>25</v>
      </c>
      <c r="E1276" s="130" t="s">
        <v>1086</v>
      </c>
      <c r="F1276" s="195" t="s">
        <v>1306</v>
      </c>
      <c r="G1276" s="195" t="s">
        <v>1306</v>
      </c>
      <c r="H1276" s="195" t="s">
        <v>1306</v>
      </c>
      <c r="I1276" s="195" t="s">
        <v>1306</v>
      </c>
      <c r="J1276" s="132">
        <v>0.9</v>
      </c>
      <c r="K1276" s="133">
        <v>0.896551724137931</v>
      </c>
      <c r="L1276" s="133">
        <v>0.9375</v>
      </c>
      <c r="M1276" s="134">
        <v>1</v>
      </c>
      <c r="N1276" s="133">
        <v>0.932584269662921</v>
      </c>
      <c r="O1276" s="135">
        <v>0.9</v>
      </c>
      <c r="P1276" s="133">
        <v>0.969278996865204</v>
      </c>
      <c r="Q1276" s="133">
        <v>0.987947269303202</v>
      </c>
      <c r="R1276" s="133">
        <v>0.9859616284511</v>
      </c>
      <c r="S1276" s="133">
        <v>0.967993346798147</v>
      </c>
      <c r="T1276" s="135">
        <v>0.9</v>
      </c>
      <c r="U1276" s="133">
        <v>0.769905956112853</v>
      </c>
      <c r="V1276" s="133">
        <v>0.750282485875706</v>
      </c>
      <c r="W1276" s="133">
        <v>0.770238652316331</v>
      </c>
      <c r="X1276" s="133">
        <v>0.759653083046216</v>
      </c>
      <c r="Y1276" s="135">
        <v>0.92</v>
      </c>
      <c r="Z1276" s="135" t="s">
        <v>35</v>
      </c>
      <c r="AA1276" s="135" t="s">
        <v>35</v>
      </c>
      <c r="AB1276" s="135" t="s">
        <v>35</v>
      </c>
      <c r="AC1276" s="135">
        <v>1</v>
      </c>
      <c r="AD1276" s="135">
        <v>0.92</v>
      </c>
      <c r="AE1276" s="133">
        <v>0.99870214146658</v>
      </c>
      <c r="AF1276" s="133">
        <v>1</v>
      </c>
      <c r="AG1276" s="133">
        <v>0.999249249249249</v>
      </c>
      <c r="AH1276" s="133">
        <v>0.998084291187739</v>
      </c>
      <c r="AI1276" s="135">
        <v>0.92</v>
      </c>
      <c r="AJ1276" s="133">
        <v>0.864576802507837</v>
      </c>
      <c r="AK1276" s="133">
        <v>0.902448210922787</v>
      </c>
      <c r="AL1276" s="133">
        <v>0.919513336452972</v>
      </c>
      <c r="AM1276" s="133">
        <v>0.925604714156727</v>
      </c>
      <c r="AN1276" s="132">
        <v>0.99</v>
      </c>
      <c r="AO1276" s="137">
        <v>1</v>
      </c>
      <c r="AP1276" s="137">
        <v>1</v>
      </c>
      <c r="AQ1276" s="137">
        <v>1</v>
      </c>
      <c r="AR1276" s="137">
        <v>1</v>
      </c>
      <c r="AS1276" s="158">
        <v>0.0721861525408278</v>
      </c>
      <c r="AT1276" s="141">
        <v>0</v>
      </c>
      <c r="AU1276" s="141">
        <v>0</v>
      </c>
      <c r="AV1276" s="141">
        <v>0.0909090909090909</v>
      </c>
      <c r="AW1276" s="141">
        <v>0.0604026845637584</v>
      </c>
      <c r="AX1276" s="95"/>
      <c r="AY1276" s="93"/>
    </row>
    <row r="1277" ht="14.5" spans="1:51">
      <c r="A1277" s="91"/>
      <c r="B1277" s="95"/>
      <c r="C1277" s="152" t="s">
        <v>1085</v>
      </c>
      <c r="D1277" s="153" t="s">
        <v>25</v>
      </c>
      <c r="E1277" s="130" t="s">
        <v>1086</v>
      </c>
      <c r="F1277" s="195" t="s">
        <v>1307</v>
      </c>
      <c r="G1277" s="195" t="s">
        <v>1307</v>
      </c>
      <c r="H1277" s="195" t="s">
        <v>1307</v>
      </c>
      <c r="I1277" s="195" t="s">
        <v>1307</v>
      </c>
      <c r="J1277" s="132">
        <v>0.9</v>
      </c>
      <c r="K1277" s="133">
        <v>1</v>
      </c>
      <c r="L1277" s="133">
        <v>1</v>
      </c>
      <c r="M1277" s="134">
        <v>1</v>
      </c>
      <c r="N1277" s="133">
        <v>0.974424552429668</v>
      </c>
      <c r="O1277" s="135">
        <v>0.9</v>
      </c>
      <c r="P1277" s="133">
        <v>0.983812949640288</v>
      </c>
      <c r="Q1277" s="133">
        <v>0.93792740662809</v>
      </c>
      <c r="R1277" s="133">
        <v>0.989117291414752</v>
      </c>
      <c r="S1277" s="133">
        <v>0.969123014698629</v>
      </c>
      <c r="T1277" s="135">
        <v>0.9</v>
      </c>
      <c r="U1277" s="133">
        <v>0.903776978417266</v>
      </c>
      <c r="V1277" s="133">
        <v>0.947396107311941</v>
      </c>
      <c r="W1277" s="133">
        <v>0.901451027811366</v>
      </c>
      <c r="X1277" s="133">
        <v>0.91558975370754</v>
      </c>
      <c r="Y1277" s="135">
        <v>0.92</v>
      </c>
      <c r="Z1277" s="135" t="s">
        <v>35</v>
      </c>
      <c r="AA1277" s="135" t="s">
        <v>35</v>
      </c>
      <c r="AB1277" s="135" t="s">
        <v>35</v>
      </c>
      <c r="AC1277" s="135" t="s">
        <v>35</v>
      </c>
      <c r="AD1277" s="135">
        <v>0.92</v>
      </c>
      <c r="AE1277" s="133">
        <v>1</v>
      </c>
      <c r="AF1277" s="133">
        <v>0.989010989010989</v>
      </c>
      <c r="AG1277" s="133">
        <v>0.996428571428571</v>
      </c>
      <c r="AH1277" s="133">
        <v>0.998528329654157</v>
      </c>
      <c r="AI1277" s="135">
        <v>0.92</v>
      </c>
      <c r="AJ1277" s="133">
        <v>0.955935251798561</v>
      </c>
      <c r="AK1277" s="133">
        <v>0.981062598632299</v>
      </c>
      <c r="AL1277" s="133">
        <v>0.980652962515115</v>
      </c>
      <c r="AM1277" s="133">
        <v>0.973036072473776</v>
      </c>
      <c r="AN1277" s="132">
        <v>0.99</v>
      </c>
      <c r="AO1277" s="137">
        <v>1</v>
      </c>
      <c r="AP1277" s="137">
        <v>1</v>
      </c>
      <c r="AQ1277" s="137">
        <v>1</v>
      </c>
      <c r="AR1277" s="137">
        <v>1</v>
      </c>
      <c r="AS1277" s="158">
        <v>0.0721861525408278</v>
      </c>
      <c r="AT1277" s="141" t="s">
        <v>35</v>
      </c>
      <c r="AU1277" s="141">
        <v>0.125</v>
      </c>
      <c r="AV1277" s="141">
        <v>0</v>
      </c>
      <c r="AW1277" s="141">
        <v>0.04</v>
      </c>
      <c r="AX1277" s="95"/>
      <c r="AY1277" s="93"/>
    </row>
    <row r="1278" ht="14.5" spans="1:51">
      <c r="A1278" s="91"/>
      <c r="B1278" s="95"/>
      <c r="C1278" s="152" t="s">
        <v>1085</v>
      </c>
      <c r="D1278" s="153" t="s">
        <v>25</v>
      </c>
      <c r="E1278" s="130" t="s">
        <v>1086</v>
      </c>
      <c r="F1278" s="195" t="s">
        <v>1308</v>
      </c>
      <c r="G1278" s="195" t="s">
        <v>1308</v>
      </c>
      <c r="H1278" s="195" t="s">
        <v>1308</v>
      </c>
      <c r="I1278" s="195" t="s">
        <v>1308</v>
      </c>
      <c r="J1278" s="132">
        <v>0.9</v>
      </c>
      <c r="K1278" s="133">
        <v>0.826086956521739</v>
      </c>
      <c r="L1278" s="133">
        <v>0.84</v>
      </c>
      <c r="M1278" s="134">
        <v>0.846153846153846</v>
      </c>
      <c r="N1278" s="133">
        <v>0.879310344827586</v>
      </c>
      <c r="O1278" s="135">
        <v>0.9</v>
      </c>
      <c r="P1278" s="133">
        <v>0.886124401913876</v>
      </c>
      <c r="Q1278" s="133">
        <v>0.879456706281834</v>
      </c>
      <c r="R1278" s="133">
        <v>0.9764631043257</v>
      </c>
      <c r="S1278" s="133">
        <v>0.827423091775003</v>
      </c>
      <c r="T1278" s="135">
        <v>0.9</v>
      </c>
      <c r="U1278" s="133">
        <v>0.836363636363636</v>
      </c>
      <c r="V1278" s="133">
        <v>0.798528579513299</v>
      </c>
      <c r="W1278" s="133">
        <v>0.860687022900763</v>
      </c>
      <c r="X1278" s="133">
        <v>0.823111082507401</v>
      </c>
      <c r="Y1278" s="135">
        <v>0.92</v>
      </c>
      <c r="Z1278" s="135" t="s">
        <v>35</v>
      </c>
      <c r="AA1278" s="135" t="s">
        <v>35</v>
      </c>
      <c r="AB1278" s="135" t="s">
        <v>35</v>
      </c>
      <c r="AC1278" s="135" t="s">
        <v>35</v>
      </c>
      <c r="AD1278" s="135">
        <v>0.92</v>
      </c>
      <c r="AE1278" s="133">
        <v>1</v>
      </c>
      <c r="AF1278" s="133">
        <v>1</v>
      </c>
      <c r="AG1278" s="133">
        <v>1</v>
      </c>
      <c r="AH1278" s="133">
        <v>0.941363419672652</v>
      </c>
      <c r="AI1278" s="135">
        <v>0.92</v>
      </c>
      <c r="AJ1278" s="133">
        <v>0.941626794258373</v>
      </c>
      <c r="AK1278" s="133">
        <v>0.959252971137521</v>
      </c>
      <c r="AL1278" s="133">
        <v>0.968193384223919</v>
      </c>
      <c r="AM1278" s="133">
        <v>0.957748745012228</v>
      </c>
      <c r="AN1278" s="132">
        <v>0.99</v>
      </c>
      <c r="AO1278" s="137">
        <v>1</v>
      </c>
      <c r="AP1278" s="137">
        <v>1</v>
      </c>
      <c r="AQ1278" s="137">
        <v>1</v>
      </c>
      <c r="AR1278" s="137">
        <v>1</v>
      </c>
      <c r="AS1278" s="158">
        <v>0.0721861525408278</v>
      </c>
      <c r="AT1278" s="141">
        <v>0</v>
      </c>
      <c r="AU1278" s="141">
        <v>0.0833333333333333</v>
      </c>
      <c r="AV1278" s="141">
        <v>0</v>
      </c>
      <c r="AW1278" s="141">
        <v>0.0551724137931034</v>
      </c>
      <c r="AX1278" s="95"/>
      <c r="AY1278" s="93"/>
    </row>
    <row r="1279" ht="14.5" spans="1:51">
      <c r="A1279" s="91"/>
      <c r="B1279" s="95"/>
      <c r="C1279" s="152" t="s">
        <v>1085</v>
      </c>
      <c r="D1279" s="153" t="s">
        <v>25</v>
      </c>
      <c r="E1279" s="130" t="s">
        <v>1086</v>
      </c>
      <c r="F1279" s="195" t="s">
        <v>1309</v>
      </c>
      <c r="G1279" s="195" t="s">
        <v>1309</v>
      </c>
      <c r="H1279" s="195" t="s">
        <v>1309</v>
      </c>
      <c r="I1279" s="195" t="s">
        <v>1309</v>
      </c>
      <c r="J1279" s="132">
        <v>0.9</v>
      </c>
      <c r="K1279" s="133">
        <v>1</v>
      </c>
      <c r="L1279" s="133">
        <v>1</v>
      </c>
      <c r="M1279" s="134">
        <v>1</v>
      </c>
      <c r="N1279" s="133">
        <v>0.982300884955752</v>
      </c>
      <c r="O1279" s="135">
        <v>0.9</v>
      </c>
      <c r="P1279" s="133">
        <v>0.988155668358714</v>
      </c>
      <c r="Q1279" s="133">
        <v>0.982287449392713</v>
      </c>
      <c r="R1279" s="133">
        <v>0.973951715374841</v>
      </c>
      <c r="S1279" s="133">
        <v>0.981201459166863</v>
      </c>
      <c r="T1279" s="135">
        <v>0.9</v>
      </c>
      <c r="U1279" s="133">
        <v>0.941624365482233</v>
      </c>
      <c r="V1279" s="133">
        <v>0.941801619433198</v>
      </c>
      <c r="W1279" s="133">
        <v>0.958703939008895</v>
      </c>
      <c r="X1279" s="133">
        <v>0.954871734525771</v>
      </c>
      <c r="Y1279" s="135">
        <v>0.92</v>
      </c>
      <c r="Z1279" s="135" t="s">
        <v>35</v>
      </c>
      <c r="AA1279" s="135" t="s">
        <v>35</v>
      </c>
      <c r="AB1279" s="135" t="s">
        <v>35</v>
      </c>
      <c r="AC1279" s="135" t="s">
        <v>35</v>
      </c>
      <c r="AD1279" s="135">
        <v>0.92</v>
      </c>
      <c r="AE1279" s="133">
        <v>1</v>
      </c>
      <c r="AF1279" s="133">
        <v>1</v>
      </c>
      <c r="AG1279" s="133">
        <v>1</v>
      </c>
      <c r="AH1279" s="133">
        <v>0.998752598752599</v>
      </c>
      <c r="AI1279" s="135">
        <v>0.92</v>
      </c>
      <c r="AJ1279" s="133">
        <v>0.963620981387479</v>
      </c>
      <c r="AK1279" s="133">
        <v>0.965587044534413</v>
      </c>
      <c r="AL1279" s="133">
        <v>0.977763659466328</v>
      </c>
      <c r="AM1279" s="133">
        <v>0.97996587432337</v>
      </c>
      <c r="AN1279" s="132">
        <v>0.99</v>
      </c>
      <c r="AO1279" s="137">
        <v>1</v>
      </c>
      <c r="AP1279" s="137">
        <v>1</v>
      </c>
      <c r="AQ1279" s="137">
        <v>1</v>
      </c>
      <c r="AR1279" s="137">
        <v>1</v>
      </c>
      <c r="AS1279" s="158">
        <v>0.0721861525408278</v>
      </c>
      <c r="AT1279" s="141">
        <v>0</v>
      </c>
      <c r="AU1279" s="141">
        <v>0.142857142857143</v>
      </c>
      <c r="AV1279" s="141">
        <v>0</v>
      </c>
      <c r="AW1279" s="141">
        <v>0.0283687943262411</v>
      </c>
      <c r="AX1279" s="95"/>
      <c r="AY1279" s="93"/>
    </row>
    <row r="1280" ht="14.5" spans="1:51">
      <c r="A1280" s="91"/>
      <c r="B1280" s="95"/>
      <c r="C1280" s="152" t="s">
        <v>1085</v>
      </c>
      <c r="D1280" s="153" t="s">
        <v>25</v>
      </c>
      <c r="E1280" s="130" t="s">
        <v>1086</v>
      </c>
      <c r="F1280" s="195" t="s">
        <v>1310</v>
      </c>
      <c r="G1280" s="195" t="s">
        <v>1310</v>
      </c>
      <c r="H1280" s="195" t="s">
        <v>1310</v>
      </c>
      <c r="I1280" s="195" t="s">
        <v>1310</v>
      </c>
      <c r="J1280" s="132">
        <v>0.9</v>
      </c>
      <c r="K1280" s="133">
        <v>0.980392156862745</v>
      </c>
      <c r="L1280" s="133">
        <v>0.980769230769231</v>
      </c>
      <c r="M1280" s="134">
        <v>0.96</v>
      </c>
      <c r="N1280" s="133">
        <v>0.935622317596567</v>
      </c>
      <c r="O1280" s="135">
        <v>0.9</v>
      </c>
      <c r="P1280" s="133">
        <v>0.987661937075879</v>
      </c>
      <c r="Q1280" s="133">
        <v>0.980647562337179</v>
      </c>
      <c r="R1280" s="133">
        <v>0.989947552447552</v>
      </c>
      <c r="S1280" s="133">
        <v>0.980857823669579</v>
      </c>
      <c r="T1280" s="135">
        <v>0.9</v>
      </c>
      <c r="U1280" s="133">
        <v>0.898210980876002</v>
      </c>
      <c r="V1280" s="133">
        <v>0.926684034238928</v>
      </c>
      <c r="W1280" s="133">
        <v>0.916520979020979</v>
      </c>
      <c r="X1280" s="133">
        <v>0.922180301826847</v>
      </c>
      <c r="Y1280" s="135">
        <v>0.92</v>
      </c>
      <c r="Z1280" s="135">
        <v>0.913437757625721</v>
      </c>
      <c r="AA1280" s="135">
        <v>0.935779816513762</v>
      </c>
      <c r="AB1280" s="135">
        <v>0.928991596638655</v>
      </c>
      <c r="AC1280" s="135">
        <v>0.939113244846089</v>
      </c>
      <c r="AD1280" s="135">
        <v>0.92</v>
      </c>
      <c r="AE1280" s="133">
        <v>0.989502762430939</v>
      </c>
      <c r="AF1280" s="133">
        <v>1</v>
      </c>
      <c r="AG1280" s="133">
        <v>1</v>
      </c>
      <c r="AH1280" s="133">
        <v>0.997892306920259</v>
      </c>
      <c r="AI1280" s="135">
        <v>0.92</v>
      </c>
      <c r="AJ1280" s="133">
        <v>0.940014114326041</v>
      </c>
      <c r="AK1280" s="133">
        <v>0.959307992202729</v>
      </c>
      <c r="AL1280" s="133">
        <v>0.950310559006211</v>
      </c>
      <c r="AM1280" s="133">
        <v>0.962181004231904</v>
      </c>
      <c r="AN1280" s="132">
        <v>0.99</v>
      </c>
      <c r="AO1280" s="137">
        <v>1</v>
      </c>
      <c r="AP1280" s="137">
        <v>1</v>
      </c>
      <c r="AQ1280" s="137">
        <v>1</v>
      </c>
      <c r="AR1280" s="137">
        <v>1</v>
      </c>
      <c r="AS1280" s="158">
        <v>0.0721861525408278</v>
      </c>
      <c r="AT1280" s="141">
        <v>0</v>
      </c>
      <c r="AU1280" s="141">
        <v>0</v>
      </c>
      <c r="AV1280" s="141">
        <v>0</v>
      </c>
      <c r="AW1280" s="141">
        <v>0.0368421052631579</v>
      </c>
      <c r="AX1280" s="95"/>
      <c r="AY1280" s="93"/>
    </row>
    <row r="1281" ht="14.5" spans="1:51">
      <c r="A1281" s="91"/>
      <c r="B1281" s="95"/>
      <c r="C1281" s="152" t="s">
        <v>1085</v>
      </c>
      <c r="D1281" s="153" t="s">
        <v>25</v>
      </c>
      <c r="E1281" s="130" t="s">
        <v>1086</v>
      </c>
      <c r="F1281" s="195" t="s">
        <v>1311</v>
      </c>
      <c r="G1281" s="195" t="s">
        <v>1311</v>
      </c>
      <c r="H1281" s="195" t="s">
        <v>1311</v>
      </c>
      <c r="I1281" s="195" t="s">
        <v>1311</v>
      </c>
      <c r="J1281" s="132">
        <v>0.9</v>
      </c>
      <c r="K1281" s="133">
        <v>0.930555555555556</v>
      </c>
      <c r="L1281" s="133">
        <v>0.907894736842105</v>
      </c>
      <c r="M1281" s="134">
        <v>0.961038961038961</v>
      </c>
      <c r="N1281" s="133">
        <v>0.949394155381326</v>
      </c>
      <c r="O1281" s="135">
        <v>0.9</v>
      </c>
      <c r="P1281" s="133">
        <v>0.989015300117693</v>
      </c>
      <c r="Q1281" s="133">
        <v>0.985648260763804</v>
      </c>
      <c r="R1281" s="133">
        <v>0.987593052109181</v>
      </c>
      <c r="S1281" s="133">
        <v>0.983922545091447</v>
      </c>
      <c r="T1281" s="135">
        <v>0.9</v>
      </c>
      <c r="U1281" s="133">
        <v>0.927030207924676</v>
      </c>
      <c r="V1281" s="133">
        <v>0.949404037946972</v>
      </c>
      <c r="W1281" s="133">
        <v>0.947339398952302</v>
      </c>
      <c r="X1281" s="133">
        <v>0.947204772678438</v>
      </c>
      <c r="Y1281" s="135">
        <v>0.92</v>
      </c>
      <c r="Z1281" s="135">
        <v>0.93535749265426</v>
      </c>
      <c r="AA1281" s="135">
        <v>0.942554131683606</v>
      </c>
      <c r="AB1281" s="135">
        <v>0.953313657096861</v>
      </c>
      <c r="AC1281" s="135">
        <v>0.961050857394108</v>
      </c>
      <c r="AD1281" s="135">
        <v>0.92</v>
      </c>
      <c r="AE1281" s="133">
        <v>0.999693345599509</v>
      </c>
      <c r="AF1281" s="133">
        <v>0.99818949909475</v>
      </c>
      <c r="AG1281" s="133">
        <v>1</v>
      </c>
      <c r="AH1281" s="133">
        <v>0.989209762222397</v>
      </c>
      <c r="AI1281" s="135">
        <v>0.92</v>
      </c>
      <c r="AJ1281" s="133">
        <v>0.953387061642344</v>
      </c>
      <c r="AK1281" s="133">
        <v>0.96281769689363</v>
      </c>
      <c r="AL1281" s="133">
        <v>0.967092738645635</v>
      </c>
      <c r="AM1281" s="133">
        <v>0.974705697575277</v>
      </c>
      <c r="AN1281" s="132">
        <v>0.99</v>
      </c>
      <c r="AO1281" s="137">
        <v>1</v>
      </c>
      <c r="AP1281" s="137">
        <v>1</v>
      </c>
      <c r="AQ1281" s="137">
        <v>1</v>
      </c>
      <c r="AR1281" s="137">
        <v>1</v>
      </c>
      <c r="AS1281" s="158">
        <v>0.0721861525408278</v>
      </c>
      <c r="AT1281" s="141">
        <v>0.0740740740740741</v>
      </c>
      <c r="AU1281" s="141">
        <v>0.0588235294117647</v>
      </c>
      <c r="AV1281" s="141">
        <v>0.0303030303030303</v>
      </c>
      <c r="AW1281" s="141">
        <v>0.0437262357414449</v>
      </c>
      <c r="AX1281" s="95"/>
      <c r="AY1281" s="93"/>
    </row>
    <row r="1282" ht="14.5" spans="1:51">
      <c r="A1282" s="91"/>
      <c r="B1282" s="95"/>
      <c r="C1282" s="152" t="s">
        <v>1085</v>
      </c>
      <c r="D1282" s="153" t="s">
        <v>25</v>
      </c>
      <c r="E1282" s="130" t="s">
        <v>1086</v>
      </c>
      <c r="F1282" s="195" t="s">
        <v>1312</v>
      </c>
      <c r="G1282" s="195" t="s">
        <v>1312</v>
      </c>
      <c r="H1282" s="195" t="s">
        <v>1312</v>
      </c>
      <c r="I1282" s="195" t="s">
        <v>1312</v>
      </c>
      <c r="J1282" s="132">
        <v>0.9</v>
      </c>
      <c r="K1282" s="133">
        <v>0.892857142857143</v>
      </c>
      <c r="L1282" s="133">
        <v>0.896551724137931</v>
      </c>
      <c r="M1282" s="134">
        <v>0.875</v>
      </c>
      <c r="N1282" s="133">
        <v>0.908560311284047</v>
      </c>
      <c r="O1282" s="135">
        <v>0.9</v>
      </c>
      <c r="P1282" s="133">
        <v>0.946880790611489</v>
      </c>
      <c r="Q1282" s="133">
        <v>0.975872308834447</v>
      </c>
      <c r="R1282" s="133">
        <v>0.900880037054192</v>
      </c>
      <c r="S1282" s="133">
        <v>0.96402561220001</v>
      </c>
      <c r="T1282" s="135">
        <v>0.9</v>
      </c>
      <c r="U1282" s="133">
        <v>0.754169240271773</v>
      </c>
      <c r="V1282" s="133">
        <v>0.721603563474387</v>
      </c>
      <c r="W1282" s="133">
        <v>0.71097730430755</v>
      </c>
      <c r="X1282" s="133">
        <v>0.710909624126301</v>
      </c>
      <c r="Y1282" s="135">
        <v>0.92</v>
      </c>
      <c r="Z1282" s="135" t="s">
        <v>35</v>
      </c>
      <c r="AA1282" s="135" t="s">
        <v>35</v>
      </c>
      <c r="AB1282" s="135" t="s">
        <v>35</v>
      </c>
      <c r="AC1282" s="135">
        <v>0</v>
      </c>
      <c r="AD1282" s="135">
        <v>0.92</v>
      </c>
      <c r="AE1282" s="133">
        <v>1</v>
      </c>
      <c r="AF1282" s="133">
        <v>1</v>
      </c>
      <c r="AG1282" s="133">
        <v>1</v>
      </c>
      <c r="AH1282" s="133">
        <v>0.998892375853794</v>
      </c>
      <c r="AI1282" s="135">
        <v>0.92</v>
      </c>
      <c r="AJ1282" s="133">
        <v>0.892526250772082</v>
      </c>
      <c r="AK1282" s="133">
        <v>0.943207126948775</v>
      </c>
      <c r="AL1282" s="133">
        <v>0.834645669291339</v>
      </c>
      <c r="AM1282" s="133">
        <v>0.922826910388309</v>
      </c>
      <c r="AN1282" s="132">
        <v>0.99</v>
      </c>
      <c r="AO1282" s="137">
        <v>1</v>
      </c>
      <c r="AP1282" s="137">
        <v>1</v>
      </c>
      <c r="AQ1282" s="137">
        <v>1</v>
      </c>
      <c r="AR1282" s="137">
        <v>1</v>
      </c>
      <c r="AS1282" s="158">
        <v>0.0721861525408278</v>
      </c>
      <c r="AT1282" s="141">
        <v>0.2</v>
      </c>
      <c r="AU1282" s="141">
        <v>0</v>
      </c>
      <c r="AV1282" s="141">
        <v>0</v>
      </c>
      <c r="AW1282" s="141">
        <v>0.0650406504065041</v>
      </c>
      <c r="AX1282" s="95"/>
      <c r="AY1282" s="93"/>
    </row>
    <row r="1283" ht="14.5" spans="1:51">
      <c r="A1283" s="91"/>
      <c r="B1283" s="95"/>
      <c r="C1283" s="152" t="s">
        <v>1085</v>
      </c>
      <c r="D1283" s="153" t="s">
        <v>25</v>
      </c>
      <c r="E1283" s="130" t="s">
        <v>1086</v>
      </c>
      <c r="F1283" s="195" t="s">
        <v>1313</v>
      </c>
      <c r="G1283" s="195" t="s">
        <v>1313</v>
      </c>
      <c r="H1283" s="195" t="s">
        <v>1313</v>
      </c>
      <c r="I1283" s="195" t="s">
        <v>1313</v>
      </c>
      <c r="J1283" s="132">
        <v>0.9</v>
      </c>
      <c r="K1283" s="133">
        <v>0.84</v>
      </c>
      <c r="L1283" s="133">
        <v>0.882352941176471</v>
      </c>
      <c r="M1283" s="134">
        <v>0.862745098039216</v>
      </c>
      <c r="N1283" s="133">
        <v>0.8801261829653</v>
      </c>
      <c r="O1283" s="135">
        <v>0.9</v>
      </c>
      <c r="P1283" s="133">
        <v>0.939218523878437</v>
      </c>
      <c r="Q1283" s="133">
        <v>0.969898494924746</v>
      </c>
      <c r="R1283" s="133">
        <v>0.956312476860422</v>
      </c>
      <c r="S1283" s="133">
        <v>0.968517107439552</v>
      </c>
      <c r="T1283" s="135">
        <v>0.9</v>
      </c>
      <c r="U1283" s="133">
        <v>0.83405692233478</v>
      </c>
      <c r="V1283" s="133">
        <v>0.825341267063353</v>
      </c>
      <c r="W1283" s="133">
        <v>0.840799703813402</v>
      </c>
      <c r="X1283" s="133">
        <v>0.832493913431338</v>
      </c>
      <c r="Y1283" s="135">
        <v>0.92</v>
      </c>
      <c r="Z1283" s="135">
        <v>0.914507772020725</v>
      </c>
      <c r="AA1283" s="135">
        <v>0.921495327102804</v>
      </c>
      <c r="AB1283" s="135">
        <v>0.910807974816369</v>
      </c>
      <c r="AC1283" s="135">
        <v>0.930430150486083</v>
      </c>
      <c r="AD1283" s="135">
        <v>0.92</v>
      </c>
      <c r="AE1283" s="133">
        <v>0.997512437810945</v>
      </c>
      <c r="AF1283" s="133">
        <v>0.998707592891761</v>
      </c>
      <c r="AG1283" s="133">
        <v>0.999152542372881</v>
      </c>
      <c r="AH1283" s="133">
        <v>0.996171219617122</v>
      </c>
      <c r="AI1283" s="135">
        <v>0.92</v>
      </c>
      <c r="AJ1283" s="133">
        <v>0.936134918440697</v>
      </c>
      <c r="AK1283" s="133">
        <v>0.942389598744676</v>
      </c>
      <c r="AL1283" s="133">
        <v>0.934712230215827</v>
      </c>
      <c r="AM1283" s="133">
        <v>0.952933965258699</v>
      </c>
      <c r="AN1283" s="132">
        <v>0.99</v>
      </c>
      <c r="AO1283" s="137">
        <v>1</v>
      </c>
      <c r="AP1283" s="137">
        <v>1</v>
      </c>
      <c r="AQ1283" s="137">
        <v>1</v>
      </c>
      <c r="AR1283" s="137">
        <v>1</v>
      </c>
      <c r="AS1283" s="158">
        <v>0.0721861525408278</v>
      </c>
      <c r="AT1283" s="141">
        <v>0.0677966101694915</v>
      </c>
      <c r="AU1283" s="141">
        <v>0.133333333333333</v>
      </c>
      <c r="AV1283" s="141">
        <v>0.0769230769230769</v>
      </c>
      <c r="AW1283" s="141">
        <v>0.0439414114513981</v>
      </c>
      <c r="AX1283" s="95"/>
      <c r="AY1283" s="93"/>
    </row>
    <row r="1284" ht="14.5" spans="1:51">
      <c r="A1284" s="91"/>
      <c r="B1284" s="95"/>
      <c r="C1284" s="152" t="s">
        <v>1085</v>
      </c>
      <c r="D1284" s="153" t="s">
        <v>25</v>
      </c>
      <c r="E1284" s="130" t="s">
        <v>1086</v>
      </c>
      <c r="F1284" s="195" t="s">
        <v>1314</v>
      </c>
      <c r="G1284" s="195" t="s">
        <v>1314</v>
      </c>
      <c r="H1284" s="195" t="s">
        <v>1314</v>
      </c>
      <c r="I1284" s="195" t="s">
        <v>1314</v>
      </c>
      <c r="J1284" s="132">
        <v>0.9</v>
      </c>
      <c r="K1284" s="133">
        <v>0.966666666666667</v>
      </c>
      <c r="L1284" s="133">
        <v>0.96969696969697</v>
      </c>
      <c r="M1284" s="134">
        <v>1</v>
      </c>
      <c r="N1284" s="133">
        <v>0.978260869565217</v>
      </c>
      <c r="O1284" s="135">
        <v>0.9</v>
      </c>
      <c r="P1284" s="133">
        <v>0.995850622406639</v>
      </c>
      <c r="Q1284" s="133">
        <v>0.996153846153846</v>
      </c>
      <c r="R1284" s="133">
        <v>0.997787610619469</v>
      </c>
      <c r="S1284" s="133">
        <v>0.99715387109558</v>
      </c>
      <c r="T1284" s="135">
        <v>0.9</v>
      </c>
      <c r="U1284" s="133">
        <v>0.961618257261411</v>
      </c>
      <c r="V1284" s="133">
        <v>0.980769230769231</v>
      </c>
      <c r="W1284" s="133">
        <v>0.977138643067847</v>
      </c>
      <c r="X1284" s="133">
        <v>0.974997297978888</v>
      </c>
      <c r="Y1284" s="135">
        <v>0.92</v>
      </c>
      <c r="Z1284" s="135">
        <v>0.972027972027972</v>
      </c>
      <c r="AA1284" s="135">
        <v>0.976082004555809</v>
      </c>
      <c r="AB1284" s="135">
        <v>0.987324883255504</v>
      </c>
      <c r="AC1284" s="135">
        <v>0.986708554857419</v>
      </c>
      <c r="AD1284" s="135">
        <v>0.92</v>
      </c>
      <c r="AE1284" s="133">
        <v>1</v>
      </c>
      <c r="AF1284" s="133">
        <v>1</v>
      </c>
      <c r="AG1284" s="133">
        <v>0.995771670190275</v>
      </c>
      <c r="AH1284" s="133">
        <v>0.997921506296613</v>
      </c>
      <c r="AI1284" s="135">
        <v>0.92</v>
      </c>
      <c r="AJ1284" s="133">
        <v>0.975301866081229</v>
      </c>
      <c r="AK1284" s="133">
        <v>0.986464315012305</v>
      </c>
      <c r="AL1284" s="133">
        <v>0.991243432574431</v>
      </c>
      <c r="AM1284" s="133">
        <v>0.990877192982456</v>
      </c>
      <c r="AN1284" s="132">
        <v>0.99</v>
      </c>
      <c r="AO1284" s="137">
        <v>1</v>
      </c>
      <c r="AP1284" s="137">
        <v>1</v>
      </c>
      <c r="AQ1284" s="137">
        <v>1</v>
      </c>
      <c r="AR1284" s="137">
        <v>1</v>
      </c>
      <c r="AS1284" s="158">
        <v>0.0721861525408278</v>
      </c>
      <c r="AT1284" s="141">
        <v>0</v>
      </c>
      <c r="AU1284" s="141">
        <v>0.153846153846154</v>
      </c>
      <c r="AV1284" s="141">
        <v>0</v>
      </c>
      <c r="AW1284" s="141">
        <v>0.036697247706422</v>
      </c>
      <c r="AX1284" s="95"/>
      <c r="AY1284" s="93"/>
    </row>
    <row r="1285" ht="14.5" spans="1:51">
      <c r="A1285" s="91"/>
      <c r="B1285" s="95"/>
      <c r="C1285" s="152" t="s">
        <v>1085</v>
      </c>
      <c r="D1285" s="153" t="s">
        <v>25</v>
      </c>
      <c r="E1285" s="130" t="s">
        <v>1086</v>
      </c>
      <c r="F1285" s="195" t="s">
        <v>1315</v>
      </c>
      <c r="G1285" s="195" t="s">
        <v>1315</v>
      </c>
      <c r="H1285" s="195" t="s">
        <v>1315</v>
      </c>
      <c r="I1285" s="195" t="s">
        <v>1315</v>
      </c>
      <c r="J1285" s="132">
        <v>0.9</v>
      </c>
      <c r="K1285" s="133">
        <v>0.896551724137931</v>
      </c>
      <c r="L1285" s="133">
        <v>0.966101694915254</v>
      </c>
      <c r="M1285" s="134">
        <v>0.842105263157895</v>
      </c>
      <c r="N1285" s="133">
        <v>0.895738893925657</v>
      </c>
      <c r="O1285" s="135">
        <v>0.9</v>
      </c>
      <c r="P1285" s="133">
        <v>0.970076169749728</v>
      </c>
      <c r="Q1285" s="133">
        <v>0.980655737704918</v>
      </c>
      <c r="R1285" s="133">
        <v>0.963235294117647</v>
      </c>
      <c r="S1285" s="133">
        <v>0.961887442935349</v>
      </c>
      <c r="T1285" s="135">
        <v>0.9</v>
      </c>
      <c r="U1285" s="133">
        <v>0.94885745375408</v>
      </c>
      <c r="V1285" s="133">
        <v>0.945901639344262</v>
      </c>
      <c r="W1285" s="133">
        <v>0.933049535603715</v>
      </c>
      <c r="X1285" s="133">
        <v>0.941467295561743</v>
      </c>
      <c r="Y1285" s="135">
        <v>0.92</v>
      </c>
      <c r="Z1285" s="135">
        <v>0.957018132975151</v>
      </c>
      <c r="AA1285" s="135">
        <v>0.941914191419142</v>
      </c>
      <c r="AB1285" s="135">
        <v>0.954312721543915</v>
      </c>
      <c r="AC1285" s="135">
        <v>0.963065709312446</v>
      </c>
      <c r="AD1285" s="135">
        <v>0.92</v>
      </c>
      <c r="AE1285" s="133">
        <v>0.995941146626078</v>
      </c>
      <c r="AF1285" s="133">
        <v>0.994431185361973</v>
      </c>
      <c r="AG1285" s="133">
        <v>0.990825688073395</v>
      </c>
      <c r="AH1285" s="133">
        <v>0.996363749378419</v>
      </c>
      <c r="AI1285" s="135">
        <v>0.92</v>
      </c>
      <c r="AJ1285" s="133">
        <v>0.9702434625789</v>
      </c>
      <c r="AK1285" s="133">
        <v>0.968455640744797</v>
      </c>
      <c r="AL1285" s="133">
        <v>0.970140515222482</v>
      </c>
      <c r="AM1285" s="133">
        <v>0.977200406417829</v>
      </c>
      <c r="AN1285" s="132">
        <v>0.99</v>
      </c>
      <c r="AO1285" s="137">
        <v>1</v>
      </c>
      <c r="AP1285" s="137">
        <v>1</v>
      </c>
      <c r="AQ1285" s="137">
        <v>1</v>
      </c>
      <c r="AR1285" s="137">
        <v>1</v>
      </c>
      <c r="AS1285" s="158">
        <v>0.0721861525408278</v>
      </c>
      <c r="AT1285" s="141">
        <v>0.0769230769230769</v>
      </c>
      <c r="AU1285" s="141">
        <v>0</v>
      </c>
      <c r="AV1285" s="141">
        <v>0</v>
      </c>
      <c r="AW1285" s="141">
        <v>0.04375</v>
      </c>
      <c r="AX1285" s="95"/>
      <c r="AY1285" s="93"/>
    </row>
    <row r="1286" ht="14.5" spans="1:51">
      <c r="A1286" s="91"/>
      <c r="B1286" s="95"/>
      <c r="C1286" s="152" t="s">
        <v>1085</v>
      </c>
      <c r="D1286" s="153" t="s">
        <v>25</v>
      </c>
      <c r="E1286" s="130" t="s">
        <v>1086</v>
      </c>
      <c r="F1286" s="195" t="s">
        <v>1316</v>
      </c>
      <c r="G1286" s="195" t="s">
        <v>1316</v>
      </c>
      <c r="H1286" s="195" t="s">
        <v>1316</v>
      </c>
      <c r="I1286" s="195" t="s">
        <v>1316</v>
      </c>
      <c r="J1286" s="132">
        <v>0.9</v>
      </c>
      <c r="K1286" s="133">
        <v>1</v>
      </c>
      <c r="L1286" s="133">
        <v>1</v>
      </c>
      <c r="M1286" s="134">
        <v>1</v>
      </c>
      <c r="N1286" s="133">
        <v>0.955479452054795</v>
      </c>
      <c r="O1286" s="135">
        <v>0.9</v>
      </c>
      <c r="P1286" s="133">
        <v>0.983098591549296</v>
      </c>
      <c r="Q1286" s="133">
        <v>0.987148102815178</v>
      </c>
      <c r="R1286" s="133">
        <v>0.993607954545455</v>
      </c>
      <c r="S1286" s="133">
        <v>0.984520567579189</v>
      </c>
      <c r="T1286" s="135">
        <v>0.9</v>
      </c>
      <c r="U1286" s="133">
        <v>0.940845070422535</v>
      </c>
      <c r="V1286" s="133">
        <v>0.951652386780906</v>
      </c>
      <c r="W1286" s="133">
        <v>0.958806818181818</v>
      </c>
      <c r="X1286" s="133">
        <v>0.95252257417228</v>
      </c>
      <c r="Y1286" s="135">
        <v>0.92</v>
      </c>
      <c r="Z1286" s="135">
        <v>0.947434292866083</v>
      </c>
      <c r="AA1286" s="135">
        <v>0.957696827262045</v>
      </c>
      <c r="AB1286" s="135">
        <v>0.97608024691358</v>
      </c>
      <c r="AC1286" s="135">
        <v>0.975932611311673</v>
      </c>
      <c r="AD1286" s="135">
        <v>0.92</v>
      </c>
      <c r="AE1286" s="133">
        <v>0.996739130434783</v>
      </c>
      <c r="AF1286" s="133">
        <v>1</v>
      </c>
      <c r="AG1286" s="133">
        <v>1</v>
      </c>
      <c r="AH1286" s="133">
        <v>0.998735297837359</v>
      </c>
      <c r="AI1286" s="135">
        <v>0.92</v>
      </c>
      <c r="AJ1286" s="133">
        <v>0.966738197424893</v>
      </c>
      <c r="AK1286" s="133">
        <v>0.972635814889336</v>
      </c>
      <c r="AL1286" s="133">
        <v>0.981878698224852</v>
      </c>
      <c r="AM1286" s="133">
        <v>0.983634592488364</v>
      </c>
      <c r="AN1286" s="132">
        <v>0.99</v>
      </c>
      <c r="AO1286" s="137">
        <v>1</v>
      </c>
      <c r="AP1286" s="137">
        <v>1</v>
      </c>
      <c r="AQ1286" s="137">
        <v>1</v>
      </c>
      <c r="AR1286" s="137">
        <v>1</v>
      </c>
      <c r="AS1286" s="158">
        <v>0.0721861525408278</v>
      </c>
      <c r="AT1286" s="141">
        <v>0</v>
      </c>
      <c r="AU1286" s="141">
        <v>0</v>
      </c>
      <c r="AV1286" s="141">
        <v>0.111111111111111</v>
      </c>
      <c r="AW1286" s="141">
        <v>0.0330578512396694</v>
      </c>
      <c r="AX1286" s="95"/>
      <c r="AY1286" s="93"/>
    </row>
    <row r="1287" ht="14.5" spans="1:51">
      <c r="A1287" s="91"/>
      <c r="B1287" s="95"/>
      <c r="C1287" s="152" t="s">
        <v>1085</v>
      </c>
      <c r="D1287" s="153" t="s">
        <v>25</v>
      </c>
      <c r="E1287" s="130" t="s">
        <v>1086</v>
      </c>
      <c r="F1287" s="195" t="s">
        <v>1317</v>
      </c>
      <c r="G1287" s="195" t="s">
        <v>1317</v>
      </c>
      <c r="H1287" s="195" t="s">
        <v>1317</v>
      </c>
      <c r="I1287" s="195" t="s">
        <v>1317</v>
      </c>
      <c r="J1287" s="132">
        <v>0.9</v>
      </c>
      <c r="K1287" s="133">
        <v>0.964285714285714</v>
      </c>
      <c r="L1287" s="133">
        <v>0.967741935483871</v>
      </c>
      <c r="M1287" s="134">
        <v>0.903225806451613</v>
      </c>
      <c r="N1287" s="133">
        <v>0.944244604316547</v>
      </c>
      <c r="O1287" s="135">
        <v>0.9</v>
      </c>
      <c r="P1287" s="133">
        <v>0.993488876831253</v>
      </c>
      <c r="Q1287" s="133">
        <v>0.981311475409836</v>
      </c>
      <c r="R1287" s="133">
        <v>0.993882544861338</v>
      </c>
      <c r="S1287" s="133">
        <v>0.992294307730549</v>
      </c>
      <c r="T1287" s="135">
        <v>0.9</v>
      </c>
      <c r="U1287" s="133">
        <v>0.964188822571894</v>
      </c>
      <c r="V1287" s="133">
        <v>0.948852459016393</v>
      </c>
      <c r="W1287" s="133">
        <v>0.975938009787928</v>
      </c>
      <c r="X1287" s="133">
        <v>0.96395724583644</v>
      </c>
      <c r="Y1287" s="135">
        <v>0.92</v>
      </c>
      <c r="Z1287" s="135" t="s">
        <v>35</v>
      </c>
      <c r="AA1287" s="135" t="s">
        <v>35</v>
      </c>
      <c r="AB1287" s="135" t="s">
        <v>35</v>
      </c>
      <c r="AC1287" s="135" t="s">
        <v>35</v>
      </c>
      <c r="AD1287" s="135">
        <v>0.92</v>
      </c>
      <c r="AE1287" s="133">
        <v>0.999515738498789</v>
      </c>
      <c r="AF1287" s="133">
        <v>0.996376811594203</v>
      </c>
      <c r="AG1287" s="133">
        <v>0.998553868402025</v>
      </c>
      <c r="AH1287" s="133">
        <v>0.99814126394052</v>
      </c>
      <c r="AI1287" s="135">
        <v>0.92</v>
      </c>
      <c r="AJ1287" s="133">
        <v>0.970157352143245</v>
      </c>
      <c r="AK1287" s="133">
        <v>0.980983606557377</v>
      </c>
      <c r="AL1287" s="133">
        <v>0.978792822185971</v>
      </c>
      <c r="AM1287" s="133">
        <v>0.982144336730467</v>
      </c>
      <c r="AN1287" s="132">
        <v>0.99</v>
      </c>
      <c r="AO1287" s="137">
        <v>1</v>
      </c>
      <c r="AP1287" s="137">
        <v>1</v>
      </c>
      <c r="AQ1287" s="137">
        <v>1</v>
      </c>
      <c r="AR1287" s="137">
        <v>1</v>
      </c>
      <c r="AS1287" s="158">
        <v>0.0721861525408278</v>
      </c>
      <c r="AT1287" s="141">
        <v>0</v>
      </c>
      <c r="AU1287" s="141">
        <v>0.222222222222222</v>
      </c>
      <c r="AV1287" s="141">
        <v>0</v>
      </c>
      <c r="AW1287" s="141">
        <v>0.0642857142857143</v>
      </c>
      <c r="AX1287" s="95"/>
      <c r="AY1287" s="93"/>
    </row>
    <row r="1288" ht="14.5" spans="1:51">
      <c r="A1288" s="91"/>
      <c r="B1288" s="95"/>
      <c r="C1288" s="152" t="s">
        <v>1085</v>
      </c>
      <c r="D1288" s="153" t="s">
        <v>25</v>
      </c>
      <c r="E1288" s="130" t="s">
        <v>1086</v>
      </c>
      <c r="F1288" s="195" t="s">
        <v>1318</v>
      </c>
      <c r="G1288" s="195" t="s">
        <v>1318</v>
      </c>
      <c r="H1288" s="195" t="s">
        <v>1318</v>
      </c>
      <c r="I1288" s="195" t="s">
        <v>1318</v>
      </c>
      <c r="J1288" s="132">
        <v>0.9</v>
      </c>
      <c r="K1288" s="133">
        <v>0.911764705882353</v>
      </c>
      <c r="L1288" s="133">
        <v>0.897435897435897</v>
      </c>
      <c r="M1288" s="134">
        <v>0.916666666666667</v>
      </c>
      <c r="N1288" s="133">
        <v>0.954220314735336</v>
      </c>
      <c r="O1288" s="135">
        <v>0.9</v>
      </c>
      <c r="P1288" s="133">
        <v>0.973931933381608</v>
      </c>
      <c r="Q1288" s="133">
        <v>0.981935483870968</v>
      </c>
      <c r="R1288" s="133">
        <v>0.972491085073867</v>
      </c>
      <c r="S1288" s="133">
        <v>0.968861277369498</v>
      </c>
      <c r="T1288" s="135">
        <v>0.9</v>
      </c>
      <c r="U1288" s="133">
        <v>0.944967414916727</v>
      </c>
      <c r="V1288" s="133">
        <v>0.963870967741935</v>
      </c>
      <c r="W1288" s="133">
        <v>0.950076413652573</v>
      </c>
      <c r="X1288" s="133">
        <v>0.949869939641892</v>
      </c>
      <c r="Y1288" s="135">
        <v>0.92</v>
      </c>
      <c r="Z1288" s="135">
        <v>0.958155422715628</v>
      </c>
      <c r="AA1288" s="135">
        <v>0.955307262569832</v>
      </c>
      <c r="AB1288" s="135">
        <v>0.949490043710539</v>
      </c>
      <c r="AC1288" s="135">
        <v>0.957178660938059</v>
      </c>
      <c r="AD1288" s="135">
        <v>0.92</v>
      </c>
      <c r="AE1288" s="133">
        <v>1</v>
      </c>
      <c r="AF1288" s="133">
        <v>0.997453851050286</v>
      </c>
      <c r="AG1288" s="133">
        <v>1</v>
      </c>
      <c r="AH1288" s="133">
        <v>0.998658714761323</v>
      </c>
      <c r="AI1288" s="135">
        <v>0.92</v>
      </c>
      <c r="AJ1288" s="133">
        <v>0.963557993730408</v>
      </c>
      <c r="AK1288" s="133">
        <v>0.973169368362214</v>
      </c>
      <c r="AL1288" s="133">
        <v>0.964454387273179</v>
      </c>
      <c r="AM1288" s="133">
        <v>0.973198288244266</v>
      </c>
      <c r="AN1288" s="132">
        <v>0.99</v>
      </c>
      <c r="AO1288" s="137">
        <v>1</v>
      </c>
      <c r="AP1288" s="137">
        <v>1</v>
      </c>
      <c r="AQ1288" s="137">
        <v>1</v>
      </c>
      <c r="AR1288" s="137">
        <v>1</v>
      </c>
      <c r="AS1288" s="158">
        <v>0.0721861525408278</v>
      </c>
      <c r="AT1288" s="141">
        <v>0.25</v>
      </c>
      <c r="AU1288" s="141">
        <v>0.142857142857143</v>
      </c>
      <c r="AV1288" s="141">
        <v>0</v>
      </c>
      <c r="AW1288" s="141">
        <v>0.0592592592592593</v>
      </c>
      <c r="AX1288" s="95"/>
      <c r="AY1288" s="93"/>
    </row>
    <row r="1289" ht="14.5" spans="1:51">
      <c r="A1289" s="91"/>
      <c r="B1289" s="95"/>
      <c r="C1289" s="152" t="s">
        <v>1085</v>
      </c>
      <c r="D1289" s="153" t="s">
        <v>25</v>
      </c>
      <c r="E1289" s="130" t="s">
        <v>1086</v>
      </c>
      <c r="F1289" s="195" t="s">
        <v>1319</v>
      </c>
      <c r="G1289" s="195" t="s">
        <v>1319</v>
      </c>
      <c r="H1289" s="195" t="s">
        <v>1319</v>
      </c>
      <c r="I1289" s="195" t="s">
        <v>1319</v>
      </c>
      <c r="J1289" s="132">
        <v>0.9</v>
      </c>
      <c r="K1289" s="133">
        <v>0.782608695652174</v>
      </c>
      <c r="L1289" s="133">
        <v>0.80952380952381</v>
      </c>
      <c r="M1289" s="134">
        <v>0.791666666666667</v>
      </c>
      <c r="N1289" s="133">
        <v>0.881796690307329</v>
      </c>
      <c r="O1289" s="135">
        <v>0.9</v>
      </c>
      <c r="P1289" s="133">
        <v>0.968272620446534</v>
      </c>
      <c r="Q1289" s="133">
        <v>0.982287822878229</v>
      </c>
      <c r="R1289" s="133">
        <v>0.983118971061093</v>
      </c>
      <c r="S1289" s="133">
        <v>0.964367862475283</v>
      </c>
      <c r="T1289" s="135">
        <v>0.9</v>
      </c>
      <c r="U1289" s="133">
        <v>0.904817861339601</v>
      </c>
      <c r="V1289" s="133">
        <v>0.913653136531365</v>
      </c>
      <c r="W1289" s="133">
        <v>0.92443729903537</v>
      </c>
      <c r="X1289" s="133">
        <v>0.905855292361083</v>
      </c>
      <c r="Y1289" s="135">
        <v>0.92</v>
      </c>
      <c r="Z1289" s="135">
        <v>0.943854324734446</v>
      </c>
      <c r="AA1289" s="135">
        <v>0.94572591587517</v>
      </c>
      <c r="AB1289" s="135">
        <v>0.957429718875502</v>
      </c>
      <c r="AC1289" s="135">
        <v>0.956178444532175</v>
      </c>
      <c r="AD1289" s="135">
        <v>0.92</v>
      </c>
      <c r="AE1289" s="133">
        <v>1</v>
      </c>
      <c r="AF1289" s="133">
        <v>0.996068152031455</v>
      </c>
      <c r="AG1289" s="133">
        <v>0.993494423791822</v>
      </c>
      <c r="AH1289" s="133">
        <v>0.996809431105343</v>
      </c>
      <c r="AI1289" s="135">
        <v>0.92</v>
      </c>
      <c r="AJ1289" s="133">
        <v>0.959602649006623</v>
      </c>
      <c r="AK1289" s="133">
        <v>0.966539196940727</v>
      </c>
      <c r="AL1289" s="133">
        <v>0.974688629971876</v>
      </c>
      <c r="AM1289" s="133">
        <v>0.971186640009408</v>
      </c>
      <c r="AN1289" s="132">
        <v>0.99</v>
      </c>
      <c r="AO1289" s="137">
        <v>1</v>
      </c>
      <c r="AP1289" s="137">
        <v>1</v>
      </c>
      <c r="AQ1289" s="137">
        <v>1</v>
      </c>
      <c r="AR1289" s="137">
        <v>1</v>
      </c>
      <c r="AS1289" s="158">
        <v>0.0721861525408278</v>
      </c>
      <c r="AT1289" s="141">
        <v>0</v>
      </c>
      <c r="AU1289" s="141">
        <v>0</v>
      </c>
      <c r="AV1289" s="141">
        <v>0</v>
      </c>
      <c r="AW1289" s="141">
        <v>0.0377358490566038</v>
      </c>
      <c r="AX1289" s="95"/>
      <c r="AY1289" s="93"/>
    </row>
    <row r="1290" ht="14.5" spans="1:51">
      <c r="A1290" s="91"/>
      <c r="B1290" s="95"/>
      <c r="C1290" s="152" t="s">
        <v>1085</v>
      </c>
      <c r="D1290" s="153" t="s">
        <v>25</v>
      </c>
      <c r="E1290" s="130" t="s">
        <v>1086</v>
      </c>
      <c r="F1290" s="195" t="s">
        <v>1320</v>
      </c>
      <c r="G1290" s="195" t="s">
        <v>1320</v>
      </c>
      <c r="H1290" s="195" t="s">
        <v>1320</v>
      </c>
      <c r="I1290" s="195" t="s">
        <v>1320</v>
      </c>
      <c r="J1290" s="132">
        <v>0.9</v>
      </c>
      <c r="K1290" s="133">
        <v>0.975</v>
      </c>
      <c r="L1290" s="133">
        <v>0.956521739130435</v>
      </c>
      <c r="M1290" s="134">
        <v>0.976190476190476</v>
      </c>
      <c r="N1290" s="133">
        <v>0.867970660146699</v>
      </c>
      <c r="O1290" s="135">
        <v>0.9</v>
      </c>
      <c r="P1290" s="133">
        <v>0.995262534544019</v>
      </c>
      <c r="Q1290" s="133">
        <v>0.987574552683897</v>
      </c>
      <c r="R1290" s="133">
        <v>0.99063670411985</v>
      </c>
      <c r="S1290" s="133">
        <v>0.985764793449944</v>
      </c>
      <c r="T1290" s="135">
        <v>0.9</v>
      </c>
      <c r="U1290" s="133">
        <v>0.909593367548362</v>
      </c>
      <c r="V1290" s="133">
        <v>0.858598409542744</v>
      </c>
      <c r="W1290" s="133">
        <v>0.883895131086142</v>
      </c>
      <c r="X1290" s="133">
        <v>0.884459124178142</v>
      </c>
      <c r="Y1290" s="135">
        <v>0.92</v>
      </c>
      <c r="Z1290" s="135" t="s">
        <v>35</v>
      </c>
      <c r="AA1290" s="135" t="s">
        <v>35</v>
      </c>
      <c r="AB1290" s="135" t="s">
        <v>35</v>
      </c>
      <c r="AC1290" s="135" t="s">
        <v>35</v>
      </c>
      <c r="AD1290" s="135">
        <v>0.92</v>
      </c>
      <c r="AE1290" s="133">
        <v>0.991836734693878</v>
      </c>
      <c r="AF1290" s="133">
        <v>0.993421052631579</v>
      </c>
      <c r="AG1290" s="133">
        <v>1</v>
      </c>
      <c r="AH1290" s="133">
        <v>0.996868978805395</v>
      </c>
      <c r="AI1290" s="135">
        <v>0.92</v>
      </c>
      <c r="AJ1290" s="133">
        <v>0.954204500592183</v>
      </c>
      <c r="AK1290" s="133">
        <v>0.962972166998012</v>
      </c>
      <c r="AL1290" s="133">
        <v>0.970037453183521</v>
      </c>
      <c r="AM1290" s="133">
        <v>0.973483438779308</v>
      </c>
      <c r="AN1290" s="132">
        <v>0.99</v>
      </c>
      <c r="AO1290" s="137">
        <v>1</v>
      </c>
      <c r="AP1290" s="137">
        <v>1</v>
      </c>
      <c r="AQ1290" s="137">
        <v>1</v>
      </c>
      <c r="AR1290" s="137">
        <v>1</v>
      </c>
      <c r="AS1290" s="158">
        <v>0.0721861525408278</v>
      </c>
      <c r="AT1290" s="141">
        <v>0</v>
      </c>
      <c r="AU1290" s="141">
        <v>0</v>
      </c>
      <c r="AV1290" s="141">
        <v>0.142857142857143</v>
      </c>
      <c r="AW1290" s="141">
        <v>0.0319148936170213</v>
      </c>
      <c r="AX1290" s="95"/>
      <c r="AY1290" s="93"/>
    </row>
    <row r="1291" ht="14.5" spans="1:51">
      <c r="A1291" s="91"/>
      <c r="B1291" s="95"/>
      <c r="C1291" s="152" t="s">
        <v>1085</v>
      </c>
      <c r="D1291" s="153" t="s">
        <v>25</v>
      </c>
      <c r="E1291" s="130" t="s">
        <v>1086</v>
      </c>
      <c r="F1291" s="195" t="s">
        <v>1321</v>
      </c>
      <c r="G1291" s="195" t="s">
        <v>1321</v>
      </c>
      <c r="H1291" s="195" t="s">
        <v>1321</v>
      </c>
      <c r="I1291" s="195" t="s">
        <v>1321</v>
      </c>
      <c r="J1291" s="132">
        <v>0.9</v>
      </c>
      <c r="K1291" s="133">
        <v>0.764705882352941</v>
      </c>
      <c r="L1291" s="133">
        <v>0.882352941176471</v>
      </c>
      <c r="M1291" s="134">
        <v>0.882352941176471</v>
      </c>
      <c r="N1291" s="133">
        <v>0.871069182389937</v>
      </c>
      <c r="O1291" s="135">
        <v>0.9</v>
      </c>
      <c r="P1291" s="133">
        <v>0.973520249221184</v>
      </c>
      <c r="Q1291" s="133">
        <v>0.9822263797942</v>
      </c>
      <c r="R1291" s="133">
        <v>0.950682056663169</v>
      </c>
      <c r="S1291" s="133">
        <v>0.967299518277132</v>
      </c>
      <c r="T1291" s="135">
        <v>0.9</v>
      </c>
      <c r="U1291" s="133">
        <v>0.937694704049844</v>
      </c>
      <c r="V1291" s="133">
        <v>0.956033676333021</v>
      </c>
      <c r="W1291" s="133">
        <v>0.935991605456453</v>
      </c>
      <c r="X1291" s="133">
        <v>0.936525928024936</v>
      </c>
      <c r="Y1291" s="135">
        <v>0.92</v>
      </c>
      <c r="Z1291" s="135">
        <v>0.919148936170213</v>
      </c>
      <c r="AA1291" s="135">
        <v>0.96643109540636</v>
      </c>
      <c r="AB1291" s="135">
        <v>0.953862660944206</v>
      </c>
      <c r="AC1291" s="135">
        <v>0.961650687786578</v>
      </c>
      <c r="AD1291" s="135">
        <v>0.92</v>
      </c>
      <c r="AE1291" s="133">
        <v>1</v>
      </c>
      <c r="AF1291" s="133">
        <v>1</v>
      </c>
      <c r="AG1291" s="133">
        <v>1</v>
      </c>
      <c r="AH1291" s="133">
        <v>0.995311453449431</v>
      </c>
      <c r="AI1291" s="135">
        <v>0.92</v>
      </c>
      <c r="AJ1291" s="133">
        <v>0.949640287769784</v>
      </c>
      <c r="AK1291" s="133">
        <v>0.979204892966361</v>
      </c>
      <c r="AL1291" s="133">
        <v>0.971883289124668</v>
      </c>
      <c r="AM1291" s="133">
        <v>0.976621010728021</v>
      </c>
      <c r="AN1291" s="132">
        <v>0.99</v>
      </c>
      <c r="AO1291" s="137">
        <v>1</v>
      </c>
      <c r="AP1291" s="137">
        <v>1</v>
      </c>
      <c r="AQ1291" s="137">
        <v>1</v>
      </c>
      <c r="AR1291" s="137">
        <v>1</v>
      </c>
      <c r="AS1291" s="158">
        <v>0.0721861525408278</v>
      </c>
      <c r="AT1291" s="141">
        <v>0</v>
      </c>
      <c r="AU1291" s="141">
        <v>0</v>
      </c>
      <c r="AV1291" s="141">
        <v>0</v>
      </c>
      <c r="AW1291" s="141">
        <v>0.0540540540540541</v>
      </c>
      <c r="AX1291" s="95"/>
      <c r="AY1291" s="93"/>
    </row>
    <row r="1292" ht="14.5" spans="1:51">
      <c r="A1292" s="91"/>
      <c r="B1292" s="95"/>
      <c r="C1292" s="152" t="s">
        <v>1085</v>
      </c>
      <c r="D1292" s="153" t="s">
        <v>125</v>
      </c>
      <c r="E1292" s="130" t="s">
        <v>1086</v>
      </c>
      <c r="F1292" s="195" t="s">
        <v>1322</v>
      </c>
      <c r="G1292" s="195" t="s">
        <v>1322</v>
      </c>
      <c r="H1292" s="195" t="s">
        <v>1322</v>
      </c>
      <c r="I1292" s="195" t="s">
        <v>1322</v>
      </c>
      <c r="J1292" s="132">
        <v>0.9</v>
      </c>
      <c r="K1292" s="133" t="s">
        <v>35</v>
      </c>
      <c r="L1292" s="133" t="s">
        <v>35</v>
      </c>
      <c r="M1292" s="134" t="s">
        <v>35</v>
      </c>
      <c r="N1292" s="133" t="s">
        <v>35</v>
      </c>
      <c r="O1292" s="135">
        <v>0.9</v>
      </c>
      <c r="P1292" s="133" t="s">
        <v>35</v>
      </c>
      <c r="Q1292" s="133" t="s">
        <v>35</v>
      </c>
      <c r="R1292" s="133" t="s">
        <v>35</v>
      </c>
      <c r="S1292" s="133">
        <v>0</v>
      </c>
      <c r="T1292" s="135">
        <v>0.9</v>
      </c>
      <c r="U1292" s="133" t="s">
        <v>35</v>
      </c>
      <c r="V1292" s="133" t="s">
        <v>35</v>
      </c>
      <c r="W1292" s="133" t="s">
        <v>35</v>
      </c>
      <c r="X1292" s="133">
        <v>0</v>
      </c>
      <c r="Y1292" s="135">
        <v>0.92</v>
      </c>
      <c r="Z1292" s="135" t="s">
        <v>35</v>
      </c>
      <c r="AA1292" s="135" t="s">
        <v>35</v>
      </c>
      <c r="AB1292" s="135" t="s">
        <v>35</v>
      </c>
      <c r="AC1292" s="135" t="s">
        <v>35</v>
      </c>
      <c r="AD1292" s="135">
        <v>0.92</v>
      </c>
      <c r="AE1292" s="133">
        <v>0.996108949416342</v>
      </c>
      <c r="AF1292" s="133">
        <v>0.994186046511628</v>
      </c>
      <c r="AG1292" s="133">
        <v>0.997536945812808</v>
      </c>
      <c r="AH1292" s="133">
        <v>0.995364750027591</v>
      </c>
      <c r="AI1292" s="135">
        <v>0.92</v>
      </c>
      <c r="AJ1292" s="133" t="s">
        <v>35</v>
      </c>
      <c r="AK1292" s="133" t="s">
        <v>35</v>
      </c>
      <c r="AL1292" s="133" t="s">
        <v>35</v>
      </c>
      <c r="AM1292" s="133">
        <v>0</v>
      </c>
      <c r="AN1292" s="132">
        <v>0.99</v>
      </c>
      <c r="AO1292" s="137">
        <v>1</v>
      </c>
      <c r="AP1292" s="137">
        <v>1</v>
      </c>
      <c r="AQ1292" s="137">
        <v>1</v>
      </c>
      <c r="AR1292" s="137">
        <v>1</v>
      </c>
      <c r="AS1292" s="158">
        <v>0.0721861525408278</v>
      </c>
      <c r="AT1292" s="141" t="s">
        <v>35</v>
      </c>
      <c r="AU1292" s="141" t="s">
        <v>35</v>
      </c>
      <c r="AV1292" s="141" t="s">
        <v>35</v>
      </c>
      <c r="AW1292" s="141" t="s">
        <v>35</v>
      </c>
      <c r="AX1292" s="95"/>
      <c r="AY1292" s="93"/>
    </row>
    <row r="1293" ht="14.5" spans="1:51">
      <c r="A1293" s="91"/>
      <c r="B1293" s="95"/>
      <c r="C1293" s="152" t="s">
        <v>1085</v>
      </c>
      <c r="D1293" s="153" t="s">
        <v>25</v>
      </c>
      <c r="E1293" s="130" t="s">
        <v>1086</v>
      </c>
      <c r="F1293" s="195" t="s">
        <v>1323</v>
      </c>
      <c r="G1293" s="195" t="s">
        <v>1323</v>
      </c>
      <c r="H1293" s="195" t="s">
        <v>1323</v>
      </c>
      <c r="I1293" s="195" t="s">
        <v>1323</v>
      </c>
      <c r="J1293" s="132">
        <v>0.9</v>
      </c>
      <c r="K1293" s="133">
        <v>0.911111111111111</v>
      </c>
      <c r="L1293" s="133">
        <v>0.963636363636364</v>
      </c>
      <c r="M1293" s="134">
        <v>0.901960784313726</v>
      </c>
      <c r="N1293" s="133">
        <v>0.93717277486911</v>
      </c>
      <c r="O1293" s="135">
        <v>0.9</v>
      </c>
      <c r="P1293" s="133">
        <v>0.989216799091941</v>
      </c>
      <c r="Q1293" s="133">
        <v>0.985294117647059</v>
      </c>
      <c r="R1293" s="133">
        <v>0.984718598583675</v>
      </c>
      <c r="S1293" s="133">
        <v>0.923992960500587</v>
      </c>
      <c r="T1293" s="135">
        <v>0.9</v>
      </c>
      <c r="U1293" s="133">
        <v>0.949489216799092</v>
      </c>
      <c r="V1293" s="133">
        <v>0.956195244055069</v>
      </c>
      <c r="W1293" s="133">
        <v>0.956019381289601</v>
      </c>
      <c r="X1293" s="133">
        <v>0.945658975361752</v>
      </c>
      <c r="Y1293" s="135">
        <v>0.92</v>
      </c>
      <c r="Z1293" s="135">
        <v>0.949836423118866</v>
      </c>
      <c r="AA1293" s="135">
        <v>0.95414364640884</v>
      </c>
      <c r="AB1293" s="135">
        <v>0.959847036328872</v>
      </c>
      <c r="AC1293" s="135">
        <v>0.964111236377302</v>
      </c>
      <c r="AD1293" s="135">
        <v>0.92</v>
      </c>
      <c r="AE1293" s="133">
        <v>0.998849252013809</v>
      </c>
      <c r="AF1293" s="133">
        <v>0.99830220713073</v>
      </c>
      <c r="AG1293" s="133">
        <v>0.990990990990991</v>
      </c>
      <c r="AH1293" s="133">
        <v>0.995621052631579</v>
      </c>
      <c r="AI1293" s="135">
        <v>0.92</v>
      </c>
      <c r="AJ1293" s="133">
        <v>0.968645016797312</v>
      </c>
      <c r="AK1293" s="133">
        <v>0.970235717139433</v>
      </c>
      <c r="AL1293" s="133">
        <v>0.971307619943556</v>
      </c>
      <c r="AM1293" s="133">
        <v>0.978766911878183</v>
      </c>
      <c r="AN1293" s="132">
        <v>0.99</v>
      </c>
      <c r="AO1293" s="137">
        <v>1</v>
      </c>
      <c r="AP1293" s="137">
        <v>1</v>
      </c>
      <c r="AQ1293" s="137">
        <v>1</v>
      </c>
      <c r="AR1293" s="137">
        <v>1</v>
      </c>
      <c r="AS1293" s="158">
        <v>0.0721861525408278</v>
      </c>
      <c r="AT1293" s="141">
        <v>0</v>
      </c>
      <c r="AU1293" s="141">
        <v>0</v>
      </c>
      <c r="AV1293" s="141">
        <v>0</v>
      </c>
      <c r="AW1293" s="141">
        <v>0.0234741784037559</v>
      </c>
      <c r="AX1293" s="95"/>
      <c r="AY1293" s="93"/>
    </row>
    <row r="1294" ht="14.5" spans="1:51">
      <c r="A1294" s="91"/>
      <c r="B1294" s="95"/>
      <c r="C1294" s="152" t="s">
        <v>1085</v>
      </c>
      <c r="D1294" s="153" t="s">
        <v>25</v>
      </c>
      <c r="E1294" s="130" t="s">
        <v>1086</v>
      </c>
      <c r="F1294" s="195" t="s">
        <v>1324</v>
      </c>
      <c r="G1294" s="195" t="s">
        <v>1324</v>
      </c>
      <c r="H1294" s="195" t="s">
        <v>1324</v>
      </c>
      <c r="I1294" s="195" t="s">
        <v>1324</v>
      </c>
      <c r="J1294" s="132">
        <v>0.9</v>
      </c>
      <c r="K1294" s="133">
        <v>0.849056603773585</v>
      </c>
      <c r="L1294" s="133">
        <v>0.948275862068966</v>
      </c>
      <c r="M1294" s="134">
        <v>0.851851851851852</v>
      </c>
      <c r="N1294" s="133">
        <v>0.885004599816007</v>
      </c>
      <c r="O1294" s="135">
        <v>0.9</v>
      </c>
      <c r="P1294" s="133">
        <v>0.988815455007626</v>
      </c>
      <c r="Q1294" s="133">
        <v>0.979789103690685</v>
      </c>
      <c r="R1294" s="133">
        <v>0.988340192043896</v>
      </c>
      <c r="S1294" s="133">
        <v>0.986063598523786</v>
      </c>
      <c r="T1294" s="135">
        <v>0.9</v>
      </c>
      <c r="U1294" s="133">
        <v>0.944077275038129</v>
      </c>
      <c r="V1294" s="133">
        <v>0.937902753368483</v>
      </c>
      <c r="W1294" s="133">
        <v>0.943758573388203</v>
      </c>
      <c r="X1294" s="133">
        <v>0.946394566994152</v>
      </c>
      <c r="Y1294" s="135">
        <v>0.92</v>
      </c>
      <c r="Z1294" s="135">
        <v>0.94106463878327</v>
      </c>
      <c r="AA1294" s="135">
        <v>0.959507944643772</v>
      </c>
      <c r="AB1294" s="135">
        <v>0.958985429033999</v>
      </c>
      <c r="AC1294" s="135">
        <v>0.963819860992097</v>
      </c>
      <c r="AD1294" s="135">
        <v>0.92</v>
      </c>
      <c r="AE1294" s="133">
        <v>0.998891045189909</v>
      </c>
      <c r="AF1294" s="133">
        <v>0.99430280586811</v>
      </c>
      <c r="AG1294" s="133">
        <v>0.987204018177469</v>
      </c>
      <c r="AH1294" s="133">
        <v>0.956571547594251</v>
      </c>
      <c r="AI1294" s="135">
        <v>0.92</v>
      </c>
      <c r="AJ1294" s="133">
        <v>0.962239152037098</v>
      </c>
      <c r="AK1294" s="133">
        <v>0.970922646784716</v>
      </c>
      <c r="AL1294" s="133">
        <v>0.972327044025157</v>
      </c>
      <c r="AM1294" s="133">
        <v>0.978362077504705</v>
      </c>
      <c r="AN1294" s="132">
        <v>0.99</v>
      </c>
      <c r="AO1294" s="137">
        <v>1</v>
      </c>
      <c r="AP1294" s="137">
        <v>1</v>
      </c>
      <c r="AQ1294" s="137">
        <v>1</v>
      </c>
      <c r="AR1294" s="137">
        <v>1</v>
      </c>
      <c r="AS1294" s="158">
        <v>0.0721861525408278</v>
      </c>
      <c r="AT1294" s="141">
        <v>0</v>
      </c>
      <c r="AU1294" s="141">
        <v>0</v>
      </c>
      <c r="AV1294" s="141">
        <v>0.0434782608695652</v>
      </c>
      <c r="AW1294" s="141">
        <v>0.0144230769230769</v>
      </c>
      <c r="AX1294" s="95"/>
      <c r="AY1294" s="93"/>
    </row>
    <row r="1295" ht="14.5" spans="1:51">
      <c r="A1295" s="91"/>
      <c r="B1295" s="95"/>
      <c r="C1295" s="152" t="s">
        <v>1085</v>
      </c>
      <c r="D1295" s="153" t="s">
        <v>25</v>
      </c>
      <c r="E1295" s="130" t="s">
        <v>1086</v>
      </c>
      <c r="F1295" s="195" t="s">
        <v>1325</v>
      </c>
      <c r="G1295" s="195" t="s">
        <v>1325</v>
      </c>
      <c r="H1295" s="195" t="s">
        <v>1325</v>
      </c>
      <c r="I1295" s="195" t="s">
        <v>1325</v>
      </c>
      <c r="J1295" s="132">
        <v>0.9</v>
      </c>
      <c r="K1295" s="133">
        <v>0.863157894736842</v>
      </c>
      <c r="L1295" s="133">
        <v>0.903508771929825</v>
      </c>
      <c r="M1295" s="134">
        <v>0.881188118811881</v>
      </c>
      <c r="N1295" s="133">
        <v>0.892268041237113</v>
      </c>
      <c r="O1295" s="135">
        <v>0.9</v>
      </c>
      <c r="P1295" s="133">
        <v>0.985346792575708</v>
      </c>
      <c r="Q1295" s="133">
        <v>0.982276119402985</v>
      </c>
      <c r="R1295" s="133">
        <v>0.991904559011504</v>
      </c>
      <c r="S1295" s="133">
        <v>0.990433708331967</v>
      </c>
      <c r="T1295" s="135">
        <v>0.9</v>
      </c>
      <c r="U1295" s="133">
        <v>0.946922826440899</v>
      </c>
      <c r="V1295" s="133">
        <v>0.954850746268657</v>
      </c>
      <c r="W1295" s="133">
        <v>0.947166595654026</v>
      </c>
      <c r="X1295" s="133">
        <v>0.958225370898794</v>
      </c>
      <c r="Y1295" s="135">
        <v>0.92</v>
      </c>
      <c r="Z1295" s="135">
        <v>0.958258795468098</v>
      </c>
      <c r="AA1295" s="135">
        <v>0.961392405063291</v>
      </c>
      <c r="AB1295" s="135">
        <v>0.955813224694453</v>
      </c>
      <c r="AC1295" s="135">
        <v>0.972234710208779</v>
      </c>
      <c r="AD1295" s="135">
        <v>0.92</v>
      </c>
      <c r="AE1295" s="133">
        <v>0.99409820585458</v>
      </c>
      <c r="AF1295" s="133">
        <v>0.990142671854734</v>
      </c>
      <c r="AG1295" s="133">
        <v>0.98811013767209</v>
      </c>
      <c r="AH1295" s="133">
        <v>0.984633842462277</v>
      </c>
      <c r="AI1295" s="135">
        <v>0.92</v>
      </c>
      <c r="AJ1295" s="133">
        <v>0.971368421052632</v>
      </c>
      <c r="AK1295" s="133">
        <v>0.977704764139873</v>
      </c>
      <c r="AL1295" s="133">
        <v>0.972616632860041</v>
      </c>
      <c r="AM1295" s="133">
        <v>0.983447535144248</v>
      </c>
      <c r="AN1295" s="132">
        <v>0.99</v>
      </c>
      <c r="AO1295" s="137">
        <v>1</v>
      </c>
      <c r="AP1295" s="137">
        <v>1</v>
      </c>
      <c r="AQ1295" s="137">
        <v>1</v>
      </c>
      <c r="AR1295" s="137">
        <v>1</v>
      </c>
      <c r="AS1295" s="158">
        <v>0.0721861525408278</v>
      </c>
      <c r="AT1295" s="141">
        <v>0</v>
      </c>
      <c r="AU1295" s="141">
        <v>0</v>
      </c>
      <c r="AV1295" s="141">
        <v>0.0227272727272727</v>
      </c>
      <c r="AW1295" s="141">
        <v>0.00355450236966825</v>
      </c>
      <c r="AX1295" s="95"/>
      <c r="AY1295" s="93"/>
    </row>
    <row r="1296" ht="14.5" spans="1:51">
      <c r="A1296" s="91"/>
      <c r="B1296" s="95"/>
      <c r="C1296" s="152" t="s">
        <v>1085</v>
      </c>
      <c r="D1296" s="153" t="s">
        <v>25</v>
      </c>
      <c r="E1296" s="130" t="s">
        <v>1086</v>
      </c>
      <c r="F1296" s="195" t="s">
        <v>1326</v>
      </c>
      <c r="G1296" s="195" t="s">
        <v>1326</v>
      </c>
      <c r="H1296" s="195" t="s">
        <v>1326</v>
      </c>
      <c r="I1296" s="195" t="s">
        <v>1326</v>
      </c>
      <c r="J1296" s="132">
        <v>0.9</v>
      </c>
      <c r="K1296" s="133">
        <v>0.9375</v>
      </c>
      <c r="L1296" s="133">
        <v>0.925373134328358</v>
      </c>
      <c r="M1296" s="134">
        <v>0.926470588235294</v>
      </c>
      <c r="N1296" s="133">
        <v>0.948635634028893</v>
      </c>
      <c r="O1296" s="135">
        <v>0.9</v>
      </c>
      <c r="P1296" s="133">
        <v>0.961613787700744</v>
      </c>
      <c r="Q1296" s="133">
        <v>0.968207440811725</v>
      </c>
      <c r="R1296" s="133">
        <v>0.971143756558237</v>
      </c>
      <c r="S1296" s="133">
        <v>0.96867624691876</v>
      </c>
      <c r="T1296" s="135">
        <v>0.9</v>
      </c>
      <c r="U1296" s="133">
        <v>0.963963963963964</v>
      </c>
      <c r="V1296" s="133">
        <v>0.958286358511838</v>
      </c>
      <c r="W1296" s="133">
        <v>0.958551941238195</v>
      </c>
      <c r="X1296" s="133">
        <v>0.9497561231447</v>
      </c>
      <c r="Y1296" s="135">
        <v>0.92</v>
      </c>
      <c r="Z1296" s="135">
        <v>0.960583941605839</v>
      </c>
      <c r="AA1296" s="135">
        <v>0.953913388955105</v>
      </c>
      <c r="AB1296" s="135">
        <v>0.951490876724522</v>
      </c>
      <c r="AC1296" s="135">
        <v>0.953305338932214</v>
      </c>
      <c r="AD1296" s="135">
        <v>0.92</v>
      </c>
      <c r="AE1296" s="133">
        <v>0.999827019546791</v>
      </c>
      <c r="AF1296" s="133">
        <v>0.997679814385151</v>
      </c>
      <c r="AG1296" s="133">
        <v>0.997560975609756</v>
      </c>
      <c r="AH1296" s="133">
        <v>0.997391854561168</v>
      </c>
      <c r="AI1296" s="135">
        <v>0.92</v>
      </c>
      <c r="AJ1296" s="133">
        <v>0.977313280652562</v>
      </c>
      <c r="AK1296" s="133">
        <v>0.974539700805524</v>
      </c>
      <c r="AL1296" s="133">
        <v>0.973262914672388</v>
      </c>
      <c r="AM1296" s="133">
        <v>0.974564631271938</v>
      </c>
      <c r="AN1296" s="132">
        <v>0.99</v>
      </c>
      <c r="AO1296" s="137">
        <v>1</v>
      </c>
      <c r="AP1296" s="137">
        <v>1</v>
      </c>
      <c r="AQ1296" s="137">
        <v>1</v>
      </c>
      <c r="AR1296" s="137">
        <v>1</v>
      </c>
      <c r="AS1296" s="158">
        <v>0.0721861525408278</v>
      </c>
      <c r="AT1296" s="141">
        <v>0</v>
      </c>
      <c r="AU1296" s="141">
        <v>0</v>
      </c>
      <c r="AV1296" s="141">
        <v>0.0555555555555556</v>
      </c>
      <c r="AW1296" s="141">
        <v>0.0469135802469136</v>
      </c>
      <c r="AX1296" s="95"/>
      <c r="AY1296" s="93"/>
    </row>
    <row r="1297" ht="14.5" spans="1:51">
      <c r="A1297" s="91"/>
      <c r="B1297" s="95"/>
      <c r="C1297" s="152" t="s">
        <v>1085</v>
      </c>
      <c r="D1297" s="153" t="s">
        <v>25</v>
      </c>
      <c r="E1297" s="130" t="s">
        <v>1086</v>
      </c>
      <c r="F1297" s="195" t="s">
        <v>1327</v>
      </c>
      <c r="G1297" s="195" t="s">
        <v>1327</v>
      </c>
      <c r="H1297" s="195" t="s">
        <v>1327</v>
      </c>
      <c r="I1297" s="195" t="s">
        <v>1327</v>
      </c>
      <c r="J1297" s="132">
        <v>0.9</v>
      </c>
      <c r="K1297" s="133">
        <v>1</v>
      </c>
      <c r="L1297" s="133">
        <v>1</v>
      </c>
      <c r="M1297" s="134">
        <v>1</v>
      </c>
      <c r="N1297" s="133">
        <v>0.965201465201465</v>
      </c>
      <c r="O1297" s="135">
        <v>0.9</v>
      </c>
      <c r="P1297" s="133">
        <v>0.995092024539877</v>
      </c>
      <c r="Q1297" s="133">
        <v>0.958391771856007</v>
      </c>
      <c r="R1297" s="133">
        <v>0.986730360934183</v>
      </c>
      <c r="S1297" s="133">
        <v>0.981662694518435</v>
      </c>
      <c r="T1297" s="135">
        <v>0.9</v>
      </c>
      <c r="U1297" s="133">
        <v>0.941717791411043</v>
      </c>
      <c r="V1297" s="133">
        <v>0.954184198223469</v>
      </c>
      <c r="W1297" s="133">
        <v>0.945329087048832</v>
      </c>
      <c r="X1297" s="133">
        <v>0.950315435300715</v>
      </c>
      <c r="Y1297" s="135">
        <v>0.92</v>
      </c>
      <c r="Z1297" s="135" t="s">
        <v>35</v>
      </c>
      <c r="AA1297" s="135" t="s">
        <v>35</v>
      </c>
      <c r="AB1297" s="135">
        <v>0</v>
      </c>
      <c r="AC1297" s="135">
        <v>0</v>
      </c>
      <c r="AD1297" s="135">
        <v>0.92</v>
      </c>
      <c r="AE1297" s="133">
        <v>1</v>
      </c>
      <c r="AF1297" s="133">
        <v>1</v>
      </c>
      <c r="AG1297" s="133">
        <v>0.974358974358974</v>
      </c>
      <c r="AH1297" s="133">
        <v>0.991477272727273</v>
      </c>
      <c r="AI1297" s="135">
        <v>0.92</v>
      </c>
      <c r="AJ1297" s="133">
        <v>0.980981595092025</v>
      </c>
      <c r="AK1297" s="133">
        <v>0.982234689107059</v>
      </c>
      <c r="AL1297" s="133">
        <v>0.979310344827586</v>
      </c>
      <c r="AM1297" s="133">
        <v>0.985280098693433</v>
      </c>
      <c r="AN1297" s="132">
        <v>0.99</v>
      </c>
      <c r="AO1297" s="137">
        <v>1</v>
      </c>
      <c r="AP1297" s="137">
        <v>1</v>
      </c>
      <c r="AQ1297" s="137">
        <v>1</v>
      </c>
      <c r="AR1297" s="137">
        <v>1</v>
      </c>
      <c r="AS1297" s="158">
        <v>0.0721861525408278</v>
      </c>
      <c r="AT1297" s="141">
        <v>0</v>
      </c>
      <c r="AU1297" s="141">
        <v>0</v>
      </c>
      <c r="AV1297" s="141">
        <v>0.333333333333333</v>
      </c>
      <c r="AW1297" s="141">
        <v>0.0461538461538462</v>
      </c>
      <c r="AX1297" s="95"/>
      <c r="AY1297" s="93"/>
    </row>
    <row r="1298" ht="14.5" spans="1:51">
      <c r="A1298" s="91"/>
      <c r="B1298" s="95"/>
      <c r="C1298" s="152" t="s">
        <v>1085</v>
      </c>
      <c r="D1298" s="153" t="s">
        <v>25</v>
      </c>
      <c r="E1298" s="130" t="s">
        <v>1086</v>
      </c>
      <c r="F1298" s="195" t="s">
        <v>1328</v>
      </c>
      <c r="G1298" s="195" t="s">
        <v>1328</v>
      </c>
      <c r="H1298" s="195" t="s">
        <v>1328</v>
      </c>
      <c r="I1298" s="195" t="s">
        <v>1328</v>
      </c>
      <c r="J1298" s="132">
        <v>0.9</v>
      </c>
      <c r="K1298" s="133">
        <v>1</v>
      </c>
      <c r="L1298" s="133">
        <v>0.923076923076923</v>
      </c>
      <c r="M1298" s="134">
        <v>1</v>
      </c>
      <c r="N1298" s="133">
        <v>0.977827050997783</v>
      </c>
      <c r="O1298" s="135">
        <v>0.9</v>
      </c>
      <c r="P1298" s="133">
        <v>0.990196078431373</v>
      </c>
      <c r="Q1298" s="133">
        <v>0.98742746615087</v>
      </c>
      <c r="R1298" s="133">
        <v>0.991351351351351</v>
      </c>
      <c r="S1298" s="133">
        <v>0.988909243947121</v>
      </c>
      <c r="T1298" s="135">
        <v>0.9</v>
      </c>
      <c r="U1298" s="133">
        <v>0.916666666666667</v>
      </c>
      <c r="V1298" s="133">
        <v>0.939071566731141</v>
      </c>
      <c r="W1298" s="133">
        <v>0.902702702702703</v>
      </c>
      <c r="X1298" s="133">
        <v>0.939644501658662</v>
      </c>
      <c r="Y1298" s="135">
        <v>0.92</v>
      </c>
      <c r="Z1298" s="135">
        <v>0.940789473684211</v>
      </c>
      <c r="AA1298" s="135">
        <v>0.921630094043887</v>
      </c>
      <c r="AB1298" s="135">
        <v>0.795454545454545</v>
      </c>
      <c r="AC1298" s="135">
        <v>0.939469866807332</v>
      </c>
      <c r="AD1298" s="135">
        <v>0.92</v>
      </c>
      <c r="AE1298" s="133">
        <v>1</v>
      </c>
      <c r="AF1298" s="133">
        <v>1</v>
      </c>
      <c r="AG1298" s="133">
        <v>1</v>
      </c>
      <c r="AH1298" s="133">
        <v>0.998111425873466</v>
      </c>
      <c r="AI1298" s="135">
        <v>0.92</v>
      </c>
      <c r="AJ1298" s="133">
        <v>0.950873362445415</v>
      </c>
      <c r="AK1298" s="133">
        <v>0.952751196172249</v>
      </c>
      <c r="AL1298" s="133">
        <v>0.89057123193393</v>
      </c>
      <c r="AM1298" s="133">
        <v>0.969402447804176</v>
      </c>
      <c r="AN1298" s="132">
        <v>0.99</v>
      </c>
      <c r="AO1298" s="137">
        <v>1</v>
      </c>
      <c r="AP1298" s="137">
        <v>1</v>
      </c>
      <c r="AQ1298" s="137">
        <v>1</v>
      </c>
      <c r="AR1298" s="137">
        <v>1</v>
      </c>
      <c r="AS1298" s="158">
        <v>0.0721861525408278</v>
      </c>
      <c r="AT1298" s="141">
        <v>0</v>
      </c>
      <c r="AU1298" s="141">
        <v>0.111111111111111</v>
      </c>
      <c r="AV1298" s="141">
        <v>0</v>
      </c>
      <c r="AW1298" s="141">
        <v>0.0588235294117647</v>
      </c>
      <c r="AX1298" s="95"/>
      <c r="AY1298" s="93"/>
    </row>
    <row r="1299" ht="14.5" spans="1:51">
      <c r="A1299" s="91"/>
      <c r="B1299" s="95"/>
      <c r="C1299" s="152" t="s">
        <v>1085</v>
      </c>
      <c r="D1299" s="153" t="s">
        <v>25</v>
      </c>
      <c r="E1299" s="130" t="s">
        <v>1086</v>
      </c>
      <c r="F1299" s="195" t="s">
        <v>1329</v>
      </c>
      <c r="G1299" s="195" t="s">
        <v>1329</v>
      </c>
      <c r="H1299" s="195" t="s">
        <v>1329</v>
      </c>
      <c r="I1299" s="195" t="s">
        <v>1329</v>
      </c>
      <c r="J1299" s="132">
        <v>0.9</v>
      </c>
      <c r="K1299" s="133">
        <v>1</v>
      </c>
      <c r="L1299" s="133">
        <v>0.941176470588235</v>
      </c>
      <c r="M1299" s="134">
        <v>0.941176470588235</v>
      </c>
      <c r="N1299" s="133">
        <v>0.950581395348837</v>
      </c>
      <c r="O1299" s="135">
        <v>0.9</v>
      </c>
      <c r="P1299" s="133">
        <v>0.981072555205047</v>
      </c>
      <c r="Q1299" s="133">
        <v>0.989311163895487</v>
      </c>
      <c r="R1299" s="133">
        <v>0.986996098829649</v>
      </c>
      <c r="S1299" s="133">
        <v>0.987211244887378</v>
      </c>
      <c r="T1299" s="135">
        <v>0.9</v>
      </c>
      <c r="U1299" s="133">
        <v>0.921135646687697</v>
      </c>
      <c r="V1299" s="133">
        <v>0.888361045130641</v>
      </c>
      <c r="W1299" s="133">
        <v>0.953185955786736</v>
      </c>
      <c r="X1299" s="133">
        <v>0.935422547381762</v>
      </c>
      <c r="Y1299" s="135">
        <v>0.92</v>
      </c>
      <c r="Z1299" s="135">
        <v>0.878151260504202</v>
      </c>
      <c r="AA1299" s="135">
        <v>0.920955882352941</v>
      </c>
      <c r="AB1299" s="135">
        <v>0.890350877192982</v>
      </c>
      <c r="AC1299" s="135">
        <v>0.927753452340855</v>
      </c>
      <c r="AD1299" s="135">
        <v>0.92</v>
      </c>
      <c r="AE1299" s="133">
        <v>1</v>
      </c>
      <c r="AF1299" s="133">
        <v>1</v>
      </c>
      <c r="AG1299" s="133">
        <v>0.972972972972973</v>
      </c>
      <c r="AH1299" s="133">
        <v>0.987519500780031</v>
      </c>
      <c r="AI1299" s="135">
        <v>0.92</v>
      </c>
      <c r="AJ1299" s="133">
        <v>0.942660550458716</v>
      </c>
      <c r="AK1299" s="133">
        <v>0.94949494949495</v>
      </c>
      <c r="AL1299" s="133">
        <v>0.950204081632653</v>
      </c>
      <c r="AM1299" s="133">
        <v>0.968666838355224</v>
      </c>
      <c r="AN1299" s="132">
        <v>0.99</v>
      </c>
      <c r="AO1299" s="137">
        <v>1</v>
      </c>
      <c r="AP1299" s="137">
        <v>1</v>
      </c>
      <c r="AQ1299" s="137">
        <v>1</v>
      </c>
      <c r="AR1299" s="137">
        <v>1</v>
      </c>
      <c r="AS1299" s="158">
        <v>0.0721861525408278</v>
      </c>
      <c r="AT1299" s="141">
        <v>0</v>
      </c>
      <c r="AU1299" s="141">
        <v>0.142857142857143</v>
      </c>
      <c r="AV1299" s="141">
        <v>0</v>
      </c>
      <c r="AW1299" s="141">
        <v>0.0461538461538462</v>
      </c>
      <c r="AX1299" s="95"/>
      <c r="AY1299" s="93"/>
    </row>
    <row r="1300" ht="14.5" spans="1:51">
      <c r="A1300" s="91"/>
      <c r="B1300" s="95"/>
      <c r="C1300" s="152" t="s">
        <v>1085</v>
      </c>
      <c r="D1300" s="153" t="s">
        <v>25</v>
      </c>
      <c r="E1300" s="130" t="s">
        <v>1086</v>
      </c>
      <c r="F1300" s="195" t="s">
        <v>1330</v>
      </c>
      <c r="G1300" s="195" t="s">
        <v>1330</v>
      </c>
      <c r="H1300" s="195" t="s">
        <v>1330</v>
      </c>
      <c r="I1300" s="195" t="s">
        <v>1330</v>
      </c>
      <c r="J1300" s="132">
        <v>0.9</v>
      </c>
      <c r="K1300" s="133">
        <v>0.914893617021277</v>
      </c>
      <c r="L1300" s="133">
        <v>0.927272727272727</v>
      </c>
      <c r="M1300" s="134">
        <v>0.9</v>
      </c>
      <c r="N1300" s="133">
        <v>0.924528301886792</v>
      </c>
      <c r="O1300" s="135">
        <v>0.9</v>
      </c>
      <c r="P1300" s="133">
        <v>0.992264053635895</v>
      </c>
      <c r="Q1300" s="133">
        <v>0.979895104895105</v>
      </c>
      <c r="R1300" s="133">
        <v>0.97997997997998</v>
      </c>
      <c r="S1300" s="133">
        <v>0.980026323278315</v>
      </c>
      <c r="T1300" s="135">
        <v>0.9</v>
      </c>
      <c r="U1300" s="133">
        <v>0.943269726663229</v>
      </c>
      <c r="V1300" s="133">
        <v>0.95979020979021</v>
      </c>
      <c r="W1300" s="133">
        <v>0.957624290957624</v>
      </c>
      <c r="X1300" s="133">
        <v>0.944881189527604</v>
      </c>
      <c r="Y1300" s="135">
        <v>0.92</v>
      </c>
      <c r="Z1300" s="135">
        <v>0.931707317073171</v>
      </c>
      <c r="AA1300" s="135">
        <v>0.972567287784679</v>
      </c>
      <c r="AB1300" s="135">
        <v>0.974808324205915</v>
      </c>
      <c r="AC1300" s="135">
        <v>0.964251797585131</v>
      </c>
      <c r="AD1300" s="135">
        <v>0.92</v>
      </c>
      <c r="AE1300" s="133">
        <v>0.997830802603037</v>
      </c>
      <c r="AF1300" s="133">
        <v>0.994233937397035</v>
      </c>
      <c r="AG1300" s="133">
        <v>0.990583804143126</v>
      </c>
      <c r="AH1300" s="133">
        <v>0.98983787593985</v>
      </c>
      <c r="AI1300" s="135">
        <v>0.92</v>
      </c>
      <c r="AJ1300" s="133">
        <v>0.958502024291498</v>
      </c>
      <c r="AK1300" s="133">
        <v>0.983221476510067</v>
      </c>
      <c r="AL1300" s="133">
        <v>0.982583454281567</v>
      </c>
      <c r="AM1300" s="133">
        <v>0.979910401791964</v>
      </c>
      <c r="AN1300" s="132">
        <v>0.99</v>
      </c>
      <c r="AO1300" s="137">
        <v>1</v>
      </c>
      <c r="AP1300" s="137">
        <v>1</v>
      </c>
      <c r="AQ1300" s="137">
        <v>1</v>
      </c>
      <c r="AR1300" s="137">
        <v>1</v>
      </c>
      <c r="AS1300" s="158">
        <v>0.0721861525408278</v>
      </c>
      <c r="AT1300" s="141">
        <v>0</v>
      </c>
      <c r="AU1300" s="141">
        <v>0.0769230769230769</v>
      </c>
      <c r="AV1300" s="141">
        <v>0</v>
      </c>
      <c r="AW1300" s="141">
        <v>0.0502793296089385</v>
      </c>
      <c r="AX1300" s="95"/>
      <c r="AY1300" s="93"/>
    </row>
    <row r="1301" ht="14.5" spans="1:51">
      <c r="A1301" s="91"/>
      <c r="B1301" s="95"/>
      <c r="C1301" s="152" t="s">
        <v>1085</v>
      </c>
      <c r="D1301" s="153" t="s">
        <v>25</v>
      </c>
      <c r="E1301" s="130" t="s">
        <v>1086</v>
      </c>
      <c r="F1301" s="195" t="s">
        <v>1331</v>
      </c>
      <c r="G1301" s="195" t="s">
        <v>1331</v>
      </c>
      <c r="H1301" s="195" t="s">
        <v>1331</v>
      </c>
      <c r="I1301" s="195" t="s">
        <v>1331</v>
      </c>
      <c r="J1301" s="132">
        <v>0.9</v>
      </c>
      <c r="K1301" s="133">
        <v>0.882352941176471</v>
      </c>
      <c r="L1301" s="133">
        <v>0.871794871794872</v>
      </c>
      <c r="M1301" s="134">
        <v>0.885714285714286</v>
      </c>
      <c r="N1301" s="133">
        <v>0.92156862745098</v>
      </c>
      <c r="O1301" s="135">
        <v>0.9</v>
      </c>
      <c r="P1301" s="133">
        <v>0.992462311557789</v>
      </c>
      <c r="Q1301" s="133">
        <v>0.990493435943866</v>
      </c>
      <c r="R1301" s="133">
        <v>0.995703544575725</v>
      </c>
      <c r="S1301" s="133">
        <v>0.931162532908411</v>
      </c>
      <c r="T1301" s="135">
        <v>0.9</v>
      </c>
      <c r="U1301" s="133">
        <v>0.963149078726968</v>
      </c>
      <c r="V1301" s="133">
        <v>0.963331824354912</v>
      </c>
      <c r="W1301" s="133">
        <v>0.968850698174006</v>
      </c>
      <c r="X1301" s="133">
        <v>0.970070666481918</v>
      </c>
      <c r="Y1301" s="135">
        <v>0.92</v>
      </c>
      <c r="Z1301" s="135">
        <v>0.944776119402985</v>
      </c>
      <c r="AA1301" s="135">
        <v>0.9596713965646</v>
      </c>
      <c r="AB1301" s="135">
        <v>0.972033898305085</v>
      </c>
      <c r="AC1301" s="135">
        <v>0.964797982451532</v>
      </c>
      <c r="AD1301" s="135">
        <v>0.92</v>
      </c>
      <c r="AE1301" s="133">
        <v>0.993181818181818</v>
      </c>
      <c r="AF1301" s="133">
        <v>1</v>
      </c>
      <c r="AG1301" s="133">
        <v>0.996563573883162</v>
      </c>
      <c r="AH1301" s="133">
        <v>0.996558223387692</v>
      </c>
      <c r="AI1301" s="135">
        <v>0.92</v>
      </c>
      <c r="AJ1301" s="133">
        <v>0.966738197424893</v>
      </c>
      <c r="AK1301" s="133">
        <v>0.976042841037204</v>
      </c>
      <c r="AL1301" s="133">
        <v>0.985535831689678</v>
      </c>
      <c r="AM1301" s="133">
        <v>0.983363570391872</v>
      </c>
      <c r="AN1301" s="132">
        <v>0.99</v>
      </c>
      <c r="AO1301" s="137">
        <v>1</v>
      </c>
      <c r="AP1301" s="137">
        <v>1</v>
      </c>
      <c r="AQ1301" s="137">
        <v>1</v>
      </c>
      <c r="AR1301" s="137">
        <v>1</v>
      </c>
      <c r="AS1301" s="158">
        <v>0.0721861525408278</v>
      </c>
      <c r="AT1301" s="141">
        <v>0</v>
      </c>
      <c r="AU1301" s="141">
        <v>0</v>
      </c>
      <c r="AV1301" s="141">
        <v>0.0666666666666667</v>
      </c>
      <c r="AW1301" s="141">
        <v>0.0179640718562874</v>
      </c>
      <c r="AX1301" s="95"/>
      <c r="AY1301" s="93"/>
    </row>
    <row r="1302" ht="14.5" spans="1:51">
      <c r="A1302" s="91"/>
      <c r="B1302" s="95"/>
      <c r="C1302" s="152" t="s">
        <v>1085</v>
      </c>
      <c r="D1302" s="153" t="s">
        <v>25</v>
      </c>
      <c r="E1302" s="130" t="s">
        <v>1086</v>
      </c>
      <c r="F1302" s="195" t="s">
        <v>1332</v>
      </c>
      <c r="G1302" s="195" t="s">
        <v>1332</v>
      </c>
      <c r="H1302" s="195" t="s">
        <v>1332</v>
      </c>
      <c r="I1302" s="195" t="s">
        <v>1332</v>
      </c>
      <c r="J1302" s="132">
        <v>0.9</v>
      </c>
      <c r="K1302" s="133">
        <v>1</v>
      </c>
      <c r="L1302" s="133">
        <v>0.980392156862745</v>
      </c>
      <c r="M1302" s="134">
        <v>1</v>
      </c>
      <c r="N1302" s="133">
        <v>0.977611940298508</v>
      </c>
      <c r="O1302" s="135">
        <v>0.9</v>
      </c>
      <c r="P1302" s="133">
        <v>0.982866933181039</v>
      </c>
      <c r="Q1302" s="133">
        <v>0.987491471457812</v>
      </c>
      <c r="R1302" s="133">
        <v>0.984748347737672</v>
      </c>
      <c r="S1302" s="133">
        <v>0.986154504323476</v>
      </c>
      <c r="T1302" s="135">
        <v>0.9</v>
      </c>
      <c r="U1302" s="133">
        <v>0.887778412335808</v>
      </c>
      <c r="V1302" s="133">
        <v>0.856493063452354</v>
      </c>
      <c r="W1302" s="133">
        <v>0.877732587697</v>
      </c>
      <c r="X1302" s="133">
        <v>0.875001620493408</v>
      </c>
      <c r="Y1302" s="135">
        <v>0.92</v>
      </c>
      <c r="Z1302" s="135">
        <v>0</v>
      </c>
      <c r="AA1302" s="135" t="s">
        <v>35</v>
      </c>
      <c r="AB1302" s="135" t="s">
        <v>35</v>
      </c>
      <c r="AC1302" s="135">
        <v>0</v>
      </c>
      <c r="AD1302" s="135">
        <v>0.92</v>
      </c>
      <c r="AE1302" s="133">
        <v>0.996904024767802</v>
      </c>
      <c r="AF1302" s="133">
        <v>1</v>
      </c>
      <c r="AG1302" s="133">
        <v>1</v>
      </c>
      <c r="AH1302" s="133">
        <v>0.99546690843155</v>
      </c>
      <c r="AI1302" s="135">
        <v>0.92</v>
      </c>
      <c r="AJ1302" s="133">
        <v>0.954324864401941</v>
      </c>
      <c r="AK1302" s="133">
        <v>0.963384125540141</v>
      </c>
      <c r="AL1302" s="133">
        <v>0.959837315709202</v>
      </c>
      <c r="AM1302" s="133">
        <v>0.966773833908061</v>
      </c>
      <c r="AN1302" s="132">
        <v>0.99</v>
      </c>
      <c r="AO1302" s="137">
        <v>1</v>
      </c>
      <c r="AP1302" s="137">
        <v>1</v>
      </c>
      <c r="AQ1302" s="137">
        <v>1</v>
      </c>
      <c r="AR1302" s="137">
        <v>1</v>
      </c>
      <c r="AS1302" s="158">
        <v>0.0721861525408278</v>
      </c>
      <c r="AT1302" s="141">
        <v>0</v>
      </c>
      <c r="AU1302" s="141">
        <v>0.153846153846154</v>
      </c>
      <c r="AV1302" s="141">
        <v>0</v>
      </c>
      <c r="AW1302" s="141">
        <v>0.0205128205128205</v>
      </c>
      <c r="AX1302" s="95"/>
      <c r="AY1302" s="93"/>
    </row>
    <row r="1303" ht="14.5" spans="1:51">
      <c r="A1303" s="91"/>
      <c r="B1303" s="95"/>
      <c r="C1303" s="152" t="s">
        <v>1085</v>
      </c>
      <c r="D1303" s="153" t="s">
        <v>125</v>
      </c>
      <c r="E1303" s="130" t="s">
        <v>1086</v>
      </c>
      <c r="F1303" s="195" t="s">
        <v>1333</v>
      </c>
      <c r="G1303" s="195" t="s">
        <v>1333</v>
      </c>
      <c r="H1303" s="195" t="s">
        <v>1333</v>
      </c>
      <c r="I1303" s="195" t="s">
        <v>1333</v>
      </c>
      <c r="J1303" s="132">
        <v>0.9</v>
      </c>
      <c r="K1303" s="133" t="s">
        <v>35</v>
      </c>
      <c r="L1303" s="133" t="s">
        <v>35</v>
      </c>
      <c r="M1303" s="134" t="s">
        <v>35</v>
      </c>
      <c r="N1303" s="133" t="s">
        <v>35</v>
      </c>
      <c r="O1303" s="135">
        <v>0.9</v>
      </c>
      <c r="P1303" s="133" t="s">
        <v>35</v>
      </c>
      <c r="Q1303" s="133" t="s">
        <v>35</v>
      </c>
      <c r="R1303" s="133" t="s">
        <v>35</v>
      </c>
      <c r="S1303" s="133" t="s">
        <v>35</v>
      </c>
      <c r="T1303" s="135">
        <v>0.9</v>
      </c>
      <c r="U1303" s="133" t="s">
        <v>35</v>
      </c>
      <c r="V1303" s="133" t="s">
        <v>35</v>
      </c>
      <c r="W1303" s="133" t="s">
        <v>35</v>
      </c>
      <c r="X1303" s="133" t="s">
        <v>35</v>
      </c>
      <c r="Y1303" s="135">
        <v>0.92</v>
      </c>
      <c r="Z1303" s="135" t="s">
        <v>35</v>
      </c>
      <c r="AA1303" s="135" t="s">
        <v>35</v>
      </c>
      <c r="AB1303" s="135" t="s">
        <v>35</v>
      </c>
      <c r="AC1303" s="135" t="s">
        <v>35</v>
      </c>
      <c r="AD1303" s="135">
        <v>0.92</v>
      </c>
      <c r="AE1303" s="133">
        <v>0.989293361884368</v>
      </c>
      <c r="AF1303" s="133">
        <v>1</v>
      </c>
      <c r="AG1303" s="133">
        <v>0.972972972972973</v>
      </c>
      <c r="AH1303" s="133">
        <v>0.99284140969163</v>
      </c>
      <c r="AI1303" s="135">
        <v>0.92</v>
      </c>
      <c r="AJ1303" s="133" t="s">
        <v>35</v>
      </c>
      <c r="AK1303" s="133" t="s">
        <v>35</v>
      </c>
      <c r="AL1303" s="133" t="s">
        <v>35</v>
      </c>
      <c r="AM1303" s="133" t="s">
        <v>35</v>
      </c>
      <c r="AN1303" s="132">
        <v>0.99</v>
      </c>
      <c r="AO1303" s="137">
        <v>1</v>
      </c>
      <c r="AP1303" s="137">
        <v>1</v>
      </c>
      <c r="AQ1303" s="137">
        <v>1</v>
      </c>
      <c r="AR1303" s="137">
        <v>1</v>
      </c>
      <c r="AS1303" s="158">
        <v>0.0721861525408278</v>
      </c>
      <c r="AT1303" s="141" t="s">
        <v>35</v>
      </c>
      <c r="AU1303" s="141" t="s">
        <v>35</v>
      </c>
      <c r="AV1303" s="141" t="s">
        <v>35</v>
      </c>
      <c r="AW1303" s="141" t="s">
        <v>35</v>
      </c>
      <c r="AX1303" s="95"/>
      <c r="AY1303" s="93"/>
    </row>
    <row r="1304" ht="14.5" spans="1:51">
      <c r="A1304" s="91"/>
      <c r="B1304" s="95"/>
      <c r="C1304" s="152" t="s">
        <v>1085</v>
      </c>
      <c r="D1304" s="153" t="s">
        <v>25</v>
      </c>
      <c r="E1304" s="130" t="s">
        <v>1086</v>
      </c>
      <c r="F1304" s="195" t="s">
        <v>1334</v>
      </c>
      <c r="G1304" s="195" t="s">
        <v>1334</v>
      </c>
      <c r="H1304" s="195" t="s">
        <v>1334</v>
      </c>
      <c r="I1304" s="195" t="s">
        <v>1334</v>
      </c>
      <c r="J1304" s="132">
        <v>0.9</v>
      </c>
      <c r="K1304" s="133">
        <v>0.863636363636364</v>
      </c>
      <c r="L1304" s="133">
        <v>1</v>
      </c>
      <c r="M1304" s="134">
        <v>0.956521739130435</v>
      </c>
      <c r="N1304" s="133">
        <v>0.957777777777778</v>
      </c>
      <c r="O1304" s="135">
        <v>0.9</v>
      </c>
      <c r="P1304" s="133">
        <v>0.993614303959132</v>
      </c>
      <c r="Q1304" s="133">
        <v>0.994417306350314</v>
      </c>
      <c r="R1304" s="133">
        <v>0.99671322925226</v>
      </c>
      <c r="S1304" s="133">
        <v>0.935158743490677</v>
      </c>
      <c r="T1304" s="135">
        <v>0.9</v>
      </c>
      <c r="U1304" s="133">
        <v>0.948914431673052</v>
      </c>
      <c r="V1304" s="133">
        <v>0.974180041870202</v>
      </c>
      <c r="W1304" s="133">
        <v>0.95480690221857</v>
      </c>
      <c r="X1304" s="133">
        <v>0.960062153536032</v>
      </c>
      <c r="Y1304" s="135">
        <v>0.92</v>
      </c>
      <c r="Z1304" s="135">
        <v>0.92874109263658</v>
      </c>
      <c r="AA1304" s="135">
        <v>0.959459459459459</v>
      </c>
      <c r="AB1304" s="135">
        <v>0.97029702970297</v>
      </c>
      <c r="AC1304" s="135">
        <v>0.964756284859753</v>
      </c>
      <c r="AD1304" s="135">
        <v>0.92</v>
      </c>
      <c r="AE1304" s="133">
        <v>1</v>
      </c>
      <c r="AF1304" s="133">
        <v>1</v>
      </c>
      <c r="AG1304" s="133">
        <v>0.959459459459459</v>
      </c>
      <c r="AH1304" s="133">
        <v>0.98920245398773</v>
      </c>
      <c r="AI1304" s="135">
        <v>0.92</v>
      </c>
      <c r="AJ1304" s="133">
        <v>0.957641196013289</v>
      </c>
      <c r="AK1304" s="133">
        <v>0.978638184245661</v>
      </c>
      <c r="AL1304" s="133">
        <v>0.981288981288981</v>
      </c>
      <c r="AM1304" s="133">
        <v>0.980793677112695</v>
      </c>
      <c r="AN1304" s="132">
        <v>0.99</v>
      </c>
      <c r="AO1304" s="137">
        <v>1</v>
      </c>
      <c r="AP1304" s="137">
        <v>1</v>
      </c>
      <c r="AQ1304" s="137">
        <v>1</v>
      </c>
      <c r="AR1304" s="137">
        <v>1</v>
      </c>
      <c r="AS1304" s="158">
        <v>0.0721861525408278</v>
      </c>
      <c r="AT1304" s="141">
        <v>0</v>
      </c>
      <c r="AU1304" s="141">
        <v>0</v>
      </c>
      <c r="AV1304" s="141">
        <v>0</v>
      </c>
      <c r="AW1304" s="141">
        <v>0.128571428571429</v>
      </c>
      <c r="AX1304" s="95"/>
      <c r="AY1304" s="93"/>
    </row>
    <row r="1305" ht="14.5" spans="1:51">
      <c r="A1305" s="91"/>
      <c r="B1305" s="95"/>
      <c r="C1305" s="152" t="s">
        <v>1085</v>
      </c>
      <c r="D1305" s="153" t="s">
        <v>25</v>
      </c>
      <c r="E1305" s="130" t="s">
        <v>1086</v>
      </c>
      <c r="F1305" s="195" t="s">
        <v>1335</v>
      </c>
      <c r="G1305" s="195" t="s">
        <v>1335</v>
      </c>
      <c r="H1305" s="195" t="s">
        <v>1335</v>
      </c>
      <c r="I1305" s="195" t="s">
        <v>1335</v>
      </c>
      <c r="J1305" s="132">
        <v>0.9</v>
      </c>
      <c r="K1305" s="133">
        <v>0.854545454545454</v>
      </c>
      <c r="L1305" s="133">
        <v>0.839285714285714</v>
      </c>
      <c r="M1305" s="134">
        <v>0.883333333333333</v>
      </c>
      <c r="N1305" s="133">
        <v>0.907801418439716</v>
      </c>
      <c r="O1305" s="135">
        <v>0.9</v>
      </c>
      <c r="P1305" s="133">
        <v>0.986751457339693</v>
      </c>
      <c r="Q1305" s="133">
        <v>0.97982017982018</v>
      </c>
      <c r="R1305" s="133">
        <v>0.989307100085543</v>
      </c>
      <c r="S1305" s="133">
        <v>0.978409253807051</v>
      </c>
      <c r="T1305" s="135">
        <v>0.9</v>
      </c>
      <c r="U1305" s="133">
        <v>0.921038685744568</v>
      </c>
      <c r="V1305" s="133">
        <v>0.921078921078921</v>
      </c>
      <c r="W1305" s="133">
        <v>0.949743370402053</v>
      </c>
      <c r="X1305" s="133">
        <v>0.908002249495518</v>
      </c>
      <c r="Y1305" s="135">
        <v>0.92</v>
      </c>
      <c r="Z1305" s="135" t="s">
        <v>35</v>
      </c>
      <c r="AA1305" s="135" t="s">
        <v>35</v>
      </c>
      <c r="AB1305" s="135" t="s">
        <v>35</v>
      </c>
      <c r="AC1305" s="135" t="s">
        <v>35</v>
      </c>
      <c r="AD1305" s="135">
        <v>0.92</v>
      </c>
      <c r="AE1305" s="133">
        <v>0.997153024911032</v>
      </c>
      <c r="AF1305" s="133">
        <v>0.997439180537772</v>
      </c>
      <c r="AG1305" s="133">
        <v>0.995601173020528</v>
      </c>
      <c r="AH1305" s="133">
        <v>0.994297534522279</v>
      </c>
      <c r="AI1305" s="135">
        <v>0.92</v>
      </c>
      <c r="AJ1305" s="133">
        <v>0.970058293587705</v>
      </c>
      <c r="AK1305" s="133">
        <v>0.963236763236763</v>
      </c>
      <c r="AL1305" s="133">
        <v>0.983319076133447</v>
      </c>
      <c r="AM1305" s="133">
        <v>0.983250079945306</v>
      </c>
      <c r="AN1305" s="132">
        <v>0.99</v>
      </c>
      <c r="AO1305" s="137">
        <v>1</v>
      </c>
      <c r="AP1305" s="137">
        <v>1</v>
      </c>
      <c r="AQ1305" s="137">
        <v>1</v>
      </c>
      <c r="AR1305" s="137">
        <v>1</v>
      </c>
      <c r="AS1305" s="158">
        <v>0.0721861525408278</v>
      </c>
      <c r="AT1305" s="141">
        <v>0</v>
      </c>
      <c r="AU1305" s="141">
        <v>0</v>
      </c>
      <c r="AV1305" s="141">
        <v>0.0384615384615385</v>
      </c>
      <c r="AW1305" s="141">
        <v>0.0458015267175573</v>
      </c>
      <c r="AX1305" s="95"/>
      <c r="AY1305" s="93"/>
    </row>
    <row r="1306" ht="14.5" spans="1:51">
      <c r="A1306" s="91"/>
      <c r="B1306" s="95"/>
      <c r="C1306" s="152" t="s">
        <v>1085</v>
      </c>
      <c r="D1306" s="153" t="s">
        <v>25</v>
      </c>
      <c r="E1306" s="130" t="s">
        <v>1086</v>
      </c>
      <c r="F1306" s="195" t="s">
        <v>1336</v>
      </c>
      <c r="G1306" s="195" t="s">
        <v>1336</v>
      </c>
      <c r="H1306" s="195" t="s">
        <v>1336</v>
      </c>
      <c r="I1306" s="195" t="s">
        <v>1336</v>
      </c>
      <c r="J1306" s="132">
        <v>0.9</v>
      </c>
      <c r="K1306" s="133">
        <v>0.934782608695652</v>
      </c>
      <c r="L1306" s="133">
        <v>0.897959183673469</v>
      </c>
      <c r="M1306" s="134">
        <v>0.854166666666667</v>
      </c>
      <c r="N1306" s="133">
        <v>0.911729141475212</v>
      </c>
      <c r="O1306" s="135">
        <v>0.9</v>
      </c>
      <c r="P1306" s="133">
        <v>0.992040520984081</v>
      </c>
      <c r="Q1306" s="133">
        <v>0.98993006993007</v>
      </c>
      <c r="R1306" s="133">
        <v>0.98912</v>
      </c>
      <c r="S1306" s="133">
        <v>0.989817906666886</v>
      </c>
      <c r="T1306" s="135">
        <v>0.9</v>
      </c>
      <c r="U1306" s="133">
        <v>0.917149059334298</v>
      </c>
      <c r="V1306" s="133">
        <v>0.923636363636364</v>
      </c>
      <c r="W1306" s="133">
        <v>0.93024</v>
      </c>
      <c r="X1306" s="133">
        <v>0.940815554422384</v>
      </c>
      <c r="Y1306" s="135">
        <v>0.92</v>
      </c>
      <c r="Z1306" s="135" t="s">
        <v>35</v>
      </c>
      <c r="AA1306" s="135" t="s">
        <v>35</v>
      </c>
      <c r="AB1306" s="135" t="s">
        <v>35</v>
      </c>
      <c r="AC1306" s="135" t="s">
        <v>35</v>
      </c>
      <c r="AD1306" s="135">
        <v>0.92</v>
      </c>
      <c r="AE1306" s="133">
        <v>0.997881355932203</v>
      </c>
      <c r="AF1306" s="133">
        <v>0.9925</v>
      </c>
      <c r="AG1306" s="133">
        <v>1</v>
      </c>
      <c r="AH1306" s="133">
        <v>0.993594409666618</v>
      </c>
      <c r="AI1306" s="135">
        <v>0.92</v>
      </c>
      <c r="AJ1306" s="133">
        <v>0.947178002894356</v>
      </c>
      <c r="AK1306" s="133">
        <v>0.953846153846154</v>
      </c>
      <c r="AL1306" s="133">
        <v>0.96864</v>
      </c>
      <c r="AM1306" s="133">
        <v>0.97425690457783</v>
      </c>
      <c r="AN1306" s="132">
        <v>0.99</v>
      </c>
      <c r="AO1306" s="137">
        <v>1</v>
      </c>
      <c r="AP1306" s="137">
        <v>1</v>
      </c>
      <c r="AQ1306" s="137">
        <v>1</v>
      </c>
      <c r="AR1306" s="137">
        <v>1</v>
      </c>
      <c r="AS1306" s="158">
        <v>0.0721861525408278</v>
      </c>
      <c r="AT1306" s="141">
        <v>0</v>
      </c>
      <c r="AU1306" s="141">
        <v>0</v>
      </c>
      <c r="AV1306" s="141">
        <v>0.0625</v>
      </c>
      <c r="AW1306" s="141">
        <v>0.0259067357512953</v>
      </c>
      <c r="AX1306" s="95"/>
      <c r="AY1306" s="93"/>
    </row>
    <row r="1307" ht="14.5" spans="1:51">
      <c r="A1307" s="91"/>
      <c r="B1307" s="95"/>
      <c r="C1307" s="152" t="s">
        <v>1085</v>
      </c>
      <c r="D1307" s="153" t="s">
        <v>25</v>
      </c>
      <c r="E1307" s="130" t="s">
        <v>1086</v>
      </c>
      <c r="F1307" s="195" t="s">
        <v>1337</v>
      </c>
      <c r="G1307" s="195" t="s">
        <v>1337</v>
      </c>
      <c r="H1307" s="195" t="s">
        <v>1337</v>
      </c>
      <c r="I1307" s="195" t="s">
        <v>1337</v>
      </c>
      <c r="J1307" s="132">
        <v>0.9</v>
      </c>
      <c r="K1307" s="133">
        <v>0.970588235294118</v>
      </c>
      <c r="L1307" s="133">
        <v>0.861111111111111</v>
      </c>
      <c r="M1307" s="134">
        <v>0.970588235294118</v>
      </c>
      <c r="N1307" s="133">
        <v>0.951923076923077</v>
      </c>
      <c r="O1307" s="135">
        <v>0.9</v>
      </c>
      <c r="P1307" s="133">
        <v>0.972030651340996</v>
      </c>
      <c r="Q1307" s="133">
        <v>0.979384523453839</v>
      </c>
      <c r="R1307" s="133">
        <v>0.976705490848586</v>
      </c>
      <c r="S1307" s="133">
        <v>0.981361216861036</v>
      </c>
      <c r="T1307" s="135">
        <v>0.9</v>
      </c>
      <c r="U1307" s="133">
        <v>0.96551724137931</v>
      </c>
      <c r="V1307" s="133">
        <v>0.95847027188527</v>
      </c>
      <c r="W1307" s="133">
        <v>0.972379367720466</v>
      </c>
      <c r="X1307" s="133">
        <v>0.965116879984841</v>
      </c>
      <c r="Y1307" s="135">
        <v>0.92</v>
      </c>
      <c r="Z1307" s="135">
        <v>1</v>
      </c>
      <c r="AA1307" s="135" t="s">
        <v>35</v>
      </c>
      <c r="AB1307" s="135" t="s">
        <v>35</v>
      </c>
      <c r="AC1307" s="135">
        <v>1</v>
      </c>
      <c r="AD1307" s="135">
        <v>0.92</v>
      </c>
      <c r="AE1307" s="133">
        <v>0.996309963099631</v>
      </c>
      <c r="AF1307" s="133">
        <v>0.997481108312343</v>
      </c>
      <c r="AG1307" s="133">
        <v>0.99746835443038</v>
      </c>
      <c r="AH1307" s="133">
        <v>0.990627928772259</v>
      </c>
      <c r="AI1307" s="135">
        <v>0.92</v>
      </c>
      <c r="AJ1307" s="133">
        <v>0.978552278820375</v>
      </c>
      <c r="AK1307" s="133">
        <v>0.981177173588288</v>
      </c>
      <c r="AL1307" s="133">
        <v>0.985024958402662</v>
      </c>
      <c r="AM1307" s="133">
        <v>0.985874732998002</v>
      </c>
      <c r="AN1307" s="132">
        <v>0.99</v>
      </c>
      <c r="AO1307" s="137">
        <v>1</v>
      </c>
      <c r="AP1307" s="137">
        <v>1</v>
      </c>
      <c r="AQ1307" s="137">
        <v>1</v>
      </c>
      <c r="AR1307" s="137">
        <v>1</v>
      </c>
      <c r="AS1307" s="158">
        <v>0.0721861525408278</v>
      </c>
      <c r="AT1307" s="141">
        <v>0</v>
      </c>
      <c r="AU1307" s="141">
        <v>0</v>
      </c>
      <c r="AV1307" s="141">
        <v>0</v>
      </c>
      <c r="AW1307" s="141">
        <v>0.0396825396825397</v>
      </c>
      <c r="AX1307" s="95"/>
      <c r="AY1307" s="93"/>
    </row>
    <row r="1308" ht="14.5" spans="1:51">
      <c r="A1308" s="91"/>
      <c r="B1308" s="95"/>
      <c r="C1308" s="152" t="s">
        <v>1085</v>
      </c>
      <c r="D1308" s="153" t="s">
        <v>25</v>
      </c>
      <c r="E1308" s="130" t="s">
        <v>1086</v>
      </c>
      <c r="F1308" s="195" t="s">
        <v>1338</v>
      </c>
      <c r="G1308" s="195" t="s">
        <v>1338</v>
      </c>
      <c r="H1308" s="195" t="s">
        <v>1338</v>
      </c>
      <c r="I1308" s="195" t="s">
        <v>1338</v>
      </c>
      <c r="J1308" s="132">
        <v>0.9</v>
      </c>
      <c r="K1308" s="133">
        <v>0.962962962962963</v>
      </c>
      <c r="L1308" s="133">
        <v>1</v>
      </c>
      <c r="M1308" s="134">
        <v>1</v>
      </c>
      <c r="N1308" s="133">
        <v>0.970149253731343</v>
      </c>
      <c r="O1308" s="135">
        <v>0.9</v>
      </c>
      <c r="P1308" s="133">
        <v>0.99145755472504</v>
      </c>
      <c r="Q1308" s="133">
        <v>0.993291404612159</v>
      </c>
      <c r="R1308" s="133">
        <v>0.986181483187471</v>
      </c>
      <c r="S1308" s="133">
        <v>0.980717552213474</v>
      </c>
      <c r="T1308" s="135">
        <v>0.9</v>
      </c>
      <c r="U1308" s="133">
        <v>0.94127068873465</v>
      </c>
      <c r="V1308" s="133">
        <v>0.961844863731656</v>
      </c>
      <c r="W1308" s="133">
        <v>0.938277291570705</v>
      </c>
      <c r="X1308" s="133">
        <v>0.91975861581255</v>
      </c>
      <c r="Y1308" s="135">
        <v>0.92</v>
      </c>
      <c r="Z1308" s="135" t="s">
        <v>35</v>
      </c>
      <c r="AA1308" s="135" t="s">
        <v>35</v>
      </c>
      <c r="AB1308" s="135" t="s">
        <v>35</v>
      </c>
      <c r="AC1308" s="135">
        <v>0</v>
      </c>
      <c r="AD1308" s="135">
        <v>0.92</v>
      </c>
      <c r="AE1308" s="133">
        <v>0.991228070175439</v>
      </c>
      <c r="AF1308" s="133">
        <v>1</v>
      </c>
      <c r="AG1308" s="133">
        <v>0.9875</v>
      </c>
      <c r="AH1308" s="133">
        <v>0.992079656030776</v>
      </c>
      <c r="AI1308" s="135">
        <v>0.92</v>
      </c>
      <c r="AJ1308" s="133">
        <v>0.95621996796583</v>
      </c>
      <c r="AK1308" s="133">
        <v>0.976519916142558</v>
      </c>
      <c r="AL1308" s="133">
        <v>0.971441731920774</v>
      </c>
      <c r="AM1308" s="133">
        <v>0.971760601560474</v>
      </c>
      <c r="AN1308" s="132">
        <v>0.99</v>
      </c>
      <c r="AO1308" s="137">
        <v>1</v>
      </c>
      <c r="AP1308" s="137">
        <v>1</v>
      </c>
      <c r="AQ1308" s="137">
        <v>1</v>
      </c>
      <c r="AR1308" s="137">
        <v>1</v>
      </c>
      <c r="AS1308" s="158">
        <v>0.0721861525408278</v>
      </c>
      <c r="AT1308" s="141">
        <v>0</v>
      </c>
      <c r="AU1308" s="141">
        <v>0</v>
      </c>
      <c r="AV1308" s="141">
        <v>0</v>
      </c>
      <c r="AW1308" s="141">
        <v>0.0275229357798165</v>
      </c>
      <c r="AX1308" s="95"/>
      <c r="AY1308" s="93"/>
    </row>
    <row r="1309" ht="14.5" spans="1:51">
      <c r="A1309" s="91"/>
      <c r="B1309" s="95"/>
      <c r="C1309" s="152" t="s">
        <v>1085</v>
      </c>
      <c r="D1309" s="153" t="s">
        <v>25</v>
      </c>
      <c r="E1309" s="130" t="s">
        <v>1086</v>
      </c>
      <c r="F1309" s="195" t="s">
        <v>1339</v>
      </c>
      <c r="G1309" s="195" t="s">
        <v>1339</v>
      </c>
      <c r="H1309" s="195" t="s">
        <v>1339</v>
      </c>
      <c r="I1309" s="195" t="s">
        <v>1339</v>
      </c>
      <c r="J1309" s="132">
        <v>0.9</v>
      </c>
      <c r="K1309" s="133">
        <v>0.925</v>
      </c>
      <c r="L1309" s="133">
        <v>0.953488372093023</v>
      </c>
      <c r="M1309" s="134">
        <v>0.880952380952381</v>
      </c>
      <c r="N1309" s="133">
        <v>0.939597315436242</v>
      </c>
      <c r="O1309" s="135">
        <v>0.9</v>
      </c>
      <c r="P1309" s="133">
        <v>0.954152574220218</v>
      </c>
      <c r="Q1309" s="133">
        <v>0.976311844077961</v>
      </c>
      <c r="R1309" s="133">
        <v>0.924819773429454</v>
      </c>
      <c r="S1309" s="133">
        <v>0.963071736410399</v>
      </c>
      <c r="T1309" s="135">
        <v>0.9</v>
      </c>
      <c r="U1309" s="133">
        <v>0.946636602780909</v>
      </c>
      <c r="V1309" s="133">
        <v>0.950224887556222</v>
      </c>
      <c r="W1309" s="133">
        <v>0.950566426364573</v>
      </c>
      <c r="X1309" s="133">
        <v>0.944911719727513</v>
      </c>
      <c r="Y1309" s="135">
        <v>0.92</v>
      </c>
      <c r="Z1309" s="135" t="s">
        <v>35</v>
      </c>
      <c r="AA1309" s="135" t="s">
        <v>35</v>
      </c>
      <c r="AB1309" s="135" t="s">
        <v>35</v>
      </c>
      <c r="AC1309" s="135" t="s">
        <v>35</v>
      </c>
      <c r="AD1309" s="135">
        <v>0.92</v>
      </c>
      <c r="AE1309" s="133">
        <v>1</v>
      </c>
      <c r="AF1309" s="133">
        <v>0.990353697749196</v>
      </c>
      <c r="AG1309" s="133">
        <v>0.991150442477876</v>
      </c>
      <c r="AH1309" s="133">
        <v>0.995024875621891</v>
      </c>
      <c r="AI1309" s="135">
        <v>0.92</v>
      </c>
      <c r="AJ1309" s="133">
        <v>0.960916948515596</v>
      </c>
      <c r="AK1309" s="133">
        <v>0.975712143928036</v>
      </c>
      <c r="AL1309" s="133">
        <v>0.974253347064882</v>
      </c>
      <c r="AM1309" s="133">
        <v>0.976035729181148</v>
      </c>
      <c r="AN1309" s="132">
        <v>0.99</v>
      </c>
      <c r="AO1309" s="137">
        <v>1</v>
      </c>
      <c r="AP1309" s="137">
        <v>1</v>
      </c>
      <c r="AQ1309" s="137">
        <v>1</v>
      </c>
      <c r="AR1309" s="137">
        <v>1</v>
      </c>
      <c r="AS1309" s="158">
        <v>0.0721861525408278</v>
      </c>
      <c r="AT1309" s="141">
        <v>0.3</v>
      </c>
      <c r="AU1309" s="141">
        <v>0.166666666666667</v>
      </c>
      <c r="AV1309" s="141">
        <v>0</v>
      </c>
      <c r="AW1309" s="141">
        <v>0.102189781021898</v>
      </c>
      <c r="AX1309" s="95"/>
      <c r="AY1309" s="93"/>
    </row>
    <row r="1310" ht="14.5" spans="1:51">
      <c r="A1310" s="91"/>
      <c r="B1310" s="95"/>
      <c r="C1310" s="152" t="s">
        <v>1085</v>
      </c>
      <c r="D1310" s="153" t="s">
        <v>25</v>
      </c>
      <c r="E1310" s="130" t="s">
        <v>1086</v>
      </c>
      <c r="F1310" s="195" t="s">
        <v>1340</v>
      </c>
      <c r="G1310" s="195" t="s">
        <v>1340</v>
      </c>
      <c r="H1310" s="195" t="s">
        <v>1340</v>
      </c>
      <c r="I1310" s="195" t="s">
        <v>1340</v>
      </c>
      <c r="J1310" s="132">
        <v>0.9</v>
      </c>
      <c r="K1310" s="133">
        <v>0.958333333333333</v>
      </c>
      <c r="L1310" s="133">
        <v>0.96</v>
      </c>
      <c r="M1310" s="134">
        <v>0.96</v>
      </c>
      <c r="N1310" s="133">
        <v>0.91685393258427</v>
      </c>
      <c r="O1310" s="135">
        <v>0.9</v>
      </c>
      <c r="P1310" s="133">
        <v>0.982431482782853</v>
      </c>
      <c r="Q1310" s="133">
        <v>0.988998262883613</v>
      </c>
      <c r="R1310" s="133">
        <v>0.986146095717884</v>
      </c>
      <c r="S1310" s="133">
        <v>0.98275191285177</v>
      </c>
      <c r="T1310" s="135">
        <v>0.9</v>
      </c>
      <c r="U1310" s="133">
        <v>0.948699929725931</v>
      </c>
      <c r="V1310" s="133">
        <v>0.949044585987261</v>
      </c>
      <c r="W1310" s="133">
        <v>0.967884130982368</v>
      </c>
      <c r="X1310" s="133">
        <v>0.957495785241862</v>
      </c>
      <c r="Y1310" s="135">
        <v>0.92</v>
      </c>
      <c r="Z1310" s="135" t="s">
        <v>35</v>
      </c>
      <c r="AA1310" s="135" t="s">
        <v>35</v>
      </c>
      <c r="AB1310" s="135" t="s">
        <v>35</v>
      </c>
      <c r="AC1310" s="135" t="s">
        <v>35</v>
      </c>
      <c r="AD1310" s="135">
        <v>0.92</v>
      </c>
      <c r="AE1310" s="133">
        <v>1</v>
      </c>
      <c r="AF1310" s="133">
        <v>0.995841995841996</v>
      </c>
      <c r="AG1310" s="133">
        <v>0.997975708502024</v>
      </c>
      <c r="AH1310" s="133">
        <v>0.992177045805456</v>
      </c>
      <c r="AI1310" s="135">
        <v>0.92</v>
      </c>
      <c r="AJ1310" s="133">
        <v>0.977512297962052</v>
      </c>
      <c r="AK1310" s="133">
        <v>0.983786913723219</v>
      </c>
      <c r="AL1310" s="133">
        <v>0.984886649874055</v>
      </c>
      <c r="AM1310" s="133">
        <v>0.984697185838413</v>
      </c>
      <c r="AN1310" s="132">
        <v>0.99</v>
      </c>
      <c r="AO1310" s="137">
        <v>1</v>
      </c>
      <c r="AP1310" s="137">
        <v>1</v>
      </c>
      <c r="AQ1310" s="137">
        <v>1</v>
      </c>
      <c r="AR1310" s="137">
        <v>1</v>
      </c>
      <c r="AS1310" s="158">
        <v>0.0721861525408278</v>
      </c>
      <c r="AT1310" s="141">
        <v>0</v>
      </c>
      <c r="AU1310" s="141">
        <v>0</v>
      </c>
      <c r="AV1310" s="141">
        <v>0</v>
      </c>
      <c r="AW1310" s="141">
        <v>0.0394736842105263</v>
      </c>
      <c r="AX1310" s="95"/>
      <c r="AY1310" s="93"/>
    </row>
    <row r="1311" ht="14.5" spans="1:51">
      <c r="A1311" s="91"/>
      <c r="B1311" s="95"/>
      <c r="C1311" s="152" t="s">
        <v>1085</v>
      </c>
      <c r="D1311" s="153" t="s">
        <v>25</v>
      </c>
      <c r="E1311" s="130" t="s">
        <v>1086</v>
      </c>
      <c r="F1311" s="195" t="s">
        <v>1341</v>
      </c>
      <c r="G1311" s="195" t="s">
        <v>1341</v>
      </c>
      <c r="H1311" s="195" t="s">
        <v>1341</v>
      </c>
      <c r="I1311" s="195" t="s">
        <v>1341</v>
      </c>
      <c r="J1311" s="132">
        <v>0.9</v>
      </c>
      <c r="K1311" s="133">
        <v>0.904761904761905</v>
      </c>
      <c r="L1311" s="133">
        <v>1</v>
      </c>
      <c r="M1311" s="134">
        <v>0.956521739130435</v>
      </c>
      <c r="N1311" s="133">
        <v>0.951573849878935</v>
      </c>
      <c r="O1311" s="135">
        <v>0.9</v>
      </c>
      <c r="P1311" s="133">
        <v>0.989549839228296</v>
      </c>
      <c r="Q1311" s="133">
        <v>0.989473684210526</v>
      </c>
      <c r="R1311" s="133">
        <v>0.991797676008202</v>
      </c>
      <c r="S1311" s="133">
        <v>0.989509477644335</v>
      </c>
      <c r="T1311" s="135">
        <v>0.9</v>
      </c>
      <c r="U1311" s="133">
        <v>0.961414790996785</v>
      </c>
      <c r="V1311" s="133">
        <v>0.963815789473684</v>
      </c>
      <c r="W1311" s="133">
        <v>0.985645933014354</v>
      </c>
      <c r="X1311" s="133">
        <v>0.966068586311677</v>
      </c>
      <c r="Y1311" s="135">
        <v>0.92</v>
      </c>
      <c r="Z1311" s="135" t="s">
        <v>35</v>
      </c>
      <c r="AA1311" s="135" t="s">
        <v>35</v>
      </c>
      <c r="AB1311" s="135" t="s">
        <v>35</v>
      </c>
      <c r="AC1311" s="135" t="s">
        <v>35</v>
      </c>
      <c r="AD1311" s="135">
        <v>0.92</v>
      </c>
      <c r="AE1311" s="133">
        <v>1</v>
      </c>
      <c r="AF1311" s="133">
        <v>0.995049504950495</v>
      </c>
      <c r="AG1311" s="133">
        <v>0.993670886075949</v>
      </c>
      <c r="AH1311" s="133">
        <v>0.998550724637681</v>
      </c>
      <c r="AI1311" s="135">
        <v>0.92</v>
      </c>
      <c r="AJ1311" s="133">
        <v>0.968649517684887</v>
      </c>
      <c r="AK1311" s="133">
        <v>0.984210526315789</v>
      </c>
      <c r="AL1311" s="133">
        <v>0.993164730006835</v>
      </c>
      <c r="AM1311" s="133">
        <v>0.985566488207206</v>
      </c>
      <c r="AN1311" s="132">
        <v>0.99</v>
      </c>
      <c r="AO1311" s="137">
        <v>1</v>
      </c>
      <c r="AP1311" s="137">
        <v>1</v>
      </c>
      <c r="AQ1311" s="137">
        <v>1</v>
      </c>
      <c r="AR1311" s="137">
        <v>1</v>
      </c>
      <c r="AS1311" s="158">
        <v>0.0721861525408278</v>
      </c>
      <c r="AT1311" s="141">
        <v>0</v>
      </c>
      <c r="AU1311" s="141">
        <v>0</v>
      </c>
      <c r="AV1311" s="141">
        <v>0</v>
      </c>
      <c r="AW1311" s="141">
        <v>0.0192307692307692</v>
      </c>
      <c r="AX1311" s="95"/>
      <c r="AY1311" s="93"/>
    </row>
    <row r="1312" ht="14.5" spans="1:51">
      <c r="A1312" s="91"/>
      <c r="B1312" s="95"/>
      <c r="C1312" s="152" t="s">
        <v>1085</v>
      </c>
      <c r="D1312" s="153" t="s">
        <v>25</v>
      </c>
      <c r="E1312" s="130" t="s">
        <v>1086</v>
      </c>
      <c r="F1312" s="195" t="s">
        <v>1342</v>
      </c>
      <c r="G1312" s="195" t="s">
        <v>1342</v>
      </c>
      <c r="H1312" s="195" t="s">
        <v>1342</v>
      </c>
      <c r="I1312" s="195" t="s">
        <v>1342</v>
      </c>
      <c r="J1312" s="132">
        <v>0.9</v>
      </c>
      <c r="K1312" s="133">
        <v>0.84</v>
      </c>
      <c r="L1312" s="133">
        <v>0.807692307692308</v>
      </c>
      <c r="M1312" s="134">
        <v>0.846153846153846</v>
      </c>
      <c r="N1312" s="133">
        <v>0.884875846501129</v>
      </c>
      <c r="O1312" s="135">
        <v>0.9</v>
      </c>
      <c r="P1312" s="133">
        <v>0.990820734341253</v>
      </c>
      <c r="Q1312" s="133">
        <v>0.990764684152198</v>
      </c>
      <c r="R1312" s="133">
        <v>0.994587280108254</v>
      </c>
      <c r="S1312" s="133">
        <v>0.977468164090033</v>
      </c>
      <c r="T1312" s="135">
        <v>0.9</v>
      </c>
      <c r="U1312" s="133">
        <v>0.812634989200864</v>
      </c>
      <c r="V1312" s="133">
        <v>0.765422977465829</v>
      </c>
      <c r="W1312" s="133">
        <v>0.746504285069914</v>
      </c>
      <c r="X1312" s="133">
        <v>0.7682909637705</v>
      </c>
      <c r="Y1312" s="135">
        <v>0.92</v>
      </c>
      <c r="Z1312" s="135" t="s">
        <v>35</v>
      </c>
      <c r="AA1312" s="135" t="s">
        <v>35</v>
      </c>
      <c r="AB1312" s="135" t="s">
        <v>35</v>
      </c>
      <c r="AC1312" s="135" t="s">
        <v>35</v>
      </c>
      <c r="AD1312" s="135">
        <v>0.92</v>
      </c>
      <c r="AE1312" s="133">
        <v>1</v>
      </c>
      <c r="AF1312" s="133">
        <v>0.982142857142857</v>
      </c>
      <c r="AG1312" s="133">
        <v>1</v>
      </c>
      <c r="AH1312" s="133">
        <v>0.992015968063872</v>
      </c>
      <c r="AI1312" s="135">
        <v>0.92</v>
      </c>
      <c r="AJ1312" s="133">
        <v>0.960043196544276</v>
      </c>
      <c r="AK1312" s="133">
        <v>0.966752862947913</v>
      </c>
      <c r="AL1312" s="133">
        <v>0.975642760487145</v>
      </c>
      <c r="AM1312" s="133">
        <v>0.976034960763122</v>
      </c>
      <c r="AN1312" s="132">
        <v>0.99</v>
      </c>
      <c r="AO1312" s="137">
        <v>1</v>
      </c>
      <c r="AP1312" s="137">
        <v>1</v>
      </c>
      <c r="AQ1312" s="137">
        <v>1</v>
      </c>
      <c r="AR1312" s="137">
        <v>1</v>
      </c>
      <c r="AS1312" s="158">
        <v>0.0721861525408278</v>
      </c>
      <c r="AT1312" s="141">
        <v>0</v>
      </c>
      <c r="AU1312" s="141">
        <v>0</v>
      </c>
      <c r="AV1312" s="141">
        <v>0</v>
      </c>
      <c r="AW1312" s="141">
        <v>0.0679611650485437</v>
      </c>
      <c r="AX1312" s="95"/>
      <c r="AY1312" s="93"/>
    </row>
    <row r="1313" ht="14.5" spans="1:51">
      <c r="A1313" s="91"/>
      <c r="B1313" s="95"/>
      <c r="C1313" s="152" t="s">
        <v>1085</v>
      </c>
      <c r="D1313" s="153" t="s">
        <v>25</v>
      </c>
      <c r="E1313" s="130" t="s">
        <v>1086</v>
      </c>
      <c r="F1313" s="195" t="s">
        <v>1343</v>
      </c>
      <c r="G1313" s="195" t="s">
        <v>1343</v>
      </c>
      <c r="H1313" s="195" t="s">
        <v>1343</v>
      </c>
      <c r="I1313" s="195" t="s">
        <v>1343</v>
      </c>
      <c r="J1313" s="132">
        <v>0.9</v>
      </c>
      <c r="K1313" s="133">
        <v>0.958333333333333</v>
      </c>
      <c r="L1313" s="133">
        <v>0.846153846153846</v>
      </c>
      <c r="M1313" s="134">
        <v>0.92</v>
      </c>
      <c r="N1313" s="133">
        <v>0.908704883227176</v>
      </c>
      <c r="O1313" s="135">
        <v>0.9</v>
      </c>
      <c r="P1313" s="133">
        <v>0.96158940397351</v>
      </c>
      <c r="Q1313" s="133">
        <v>0.97808764940239</v>
      </c>
      <c r="R1313" s="133">
        <v>0.976989453499521</v>
      </c>
      <c r="S1313" s="133">
        <v>0.973520913267965</v>
      </c>
      <c r="T1313" s="135">
        <v>0.9</v>
      </c>
      <c r="U1313" s="133">
        <v>0.924503311258278</v>
      </c>
      <c r="V1313" s="133">
        <v>0.922310756972112</v>
      </c>
      <c r="W1313" s="133">
        <v>0.915627996164909</v>
      </c>
      <c r="X1313" s="133">
        <v>0.934536497560513</v>
      </c>
      <c r="Y1313" s="135">
        <v>0.92</v>
      </c>
      <c r="Z1313" s="135">
        <v>0.951588502269289</v>
      </c>
      <c r="AA1313" s="135">
        <v>0.955533596837945</v>
      </c>
      <c r="AB1313" s="135">
        <v>0.947545393409549</v>
      </c>
      <c r="AC1313" s="135">
        <v>0.962737987307344</v>
      </c>
      <c r="AD1313" s="135">
        <v>0.92</v>
      </c>
      <c r="AE1313" s="133">
        <v>0.996718621821165</v>
      </c>
      <c r="AF1313" s="133">
        <v>0.995438996579247</v>
      </c>
      <c r="AG1313" s="133">
        <v>0.996628131021195</v>
      </c>
      <c r="AH1313" s="133">
        <v>0.99031762576115</v>
      </c>
      <c r="AI1313" s="135">
        <v>0.92</v>
      </c>
      <c r="AJ1313" s="133">
        <v>0.966101694915254</v>
      </c>
      <c r="AK1313" s="133">
        <v>0.964285714285714</v>
      </c>
      <c r="AL1313" s="133">
        <v>0.958086200079083</v>
      </c>
      <c r="AM1313" s="133">
        <v>0.973478180302048</v>
      </c>
      <c r="AN1313" s="132">
        <v>0.99</v>
      </c>
      <c r="AO1313" s="137">
        <v>1</v>
      </c>
      <c r="AP1313" s="137">
        <v>1</v>
      </c>
      <c r="AQ1313" s="137">
        <v>1</v>
      </c>
      <c r="AR1313" s="137">
        <v>1</v>
      </c>
      <c r="AS1313" s="158">
        <v>0.0721861525408278</v>
      </c>
      <c r="AT1313" s="141">
        <v>0.111111111111111</v>
      </c>
      <c r="AU1313" s="141">
        <v>0.142857142857143</v>
      </c>
      <c r="AV1313" s="141">
        <v>0.333333333333333</v>
      </c>
      <c r="AW1313" s="141">
        <v>0.0679012345679012</v>
      </c>
      <c r="AX1313" s="95"/>
      <c r="AY1313" s="93"/>
    </row>
    <row r="1314" ht="14.5" spans="1:51">
      <c r="A1314" s="91"/>
      <c r="B1314" s="95"/>
      <c r="C1314" s="152" t="s">
        <v>1085</v>
      </c>
      <c r="D1314" s="153" t="s">
        <v>25</v>
      </c>
      <c r="E1314" s="130" t="s">
        <v>1086</v>
      </c>
      <c r="F1314" s="195" t="s">
        <v>1344</v>
      </c>
      <c r="G1314" s="195" t="s">
        <v>1344</v>
      </c>
      <c r="H1314" s="195" t="s">
        <v>1344</v>
      </c>
      <c r="I1314" s="195" t="s">
        <v>1344</v>
      </c>
      <c r="J1314" s="132">
        <v>0.9</v>
      </c>
      <c r="K1314" s="133">
        <v>0.806451612903226</v>
      </c>
      <c r="L1314" s="133">
        <v>0.852941176470588</v>
      </c>
      <c r="M1314" s="134">
        <v>0.638888888888889</v>
      </c>
      <c r="N1314" s="133">
        <v>0.836140888208269</v>
      </c>
      <c r="O1314" s="135">
        <v>0.9</v>
      </c>
      <c r="P1314" s="133">
        <v>0.827835880933226</v>
      </c>
      <c r="Q1314" s="133">
        <v>0.910911602209945</v>
      </c>
      <c r="R1314" s="133">
        <v>0.922972972972973</v>
      </c>
      <c r="S1314" s="133">
        <v>0.866717100512362</v>
      </c>
      <c r="T1314" s="135">
        <v>0.9</v>
      </c>
      <c r="U1314" s="133">
        <v>0.96379726468222</v>
      </c>
      <c r="V1314" s="133">
        <v>0.965469613259669</v>
      </c>
      <c r="W1314" s="133">
        <v>0.971621621621622</v>
      </c>
      <c r="X1314" s="133">
        <v>0.960902307348441</v>
      </c>
      <c r="Y1314" s="135">
        <v>0.92</v>
      </c>
      <c r="Z1314" s="135">
        <v>0.96189376443418</v>
      </c>
      <c r="AA1314" s="135">
        <v>0.977194194885971</v>
      </c>
      <c r="AB1314" s="135">
        <v>0.983282674772036</v>
      </c>
      <c r="AC1314" s="135">
        <v>0.979163708646883</v>
      </c>
      <c r="AD1314" s="135">
        <v>0.92</v>
      </c>
      <c r="AE1314" s="133">
        <v>0.988461538461539</v>
      </c>
      <c r="AF1314" s="133">
        <v>0.987654320987654</v>
      </c>
      <c r="AG1314" s="133">
        <v>0.986666666666667</v>
      </c>
      <c r="AH1314" s="133">
        <v>0.996754843150752</v>
      </c>
      <c r="AI1314" s="135">
        <v>0.92</v>
      </c>
      <c r="AJ1314" s="133">
        <v>0.978662873399715</v>
      </c>
      <c r="AK1314" s="133">
        <v>0.98272884283247</v>
      </c>
      <c r="AL1314" s="133">
        <v>0.988133140376266</v>
      </c>
      <c r="AM1314" s="133">
        <v>0.986482002200604</v>
      </c>
      <c r="AN1314" s="132">
        <v>0.99</v>
      </c>
      <c r="AO1314" s="137">
        <v>1</v>
      </c>
      <c r="AP1314" s="137">
        <v>1</v>
      </c>
      <c r="AQ1314" s="137">
        <v>1</v>
      </c>
      <c r="AR1314" s="137">
        <v>1</v>
      </c>
      <c r="AS1314" s="158">
        <v>0.0721861525408278</v>
      </c>
      <c r="AT1314" s="141">
        <v>0.0251046025104603</v>
      </c>
      <c r="AU1314" s="141">
        <v>0.142857142857143</v>
      </c>
      <c r="AV1314" s="141">
        <v>0.02</v>
      </c>
      <c r="AW1314" s="141">
        <v>0.0250272034820457</v>
      </c>
      <c r="AX1314" s="95"/>
      <c r="AY1314" s="93"/>
    </row>
    <row r="1315" ht="14.5" spans="1:51">
      <c r="A1315" s="91"/>
      <c r="B1315" s="95"/>
      <c r="C1315" s="152" t="s">
        <v>1085</v>
      </c>
      <c r="D1315" s="153" t="s">
        <v>25</v>
      </c>
      <c r="E1315" s="130" t="s">
        <v>1086</v>
      </c>
      <c r="F1315" s="195" t="s">
        <v>1345</v>
      </c>
      <c r="G1315" s="195" t="s">
        <v>1345</v>
      </c>
      <c r="H1315" s="195" t="s">
        <v>1345</v>
      </c>
      <c r="I1315" s="195" t="s">
        <v>1345</v>
      </c>
      <c r="J1315" s="132">
        <v>0.9</v>
      </c>
      <c r="K1315" s="133">
        <v>0.924528301886792</v>
      </c>
      <c r="L1315" s="133">
        <v>0.925925925925926</v>
      </c>
      <c r="M1315" s="134">
        <v>0.944444444444444</v>
      </c>
      <c r="N1315" s="133">
        <v>0.931615460852329</v>
      </c>
      <c r="O1315" s="135">
        <v>0.9</v>
      </c>
      <c r="P1315" s="133">
        <v>0.848161328588375</v>
      </c>
      <c r="Q1315" s="133">
        <v>0.941592086669807</v>
      </c>
      <c r="R1315" s="133">
        <v>0.958333333333333</v>
      </c>
      <c r="S1315" s="133">
        <v>0.953139276856807</v>
      </c>
      <c r="T1315" s="135">
        <v>0.9</v>
      </c>
      <c r="U1315" s="133">
        <v>0.851720047449585</v>
      </c>
      <c r="V1315" s="133">
        <v>0.90390956194065</v>
      </c>
      <c r="W1315" s="133">
        <v>0.88719512195122</v>
      </c>
      <c r="X1315" s="133">
        <v>0.891632946090589</v>
      </c>
      <c r="Y1315" s="135">
        <v>0.92</v>
      </c>
      <c r="Z1315" s="135">
        <v>0.957920792079208</v>
      </c>
      <c r="AA1315" s="135">
        <v>0.957560975609756</v>
      </c>
      <c r="AB1315" s="135">
        <v>0.963296398891967</v>
      </c>
      <c r="AC1315" s="135">
        <v>0.963727575365267</v>
      </c>
      <c r="AD1315" s="135">
        <v>0.92</v>
      </c>
      <c r="AE1315" s="133">
        <v>0.997730004005875</v>
      </c>
      <c r="AF1315" s="133">
        <v>0.990707070707071</v>
      </c>
      <c r="AG1315" s="133">
        <v>0.997815997815998</v>
      </c>
      <c r="AH1315" s="133">
        <v>0.996841023753661</v>
      </c>
      <c r="AI1315" s="135">
        <v>0.92</v>
      </c>
      <c r="AJ1315" s="133">
        <v>0.967898243488795</v>
      </c>
      <c r="AK1315" s="133">
        <v>0.970285166546849</v>
      </c>
      <c r="AL1315" s="133">
        <v>0.970757825370675</v>
      </c>
      <c r="AM1315" s="133">
        <v>0.973677757889317</v>
      </c>
      <c r="AN1315" s="132">
        <v>0.99</v>
      </c>
      <c r="AO1315" s="137">
        <v>1</v>
      </c>
      <c r="AP1315" s="137">
        <v>1</v>
      </c>
      <c r="AQ1315" s="137">
        <v>1</v>
      </c>
      <c r="AR1315" s="137">
        <v>1</v>
      </c>
      <c r="AS1315" s="158">
        <v>0.0721861525408278</v>
      </c>
      <c r="AT1315" s="141">
        <v>0.029940119760479</v>
      </c>
      <c r="AU1315" s="141">
        <v>0</v>
      </c>
      <c r="AV1315" s="141">
        <v>0</v>
      </c>
      <c r="AW1315" s="141">
        <v>0.0257611241217799</v>
      </c>
      <c r="AX1315" s="95"/>
      <c r="AY1315" s="93"/>
    </row>
    <row r="1316" ht="14.5" spans="1:51">
      <c r="A1316" s="91"/>
      <c r="B1316" s="95"/>
      <c r="C1316" s="152" t="s">
        <v>1085</v>
      </c>
      <c r="D1316" s="153" t="s">
        <v>25</v>
      </c>
      <c r="E1316" s="130" t="s">
        <v>1086</v>
      </c>
      <c r="F1316" s="195" t="s">
        <v>1346</v>
      </c>
      <c r="G1316" s="195" t="s">
        <v>1346</v>
      </c>
      <c r="H1316" s="195" t="s">
        <v>1346</v>
      </c>
      <c r="I1316" s="195" t="s">
        <v>1346</v>
      </c>
      <c r="J1316" s="132">
        <v>0.9</v>
      </c>
      <c r="K1316" s="133">
        <v>0.952380952380952</v>
      </c>
      <c r="L1316" s="133">
        <v>0.909090909090909</v>
      </c>
      <c r="M1316" s="134">
        <v>0.865384615384615</v>
      </c>
      <c r="N1316" s="133">
        <v>0.907975460122699</v>
      </c>
      <c r="O1316" s="135">
        <v>0.9</v>
      </c>
      <c r="P1316" s="133">
        <v>0.967502321262767</v>
      </c>
      <c r="Q1316" s="133">
        <v>0.974513749161636</v>
      </c>
      <c r="R1316" s="133">
        <v>0.977616454930429</v>
      </c>
      <c r="S1316" s="133">
        <v>0.977819145579605</v>
      </c>
      <c r="T1316" s="135">
        <v>0.9</v>
      </c>
      <c r="U1316" s="133">
        <v>0.886722376973073</v>
      </c>
      <c r="V1316" s="133">
        <v>0.93158953722334</v>
      </c>
      <c r="W1316" s="133">
        <v>0.915305505142166</v>
      </c>
      <c r="X1316" s="133">
        <v>0.909383479522938</v>
      </c>
      <c r="Y1316" s="135">
        <v>0.92</v>
      </c>
      <c r="Z1316" s="135">
        <v>0.920523138832998</v>
      </c>
      <c r="AA1316" s="135">
        <v>0.925748502994012</v>
      </c>
      <c r="AB1316" s="135">
        <v>0.951945080091533</v>
      </c>
      <c r="AC1316" s="135">
        <v>0.947900152320557</v>
      </c>
      <c r="AD1316" s="135">
        <v>0.92</v>
      </c>
      <c r="AE1316" s="133">
        <v>0.996784565916399</v>
      </c>
      <c r="AF1316" s="133">
        <v>0.996535796766744</v>
      </c>
      <c r="AG1316" s="133">
        <v>0.998628257887517</v>
      </c>
      <c r="AH1316" s="133">
        <v>0.995305164319249</v>
      </c>
      <c r="AI1316" s="135">
        <v>0.92</v>
      </c>
      <c r="AJ1316" s="133">
        <v>0.940608401738291</v>
      </c>
      <c r="AK1316" s="133">
        <v>0.94783433449257</v>
      </c>
      <c r="AL1316" s="133">
        <v>0.963262115685253</v>
      </c>
      <c r="AM1316" s="133">
        <v>0.963643765265861</v>
      </c>
      <c r="AN1316" s="132">
        <v>0.99</v>
      </c>
      <c r="AO1316" s="137">
        <v>1</v>
      </c>
      <c r="AP1316" s="137">
        <v>1</v>
      </c>
      <c r="AQ1316" s="137">
        <v>1</v>
      </c>
      <c r="AR1316" s="137">
        <v>1</v>
      </c>
      <c r="AS1316" s="158">
        <v>0.0721861525408278</v>
      </c>
      <c r="AT1316" s="141">
        <v>0</v>
      </c>
      <c r="AU1316" s="141">
        <v>0</v>
      </c>
      <c r="AV1316" s="141">
        <v>0</v>
      </c>
      <c r="AW1316" s="141">
        <v>0.0295031055900621</v>
      </c>
      <c r="AX1316" s="95"/>
      <c r="AY1316" s="93"/>
    </row>
    <row r="1317" ht="14.5" spans="1:51">
      <c r="A1317" s="91"/>
      <c r="B1317" s="95"/>
      <c r="C1317" s="152" t="s">
        <v>1085</v>
      </c>
      <c r="D1317" s="153" t="s">
        <v>25</v>
      </c>
      <c r="E1317" s="130" t="s">
        <v>1086</v>
      </c>
      <c r="F1317" s="195" t="s">
        <v>1347</v>
      </c>
      <c r="G1317" s="195" t="s">
        <v>1347</v>
      </c>
      <c r="H1317" s="195" t="s">
        <v>1347</v>
      </c>
      <c r="I1317" s="195" t="s">
        <v>1347</v>
      </c>
      <c r="J1317" s="132">
        <v>0.9</v>
      </c>
      <c r="K1317" s="133">
        <v>0.8</v>
      </c>
      <c r="L1317" s="133">
        <v>1</v>
      </c>
      <c r="M1317" s="134">
        <v>0.875</v>
      </c>
      <c r="N1317" s="133">
        <v>0.922558922558923</v>
      </c>
      <c r="O1317" s="135">
        <v>0.9</v>
      </c>
      <c r="P1317" s="133">
        <v>0.995238095238095</v>
      </c>
      <c r="Q1317" s="133">
        <v>0.997919556171983</v>
      </c>
      <c r="R1317" s="133">
        <v>0.995451099317665</v>
      </c>
      <c r="S1317" s="133">
        <v>0.995016147681512</v>
      </c>
      <c r="T1317" s="135">
        <v>0.9</v>
      </c>
      <c r="U1317" s="133">
        <v>0.877777777777778</v>
      </c>
      <c r="V1317" s="133">
        <v>0.859223300970874</v>
      </c>
      <c r="W1317" s="133">
        <v>0.89158453373768</v>
      </c>
      <c r="X1317" s="133">
        <v>0.907499700968861</v>
      </c>
      <c r="Y1317" s="135">
        <v>0.92</v>
      </c>
      <c r="Z1317" s="135" t="s">
        <v>35</v>
      </c>
      <c r="AA1317" s="135" t="s">
        <v>35</v>
      </c>
      <c r="AB1317" s="135" t="s">
        <v>35</v>
      </c>
      <c r="AC1317" s="135" t="s">
        <v>35</v>
      </c>
      <c r="AD1317" s="135">
        <v>0.92</v>
      </c>
      <c r="AE1317" s="133">
        <v>1</v>
      </c>
      <c r="AF1317" s="133">
        <v>1</v>
      </c>
      <c r="AG1317" s="133">
        <v>0.947368421052632</v>
      </c>
      <c r="AH1317" s="133">
        <v>0.98932384341637</v>
      </c>
      <c r="AI1317" s="135">
        <v>0.92</v>
      </c>
      <c r="AJ1317" s="133">
        <v>0.978571428571429</v>
      </c>
      <c r="AK1317" s="133">
        <v>0.979195561719834</v>
      </c>
      <c r="AL1317" s="133">
        <v>0.98180439727066</v>
      </c>
      <c r="AM1317" s="133">
        <v>0.984251026673578</v>
      </c>
      <c r="AN1317" s="132">
        <v>0.99</v>
      </c>
      <c r="AO1317" s="137">
        <v>1</v>
      </c>
      <c r="AP1317" s="137">
        <v>1</v>
      </c>
      <c r="AQ1317" s="137">
        <v>1</v>
      </c>
      <c r="AR1317" s="137">
        <v>1</v>
      </c>
      <c r="AS1317" s="158">
        <v>0.0721861525408278</v>
      </c>
      <c r="AT1317" s="141">
        <v>0.0413533834586466</v>
      </c>
      <c r="AU1317" s="141">
        <v>0</v>
      </c>
      <c r="AV1317" s="141">
        <v>0.0235294117647059</v>
      </c>
      <c r="AW1317" s="141">
        <v>0.0236372407139411</v>
      </c>
      <c r="AX1317" s="95"/>
      <c r="AY1317" s="93"/>
    </row>
    <row r="1318" ht="14.5" spans="1:51">
      <c r="A1318" s="91"/>
      <c r="B1318" s="95"/>
      <c r="C1318" s="152" t="s">
        <v>1085</v>
      </c>
      <c r="D1318" s="153" t="s">
        <v>25</v>
      </c>
      <c r="E1318" s="130" t="s">
        <v>1086</v>
      </c>
      <c r="F1318" s="195" t="s">
        <v>1348</v>
      </c>
      <c r="G1318" s="195" t="s">
        <v>1348</v>
      </c>
      <c r="H1318" s="195" t="s">
        <v>1348</v>
      </c>
      <c r="I1318" s="195" t="s">
        <v>1348</v>
      </c>
      <c r="J1318" s="132">
        <v>0.9</v>
      </c>
      <c r="K1318" s="133">
        <v>0.847457627118644</v>
      </c>
      <c r="L1318" s="133">
        <v>0.933333333333333</v>
      </c>
      <c r="M1318" s="134">
        <v>0.796610169491525</v>
      </c>
      <c r="N1318" s="133">
        <v>0.906642728904847</v>
      </c>
      <c r="O1318" s="135">
        <v>0.9</v>
      </c>
      <c r="P1318" s="133">
        <v>0.96189376443418</v>
      </c>
      <c r="Q1318" s="133">
        <v>0.88956557044255</v>
      </c>
      <c r="R1318" s="133">
        <v>0.973970657832466</v>
      </c>
      <c r="S1318" s="133">
        <v>0.963395574566094</v>
      </c>
      <c r="T1318" s="135">
        <v>0.9</v>
      </c>
      <c r="U1318" s="133">
        <v>0.924364896073903</v>
      </c>
      <c r="V1318" s="133">
        <v>0.8721071863581</v>
      </c>
      <c r="W1318" s="133">
        <v>0.942735447231425</v>
      </c>
      <c r="X1318" s="133">
        <v>0.93022538455211</v>
      </c>
      <c r="Y1318" s="135">
        <v>0.92</v>
      </c>
      <c r="Z1318" s="135">
        <v>0.951137884872825</v>
      </c>
      <c r="AA1318" s="135">
        <v>0.972923359339146</v>
      </c>
      <c r="AB1318" s="135">
        <v>0.964969090373859</v>
      </c>
      <c r="AC1318" s="135">
        <v>0.97245409015025</v>
      </c>
      <c r="AD1318" s="135">
        <v>0.92</v>
      </c>
      <c r="AE1318" s="133">
        <v>0.983221476510067</v>
      </c>
      <c r="AF1318" s="133">
        <v>0.976044226044226</v>
      </c>
      <c r="AG1318" s="133">
        <v>0.98047138047138</v>
      </c>
      <c r="AH1318" s="133">
        <v>0.976096431490057</v>
      </c>
      <c r="AI1318" s="135">
        <v>0.92</v>
      </c>
      <c r="AJ1318" s="133">
        <v>0.963732176069436</v>
      </c>
      <c r="AK1318" s="133">
        <v>0.979969847081628</v>
      </c>
      <c r="AL1318" s="133">
        <v>0.974414806750136</v>
      </c>
      <c r="AM1318" s="133">
        <v>0.981047856750795</v>
      </c>
      <c r="AN1318" s="132">
        <v>0.99</v>
      </c>
      <c r="AO1318" s="137">
        <v>1</v>
      </c>
      <c r="AP1318" s="137">
        <v>1</v>
      </c>
      <c r="AQ1318" s="137">
        <v>1</v>
      </c>
      <c r="AR1318" s="137">
        <v>1</v>
      </c>
      <c r="AS1318" s="158">
        <v>0.0721861525408278</v>
      </c>
      <c r="AT1318" s="141">
        <v>0.2</v>
      </c>
      <c r="AU1318" s="141">
        <v>0.142857142857143</v>
      </c>
      <c r="AV1318" s="141">
        <v>0</v>
      </c>
      <c r="AW1318" s="141">
        <v>0.0533333333333333</v>
      </c>
      <c r="AX1318" s="95"/>
      <c r="AY1318" s="93"/>
    </row>
    <row r="1319" ht="14.5" spans="1:51">
      <c r="A1319" s="91"/>
      <c r="B1319" s="95"/>
      <c r="C1319" s="152" t="s">
        <v>1085</v>
      </c>
      <c r="D1319" s="153" t="s">
        <v>25</v>
      </c>
      <c r="E1319" s="130" t="s">
        <v>1086</v>
      </c>
      <c r="F1319" s="195" t="s">
        <v>1349</v>
      </c>
      <c r="G1319" s="195" t="s">
        <v>1349</v>
      </c>
      <c r="H1319" s="195" t="s">
        <v>1349</v>
      </c>
      <c r="I1319" s="195" t="s">
        <v>1349</v>
      </c>
      <c r="J1319" s="132">
        <v>0.9</v>
      </c>
      <c r="K1319" s="133">
        <v>0.90625</v>
      </c>
      <c r="L1319" s="133">
        <v>0.967741935483871</v>
      </c>
      <c r="M1319" s="134">
        <v>0.9</v>
      </c>
      <c r="N1319" s="133">
        <v>0.920634920634921</v>
      </c>
      <c r="O1319" s="135">
        <v>0.9</v>
      </c>
      <c r="P1319" s="133">
        <v>0.989148128052089</v>
      </c>
      <c r="Q1319" s="133">
        <v>0.948811700182815</v>
      </c>
      <c r="R1319" s="133">
        <v>0.9118843199277</v>
      </c>
      <c r="S1319" s="133">
        <v>0.972692503824579</v>
      </c>
      <c r="T1319" s="135">
        <v>0.9</v>
      </c>
      <c r="U1319" s="133">
        <v>0.932718393922952</v>
      </c>
      <c r="V1319" s="133">
        <v>0.927330895795247</v>
      </c>
      <c r="W1319" s="133">
        <v>0.910528694080434</v>
      </c>
      <c r="X1319" s="133">
        <v>0.934064252932177</v>
      </c>
      <c r="Y1319" s="135">
        <v>0.92</v>
      </c>
      <c r="Z1319" s="135" t="s">
        <v>35</v>
      </c>
      <c r="AA1319" s="135" t="s">
        <v>35</v>
      </c>
      <c r="AB1319" s="135" t="s">
        <v>35</v>
      </c>
      <c r="AC1319" s="135" t="s">
        <v>35</v>
      </c>
      <c r="AD1319" s="135">
        <v>0.92</v>
      </c>
      <c r="AE1319" s="133">
        <v>0.997943233237351</v>
      </c>
      <c r="AF1319" s="133">
        <v>0.971014492753623</v>
      </c>
      <c r="AG1319" s="133">
        <v>0.988567585743107</v>
      </c>
      <c r="AH1319" s="133">
        <v>0.992590273429347</v>
      </c>
      <c r="AI1319" s="135">
        <v>0.92</v>
      </c>
      <c r="AJ1319" s="133">
        <v>0.96581660336408</v>
      </c>
      <c r="AK1319" s="133">
        <v>0.978519195612431</v>
      </c>
      <c r="AL1319" s="133">
        <v>0.985088115680072</v>
      </c>
      <c r="AM1319" s="133">
        <v>0.982687404385518</v>
      </c>
      <c r="AN1319" s="132">
        <v>0.99</v>
      </c>
      <c r="AO1319" s="137">
        <v>1</v>
      </c>
      <c r="AP1319" s="137">
        <v>1</v>
      </c>
      <c r="AQ1319" s="137">
        <v>1</v>
      </c>
      <c r="AR1319" s="137">
        <v>1</v>
      </c>
      <c r="AS1319" s="158">
        <v>0.0721861525408278</v>
      </c>
      <c r="AT1319" s="141">
        <v>0</v>
      </c>
      <c r="AU1319" s="141">
        <v>0</v>
      </c>
      <c r="AV1319" s="141">
        <v>0.333333333333333</v>
      </c>
      <c r="AW1319" s="141">
        <v>0.0476190476190476</v>
      </c>
      <c r="AX1319" s="95"/>
      <c r="AY1319" s="93"/>
    </row>
    <row r="1320" ht="14.5" spans="1:51">
      <c r="A1320" s="91"/>
      <c r="B1320" s="95"/>
      <c r="C1320" s="152" t="s">
        <v>1085</v>
      </c>
      <c r="D1320" s="153" t="s">
        <v>25</v>
      </c>
      <c r="E1320" s="130" t="s">
        <v>1086</v>
      </c>
      <c r="F1320" s="195" t="s">
        <v>1350</v>
      </c>
      <c r="G1320" s="195" t="s">
        <v>1350</v>
      </c>
      <c r="H1320" s="195" t="s">
        <v>1350</v>
      </c>
      <c r="I1320" s="195" t="s">
        <v>1350</v>
      </c>
      <c r="J1320" s="132">
        <v>0.9</v>
      </c>
      <c r="K1320" s="133">
        <v>0.548387096774194</v>
      </c>
      <c r="L1320" s="133">
        <v>0.933333333333333</v>
      </c>
      <c r="M1320" s="134">
        <v>0.645161290322581</v>
      </c>
      <c r="N1320" s="133">
        <v>0.846863468634686</v>
      </c>
      <c r="O1320" s="135">
        <v>0.9</v>
      </c>
      <c r="P1320" s="133">
        <v>0.984256926952141</v>
      </c>
      <c r="Q1320" s="133">
        <v>0.986079928154468</v>
      </c>
      <c r="R1320" s="133">
        <v>0.97607421875</v>
      </c>
      <c r="S1320" s="133">
        <v>0.988383534685399</v>
      </c>
      <c r="T1320" s="135">
        <v>0.9</v>
      </c>
      <c r="U1320" s="133">
        <v>0.94647355163728</v>
      </c>
      <c r="V1320" s="133">
        <v>0.959586888190391</v>
      </c>
      <c r="W1320" s="133">
        <v>0.97021484375</v>
      </c>
      <c r="X1320" s="133">
        <v>0.960859345104685</v>
      </c>
      <c r="Y1320" s="135">
        <v>0.92</v>
      </c>
      <c r="Z1320" s="135" t="s">
        <v>35</v>
      </c>
      <c r="AA1320" s="135" t="s">
        <v>35</v>
      </c>
      <c r="AB1320" s="135" t="s">
        <v>35</v>
      </c>
      <c r="AC1320" s="135" t="s">
        <v>35</v>
      </c>
      <c r="AD1320" s="135">
        <v>0.92</v>
      </c>
      <c r="AE1320" s="133">
        <v>1</v>
      </c>
      <c r="AF1320" s="133">
        <v>1</v>
      </c>
      <c r="AG1320" s="133">
        <v>0.998567335243553</v>
      </c>
      <c r="AH1320" s="133">
        <v>0.99915942841132</v>
      </c>
      <c r="AI1320" s="135">
        <v>0.92</v>
      </c>
      <c r="AJ1320" s="133">
        <v>0.963476070528967</v>
      </c>
      <c r="AK1320" s="133">
        <v>0.982487651549169</v>
      </c>
      <c r="AL1320" s="133">
        <v>0.984375</v>
      </c>
      <c r="AM1320" s="133">
        <v>0.979883015361067</v>
      </c>
      <c r="AN1320" s="132">
        <v>0.99</v>
      </c>
      <c r="AO1320" s="137">
        <v>1</v>
      </c>
      <c r="AP1320" s="137">
        <v>1</v>
      </c>
      <c r="AQ1320" s="137">
        <v>1</v>
      </c>
      <c r="AR1320" s="137">
        <v>1</v>
      </c>
      <c r="AS1320" s="158">
        <v>0.0721861525408278</v>
      </c>
      <c r="AT1320" s="141">
        <v>0</v>
      </c>
      <c r="AU1320" s="141">
        <v>0</v>
      </c>
      <c r="AV1320" s="141">
        <v>0</v>
      </c>
      <c r="AW1320" s="141">
        <v>0.0410958904109589</v>
      </c>
      <c r="AX1320" s="95"/>
      <c r="AY1320" s="93"/>
    </row>
    <row r="1321" ht="14.5" spans="1:51">
      <c r="A1321" s="91"/>
      <c r="B1321" s="95"/>
      <c r="C1321" s="152" t="s">
        <v>1085</v>
      </c>
      <c r="D1321" s="153" t="s">
        <v>25</v>
      </c>
      <c r="E1321" s="130" t="s">
        <v>1086</v>
      </c>
      <c r="F1321" s="195" t="s">
        <v>1351</v>
      </c>
      <c r="G1321" s="195" t="s">
        <v>1351</v>
      </c>
      <c r="H1321" s="195" t="s">
        <v>1351</v>
      </c>
      <c r="I1321" s="195" t="s">
        <v>1351</v>
      </c>
      <c r="J1321" s="132">
        <v>0.9</v>
      </c>
      <c r="K1321" s="133">
        <v>1</v>
      </c>
      <c r="L1321" s="133">
        <v>1</v>
      </c>
      <c r="M1321" s="134">
        <v>0.923076923076923</v>
      </c>
      <c r="N1321" s="133">
        <v>0.977867203219316</v>
      </c>
      <c r="O1321" s="135">
        <v>0.9</v>
      </c>
      <c r="P1321" s="133">
        <v>0.984799131378936</v>
      </c>
      <c r="Q1321" s="133">
        <v>0.981083404987102</v>
      </c>
      <c r="R1321" s="133">
        <v>0.985219164118247</v>
      </c>
      <c r="S1321" s="133">
        <v>0.98380626223092</v>
      </c>
      <c r="T1321" s="135">
        <v>0.9</v>
      </c>
      <c r="U1321" s="133">
        <v>0.954397394136808</v>
      </c>
      <c r="V1321" s="133">
        <v>0.96603611349957</v>
      </c>
      <c r="W1321" s="133">
        <v>0.967380224260958</v>
      </c>
      <c r="X1321" s="133">
        <v>0.956849315068493</v>
      </c>
      <c r="Y1321" s="135">
        <v>0.92</v>
      </c>
      <c r="Z1321" s="135">
        <v>0</v>
      </c>
      <c r="AA1321" s="135" t="s">
        <v>35</v>
      </c>
      <c r="AB1321" s="135" t="s">
        <v>35</v>
      </c>
      <c r="AC1321" s="135">
        <v>0</v>
      </c>
      <c r="AD1321" s="135">
        <v>0.92</v>
      </c>
      <c r="AE1321" s="133">
        <v>0.996894409937888</v>
      </c>
      <c r="AF1321" s="133">
        <v>1</v>
      </c>
      <c r="AG1321" s="133">
        <v>1</v>
      </c>
      <c r="AH1321" s="133">
        <v>0.98968200270636</v>
      </c>
      <c r="AI1321" s="135">
        <v>0.92</v>
      </c>
      <c r="AJ1321" s="133">
        <v>0.98046663049376</v>
      </c>
      <c r="AK1321" s="133">
        <v>0.981513327601032</v>
      </c>
      <c r="AL1321" s="133">
        <v>0.981651376146789</v>
      </c>
      <c r="AM1321" s="133">
        <v>0.985959247572222</v>
      </c>
      <c r="AN1321" s="132">
        <v>0.99</v>
      </c>
      <c r="AO1321" s="137">
        <v>1</v>
      </c>
      <c r="AP1321" s="137">
        <v>1</v>
      </c>
      <c r="AQ1321" s="137">
        <v>1</v>
      </c>
      <c r="AR1321" s="137">
        <v>1</v>
      </c>
      <c r="AS1321" s="158">
        <v>0.0721861525408278</v>
      </c>
      <c r="AT1321" s="141">
        <v>0.2</v>
      </c>
      <c r="AU1321" s="141">
        <v>0</v>
      </c>
      <c r="AV1321" s="141">
        <v>0.0833333333333333</v>
      </c>
      <c r="AW1321" s="141">
        <v>0.0428571428571429</v>
      </c>
      <c r="AX1321" s="95"/>
      <c r="AY1321" s="93"/>
    </row>
    <row r="1322" ht="14.5" spans="1:51">
      <c r="A1322" s="91"/>
      <c r="B1322" s="95"/>
      <c r="C1322" s="152" t="s">
        <v>1085</v>
      </c>
      <c r="D1322" s="153" t="s">
        <v>25</v>
      </c>
      <c r="E1322" s="130" t="s">
        <v>1086</v>
      </c>
      <c r="F1322" s="195" t="s">
        <v>1352</v>
      </c>
      <c r="G1322" s="195" t="s">
        <v>1352</v>
      </c>
      <c r="H1322" s="195" t="s">
        <v>1352</v>
      </c>
      <c r="I1322" s="195" t="s">
        <v>1352</v>
      </c>
      <c r="J1322" s="132">
        <v>0.9</v>
      </c>
      <c r="K1322" s="133">
        <v>0.869565217391304</v>
      </c>
      <c r="L1322" s="133">
        <v>0.827586206896552</v>
      </c>
      <c r="M1322" s="134">
        <v>0.846153846153846</v>
      </c>
      <c r="N1322" s="133">
        <v>0.894291754756871</v>
      </c>
      <c r="O1322" s="135">
        <v>0.9</v>
      </c>
      <c r="P1322" s="133">
        <v>0.918676388109927</v>
      </c>
      <c r="Q1322" s="133">
        <v>0.913959613696225</v>
      </c>
      <c r="R1322" s="133">
        <v>0.951398441082072</v>
      </c>
      <c r="S1322" s="133">
        <v>0.946481999806968</v>
      </c>
      <c r="T1322" s="135">
        <v>0.9</v>
      </c>
      <c r="U1322" s="133">
        <v>0.744251261918116</v>
      </c>
      <c r="V1322" s="133">
        <v>0.942054433713784</v>
      </c>
      <c r="W1322" s="133">
        <v>0.911049977074736</v>
      </c>
      <c r="X1322" s="133">
        <v>0.904835440594537</v>
      </c>
      <c r="Y1322" s="135">
        <v>0.92</v>
      </c>
      <c r="Z1322" s="135">
        <v>0</v>
      </c>
      <c r="AA1322" s="135" t="s">
        <v>35</v>
      </c>
      <c r="AB1322" s="135" t="s">
        <v>35</v>
      </c>
      <c r="AC1322" s="135">
        <v>0.5</v>
      </c>
      <c r="AD1322" s="135">
        <v>0.92</v>
      </c>
      <c r="AE1322" s="133">
        <v>0.997858162779629</v>
      </c>
      <c r="AF1322" s="133">
        <v>0.897810218978102</v>
      </c>
      <c r="AG1322" s="133">
        <v>0.986757337151038</v>
      </c>
      <c r="AH1322" s="133">
        <v>0.991799893811575</v>
      </c>
      <c r="AI1322" s="135">
        <v>0.92</v>
      </c>
      <c r="AJ1322" s="133">
        <v>0.871780515117581</v>
      </c>
      <c r="AK1322" s="133">
        <v>0.954345917471466</v>
      </c>
      <c r="AL1322" s="133">
        <v>0.94222833562586</v>
      </c>
      <c r="AM1322" s="133">
        <v>0.953947844546836</v>
      </c>
      <c r="AN1322" s="132">
        <v>0.99</v>
      </c>
      <c r="AO1322" s="137">
        <v>1</v>
      </c>
      <c r="AP1322" s="137">
        <v>1</v>
      </c>
      <c r="AQ1322" s="137">
        <v>1</v>
      </c>
      <c r="AR1322" s="137">
        <v>1</v>
      </c>
      <c r="AS1322" s="158">
        <v>0.0721861525408278</v>
      </c>
      <c r="AT1322" s="141">
        <v>0</v>
      </c>
      <c r="AU1322" s="141">
        <v>0</v>
      </c>
      <c r="AV1322" s="141">
        <v>0</v>
      </c>
      <c r="AW1322" s="141">
        <v>0.0344827586206897</v>
      </c>
      <c r="AX1322" s="95"/>
      <c r="AY1322" s="93"/>
    </row>
    <row r="1323" ht="14.5" spans="1:51">
      <c r="A1323" s="91"/>
      <c r="B1323" s="95"/>
      <c r="C1323" s="152" t="s">
        <v>1085</v>
      </c>
      <c r="D1323" s="153" t="s">
        <v>25</v>
      </c>
      <c r="E1323" s="130" t="s">
        <v>1086</v>
      </c>
      <c r="F1323" s="195" t="s">
        <v>1353</v>
      </c>
      <c r="G1323" s="195" t="s">
        <v>1353</v>
      </c>
      <c r="H1323" s="195" t="s">
        <v>1353</v>
      </c>
      <c r="I1323" s="195" t="s">
        <v>1353</v>
      </c>
      <c r="J1323" s="132">
        <v>0.9</v>
      </c>
      <c r="K1323" s="133">
        <v>0.895833333333333</v>
      </c>
      <c r="L1323" s="133">
        <v>0.896551724137931</v>
      </c>
      <c r="M1323" s="134">
        <v>0.944444444444444</v>
      </c>
      <c r="N1323" s="133">
        <v>0.939</v>
      </c>
      <c r="O1323" s="135">
        <v>0.9</v>
      </c>
      <c r="P1323" s="133">
        <v>0.949074074074074</v>
      </c>
      <c r="Q1323" s="133">
        <v>0.984776902887139</v>
      </c>
      <c r="R1323" s="133">
        <v>0.984198645598194</v>
      </c>
      <c r="S1323" s="133">
        <v>0.970419259010145</v>
      </c>
      <c r="T1323" s="135">
        <v>0.9</v>
      </c>
      <c r="U1323" s="133">
        <v>0.891203703703704</v>
      </c>
      <c r="V1323" s="133">
        <v>0.911548556430446</v>
      </c>
      <c r="W1323" s="133">
        <v>0.884875846501129</v>
      </c>
      <c r="X1323" s="133">
        <v>0.911341853035144</v>
      </c>
      <c r="Y1323" s="135">
        <v>0.92</v>
      </c>
      <c r="Z1323" s="135">
        <v>0.943213296398892</v>
      </c>
      <c r="AA1323" s="135">
        <v>0.936490250696379</v>
      </c>
      <c r="AB1323" s="135">
        <v>0.926610348468849</v>
      </c>
      <c r="AC1323" s="135">
        <v>0.944752480878046</v>
      </c>
      <c r="AD1323" s="135">
        <v>0.92</v>
      </c>
      <c r="AE1323" s="133">
        <v>0.999107939339875</v>
      </c>
      <c r="AF1323" s="133">
        <v>0.995316159250585</v>
      </c>
      <c r="AG1323" s="133">
        <v>1</v>
      </c>
      <c r="AH1323" s="133">
        <v>0.987117650650223</v>
      </c>
      <c r="AI1323" s="135">
        <v>0.92</v>
      </c>
      <c r="AJ1323" s="133">
        <v>0.936586574188754</v>
      </c>
      <c r="AK1323" s="133">
        <v>0.959158195113251</v>
      </c>
      <c r="AL1323" s="133">
        <v>0.949246046340566</v>
      </c>
      <c r="AM1323" s="133">
        <v>0.966360368308914</v>
      </c>
      <c r="AN1323" s="132">
        <v>0.99</v>
      </c>
      <c r="AO1323" s="137">
        <v>1</v>
      </c>
      <c r="AP1323" s="137">
        <v>1</v>
      </c>
      <c r="AQ1323" s="137">
        <v>1</v>
      </c>
      <c r="AR1323" s="137">
        <v>1</v>
      </c>
      <c r="AS1323" s="158">
        <v>0.0721861525408278</v>
      </c>
      <c r="AT1323" s="141">
        <v>0.03125</v>
      </c>
      <c r="AU1323" s="141">
        <v>0.0408163265306122</v>
      </c>
      <c r="AV1323" s="141">
        <v>0.0638297872340425</v>
      </c>
      <c r="AW1323" s="141">
        <v>0.0294943820224719</v>
      </c>
      <c r="AX1323" s="95"/>
      <c r="AY1323" s="93"/>
    </row>
    <row r="1324" ht="14.5" spans="1:51">
      <c r="A1324" s="91"/>
      <c r="B1324" s="95"/>
      <c r="C1324" s="152" t="s">
        <v>1085</v>
      </c>
      <c r="D1324" s="153" t="s">
        <v>25</v>
      </c>
      <c r="E1324" s="130" t="s">
        <v>1086</v>
      </c>
      <c r="F1324" s="195" t="s">
        <v>1354</v>
      </c>
      <c r="G1324" s="195" t="s">
        <v>1354</v>
      </c>
      <c r="H1324" s="195" t="s">
        <v>1354</v>
      </c>
      <c r="I1324" s="195" t="s">
        <v>1354</v>
      </c>
      <c r="J1324" s="132">
        <v>0.9</v>
      </c>
      <c r="K1324" s="133">
        <v>1</v>
      </c>
      <c r="L1324" s="133">
        <v>0.977272727272727</v>
      </c>
      <c r="M1324" s="134">
        <v>0.975</v>
      </c>
      <c r="N1324" s="133">
        <v>0.974968710888611</v>
      </c>
      <c r="O1324" s="135">
        <v>0.9</v>
      </c>
      <c r="P1324" s="133">
        <v>0.983058026260059</v>
      </c>
      <c r="Q1324" s="133">
        <v>0.91479962133165</v>
      </c>
      <c r="R1324" s="133">
        <v>0.975</v>
      </c>
      <c r="S1324" s="133">
        <v>0.94749122775769</v>
      </c>
      <c r="T1324" s="135">
        <v>0.9</v>
      </c>
      <c r="U1324" s="133">
        <v>0.939432443879712</v>
      </c>
      <c r="V1324" s="133">
        <v>0.957084253707794</v>
      </c>
      <c r="W1324" s="133">
        <v>0.93731884057971</v>
      </c>
      <c r="X1324" s="133">
        <v>0.930748267816112</v>
      </c>
      <c r="Y1324" s="135">
        <v>0.92</v>
      </c>
      <c r="Z1324" s="135" t="s">
        <v>35</v>
      </c>
      <c r="AA1324" s="135" t="s">
        <v>35</v>
      </c>
      <c r="AB1324" s="135" t="s">
        <v>35</v>
      </c>
      <c r="AC1324" s="135" t="s">
        <v>35</v>
      </c>
      <c r="AD1324" s="135">
        <v>0.92</v>
      </c>
      <c r="AE1324" s="133">
        <v>1</v>
      </c>
      <c r="AF1324" s="133">
        <v>0.983050847457627</v>
      </c>
      <c r="AG1324" s="133">
        <v>0.987012987012987</v>
      </c>
      <c r="AH1324" s="133">
        <v>0.9958071278826</v>
      </c>
      <c r="AI1324" s="135">
        <v>0.92</v>
      </c>
      <c r="AJ1324" s="133">
        <v>0.959356477561389</v>
      </c>
      <c r="AK1324" s="133">
        <v>0.967813190280846</v>
      </c>
      <c r="AL1324" s="133">
        <v>0.951086956521739</v>
      </c>
      <c r="AM1324" s="133">
        <v>0.965748788828726</v>
      </c>
      <c r="AN1324" s="132">
        <v>0.99</v>
      </c>
      <c r="AO1324" s="137">
        <v>1</v>
      </c>
      <c r="AP1324" s="137">
        <v>1</v>
      </c>
      <c r="AQ1324" s="137">
        <v>1</v>
      </c>
      <c r="AR1324" s="137">
        <v>1</v>
      </c>
      <c r="AS1324" s="158">
        <v>0.0721861525408278</v>
      </c>
      <c r="AT1324" s="141">
        <v>0.0909090909090909</v>
      </c>
      <c r="AU1324" s="141">
        <v>0</v>
      </c>
      <c r="AV1324" s="141">
        <v>0.0909090909090909</v>
      </c>
      <c r="AW1324" s="141">
        <v>0.0401234567901235</v>
      </c>
      <c r="AX1324" s="95"/>
      <c r="AY1324" s="93"/>
    </row>
    <row r="1325" ht="14.5" spans="1:51">
      <c r="A1325" s="91"/>
      <c r="B1325" s="95"/>
      <c r="C1325" s="152" t="s">
        <v>1085</v>
      </c>
      <c r="D1325" s="153" t="s">
        <v>25</v>
      </c>
      <c r="E1325" s="130" t="s">
        <v>1086</v>
      </c>
      <c r="F1325" s="195" t="s">
        <v>1355</v>
      </c>
      <c r="G1325" s="195" t="s">
        <v>1355</v>
      </c>
      <c r="H1325" s="195" t="s">
        <v>1355</v>
      </c>
      <c r="I1325" s="195" t="s">
        <v>1355</v>
      </c>
      <c r="J1325" s="132">
        <v>0.9</v>
      </c>
      <c r="K1325" s="133">
        <v>0.9375</v>
      </c>
      <c r="L1325" s="133">
        <v>1</v>
      </c>
      <c r="M1325" s="134">
        <v>1</v>
      </c>
      <c r="N1325" s="133">
        <v>0.954765751211632</v>
      </c>
      <c r="O1325" s="135">
        <v>0.9</v>
      </c>
      <c r="P1325" s="133">
        <v>0.989212513484358</v>
      </c>
      <c r="Q1325" s="133">
        <v>0.990546650226058</v>
      </c>
      <c r="R1325" s="133">
        <v>0.986690328305235</v>
      </c>
      <c r="S1325" s="133">
        <v>0.98794818413139</v>
      </c>
      <c r="T1325" s="135">
        <v>0.9</v>
      </c>
      <c r="U1325" s="133">
        <v>0.953074433656958</v>
      </c>
      <c r="V1325" s="133">
        <v>0.946979038224414</v>
      </c>
      <c r="W1325" s="133">
        <v>0.9547471162378</v>
      </c>
      <c r="X1325" s="133">
        <v>0.957136247975943</v>
      </c>
      <c r="Y1325" s="135">
        <v>0.92</v>
      </c>
      <c r="Z1325" s="135" t="s">
        <v>35</v>
      </c>
      <c r="AA1325" s="135" t="s">
        <v>35</v>
      </c>
      <c r="AB1325" s="135" t="s">
        <v>35</v>
      </c>
      <c r="AC1325" s="135">
        <v>1</v>
      </c>
      <c r="AD1325" s="135">
        <v>0.92</v>
      </c>
      <c r="AE1325" s="133">
        <v>1</v>
      </c>
      <c r="AF1325" s="133">
        <v>1</v>
      </c>
      <c r="AG1325" s="133">
        <v>0.995535714285714</v>
      </c>
      <c r="AH1325" s="133">
        <v>0.997144605343667</v>
      </c>
      <c r="AI1325" s="135">
        <v>0.92</v>
      </c>
      <c r="AJ1325" s="133">
        <v>0.969795037756203</v>
      </c>
      <c r="AK1325" s="133">
        <v>0.974928072338677</v>
      </c>
      <c r="AL1325" s="133">
        <v>0.975598935226264</v>
      </c>
      <c r="AM1325" s="133">
        <v>0.981911128588282</v>
      </c>
      <c r="AN1325" s="132">
        <v>0.99</v>
      </c>
      <c r="AO1325" s="137">
        <v>1</v>
      </c>
      <c r="AP1325" s="137">
        <v>1</v>
      </c>
      <c r="AQ1325" s="137">
        <v>1</v>
      </c>
      <c r="AR1325" s="137">
        <v>1</v>
      </c>
      <c r="AS1325" s="158">
        <v>0.0721861525408278</v>
      </c>
      <c r="AT1325" s="141">
        <v>0</v>
      </c>
      <c r="AU1325" s="141">
        <v>0</v>
      </c>
      <c r="AV1325" s="141">
        <v>0</v>
      </c>
      <c r="AW1325" s="141">
        <v>0.016</v>
      </c>
      <c r="AX1325" s="95"/>
      <c r="AY1325" s="93"/>
    </row>
    <row r="1326" ht="14.5" spans="1:51">
      <c r="A1326" s="91"/>
      <c r="B1326" s="95"/>
      <c r="C1326" s="152" t="s">
        <v>1085</v>
      </c>
      <c r="D1326" s="153" t="s">
        <v>25</v>
      </c>
      <c r="E1326" s="130" t="s">
        <v>1086</v>
      </c>
      <c r="F1326" s="195" t="s">
        <v>1356</v>
      </c>
      <c r="G1326" s="195" t="s">
        <v>1356</v>
      </c>
      <c r="H1326" s="195" t="s">
        <v>1356</v>
      </c>
      <c r="I1326" s="195" t="s">
        <v>1356</v>
      </c>
      <c r="J1326" s="132">
        <v>0.9</v>
      </c>
      <c r="K1326" s="133">
        <v>0.973684210526316</v>
      </c>
      <c r="L1326" s="133">
        <v>0.897435897435897</v>
      </c>
      <c r="M1326" s="134">
        <v>0.947368421052632</v>
      </c>
      <c r="N1326" s="133">
        <v>0.943870014771049</v>
      </c>
      <c r="O1326" s="135">
        <v>0.9</v>
      </c>
      <c r="P1326" s="133">
        <v>0.987680771290841</v>
      </c>
      <c r="Q1326" s="133">
        <v>0.987550200803213</v>
      </c>
      <c r="R1326" s="133">
        <v>0.98783235691753</v>
      </c>
      <c r="S1326" s="133">
        <v>0.981646232968533</v>
      </c>
      <c r="T1326" s="135">
        <v>0.9</v>
      </c>
      <c r="U1326" s="133">
        <v>0.95232994108195</v>
      </c>
      <c r="V1326" s="133">
        <v>0.967871485943775</v>
      </c>
      <c r="W1326" s="133">
        <v>0.963046417305092</v>
      </c>
      <c r="X1326" s="133">
        <v>0.959002608038609</v>
      </c>
      <c r="Y1326" s="135">
        <v>0.92</v>
      </c>
      <c r="Z1326" s="135" t="s">
        <v>35</v>
      </c>
      <c r="AA1326" s="135" t="s">
        <v>35</v>
      </c>
      <c r="AB1326" s="135" t="s">
        <v>35</v>
      </c>
      <c r="AC1326" s="135">
        <v>1</v>
      </c>
      <c r="AD1326" s="135">
        <v>0.92</v>
      </c>
      <c r="AE1326" s="133">
        <v>1</v>
      </c>
      <c r="AF1326" s="133">
        <v>1</v>
      </c>
      <c r="AG1326" s="133">
        <v>1</v>
      </c>
      <c r="AH1326" s="133">
        <v>0.998901903367496</v>
      </c>
      <c r="AI1326" s="135">
        <v>0.92</v>
      </c>
      <c r="AJ1326" s="133">
        <v>0.971612212104981</v>
      </c>
      <c r="AK1326" s="133">
        <v>0.980722891566265</v>
      </c>
      <c r="AL1326" s="133">
        <v>0.982875168995043</v>
      </c>
      <c r="AM1326" s="133">
        <v>0.982597250658087</v>
      </c>
      <c r="AN1326" s="132">
        <v>0.99</v>
      </c>
      <c r="AO1326" s="137">
        <v>1</v>
      </c>
      <c r="AP1326" s="137">
        <v>1</v>
      </c>
      <c r="AQ1326" s="137">
        <v>1</v>
      </c>
      <c r="AR1326" s="137">
        <v>1</v>
      </c>
      <c r="AS1326" s="158">
        <v>0.0721861525408278</v>
      </c>
      <c r="AT1326" s="141">
        <v>0</v>
      </c>
      <c r="AU1326" s="141">
        <v>0</v>
      </c>
      <c r="AV1326" s="141">
        <v>0</v>
      </c>
      <c r="AW1326" s="141">
        <v>0.0384615384615385</v>
      </c>
      <c r="AX1326" s="95"/>
      <c r="AY1326" s="93"/>
    </row>
    <row r="1327" ht="14.5" spans="1:51">
      <c r="A1327" s="91"/>
      <c r="B1327" s="95"/>
      <c r="C1327" s="152" t="s">
        <v>1085</v>
      </c>
      <c r="D1327" s="153" t="s">
        <v>25</v>
      </c>
      <c r="E1327" s="130" t="s">
        <v>1086</v>
      </c>
      <c r="F1327" s="195" t="s">
        <v>1357</v>
      </c>
      <c r="G1327" s="195" t="s">
        <v>1357</v>
      </c>
      <c r="H1327" s="195" t="s">
        <v>1357</v>
      </c>
      <c r="I1327" s="195" t="s">
        <v>1357</v>
      </c>
      <c r="J1327" s="132">
        <v>0.9</v>
      </c>
      <c r="K1327" s="133">
        <v>0.836363636363636</v>
      </c>
      <c r="L1327" s="133">
        <v>0.928571428571429</v>
      </c>
      <c r="M1327" s="134">
        <v>0.879310344827586</v>
      </c>
      <c r="N1327" s="133">
        <v>0.889855072463768</v>
      </c>
      <c r="O1327" s="135">
        <v>0.9</v>
      </c>
      <c r="P1327" s="133">
        <v>0.982142857142857</v>
      </c>
      <c r="Q1327" s="133">
        <v>0.976608187134503</v>
      </c>
      <c r="R1327" s="133">
        <v>0.961992809450437</v>
      </c>
      <c r="S1327" s="133">
        <v>0.972984942426926</v>
      </c>
      <c r="T1327" s="135">
        <v>0.9</v>
      </c>
      <c r="U1327" s="133">
        <v>0.901785714285714</v>
      </c>
      <c r="V1327" s="133">
        <v>0.904795321637427</v>
      </c>
      <c r="W1327" s="133">
        <v>0.887262455059065</v>
      </c>
      <c r="X1327" s="133">
        <v>0.921351534413588</v>
      </c>
      <c r="Y1327" s="135">
        <v>0.92</v>
      </c>
      <c r="Z1327" s="135">
        <v>0.333333333333333</v>
      </c>
      <c r="AA1327" s="135">
        <v>0</v>
      </c>
      <c r="AB1327" s="135" t="s">
        <v>35</v>
      </c>
      <c r="AC1327" s="135">
        <v>0.25</v>
      </c>
      <c r="AD1327" s="135">
        <v>0.92</v>
      </c>
      <c r="AE1327" s="133">
        <v>1</v>
      </c>
      <c r="AF1327" s="133">
        <v>1</v>
      </c>
      <c r="AG1327" s="133">
        <v>1</v>
      </c>
      <c r="AH1327" s="133">
        <v>0.995881383855025</v>
      </c>
      <c r="AI1327" s="135">
        <v>0.92</v>
      </c>
      <c r="AJ1327" s="133">
        <v>0.938515450780503</v>
      </c>
      <c r="AK1327" s="133">
        <v>0.95088868101029</v>
      </c>
      <c r="AL1327" s="133">
        <v>0.942475603492553</v>
      </c>
      <c r="AM1327" s="133">
        <v>0.9640252162134</v>
      </c>
      <c r="AN1327" s="132">
        <v>0.99</v>
      </c>
      <c r="AO1327" s="137">
        <v>1</v>
      </c>
      <c r="AP1327" s="137">
        <v>1</v>
      </c>
      <c r="AQ1327" s="137">
        <v>1</v>
      </c>
      <c r="AR1327" s="137">
        <v>1</v>
      </c>
      <c r="AS1327" s="158">
        <v>0.0721861525408278</v>
      </c>
      <c r="AT1327" s="141">
        <v>0.0476190476190476</v>
      </c>
      <c r="AU1327" s="141">
        <v>0</v>
      </c>
      <c r="AV1327" s="141">
        <v>0</v>
      </c>
      <c r="AW1327" s="141">
        <v>0.0359712230215827</v>
      </c>
      <c r="AX1327" s="95"/>
      <c r="AY1327" s="93"/>
    </row>
    <row r="1328" ht="14.5" spans="1:51">
      <c r="A1328" s="91"/>
      <c r="B1328" s="95"/>
      <c r="C1328" s="152" t="s">
        <v>1085</v>
      </c>
      <c r="D1328" s="153" t="s">
        <v>25</v>
      </c>
      <c r="E1328" s="130" t="s">
        <v>1086</v>
      </c>
      <c r="F1328" s="195" t="s">
        <v>1358</v>
      </c>
      <c r="G1328" s="195" t="s">
        <v>1358</v>
      </c>
      <c r="H1328" s="195" t="s">
        <v>1358</v>
      </c>
      <c r="I1328" s="195" t="s">
        <v>1358</v>
      </c>
      <c r="J1328" s="132">
        <v>0.9</v>
      </c>
      <c r="K1328" s="133">
        <v>0.935897435897436</v>
      </c>
      <c r="L1328" s="133">
        <v>0.932584269662921</v>
      </c>
      <c r="M1328" s="134">
        <v>0.963414634146341</v>
      </c>
      <c r="N1328" s="133">
        <v>0.953760789149198</v>
      </c>
      <c r="O1328" s="135">
        <v>0.9</v>
      </c>
      <c r="P1328" s="133">
        <v>0.996361230565663</v>
      </c>
      <c r="Q1328" s="133">
        <v>0.966959879854109</v>
      </c>
      <c r="R1328" s="133">
        <v>0.974877878576413</v>
      </c>
      <c r="S1328" s="133">
        <v>0.974594119700088</v>
      </c>
      <c r="T1328" s="135">
        <v>0.9</v>
      </c>
      <c r="U1328" s="133">
        <v>0.931194177968905</v>
      </c>
      <c r="V1328" s="133">
        <v>0.945934348852178</v>
      </c>
      <c r="W1328" s="133">
        <v>0.938822982088858</v>
      </c>
      <c r="X1328" s="133">
        <v>0.93964448616577</v>
      </c>
      <c r="Y1328" s="135">
        <v>0.92</v>
      </c>
      <c r="Z1328" s="135">
        <v>0.948950652297221</v>
      </c>
      <c r="AA1328" s="135">
        <v>0.945211581291759</v>
      </c>
      <c r="AB1328" s="135">
        <v>0.94478527607362</v>
      </c>
      <c r="AC1328" s="135">
        <v>0.955095580177767</v>
      </c>
      <c r="AD1328" s="135">
        <v>0.92</v>
      </c>
      <c r="AE1328" s="133">
        <v>0.999241274658574</v>
      </c>
      <c r="AF1328" s="133">
        <v>0.986754966887417</v>
      </c>
      <c r="AG1328" s="133">
        <v>0.992471769134254</v>
      </c>
      <c r="AH1328" s="133">
        <v>0.981044719211286</v>
      </c>
      <c r="AI1328" s="135">
        <v>0.92</v>
      </c>
      <c r="AJ1328" s="133">
        <v>0.969912244045132</v>
      </c>
      <c r="AK1328" s="133">
        <v>0.970609526567251</v>
      </c>
      <c r="AL1328" s="133">
        <v>0.971085409252669</v>
      </c>
      <c r="AM1328" s="133">
        <v>0.977947454050484</v>
      </c>
      <c r="AN1328" s="132">
        <v>0.99</v>
      </c>
      <c r="AO1328" s="137">
        <v>1</v>
      </c>
      <c r="AP1328" s="137">
        <v>1</v>
      </c>
      <c r="AQ1328" s="137">
        <v>1</v>
      </c>
      <c r="AR1328" s="137">
        <v>1</v>
      </c>
      <c r="AS1328" s="158">
        <v>0.0721861525408278</v>
      </c>
      <c r="AT1328" s="141">
        <v>0.0294117647058824</v>
      </c>
      <c r="AU1328" s="141">
        <v>0</v>
      </c>
      <c r="AV1328" s="141">
        <v>0.130434782608696</v>
      </c>
      <c r="AW1328" s="141">
        <v>0.041036717062635</v>
      </c>
      <c r="AX1328" s="95"/>
      <c r="AY1328" s="93"/>
    </row>
    <row r="1329" ht="14.5" spans="1:51">
      <c r="A1329" s="91"/>
      <c r="B1329" s="95"/>
      <c r="C1329" s="152" t="s">
        <v>1085</v>
      </c>
      <c r="D1329" s="153" t="s">
        <v>25</v>
      </c>
      <c r="E1329" s="130" t="s">
        <v>1086</v>
      </c>
      <c r="F1329" s="195" t="s">
        <v>1359</v>
      </c>
      <c r="G1329" s="195" t="s">
        <v>1359</v>
      </c>
      <c r="H1329" s="195" t="s">
        <v>1359</v>
      </c>
      <c r="I1329" s="195" t="s">
        <v>1359</v>
      </c>
      <c r="J1329" s="132">
        <v>0.9</v>
      </c>
      <c r="K1329" s="133">
        <v>0.941176470588235</v>
      </c>
      <c r="L1329" s="133">
        <v>1</v>
      </c>
      <c r="M1329" s="134">
        <v>1</v>
      </c>
      <c r="N1329" s="133">
        <v>0.993939393939394</v>
      </c>
      <c r="O1329" s="135">
        <v>0.9</v>
      </c>
      <c r="P1329" s="133">
        <v>0.995964487489911</v>
      </c>
      <c r="Q1329" s="133">
        <v>0.994444444444444</v>
      </c>
      <c r="R1329" s="133">
        <v>0.996070726915521</v>
      </c>
      <c r="S1329" s="133">
        <v>0.994208758823933</v>
      </c>
      <c r="T1329" s="135">
        <v>0.9</v>
      </c>
      <c r="U1329" s="133">
        <v>0.962873284907183</v>
      </c>
      <c r="V1329" s="133">
        <v>0.974074074074074</v>
      </c>
      <c r="W1329" s="133">
        <v>0.972495088408644</v>
      </c>
      <c r="X1329" s="133">
        <v>0.968131039681996</v>
      </c>
      <c r="Y1329" s="135">
        <v>0.92</v>
      </c>
      <c r="Z1329" s="135" t="s">
        <v>35</v>
      </c>
      <c r="AA1329" s="135" t="s">
        <v>35</v>
      </c>
      <c r="AB1329" s="135" t="s">
        <v>35</v>
      </c>
      <c r="AC1329" s="135">
        <v>1</v>
      </c>
      <c r="AD1329" s="135">
        <v>0.92</v>
      </c>
      <c r="AE1329" s="133">
        <v>1</v>
      </c>
      <c r="AF1329" s="133">
        <v>1</v>
      </c>
      <c r="AG1329" s="133">
        <v>1</v>
      </c>
      <c r="AH1329" s="133">
        <v>0.999521988527725</v>
      </c>
      <c r="AI1329" s="135">
        <v>0.92</v>
      </c>
      <c r="AJ1329" s="133">
        <v>0.991121872477805</v>
      </c>
      <c r="AK1329" s="133">
        <v>0.991975308641975</v>
      </c>
      <c r="AL1329" s="133">
        <v>0.992801047120419</v>
      </c>
      <c r="AM1329" s="133">
        <v>0.993010347426848</v>
      </c>
      <c r="AN1329" s="132">
        <v>0.99</v>
      </c>
      <c r="AO1329" s="137">
        <v>1</v>
      </c>
      <c r="AP1329" s="137">
        <v>1</v>
      </c>
      <c r="AQ1329" s="137">
        <v>1</v>
      </c>
      <c r="AR1329" s="137">
        <v>1</v>
      </c>
      <c r="AS1329" s="158">
        <v>0.0721861525408278</v>
      </c>
      <c r="AT1329" s="141">
        <v>0</v>
      </c>
      <c r="AU1329" s="141">
        <v>0</v>
      </c>
      <c r="AV1329" s="141">
        <v>0</v>
      </c>
      <c r="AW1329" s="141">
        <v>0.0315789473684211</v>
      </c>
      <c r="AX1329" s="95"/>
      <c r="AY1329" s="93"/>
    </row>
    <row r="1330" ht="14.5" spans="1:51">
      <c r="A1330" s="91"/>
      <c r="B1330" s="95"/>
      <c r="C1330" s="152" t="s">
        <v>1085</v>
      </c>
      <c r="D1330" s="153" t="s">
        <v>25</v>
      </c>
      <c r="E1330" s="130" t="s">
        <v>1086</v>
      </c>
      <c r="F1330" s="195" t="s">
        <v>1360</v>
      </c>
      <c r="G1330" s="195" t="s">
        <v>1360</v>
      </c>
      <c r="H1330" s="195" t="s">
        <v>1360</v>
      </c>
      <c r="I1330" s="195" t="s">
        <v>1360</v>
      </c>
      <c r="J1330" s="132">
        <v>0.9</v>
      </c>
      <c r="K1330" s="133">
        <v>0.961538461538462</v>
      </c>
      <c r="L1330" s="133">
        <v>0.931034482758621</v>
      </c>
      <c r="M1330" s="134">
        <v>1</v>
      </c>
      <c r="N1330" s="133">
        <v>0.975095785440613</v>
      </c>
      <c r="O1330" s="135">
        <v>0.9</v>
      </c>
      <c r="P1330" s="133">
        <v>0.988286066584464</v>
      </c>
      <c r="Q1330" s="133">
        <v>0.989561586638831</v>
      </c>
      <c r="R1330" s="133">
        <v>0.98874296435272</v>
      </c>
      <c r="S1330" s="133">
        <v>0.984015465861939</v>
      </c>
      <c r="T1330" s="135">
        <v>0.9</v>
      </c>
      <c r="U1330" s="133">
        <v>0.970406905055487</v>
      </c>
      <c r="V1330" s="133">
        <v>0.974530271398747</v>
      </c>
      <c r="W1330" s="133">
        <v>0.977954971857411</v>
      </c>
      <c r="X1330" s="133">
        <v>0.975009430403621</v>
      </c>
      <c r="Y1330" s="135">
        <v>0.92</v>
      </c>
      <c r="Z1330" s="135" t="s">
        <v>35</v>
      </c>
      <c r="AA1330" s="135" t="s">
        <v>35</v>
      </c>
      <c r="AB1330" s="135" t="s">
        <v>35</v>
      </c>
      <c r="AC1330" s="135">
        <v>1</v>
      </c>
      <c r="AD1330" s="135">
        <v>0.92</v>
      </c>
      <c r="AE1330" s="133">
        <v>1</v>
      </c>
      <c r="AF1330" s="133">
        <v>0.997572815533981</v>
      </c>
      <c r="AG1330" s="133">
        <v>0.997584541062802</v>
      </c>
      <c r="AH1330" s="133">
        <v>0.994043719101793</v>
      </c>
      <c r="AI1330" s="135">
        <v>0.92</v>
      </c>
      <c r="AJ1330" s="133">
        <v>0.983353884093711</v>
      </c>
      <c r="AK1330" s="133">
        <v>0.988726513569937</v>
      </c>
      <c r="AL1330" s="133">
        <v>0.99155722326454</v>
      </c>
      <c r="AM1330" s="133">
        <v>0.991135838559102</v>
      </c>
      <c r="AN1330" s="132">
        <v>0.99</v>
      </c>
      <c r="AO1330" s="137">
        <v>1</v>
      </c>
      <c r="AP1330" s="137">
        <v>1</v>
      </c>
      <c r="AQ1330" s="137">
        <v>1</v>
      </c>
      <c r="AR1330" s="137">
        <v>1</v>
      </c>
      <c r="AS1330" s="158">
        <v>0.0721861525408278</v>
      </c>
      <c r="AT1330" s="141">
        <v>0</v>
      </c>
      <c r="AU1330" s="141">
        <v>0</v>
      </c>
      <c r="AV1330" s="141">
        <v>0</v>
      </c>
      <c r="AW1330" s="141">
        <v>0.0198675496688742</v>
      </c>
      <c r="AX1330" s="95"/>
      <c r="AY1330" s="93"/>
    </row>
    <row r="1331" ht="14.5" spans="1:51">
      <c r="A1331" s="91"/>
      <c r="B1331" s="95"/>
      <c r="C1331" s="152" t="s">
        <v>1085</v>
      </c>
      <c r="D1331" s="153" t="s">
        <v>25</v>
      </c>
      <c r="E1331" s="130" t="s">
        <v>1086</v>
      </c>
      <c r="F1331" s="195" t="s">
        <v>1361</v>
      </c>
      <c r="G1331" s="195" t="s">
        <v>1361</v>
      </c>
      <c r="H1331" s="195" t="s">
        <v>1361</v>
      </c>
      <c r="I1331" s="195" t="s">
        <v>1361</v>
      </c>
      <c r="J1331" s="132">
        <v>0.9</v>
      </c>
      <c r="K1331" s="133">
        <v>1</v>
      </c>
      <c r="L1331" s="133">
        <v>1</v>
      </c>
      <c r="M1331" s="134">
        <v>0.977272727272727</v>
      </c>
      <c r="N1331" s="133">
        <v>0.99179366940211</v>
      </c>
      <c r="O1331" s="135">
        <v>0.9</v>
      </c>
      <c r="P1331" s="133">
        <v>0.991703056768559</v>
      </c>
      <c r="Q1331" s="133">
        <v>0.995883470550982</v>
      </c>
      <c r="R1331" s="133">
        <v>0.991485013623978</v>
      </c>
      <c r="S1331" s="133">
        <v>0.983581341490814</v>
      </c>
      <c r="T1331" s="135">
        <v>0.9</v>
      </c>
      <c r="U1331" s="133">
        <v>0.963755458515284</v>
      </c>
      <c r="V1331" s="133">
        <v>0.967384420519316</v>
      </c>
      <c r="W1331" s="133">
        <v>0.972070844686649</v>
      </c>
      <c r="X1331" s="133">
        <v>0.965417120340126</v>
      </c>
      <c r="Y1331" s="135">
        <v>0.92</v>
      </c>
      <c r="Z1331" s="135" t="s">
        <v>35</v>
      </c>
      <c r="AA1331" s="135" t="s">
        <v>35</v>
      </c>
      <c r="AB1331" s="135" t="s">
        <v>35</v>
      </c>
      <c r="AC1331" s="135" t="s">
        <v>35</v>
      </c>
      <c r="AD1331" s="135">
        <v>0.92</v>
      </c>
      <c r="AE1331" s="133">
        <v>0.999475065616798</v>
      </c>
      <c r="AF1331" s="133">
        <v>0.991335740072202</v>
      </c>
      <c r="AG1331" s="133">
        <v>0.996433666191155</v>
      </c>
      <c r="AH1331" s="133">
        <v>0.998029857372773</v>
      </c>
      <c r="AI1331" s="135">
        <v>0.92</v>
      </c>
      <c r="AJ1331" s="133">
        <v>0.978602620087336</v>
      </c>
      <c r="AK1331" s="133">
        <v>0.982583913869538</v>
      </c>
      <c r="AL1331" s="133">
        <v>0.982970027247956</v>
      </c>
      <c r="AM1331" s="133">
        <v>0.984912638473636</v>
      </c>
      <c r="AN1331" s="132">
        <v>0.99</v>
      </c>
      <c r="AO1331" s="137">
        <v>1</v>
      </c>
      <c r="AP1331" s="137">
        <v>1</v>
      </c>
      <c r="AQ1331" s="137">
        <v>1</v>
      </c>
      <c r="AR1331" s="137">
        <v>1</v>
      </c>
      <c r="AS1331" s="158">
        <v>0.0721861525408278</v>
      </c>
      <c r="AT1331" s="141">
        <v>0</v>
      </c>
      <c r="AU1331" s="141">
        <v>0.153846153846154</v>
      </c>
      <c r="AV1331" s="141">
        <v>0</v>
      </c>
      <c r="AW1331" s="141">
        <v>0.0414507772020725</v>
      </c>
      <c r="AX1331" s="95"/>
      <c r="AY1331" s="93"/>
    </row>
    <row r="1332" ht="14.5" spans="1:51">
      <c r="A1332" s="91"/>
      <c r="B1332" s="95"/>
      <c r="C1332" s="152" t="s">
        <v>1085</v>
      </c>
      <c r="D1332" s="153" t="s">
        <v>25</v>
      </c>
      <c r="E1332" s="130" t="s">
        <v>1086</v>
      </c>
      <c r="F1332" s="195" t="s">
        <v>1362</v>
      </c>
      <c r="G1332" s="195" t="s">
        <v>1362</v>
      </c>
      <c r="H1332" s="195" t="s">
        <v>1362</v>
      </c>
      <c r="I1332" s="195" t="s">
        <v>1362</v>
      </c>
      <c r="J1332" s="132">
        <v>0.9</v>
      </c>
      <c r="K1332" s="133">
        <v>0.953488372093023</v>
      </c>
      <c r="L1332" s="133">
        <v>0.977777777777778</v>
      </c>
      <c r="M1332" s="134">
        <v>0.951219512195122</v>
      </c>
      <c r="N1332" s="133">
        <v>0.967193195625759</v>
      </c>
      <c r="O1332" s="135">
        <v>0.9</v>
      </c>
      <c r="P1332" s="133">
        <v>0.993915533285612</v>
      </c>
      <c r="Q1332" s="133">
        <v>0.994025974025974</v>
      </c>
      <c r="R1332" s="133">
        <v>0.99422299248989</v>
      </c>
      <c r="S1332" s="133">
        <v>0.984989745901997</v>
      </c>
      <c r="T1332" s="135">
        <v>0.9</v>
      </c>
      <c r="U1332" s="133">
        <v>0.974588403722262</v>
      </c>
      <c r="V1332" s="133">
        <v>0.963636363636364</v>
      </c>
      <c r="W1332" s="133">
        <v>0.961294049682265</v>
      </c>
      <c r="X1332" s="133">
        <v>0.973237531453173</v>
      </c>
      <c r="Y1332" s="135">
        <v>0.92</v>
      </c>
      <c r="Z1332" s="135">
        <v>0</v>
      </c>
      <c r="AA1332" s="135" t="s">
        <v>35</v>
      </c>
      <c r="AB1332" s="135" t="s">
        <v>35</v>
      </c>
      <c r="AC1332" s="135">
        <v>0</v>
      </c>
      <c r="AD1332" s="135">
        <v>0.92</v>
      </c>
      <c r="AE1332" s="133">
        <v>1</v>
      </c>
      <c r="AF1332" s="133">
        <v>1</v>
      </c>
      <c r="AG1332" s="133">
        <v>1</v>
      </c>
      <c r="AH1332" s="133">
        <v>0.988225849611988</v>
      </c>
      <c r="AI1332" s="135">
        <v>0.92</v>
      </c>
      <c r="AJ1332" s="133">
        <v>0.994275491949911</v>
      </c>
      <c r="AK1332" s="133">
        <v>0.98987012987013</v>
      </c>
      <c r="AL1332" s="133">
        <v>0.987001733102253</v>
      </c>
      <c r="AM1332" s="133">
        <v>0.993193123309189</v>
      </c>
      <c r="AN1332" s="132">
        <v>0.99</v>
      </c>
      <c r="AO1332" s="137">
        <v>1</v>
      </c>
      <c r="AP1332" s="137">
        <v>1</v>
      </c>
      <c r="AQ1332" s="137">
        <v>1</v>
      </c>
      <c r="AR1332" s="137">
        <v>1</v>
      </c>
      <c r="AS1332" s="158">
        <v>0.0721861525408278</v>
      </c>
      <c r="AT1332" s="141">
        <v>0</v>
      </c>
      <c r="AU1332" s="141">
        <v>0.05</v>
      </c>
      <c r="AV1332" s="141">
        <v>0</v>
      </c>
      <c r="AW1332" s="141">
        <v>0.0234113712374582</v>
      </c>
      <c r="AX1332" s="95"/>
      <c r="AY1332" s="93"/>
    </row>
    <row r="1333" ht="14.5" spans="1:51">
      <c r="A1333" s="91"/>
      <c r="B1333" s="95"/>
      <c r="C1333" s="152" t="s">
        <v>1085</v>
      </c>
      <c r="D1333" s="153" t="s">
        <v>25</v>
      </c>
      <c r="E1333" s="130" t="s">
        <v>1086</v>
      </c>
      <c r="F1333" s="195" t="s">
        <v>1363</v>
      </c>
      <c r="G1333" s="195" t="s">
        <v>1363</v>
      </c>
      <c r="H1333" s="195" t="s">
        <v>1363</v>
      </c>
      <c r="I1333" s="195" t="s">
        <v>1363</v>
      </c>
      <c r="J1333" s="132">
        <v>0.9</v>
      </c>
      <c r="K1333" s="133">
        <v>0.961538461538462</v>
      </c>
      <c r="L1333" s="133">
        <v>0.988636363636364</v>
      </c>
      <c r="M1333" s="134">
        <v>0.963855421686747</v>
      </c>
      <c r="N1333" s="133">
        <v>0.940492476060191</v>
      </c>
      <c r="O1333" s="135">
        <v>0.9</v>
      </c>
      <c r="P1333" s="133">
        <v>0.960811275352355</v>
      </c>
      <c r="Q1333" s="133">
        <v>0.979426722145169</v>
      </c>
      <c r="R1333" s="133">
        <v>0.979215995790581</v>
      </c>
      <c r="S1333" s="133">
        <v>0.951570887275024</v>
      </c>
      <c r="T1333" s="135">
        <v>0.9</v>
      </c>
      <c r="U1333" s="133">
        <v>0.925060158129942</v>
      </c>
      <c r="V1333" s="133">
        <v>0.94336569579288</v>
      </c>
      <c r="W1333" s="133">
        <v>0.935543278084715</v>
      </c>
      <c r="X1333" s="133">
        <v>0.921521418798021</v>
      </c>
      <c r="Y1333" s="135">
        <v>0.92</v>
      </c>
      <c r="Z1333" s="135">
        <v>0.885534591194969</v>
      </c>
      <c r="AA1333" s="135">
        <v>0.921790722761597</v>
      </c>
      <c r="AB1333" s="135">
        <v>0.92933025404157</v>
      </c>
      <c r="AC1333" s="135">
        <v>0.920228540334648</v>
      </c>
      <c r="AD1333" s="135">
        <v>0.92</v>
      </c>
      <c r="AE1333" s="133">
        <v>0.997524752475248</v>
      </c>
      <c r="AF1333" s="133">
        <v>0.986568986568987</v>
      </c>
      <c r="AG1333" s="133">
        <v>0.99800796812749</v>
      </c>
      <c r="AH1333" s="133">
        <v>0.997983328851842</v>
      </c>
      <c r="AI1333" s="135">
        <v>0.92</v>
      </c>
      <c r="AJ1333" s="133">
        <v>0.941098021782618</v>
      </c>
      <c r="AK1333" s="133">
        <v>0.959890021025392</v>
      </c>
      <c r="AL1333" s="133">
        <v>0.959939658062353</v>
      </c>
      <c r="AM1333" s="133">
        <v>0.958880543411753</v>
      </c>
      <c r="AN1333" s="132">
        <v>0.99</v>
      </c>
      <c r="AO1333" s="137">
        <v>1</v>
      </c>
      <c r="AP1333" s="137">
        <v>1</v>
      </c>
      <c r="AQ1333" s="137">
        <v>1</v>
      </c>
      <c r="AR1333" s="137">
        <v>1</v>
      </c>
      <c r="AS1333" s="158">
        <v>0.0721861525408278</v>
      </c>
      <c r="AT1333" s="141">
        <v>0.0555555555555556</v>
      </c>
      <c r="AU1333" s="141">
        <v>0.0952380952380952</v>
      </c>
      <c r="AV1333" s="141">
        <v>0</v>
      </c>
      <c r="AW1333" s="141">
        <v>0.032051282051282</v>
      </c>
      <c r="AX1333" s="95"/>
      <c r="AY1333" s="93"/>
    </row>
    <row r="1334" ht="14.5" spans="1:51">
      <c r="A1334" s="91"/>
      <c r="B1334" s="95"/>
      <c r="C1334" s="152" t="s">
        <v>1085</v>
      </c>
      <c r="D1334" s="153" t="s">
        <v>25</v>
      </c>
      <c r="E1334" s="130" t="s">
        <v>1086</v>
      </c>
      <c r="F1334" s="195" t="s">
        <v>1364</v>
      </c>
      <c r="G1334" s="195" t="s">
        <v>1364</v>
      </c>
      <c r="H1334" s="195" t="s">
        <v>1364</v>
      </c>
      <c r="I1334" s="195" t="s">
        <v>1364</v>
      </c>
      <c r="J1334" s="132">
        <v>0.9</v>
      </c>
      <c r="K1334" s="133">
        <v>0.863636363636364</v>
      </c>
      <c r="L1334" s="133">
        <v>0.953488372093023</v>
      </c>
      <c r="M1334" s="134">
        <v>0.951219512195122</v>
      </c>
      <c r="N1334" s="133">
        <v>0.94148244473342</v>
      </c>
      <c r="O1334" s="135">
        <v>0.9</v>
      </c>
      <c r="P1334" s="133">
        <v>0.986743993371997</v>
      </c>
      <c r="Q1334" s="133">
        <v>0.939759036144578</v>
      </c>
      <c r="R1334" s="133">
        <v>0.97163798597833</v>
      </c>
      <c r="S1334" s="133">
        <v>0.94261712001626</v>
      </c>
      <c r="T1334" s="135">
        <v>0.9</v>
      </c>
      <c r="U1334" s="133">
        <v>0.962303231151616</v>
      </c>
      <c r="V1334" s="133">
        <v>0.910058840011208</v>
      </c>
      <c r="W1334" s="133">
        <v>0.946462715105163</v>
      </c>
      <c r="X1334" s="133">
        <v>0.918058331357339</v>
      </c>
      <c r="Y1334" s="135">
        <v>0.92</v>
      </c>
      <c r="Z1334" s="135" t="s">
        <v>35</v>
      </c>
      <c r="AA1334" s="135" t="s">
        <v>35</v>
      </c>
      <c r="AB1334" s="135" t="s">
        <v>35</v>
      </c>
      <c r="AC1334" s="135">
        <v>1</v>
      </c>
      <c r="AD1334" s="135">
        <v>0.92</v>
      </c>
      <c r="AE1334" s="133">
        <v>0.985185185185185</v>
      </c>
      <c r="AF1334" s="133">
        <v>1</v>
      </c>
      <c r="AG1334" s="133">
        <v>0.978947368421053</v>
      </c>
      <c r="AH1334" s="133">
        <v>0.991014799154334</v>
      </c>
      <c r="AI1334" s="135">
        <v>0.92</v>
      </c>
      <c r="AJ1334" s="133">
        <v>0.970588235294118</v>
      </c>
      <c r="AK1334" s="133">
        <v>0.97142056598487</v>
      </c>
      <c r="AL1334" s="133">
        <v>0.980560866794136</v>
      </c>
      <c r="AM1334" s="133">
        <v>0.974848838981759</v>
      </c>
      <c r="AN1334" s="132">
        <v>0.99</v>
      </c>
      <c r="AO1334" s="137">
        <v>1</v>
      </c>
      <c r="AP1334" s="137">
        <v>1</v>
      </c>
      <c r="AQ1334" s="137">
        <v>1</v>
      </c>
      <c r="AR1334" s="137">
        <v>1</v>
      </c>
      <c r="AS1334" s="158">
        <v>0.0721861525408278</v>
      </c>
      <c r="AT1334" s="141">
        <v>0</v>
      </c>
      <c r="AU1334" s="141">
        <v>0.25</v>
      </c>
      <c r="AV1334" s="141">
        <v>0</v>
      </c>
      <c r="AW1334" s="141">
        <v>0.0662251655629139</v>
      </c>
      <c r="AX1334" s="95"/>
      <c r="AY1334" s="93"/>
    </row>
    <row r="1335" ht="14.5" spans="1:51">
      <c r="A1335" s="91"/>
      <c r="B1335" s="95"/>
      <c r="C1335" s="152" t="s">
        <v>1085</v>
      </c>
      <c r="D1335" s="153" t="s">
        <v>25</v>
      </c>
      <c r="E1335" s="130" t="s">
        <v>1086</v>
      </c>
      <c r="F1335" s="195" t="s">
        <v>1365</v>
      </c>
      <c r="G1335" s="195" t="s">
        <v>1365</v>
      </c>
      <c r="H1335" s="195" t="s">
        <v>1365</v>
      </c>
      <c r="I1335" s="195" t="s">
        <v>1365</v>
      </c>
      <c r="J1335" s="132">
        <v>0.9</v>
      </c>
      <c r="K1335" s="133">
        <v>1</v>
      </c>
      <c r="L1335" s="133">
        <v>0.96875</v>
      </c>
      <c r="M1335" s="134">
        <v>1</v>
      </c>
      <c r="N1335" s="133">
        <v>0.98471986417657</v>
      </c>
      <c r="O1335" s="135">
        <v>0.9</v>
      </c>
      <c r="P1335" s="133">
        <v>0.98380355276907</v>
      </c>
      <c r="Q1335" s="133">
        <v>0.994298745724059</v>
      </c>
      <c r="R1335" s="133">
        <v>0.988250652741514</v>
      </c>
      <c r="S1335" s="133">
        <v>0.981293961368437</v>
      </c>
      <c r="T1335" s="135">
        <v>0.9</v>
      </c>
      <c r="U1335" s="133">
        <v>0.962382445141066</v>
      </c>
      <c r="V1335" s="133">
        <v>0.960091220068415</v>
      </c>
      <c r="W1335" s="133">
        <v>0.956919060052219</v>
      </c>
      <c r="X1335" s="133">
        <v>0.96679079288343</v>
      </c>
      <c r="Y1335" s="135">
        <v>0.92</v>
      </c>
      <c r="Z1335" s="135" t="s">
        <v>35</v>
      </c>
      <c r="AA1335" s="135" t="s">
        <v>35</v>
      </c>
      <c r="AB1335" s="135" t="s">
        <v>35</v>
      </c>
      <c r="AC1335" s="135" t="s">
        <v>35</v>
      </c>
      <c r="AD1335" s="135">
        <v>0.92</v>
      </c>
      <c r="AE1335" s="133">
        <v>0.998740236835475</v>
      </c>
      <c r="AF1335" s="133">
        <v>0.999378495960224</v>
      </c>
      <c r="AG1335" s="133">
        <v>0.999589827727646</v>
      </c>
      <c r="AH1335" s="133">
        <v>0.999265601490292</v>
      </c>
      <c r="AI1335" s="135">
        <v>0.92</v>
      </c>
      <c r="AJ1335" s="133">
        <v>0.970219435736677</v>
      </c>
      <c r="AK1335" s="133">
        <v>0.987837324211327</v>
      </c>
      <c r="AL1335" s="133">
        <v>0.97911227154047</v>
      </c>
      <c r="AM1335" s="133">
        <v>0.98203475458386</v>
      </c>
      <c r="AN1335" s="132">
        <v>0.99</v>
      </c>
      <c r="AO1335" s="137">
        <v>1</v>
      </c>
      <c r="AP1335" s="137">
        <v>1</v>
      </c>
      <c r="AQ1335" s="137">
        <v>1</v>
      </c>
      <c r="AR1335" s="137">
        <v>1</v>
      </c>
      <c r="AS1335" s="158">
        <v>0.0721861525408278</v>
      </c>
      <c r="AT1335" s="141">
        <v>0</v>
      </c>
      <c r="AU1335" s="141">
        <v>0</v>
      </c>
      <c r="AV1335" s="141">
        <v>0</v>
      </c>
      <c r="AW1335" s="141">
        <v>0.015625</v>
      </c>
      <c r="AX1335" s="95"/>
      <c r="AY1335" s="93"/>
    </row>
    <row r="1336" ht="14.5" spans="1:51">
      <c r="A1336" s="91"/>
      <c r="B1336" s="95"/>
      <c r="C1336" s="152" t="s">
        <v>1085</v>
      </c>
      <c r="D1336" s="153" t="s">
        <v>25</v>
      </c>
      <c r="E1336" s="130" t="s">
        <v>1086</v>
      </c>
      <c r="F1336" s="195" t="s">
        <v>1366</v>
      </c>
      <c r="G1336" s="195" t="s">
        <v>1366</v>
      </c>
      <c r="H1336" s="195" t="s">
        <v>1366</v>
      </c>
      <c r="I1336" s="195" t="s">
        <v>1366</v>
      </c>
      <c r="J1336" s="132">
        <v>0.9</v>
      </c>
      <c r="K1336" s="133">
        <v>0.85</v>
      </c>
      <c r="L1336" s="133">
        <v>0.952380952380952</v>
      </c>
      <c r="M1336" s="134">
        <v>0.954545454545455</v>
      </c>
      <c r="N1336" s="133">
        <v>0.958762886597938</v>
      </c>
      <c r="O1336" s="135">
        <v>0.9</v>
      </c>
      <c r="P1336" s="133">
        <v>0.968224299065421</v>
      </c>
      <c r="Q1336" s="133">
        <v>0.929133858267717</v>
      </c>
      <c r="R1336" s="133">
        <v>0.953921568627451</v>
      </c>
      <c r="S1336" s="133">
        <v>0.955715479367133</v>
      </c>
      <c r="T1336" s="135">
        <v>0.9</v>
      </c>
      <c r="U1336" s="133">
        <v>0.933333333333333</v>
      </c>
      <c r="V1336" s="133">
        <v>0.89300602130616</v>
      </c>
      <c r="W1336" s="133">
        <v>0.939705882352941</v>
      </c>
      <c r="X1336" s="133">
        <v>0.92741435540821</v>
      </c>
      <c r="Y1336" s="135">
        <v>0.92</v>
      </c>
      <c r="Z1336" s="135">
        <v>0</v>
      </c>
      <c r="AA1336" s="135" t="s">
        <v>35</v>
      </c>
      <c r="AB1336" s="135" t="s">
        <v>35</v>
      </c>
      <c r="AC1336" s="135">
        <v>0.5</v>
      </c>
      <c r="AD1336" s="135">
        <v>0.92</v>
      </c>
      <c r="AE1336" s="133">
        <v>0.997422680412371</v>
      </c>
      <c r="AF1336" s="133">
        <v>0.973333333333333</v>
      </c>
      <c r="AG1336" s="133">
        <v>0.997222222222222</v>
      </c>
      <c r="AH1336" s="133">
        <v>0.992665036674817</v>
      </c>
      <c r="AI1336" s="135">
        <v>0.92</v>
      </c>
      <c r="AJ1336" s="133">
        <v>0.954545454545455</v>
      </c>
      <c r="AK1336" s="133">
        <v>0.962482630847615</v>
      </c>
      <c r="AL1336" s="133">
        <v>0.956862745098039</v>
      </c>
      <c r="AM1336" s="133">
        <v>0.962833194081341</v>
      </c>
      <c r="AN1336" s="132">
        <v>0.99</v>
      </c>
      <c r="AO1336" s="137">
        <v>1</v>
      </c>
      <c r="AP1336" s="137" t="s">
        <v>35</v>
      </c>
      <c r="AQ1336" s="137">
        <v>1</v>
      </c>
      <c r="AR1336" s="137">
        <v>1</v>
      </c>
      <c r="AS1336" s="158">
        <v>0.0721861525408278</v>
      </c>
      <c r="AT1336" s="141">
        <v>0.125</v>
      </c>
      <c r="AU1336" s="141">
        <v>0</v>
      </c>
      <c r="AV1336" s="141">
        <v>0</v>
      </c>
      <c r="AW1336" s="141">
        <v>0.0546875</v>
      </c>
      <c r="AX1336" s="95"/>
      <c r="AY1336" s="93"/>
    </row>
    <row r="1337" ht="14.5" spans="1:51">
      <c r="A1337" s="91"/>
      <c r="B1337" s="95"/>
      <c r="C1337" s="152" t="s">
        <v>1085</v>
      </c>
      <c r="D1337" s="153" t="s">
        <v>25</v>
      </c>
      <c r="E1337" s="130" t="s">
        <v>1086</v>
      </c>
      <c r="F1337" s="195" t="s">
        <v>1367</v>
      </c>
      <c r="G1337" s="195" t="s">
        <v>1367</v>
      </c>
      <c r="H1337" s="195" t="s">
        <v>1367</v>
      </c>
      <c r="I1337" s="195" t="s">
        <v>1367</v>
      </c>
      <c r="J1337" s="132">
        <v>0.9</v>
      </c>
      <c r="K1337" s="133">
        <v>0.846153846153846</v>
      </c>
      <c r="L1337" s="133">
        <v>0.921052631578947</v>
      </c>
      <c r="M1337" s="134">
        <v>0.885714285714286</v>
      </c>
      <c r="N1337" s="133">
        <v>0.893805309734513</v>
      </c>
      <c r="O1337" s="135">
        <v>0.9</v>
      </c>
      <c r="P1337" s="133">
        <v>0.970398481973435</v>
      </c>
      <c r="Q1337" s="133">
        <v>0.977458438996901</v>
      </c>
      <c r="R1337" s="133">
        <v>0.906496660595021</v>
      </c>
      <c r="S1337" s="133">
        <v>0.923925009972078</v>
      </c>
      <c r="T1337" s="135">
        <v>0.9</v>
      </c>
      <c r="U1337" s="133">
        <v>0.944592030360531</v>
      </c>
      <c r="V1337" s="133">
        <v>0.911242603550296</v>
      </c>
      <c r="W1337" s="133">
        <v>0.843655130540376</v>
      </c>
      <c r="X1337" s="133">
        <v>0.877542879936179</v>
      </c>
      <c r="Y1337" s="135">
        <v>0.92</v>
      </c>
      <c r="Z1337" s="135">
        <v>0</v>
      </c>
      <c r="AA1337" s="135" t="s">
        <v>35</v>
      </c>
      <c r="AB1337" s="135">
        <v>0</v>
      </c>
      <c r="AC1337" s="135">
        <v>0</v>
      </c>
      <c r="AD1337" s="135">
        <v>0.92</v>
      </c>
      <c r="AE1337" s="133">
        <v>1</v>
      </c>
      <c r="AF1337" s="133">
        <v>0.992700729927007</v>
      </c>
      <c r="AG1337" s="133">
        <v>0.994565217391304</v>
      </c>
      <c r="AH1337" s="133">
        <v>0.962655601659751</v>
      </c>
      <c r="AI1337" s="135">
        <v>0.92</v>
      </c>
      <c r="AJ1337" s="133">
        <v>0.969650986342944</v>
      </c>
      <c r="AK1337" s="133">
        <v>0.968441814595661</v>
      </c>
      <c r="AL1337" s="133">
        <v>0.96236722306525</v>
      </c>
      <c r="AM1337" s="133">
        <v>0.969909697182424</v>
      </c>
      <c r="AN1337" s="132">
        <v>0.99</v>
      </c>
      <c r="AO1337" s="137">
        <v>1</v>
      </c>
      <c r="AP1337" s="137">
        <v>1</v>
      </c>
      <c r="AQ1337" s="137">
        <v>1</v>
      </c>
      <c r="AR1337" s="137">
        <v>1</v>
      </c>
      <c r="AS1337" s="158">
        <v>0.0721861525408278</v>
      </c>
      <c r="AT1337" s="141">
        <v>0</v>
      </c>
      <c r="AU1337" s="141">
        <v>0</v>
      </c>
      <c r="AV1337" s="141">
        <v>0.111111111111111</v>
      </c>
      <c r="AW1337" s="141">
        <v>0.0804020100502513</v>
      </c>
      <c r="AX1337" s="95"/>
      <c r="AY1337" s="93"/>
    </row>
    <row r="1338" ht="14.5" spans="1:51">
      <c r="A1338" s="91"/>
      <c r="B1338" s="95"/>
      <c r="C1338" s="152" t="s">
        <v>1085</v>
      </c>
      <c r="D1338" s="153" t="s">
        <v>25</v>
      </c>
      <c r="E1338" s="130" t="s">
        <v>1086</v>
      </c>
      <c r="F1338" s="195" t="s">
        <v>1368</v>
      </c>
      <c r="G1338" s="195" t="s">
        <v>1368</v>
      </c>
      <c r="H1338" s="195" t="s">
        <v>1368</v>
      </c>
      <c r="I1338" s="195" t="s">
        <v>1368</v>
      </c>
      <c r="J1338" s="132">
        <v>0.9</v>
      </c>
      <c r="K1338" s="133" t="s">
        <v>35</v>
      </c>
      <c r="L1338" s="133" t="s">
        <v>35</v>
      </c>
      <c r="M1338" s="134" t="s">
        <v>35</v>
      </c>
      <c r="N1338" s="133" t="s">
        <v>35</v>
      </c>
      <c r="O1338" s="135">
        <v>0.9</v>
      </c>
      <c r="P1338" s="133">
        <v>0</v>
      </c>
      <c r="Q1338" s="133">
        <v>0</v>
      </c>
      <c r="R1338" s="133">
        <v>0</v>
      </c>
      <c r="S1338" s="133">
        <v>0</v>
      </c>
      <c r="T1338" s="135">
        <v>0.9</v>
      </c>
      <c r="U1338" s="133">
        <v>1</v>
      </c>
      <c r="V1338" s="133">
        <v>1</v>
      </c>
      <c r="W1338" s="133">
        <v>1</v>
      </c>
      <c r="X1338" s="133">
        <v>1</v>
      </c>
      <c r="Y1338" s="135">
        <v>0.92</v>
      </c>
      <c r="Z1338" s="135">
        <v>1</v>
      </c>
      <c r="AA1338" s="135">
        <v>1</v>
      </c>
      <c r="AB1338" s="135" t="s">
        <v>35</v>
      </c>
      <c r="AC1338" s="135">
        <v>1</v>
      </c>
      <c r="AD1338" s="135">
        <v>0.92</v>
      </c>
      <c r="AE1338" s="133">
        <v>0.99375</v>
      </c>
      <c r="AF1338" s="133">
        <v>0.992592592592593</v>
      </c>
      <c r="AG1338" s="133">
        <v>1</v>
      </c>
      <c r="AH1338" s="133">
        <v>0.997229916897507</v>
      </c>
      <c r="AI1338" s="135">
        <v>0.92</v>
      </c>
      <c r="AJ1338" s="133">
        <v>1</v>
      </c>
      <c r="AK1338" s="133">
        <v>1</v>
      </c>
      <c r="AL1338" s="133">
        <v>1</v>
      </c>
      <c r="AM1338" s="133">
        <v>1</v>
      </c>
      <c r="AN1338" s="132">
        <v>0.99</v>
      </c>
      <c r="AO1338" s="137">
        <v>1</v>
      </c>
      <c r="AP1338" s="137" t="s">
        <v>35</v>
      </c>
      <c r="AQ1338" s="137" t="s">
        <v>35</v>
      </c>
      <c r="AR1338" s="137">
        <v>1</v>
      </c>
      <c r="AS1338" s="158">
        <v>0.0721861525408278</v>
      </c>
      <c r="AT1338" s="141" t="s">
        <v>35</v>
      </c>
      <c r="AU1338" s="141" t="s">
        <v>35</v>
      </c>
      <c r="AV1338" s="141" t="s">
        <v>35</v>
      </c>
      <c r="AW1338" s="141" t="s">
        <v>35</v>
      </c>
      <c r="AX1338" s="95"/>
      <c r="AY1338" s="93"/>
    </row>
    <row r="1339" ht="14.5" spans="1:51">
      <c r="A1339" s="91"/>
      <c r="B1339" s="95"/>
      <c r="C1339" s="152" t="s">
        <v>1085</v>
      </c>
      <c r="D1339" s="153" t="s">
        <v>25</v>
      </c>
      <c r="E1339" s="130" t="s">
        <v>1086</v>
      </c>
      <c r="F1339" s="195" t="s">
        <v>1369</v>
      </c>
      <c r="G1339" s="195" t="s">
        <v>1369</v>
      </c>
      <c r="H1339" s="195" t="s">
        <v>1369</v>
      </c>
      <c r="I1339" s="195" t="s">
        <v>1369</v>
      </c>
      <c r="J1339" s="132">
        <v>0.9</v>
      </c>
      <c r="K1339" s="133">
        <v>0.911764705882353</v>
      </c>
      <c r="L1339" s="133">
        <v>0.976744186046512</v>
      </c>
      <c r="M1339" s="134">
        <v>0.945945945945946</v>
      </c>
      <c r="N1339" s="133">
        <v>0.933949801849406</v>
      </c>
      <c r="O1339" s="135">
        <v>0.9</v>
      </c>
      <c r="P1339" s="133">
        <v>0.981516889738687</v>
      </c>
      <c r="Q1339" s="133">
        <v>0.975893241498063</v>
      </c>
      <c r="R1339" s="133">
        <v>0.976830398517145</v>
      </c>
      <c r="S1339" s="133">
        <v>0.973109122748099</v>
      </c>
      <c r="T1339" s="135">
        <v>0.9</v>
      </c>
      <c r="U1339" s="133">
        <v>0.931166347992352</v>
      </c>
      <c r="V1339" s="133">
        <v>0.951356005165734</v>
      </c>
      <c r="W1339" s="133">
        <v>0.943002780352178</v>
      </c>
      <c r="X1339" s="133">
        <v>0.945042819104277</v>
      </c>
      <c r="Y1339" s="135">
        <v>0.92</v>
      </c>
      <c r="Z1339" s="135">
        <v>0.96328029375765</v>
      </c>
      <c r="AA1339" s="135">
        <v>0.954674220963173</v>
      </c>
      <c r="AB1339" s="135">
        <v>0.926256077795786</v>
      </c>
      <c r="AC1339" s="135">
        <v>0.958066565661502</v>
      </c>
      <c r="AD1339" s="135">
        <v>0.92</v>
      </c>
      <c r="AE1339" s="133">
        <v>0.984370211461845</v>
      </c>
      <c r="AF1339" s="133">
        <v>0.947986577181208</v>
      </c>
      <c r="AG1339" s="133">
        <v>0.994153846153846</v>
      </c>
      <c r="AH1339" s="133">
        <v>0.990979286315385</v>
      </c>
      <c r="AI1339" s="135">
        <v>0.92</v>
      </c>
      <c r="AJ1339" s="133">
        <v>0.971081307627829</v>
      </c>
      <c r="AK1339" s="133">
        <v>0.969858156028369</v>
      </c>
      <c r="AL1339" s="133">
        <v>0.956970232832302</v>
      </c>
      <c r="AM1339" s="133">
        <v>0.975306854559786</v>
      </c>
      <c r="AN1339" s="132">
        <v>0.99</v>
      </c>
      <c r="AO1339" s="137">
        <v>1</v>
      </c>
      <c r="AP1339" s="137">
        <v>1</v>
      </c>
      <c r="AQ1339" s="137">
        <v>1</v>
      </c>
      <c r="AR1339" s="137">
        <v>1</v>
      </c>
      <c r="AS1339" s="158">
        <v>0.0721861525408278</v>
      </c>
      <c r="AT1339" s="141">
        <v>0</v>
      </c>
      <c r="AU1339" s="141">
        <v>0.0666666666666667</v>
      </c>
      <c r="AV1339" s="141">
        <v>0</v>
      </c>
      <c r="AW1339" s="141">
        <v>0.0619469026548673</v>
      </c>
      <c r="AX1339" s="95"/>
      <c r="AY1339" s="93"/>
    </row>
    <row r="1340" ht="14.5" spans="1:51">
      <c r="A1340" s="91"/>
      <c r="B1340" s="95"/>
      <c r="C1340" s="152" t="s">
        <v>1085</v>
      </c>
      <c r="D1340" s="153" t="s">
        <v>25</v>
      </c>
      <c r="E1340" s="130" t="s">
        <v>1086</v>
      </c>
      <c r="F1340" s="195" t="s">
        <v>1370</v>
      </c>
      <c r="G1340" s="195" t="s">
        <v>1370</v>
      </c>
      <c r="H1340" s="195" t="s">
        <v>1370</v>
      </c>
      <c r="I1340" s="195" t="s">
        <v>1370</v>
      </c>
      <c r="J1340" s="132">
        <v>0.9</v>
      </c>
      <c r="K1340" s="133">
        <v>1</v>
      </c>
      <c r="L1340" s="133">
        <v>0.925</v>
      </c>
      <c r="M1340" s="134">
        <v>0.96969696969697</v>
      </c>
      <c r="N1340" s="133">
        <v>0.937592867756315</v>
      </c>
      <c r="O1340" s="135">
        <v>0.9</v>
      </c>
      <c r="P1340" s="133">
        <v>0.967289719626168</v>
      </c>
      <c r="Q1340" s="133">
        <v>0.96403242147923</v>
      </c>
      <c r="R1340" s="133">
        <v>0.952520087655223</v>
      </c>
      <c r="S1340" s="133">
        <v>0.944751750903332</v>
      </c>
      <c r="T1340" s="135">
        <v>0.9</v>
      </c>
      <c r="U1340" s="133">
        <v>0.938473520249221</v>
      </c>
      <c r="V1340" s="133">
        <v>0.932117527862209</v>
      </c>
      <c r="W1340" s="133">
        <v>0.93827611395179</v>
      </c>
      <c r="X1340" s="133">
        <v>0.934558593924254</v>
      </c>
      <c r="Y1340" s="135">
        <v>0.92</v>
      </c>
      <c r="Z1340" s="135">
        <v>0.936193619361936</v>
      </c>
      <c r="AA1340" s="135">
        <v>0.927385892116183</v>
      </c>
      <c r="AB1340" s="135">
        <v>0.924515235457064</v>
      </c>
      <c r="AC1340" s="135">
        <v>0.954435610969075</v>
      </c>
      <c r="AD1340" s="135">
        <v>0.92</v>
      </c>
      <c r="AE1340" s="133">
        <v>0.997414350355527</v>
      </c>
      <c r="AF1340" s="133">
        <v>0.998787388843977</v>
      </c>
      <c r="AG1340" s="133">
        <v>0.992552751344642</v>
      </c>
      <c r="AH1340" s="133">
        <v>0.992752555755237</v>
      </c>
      <c r="AI1340" s="135">
        <v>0.92</v>
      </c>
      <c r="AJ1340" s="133">
        <v>0.956224350205198</v>
      </c>
      <c r="AK1340" s="133">
        <v>0.953508771929825</v>
      </c>
      <c r="AL1340" s="133">
        <v>0.958871353419417</v>
      </c>
      <c r="AM1340" s="133">
        <v>0.970912410250821</v>
      </c>
      <c r="AN1340" s="132">
        <v>0.99</v>
      </c>
      <c r="AO1340" s="137">
        <v>1</v>
      </c>
      <c r="AP1340" s="137">
        <v>1</v>
      </c>
      <c r="AQ1340" s="137">
        <v>1</v>
      </c>
      <c r="AR1340" s="137">
        <v>1</v>
      </c>
      <c r="AS1340" s="158">
        <v>0.0721861525408278</v>
      </c>
      <c r="AT1340" s="141">
        <v>0.166666666666667</v>
      </c>
      <c r="AU1340" s="141">
        <v>0.0476190476190476</v>
      </c>
      <c r="AV1340" s="141">
        <v>0</v>
      </c>
      <c r="AW1340" s="141">
        <v>0.0603248259860789</v>
      </c>
      <c r="AX1340" s="95"/>
      <c r="AY1340" s="93"/>
    </row>
    <row r="1341" ht="14.5" spans="1:51">
      <c r="A1341" s="91"/>
      <c r="B1341" s="95"/>
      <c r="C1341" s="152" t="s">
        <v>1085</v>
      </c>
      <c r="D1341" s="153" t="s">
        <v>25</v>
      </c>
      <c r="E1341" s="130" t="s">
        <v>1086</v>
      </c>
      <c r="F1341" s="195" t="s">
        <v>1371</v>
      </c>
      <c r="G1341" s="195" t="s">
        <v>1371</v>
      </c>
      <c r="H1341" s="195" t="s">
        <v>1371</v>
      </c>
      <c r="I1341" s="195" t="s">
        <v>1371</v>
      </c>
      <c r="J1341" s="132">
        <v>0.9</v>
      </c>
      <c r="K1341" s="133">
        <v>0.655172413793103</v>
      </c>
      <c r="L1341" s="133">
        <v>0.785714285714286</v>
      </c>
      <c r="M1341" s="134">
        <v>0.814814814814815</v>
      </c>
      <c r="N1341" s="133">
        <v>0.824626865671642</v>
      </c>
      <c r="O1341" s="135">
        <v>0.9</v>
      </c>
      <c r="P1341" s="133">
        <v>0.911021233569262</v>
      </c>
      <c r="Q1341" s="133">
        <v>0.899044205495818</v>
      </c>
      <c r="R1341" s="133">
        <v>0.881211547562707</v>
      </c>
      <c r="S1341" s="133">
        <v>0.925430956033384</v>
      </c>
      <c r="T1341" s="135">
        <v>0.9</v>
      </c>
      <c r="U1341" s="133">
        <v>0.931243680485339</v>
      </c>
      <c r="V1341" s="133">
        <v>0.889486260454002</v>
      </c>
      <c r="W1341" s="133">
        <v>0.892096545196403</v>
      </c>
      <c r="X1341" s="133">
        <v>0.93102103429448</v>
      </c>
      <c r="Y1341" s="135">
        <v>0.92</v>
      </c>
      <c r="Z1341" s="135">
        <v>0.954653937947494</v>
      </c>
      <c r="AA1341" s="135">
        <v>0.922480620155039</v>
      </c>
      <c r="AB1341" s="135">
        <v>0.912470952749806</v>
      </c>
      <c r="AC1341" s="135">
        <v>0.958092219232612</v>
      </c>
      <c r="AD1341" s="135">
        <v>0.92</v>
      </c>
      <c r="AE1341" s="133">
        <v>0.987893462469734</v>
      </c>
      <c r="AF1341" s="133">
        <v>1</v>
      </c>
      <c r="AG1341" s="133">
        <v>1</v>
      </c>
      <c r="AH1341" s="133">
        <v>0.997808253491139</v>
      </c>
      <c r="AI1341" s="135">
        <v>0.92</v>
      </c>
      <c r="AJ1341" s="133">
        <v>0.960591133004926</v>
      </c>
      <c r="AK1341" s="133">
        <v>0.931569664902998</v>
      </c>
      <c r="AL1341" s="133">
        <v>0.930376028202115</v>
      </c>
      <c r="AM1341" s="133">
        <v>0.968594209747991</v>
      </c>
      <c r="AN1341" s="132">
        <v>0.99</v>
      </c>
      <c r="AO1341" s="137">
        <v>1</v>
      </c>
      <c r="AP1341" s="137">
        <v>1</v>
      </c>
      <c r="AQ1341" s="137">
        <v>1</v>
      </c>
      <c r="AR1341" s="137">
        <v>1</v>
      </c>
      <c r="AS1341" s="158">
        <v>0.0721861525408278</v>
      </c>
      <c r="AT1341" s="141">
        <v>0.0588235294117647</v>
      </c>
      <c r="AU1341" s="141">
        <v>0.05</v>
      </c>
      <c r="AV1341" s="141">
        <v>0.0526315789473684</v>
      </c>
      <c r="AW1341" s="141">
        <v>0.0515970515970516</v>
      </c>
      <c r="AX1341" s="95"/>
      <c r="AY1341" s="93"/>
    </row>
    <row r="1342" ht="14.5" spans="1:51">
      <c r="A1342" s="91"/>
      <c r="B1342" s="95"/>
      <c r="C1342" s="152" t="s">
        <v>1085</v>
      </c>
      <c r="D1342" s="153" t="s">
        <v>125</v>
      </c>
      <c r="E1342" s="130" t="s">
        <v>1086</v>
      </c>
      <c r="F1342" s="195" t="s">
        <v>1372</v>
      </c>
      <c r="G1342" s="195" t="s">
        <v>1372</v>
      </c>
      <c r="H1342" s="195" t="s">
        <v>1372</v>
      </c>
      <c r="I1342" s="195" t="s">
        <v>1372</v>
      </c>
      <c r="J1342" s="132">
        <v>0.9</v>
      </c>
      <c r="K1342" s="133" t="s">
        <v>35</v>
      </c>
      <c r="L1342" s="133" t="s">
        <v>35</v>
      </c>
      <c r="M1342" s="134" t="s">
        <v>35</v>
      </c>
      <c r="N1342" s="133" t="s">
        <v>35</v>
      </c>
      <c r="O1342" s="135">
        <v>0.9</v>
      </c>
      <c r="P1342" s="133">
        <v>1</v>
      </c>
      <c r="Q1342" s="133">
        <v>1</v>
      </c>
      <c r="R1342" s="133">
        <v>1</v>
      </c>
      <c r="S1342" s="133">
        <v>0.9</v>
      </c>
      <c r="T1342" s="135">
        <v>0.9</v>
      </c>
      <c r="U1342" s="133">
        <v>1</v>
      </c>
      <c r="V1342" s="133">
        <v>1</v>
      </c>
      <c r="W1342" s="133">
        <v>1</v>
      </c>
      <c r="X1342" s="133">
        <v>0.95</v>
      </c>
      <c r="Y1342" s="135">
        <v>0.92</v>
      </c>
      <c r="Z1342" s="135" t="s">
        <v>35</v>
      </c>
      <c r="AA1342" s="135" t="s">
        <v>35</v>
      </c>
      <c r="AB1342" s="135" t="s">
        <v>35</v>
      </c>
      <c r="AC1342" s="135">
        <v>1</v>
      </c>
      <c r="AD1342" s="135">
        <v>0.92</v>
      </c>
      <c r="AE1342" s="133">
        <v>0.998470012239902</v>
      </c>
      <c r="AF1342" s="133">
        <v>0.99923576614444</v>
      </c>
      <c r="AG1342" s="133">
        <v>0.998392928887103</v>
      </c>
      <c r="AH1342" s="133">
        <v>0.995242981065199</v>
      </c>
      <c r="AI1342" s="135">
        <v>0.92</v>
      </c>
      <c r="AJ1342" s="133">
        <v>1</v>
      </c>
      <c r="AK1342" s="133">
        <v>1</v>
      </c>
      <c r="AL1342" s="133">
        <v>1</v>
      </c>
      <c r="AM1342" s="133">
        <v>1</v>
      </c>
      <c r="AN1342" s="132">
        <v>0.99</v>
      </c>
      <c r="AO1342" s="137">
        <v>1</v>
      </c>
      <c r="AP1342" s="137">
        <v>1</v>
      </c>
      <c r="AQ1342" s="137">
        <v>1</v>
      </c>
      <c r="AR1342" s="137">
        <v>1</v>
      </c>
      <c r="AS1342" s="158">
        <v>0.0721861525408278</v>
      </c>
      <c r="AT1342" s="141" t="s">
        <v>35</v>
      </c>
      <c r="AU1342" s="141" t="s">
        <v>35</v>
      </c>
      <c r="AV1342" s="141" t="s">
        <v>35</v>
      </c>
      <c r="AW1342" s="141" t="s">
        <v>35</v>
      </c>
      <c r="AX1342" s="95"/>
      <c r="AY1342" s="93"/>
    </row>
    <row r="1343" ht="14.5" spans="1:51">
      <c r="A1343" s="91"/>
      <c r="B1343" s="95"/>
      <c r="C1343" s="152" t="s">
        <v>1085</v>
      </c>
      <c r="D1343" s="153" t="s">
        <v>25</v>
      </c>
      <c r="E1343" s="130" t="s">
        <v>1086</v>
      </c>
      <c r="F1343" s="195" t="s">
        <v>1373</v>
      </c>
      <c r="G1343" s="195" t="s">
        <v>1373</v>
      </c>
      <c r="H1343" s="195" t="s">
        <v>1373</v>
      </c>
      <c r="I1343" s="195" t="s">
        <v>1373</v>
      </c>
      <c r="J1343" s="132">
        <v>0.9</v>
      </c>
      <c r="K1343" s="133">
        <v>0.857142857142857</v>
      </c>
      <c r="L1343" s="133">
        <v>0.923076923076923</v>
      </c>
      <c r="M1343" s="134">
        <v>0.909090909090909</v>
      </c>
      <c r="N1343" s="133">
        <v>0.858369098712446</v>
      </c>
      <c r="O1343" s="135">
        <v>0.9</v>
      </c>
      <c r="P1343" s="133">
        <v>0.939086294416244</v>
      </c>
      <c r="Q1343" s="133">
        <v>0.968523002421308</v>
      </c>
      <c r="R1343" s="133">
        <v>0.971800433839479</v>
      </c>
      <c r="S1343" s="133">
        <v>0.944438125568699</v>
      </c>
      <c r="T1343" s="135">
        <v>0.9</v>
      </c>
      <c r="U1343" s="133">
        <v>0.947546531302876</v>
      </c>
      <c r="V1343" s="133">
        <v>0.895883777239709</v>
      </c>
      <c r="W1343" s="133">
        <v>0.929501084598699</v>
      </c>
      <c r="X1343" s="133">
        <v>0.928742038216561</v>
      </c>
      <c r="Y1343" s="135">
        <v>0.92</v>
      </c>
      <c r="Z1343" s="135">
        <v>0.960880195599022</v>
      </c>
      <c r="AA1343" s="135">
        <v>0.918305597579425</v>
      </c>
      <c r="AB1343" s="135">
        <v>0.927302100161551</v>
      </c>
      <c r="AC1343" s="135">
        <v>0.947673936478978</v>
      </c>
      <c r="AD1343" s="135">
        <v>0.92</v>
      </c>
      <c r="AE1343" s="133">
        <v>0.988235294117647</v>
      </c>
      <c r="AF1343" s="133">
        <v>0.995968992248062</v>
      </c>
      <c r="AG1343" s="133">
        <v>0.99320652173913</v>
      </c>
      <c r="AH1343" s="133">
        <v>0.990793350910091</v>
      </c>
      <c r="AI1343" s="135">
        <v>0.92</v>
      </c>
      <c r="AJ1343" s="133">
        <v>0.974</v>
      </c>
      <c r="AK1343" s="133">
        <v>0.937457969065232</v>
      </c>
      <c r="AL1343" s="133">
        <v>0.951979234263465</v>
      </c>
      <c r="AM1343" s="133">
        <v>0.966638556248946</v>
      </c>
      <c r="AN1343" s="132">
        <v>0.99</v>
      </c>
      <c r="AO1343" s="137">
        <v>1</v>
      </c>
      <c r="AP1343" s="137">
        <v>1</v>
      </c>
      <c r="AQ1343" s="137">
        <v>1</v>
      </c>
      <c r="AR1343" s="137">
        <v>1</v>
      </c>
      <c r="AS1343" s="158">
        <v>0.0721861525408278</v>
      </c>
      <c r="AT1343" s="141">
        <v>0</v>
      </c>
      <c r="AU1343" s="141">
        <v>0.285714285714286</v>
      </c>
      <c r="AV1343" s="141">
        <v>0</v>
      </c>
      <c r="AW1343" s="141">
        <v>0.0775862068965517</v>
      </c>
      <c r="AX1343" s="95"/>
      <c r="AY1343" s="93"/>
    </row>
    <row r="1344" ht="14.5" spans="1:51">
      <c r="A1344" s="91"/>
      <c r="B1344" s="95"/>
      <c r="C1344" s="152" t="s">
        <v>1085</v>
      </c>
      <c r="D1344" s="153" t="s">
        <v>25</v>
      </c>
      <c r="E1344" s="130" t="s">
        <v>1086</v>
      </c>
      <c r="F1344" s="195" t="s">
        <v>1374</v>
      </c>
      <c r="G1344" s="195" t="s">
        <v>1374</v>
      </c>
      <c r="H1344" s="195" t="s">
        <v>1374</v>
      </c>
      <c r="I1344" s="195" t="s">
        <v>1374</v>
      </c>
      <c r="J1344" s="132">
        <v>0.9</v>
      </c>
      <c r="K1344" s="133">
        <v>0.884615384615385</v>
      </c>
      <c r="L1344" s="133">
        <v>0.962962962962963</v>
      </c>
      <c r="M1344" s="134">
        <v>0.923076923076923</v>
      </c>
      <c r="N1344" s="133">
        <v>0.948076923076923</v>
      </c>
      <c r="O1344" s="135">
        <v>0.9</v>
      </c>
      <c r="P1344" s="133">
        <v>0.957786116322702</v>
      </c>
      <c r="Q1344" s="133">
        <v>0.97469220246238</v>
      </c>
      <c r="R1344" s="133">
        <v>0.963144963144963</v>
      </c>
      <c r="S1344" s="133">
        <v>0.958371470219329</v>
      </c>
      <c r="T1344" s="135">
        <v>0.9</v>
      </c>
      <c r="U1344" s="133">
        <v>0.935272045028143</v>
      </c>
      <c r="V1344" s="133">
        <v>0.939808481532148</v>
      </c>
      <c r="W1344" s="133">
        <v>0.908476658476658</v>
      </c>
      <c r="X1344" s="133">
        <v>0.933421471914302</v>
      </c>
      <c r="Y1344" s="135">
        <v>0.92</v>
      </c>
      <c r="Z1344" s="135">
        <v>0.91644204851752</v>
      </c>
      <c r="AA1344" s="135">
        <v>0.951642335766423</v>
      </c>
      <c r="AB1344" s="135">
        <v>0.931282051282051</v>
      </c>
      <c r="AC1344" s="135">
        <v>0.956344557078091</v>
      </c>
      <c r="AD1344" s="135">
        <v>0.92</v>
      </c>
      <c r="AE1344" s="133">
        <v>0.991196420839948</v>
      </c>
      <c r="AF1344" s="133">
        <v>0.984731543624161</v>
      </c>
      <c r="AG1344" s="133">
        <v>0.899910634495085</v>
      </c>
      <c r="AH1344" s="133">
        <v>0.981456401708511</v>
      </c>
      <c r="AI1344" s="135">
        <v>0.92</v>
      </c>
      <c r="AJ1344" s="133">
        <v>0.946902654867257</v>
      </c>
      <c r="AK1344" s="133">
        <v>0.964034401876466</v>
      </c>
      <c r="AL1344" s="133">
        <v>0.953899346907415</v>
      </c>
      <c r="AM1344" s="133">
        <v>0.970578673602081</v>
      </c>
      <c r="AN1344" s="132">
        <v>0.99</v>
      </c>
      <c r="AO1344" s="137">
        <v>1</v>
      </c>
      <c r="AP1344" s="137">
        <v>1</v>
      </c>
      <c r="AQ1344" s="137">
        <v>1</v>
      </c>
      <c r="AR1344" s="137">
        <v>1</v>
      </c>
      <c r="AS1344" s="158">
        <v>0.0721861525408278</v>
      </c>
      <c r="AT1344" s="141">
        <v>0.0666666666666667</v>
      </c>
      <c r="AU1344" s="141">
        <v>0.0714285714285714</v>
      </c>
      <c r="AV1344" s="141">
        <v>0</v>
      </c>
      <c r="AW1344" s="141">
        <v>0.0298913043478261</v>
      </c>
      <c r="AX1344" s="95"/>
      <c r="AY1344" s="93"/>
    </row>
    <row r="1345" ht="14.5" spans="1:51">
      <c r="A1345" s="91"/>
      <c r="B1345" s="95"/>
      <c r="C1345" s="152" t="s">
        <v>1085</v>
      </c>
      <c r="D1345" s="153" t="s">
        <v>125</v>
      </c>
      <c r="E1345" s="130" t="s">
        <v>1086</v>
      </c>
      <c r="F1345" s="195" t="s">
        <v>1375</v>
      </c>
      <c r="G1345" s="195" t="s">
        <v>1375</v>
      </c>
      <c r="H1345" s="195" t="s">
        <v>1375</v>
      </c>
      <c r="I1345" s="195" t="s">
        <v>1375</v>
      </c>
      <c r="J1345" s="132">
        <v>0.9</v>
      </c>
      <c r="K1345" s="133" t="s">
        <v>35</v>
      </c>
      <c r="L1345" s="133" t="s">
        <v>35</v>
      </c>
      <c r="M1345" s="134" t="s">
        <v>35</v>
      </c>
      <c r="N1345" s="133" t="s">
        <v>35</v>
      </c>
      <c r="O1345" s="135">
        <v>0.9</v>
      </c>
      <c r="P1345" s="133">
        <v>0.992518703241895</v>
      </c>
      <c r="Q1345" s="133">
        <v>1</v>
      </c>
      <c r="R1345" s="133">
        <v>0.995594713656388</v>
      </c>
      <c r="S1345" s="133">
        <v>0.994009983361065</v>
      </c>
      <c r="T1345" s="135">
        <v>0.9</v>
      </c>
      <c r="U1345" s="133">
        <v>0.997506234413965</v>
      </c>
      <c r="V1345" s="133">
        <v>1</v>
      </c>
      <c r="W1345" s="133">
        <v>1</v>
      </c>
      <c r="X1345" s="133">
        <v>0.999667221297837</v>
      </c>
      <c r="Y1345" s="135">
        <v>0.92</v>
      </c>
      <c r="Z1345" s="135">
        <v>1</v>
      </c>
      <c r="AA1345" s="135">
        <v>1</v>
      </c>
      <c r="AB1345" s="135">
        <v>0.989010989010989</v>
      </c>
      <c r="AC1345" s="135">
        <v>0.998840579710145</v>
      </c>
      <c r="AD1345" s="135">
        <v>0.92</v>
      </c>
      <c r="AE1345" s="133">
        <v>0.994490591625699</v>
      </c>
      <c r="AF1345" s="133">
        <v>0.99835255354201</v>
      </c>
      <c r="AG1345" s="133">
        <v>0.875549048316252</v>
      </c>
      <c r="AH1345" s="133">
        <v>0.985351195693001</v>
      </c>
      <c r="AI1345" s="135">
        <v>0.92</v>
      </c>
      <c r="AJ1345" s="133">
        <v>0.997955010224949</v>
      </c>
      <c r="AK1345" s="133">
        <v>1</v>
      </c>
      <c r="AL1345" s="133">
        <v>0.99685534591195</v>
      </c>
      <c r="AM1345" s="133">
        <v>0.999368421052632</v>
      </c>
      <c r="AN1345" s="132">
        <v>0.99</v>
      </c>
      <c r="AO1345" s="137">
        <v>1</v>
      </c>
      <c r="AP1345" s="137">
        <v>1</v>
      </c>
      <c r="AQ1345" s="137">
        <v>1</v>
      </c>
      <c r="AR1345" s="137">
        <v>1</v>
      </c>
      <c r="AS1345" s="158">
        <v>0.0721861525408278</v>
      </c>
      <c r="AT1345" s="141" t="s">
        <v>35</v>
      </c>
      <c r="AU1345" s="141" t="s">
        <v>35</v>
      </c>
      <c r="AV1345" s="141" t="s">
        <v>35</v>
      </c>
      <c r="AW1345" s="141">
        <v>0</v>
      </c>
      <c r="AX1345" s="95"/>
      <c r="AY1345" s="93"/>
    </row>
    <row r="1346" ht="14.5" spans="1:51">
      <c r="A1346" s="91"/>
      <c r="B1346" s="95"/>
      <c r="C1346" s="152" t="s">
        <v>1085</v>
      </c>
      <c r="D1346" s="153" t="s">
        <v>25</v>
      </c>
      <c r="E1346" s="130" t="s">
        <v>1086</v>
      </c>
      <c r="F1346" s="195" t="s">
        <v>1376</v>
      </c>
      <c r="G1346" s="195" t="s">
        <v>1376</v>
      </c>
      <c r="H1346" s="195" t="s">
        <v>1376</v>
      </c>
      <c r="I1346" s="195" t="s">
        <v>1376</v>
      </c>
      <c r="J1346" s="132">
        <v>0.9</v>
      </c>
      <c r="K1346" s="133">
        <v>0.8</v>
      </c>
      <c r="L1346" s="133">
        <v>0.909090909090909</v>
      </c>
      <c r="M1346" s="134">
        <v>0.952380952380952</v>
      </c>
      <c r="N1346" s="133">
        <v>0.951338199513382</v>
      </c>
      <c r="O1346" s="135">
        <v>0.9</v>
      </c>
      <c r="P1346" s="133">
        <v>0.891959798994975</v>
      </c>
      <c r="Q1346" s="133">
        <v>0.973561430793157</v>
      </c>
      <c r="R1346" s="133">
        <v>0.97990297990298</v>
      </c>
      <c r="S1346" s="133">
        <v>0.928282285509583</v>
      </c>
      <c r="T1346" s="135">
        <v>0.9</v>
      </c>
      <c r="U1346" s="133">
        <v>0.860552763819096</v>
      </c>
      <c r="V1346" s="133">
        <v>0.923794712286159</v>
      </c>
      <c r="W1346" s="133">
        <v>0.942480942480942</v>
      </c>
      <c r="X1346" s="133">
        <v>0.882285509582662</v>
      </c>
      <c r="Y1346" s="135">
        <v>0.92</v>
      </c>
      <c r="Z1346" s="135">
        <v>0.927803379416283</v>
      </c>
      <c r="AA1346" s="135">
        <v>0.953299492385787</v>
      </c>
      <c r="AB1346" s="135">
        <v>0.943240454076367</v>
      </c>
      <c r="AC1346" s="135">
        <v>0.960223125847148</v>
      </c>
      <c r="AD1346" s="135">
        <v>0.92</v>
      </c>
      <c r="AE1346" s="133">
        <v>0.998409542743539</v>
      </c>
      <c r="AF1346" s="133">
        <v>0.998590556730092</v>
      </c>
      <c r="AG1346" s="133">
        <v>0.998697068403909</v>
      </c>
      <c r="AH1346" s="133">
        <v>0.996312585223453</v>
      </c>
      <c r="AI1346" s="135">
        <v>0.92</v>
      </c>
      <c r="AJ1346" s="133">
        <v>0.946095369730477</v>
      </c>
      <c r="AK1346" s="133">
        <v>0.961690885072655</v>
      </c>
      <c r="AL1346" s="133">
        <v>0.960199004975124</v>
      </c>
      <c r="AM1346" s="133">
        <v>0.971357594802327</v>
      </c>
      <c r="AN1346" s="132">
        <v>0.99</v>
      </c>
      <c r="AO1346" s="137">
        <v>1</v>
      </c>
      <c r="AP1346" s="137">
        <v>1</v>
      </c>
      <c r="AQ1346" s="137">
        <v>1</v>
      </c>
      <c r="AR1346" s="137">
        <v>1</v>
      </c>
      <c r="AS1346" s="158">
        <v>0.0721861525408278</v>
      </c>
      <c r="AT1346" s="141">
        <v>0</v>
      </c>
      <c r="AU1346" s="141">
        <v>0</v>
      </c>
      <c r="AV1346" s="141">
        <v>0.05</v>
      </c>
      <c r="AW1346" s="141">
        <v>0.0445205479452055</v>
      </c>
      <c r="AX1346" s="95"/>
      <c r="AY1346" s="93"/>
    </row>
    <row r="1347" ht="14.5" spans="1:51">
      <c r="A1347" s="91"/>
      <c r="B1347" s="95"/>
      <c r="C1347" s="152" t="s">
        <v>1085</v>
      </c>
      <c r="D1347" s="153" t="s">
        <v>25</v>
      </c>
      <c r="E1347" s="130" t="s">
        <v>1086</v>
      </c>
      <c r="F1347" s="195" t="s">
        <v>1377</v>
      </c>
      <c r="G1347" s="195" t="s">
        <v>1377</v>
      </c>
      <c r="H1347" s="195" t="s">
        <v>1377</v>
      </c>
      <c r="I1347" s="195" t="s">
        <v>1377</v>
      </c>
      <c r="J1347" s="132">
        <v>0.9</v>
      </c>
      <c r="K1347" s="133">
        <v>0.909090909090909</v>
      </c>
      <c r="L1347" s="133">
        <v>0.918918918918919</v>
      </c>
      <c r="M1347" s="134">
        <v>0.970588235294118</v>
      </c>
      <c r="N1347" s="133">
        <v>0.928251121076233</v>
      </c>
      <c r="O1347" s="135">
        <v>0.9</v>
      </c>
      <c r="P1347" s="133">
        <v>0.942264573991031</v>
      </c>
      <c r="Q1347" s="133">
        <v>0.978082191780822</v>
      </c>
      <c r="R1347" s="133">
        <v>0.968561448078755</v>
      </c>
      <c r="S1347" s="133">
        <v>0.946578241381034</v>
      </c>
      <c r="T1347" s="135">
        <v>0.9</v>
      </c>
      <c r="U1347" s="133">
        <v>0.956838565022421</v>
      </c>
      <c r="V1347" s="133">
        <v>0.940900195694716</v>
      </c>
      <c r="W1347" s="133">
        <v>0.932041918069228</v>
      </c>
      <c r="X1347" s="133">
        <v>0.939763051338877</v>
      </c>
      <c r="Y1347" s="135">
        <v>0.92</v>
      </c>
      <c r="Z1347" s="135">
        <v>0.937272064186725</v>
      </c>
      <c r="AA1347" s="135">
        <v>0.953884711779449</v>
      </c>
      <c r="AB1347" s="135">
        <v>0.94047619047619</v>
      </c>
      <c r="AC1347" s="135">
        <v>0.956396822714213</v>
      </c>
      <c r="AD1347" s="135">
        <v>0.92</v>
      </c>
      <c r="AE1347" s="133">
        <v>0.996246648793566</v>
      </c>
      <c r="AF1347" s="133">
        <v>0.999473407056345</v>
      </c>
      <c r="AG1347" s="133">
        <v>0.99959100204499</v>
      </c>
      <c r="AH1347" s="133">
        <v>0.999018083626544</v>
      </c>
      <c r="AI1347" s="135">
        <v>0.92</v>
      </c>
      <c r="AJ1347" s="133">
        <v>0.959746434231379</v>
      </c>
      <c r="AK1347" s="133">
        <v>0.963296703296703</v>
      </c>
      <c r="AL1347" s="133">
        <v>0.958677685950413</v>
      </c>
      <c r="AM1347" s="133">
        <v>0.971736151502903</v>
      </c>
      <c r="AN1347" s="132">
        <v>0.99</v>
      </c>
      <c r="AO1347" s="137">
        <v>1</v>
      </c>
      <c r="AP1347" s="137">
        <v>1</v>
      </c>
      <c r="AQ1347" s="137">
        <v>1</v>
      </c>
      <c r="AR1347" s="137">
        <v>1</v>
      </c>
      <c r="AS1347" s="158">
        <v>0.0721861525408278</v>
      </c>
      <c r="AT1347" s="141">
        <v>0</v>
      </c>
      <c r="AU1347" s="141">
        <v>0.0263157894736842</v>
      </c>
      <c r="AV1347" s="141">
        <v>0.0487804878048781</v>
      </c>
      <c r="AW1347" s="141">
        <v>0.0223214285714286</v>
      </c>
      <c r="AX1347" s="95"/>
      <c r="AY1347" s="93"/>
    </row>
    <row r="1348" ht="14.5" spans="1:51">
      <c r="A1348" s="91"/>
      <c r="B1348" s="95"/>
      <c r="C1348" s="152" t="s">
        <v>1085</v>
      </c>
      <c r="D1348" s="153" t="s">
        <v>25</v>
      </c>
      <c r="E1348" s="130" t="s">
        <v>1086</v>
      </c>
      <c r="F1348" s="195" t="s">
        <v>1378</v>
      </c>
      <c r="G1348" s="195" t="s">
        <v>1378</v>
      </c>
      <c r="H1348" s="195" t="s">
        <v>1378</v>
      </c>
      <c r="I1348" s="195" t="s">
        <v>1378</v>
      </c>
      <c r="J1348" s="132">
        <v>0.9</v>
      </c>
      <c r="K1348" s="133">
        <v>1</v>
      </c>
      <c r="L1348" s="133">
        <v>0.956521739130435</v>
      </c>
      <c r="M1348" s="134">
        <v>1</v>
      </c>
      <c r="N1348" s="133">
        <v>0.97979797979798</v>
      </c>
      <c r="O1348" s="135">
        <v>0.9</v>
      </c>
      <c r="P1348" s="133">
        <v>0.987394957983193</v>
      </c>
      <c r="Q1348" s="133">
        <v>0.986842105263158</v>
      </c>
      <c r="R1348" s="133">
        <v>0.98761835396941</v>
      </c>
      <c r="S1348" s="133">
        <v>0.985419563338469</v>
      </c>
      <c r="T1348" s="135">
        <v>0.9</v>
      </c>
      <c r="U1348" s="133">
        <v>0.952380952380952</v>
      </c>
      <c r="V1348" s="133">
        <v>0.883333333333333</v>
      </c>
      <c r="W1348" s="133">
        <v>0.869628550619082</v>
      </c>
      <c r="X1348" s="133">
        <v>0.920484010371651</v>
      </c>
      <c r="Y1348" s="135">
        <v>0.92</v>
      </c>
      <c r="Z1348" s="135">
        <v>0.95</v>
      </c>
      <c r="AA1348" s="135">
        <v>0.906056860321384</v>
      </c>
      <c r="AB1348" s="135">
        <v>0.843291995490417</v>
      </c>
      <c r="AC1348" s="135">
        <v>0.946240601503759</v>
      </c>
      <c r="AD1348" s="135">
        <v>0.92</v>
      </c>
      <c r="AE1348" s="133">
        <v>1</v>
      </c>
      <c r="AF1348" s="133">
        <v>1</v>
      </c>
      <c r="AG1348" s="133">
        <v>1</v>
      </c>
      <c r="AH1348" s="133">
        <v>0.999860564990658</v>
      </c>
      <c r="AI1348" s="135">
        <v>0.92</v>
      </c>
      <c r="AJ1348" s="133">
        <v>0.961722488038278</v>
      </c>
      <c r="AK1348" s="133">
        <v>0.922011287839918</v>
      </c>
      <c r="AL1348" s="133">
        <v>0.886725663716814</v>
      </c>
      <c r="AM1348" s="133">
        <v>0.960053056261744</v>
      </c>
      <c r="AN1348" s="132">
        <v>0.99</v>
      </c>
      <c r="AO1348" s="137">
        <v>1</v>
      </c>
      <c r="AP1348" s="137">
        <v>1</v>
      </c>
      <c r="AQ1348" s="137">
        <v>1</v>
      </c>
      <c r="AR1348" s="137">
        <v>1</v>
      </c>
      <c r="AS1348" s="158">
        <v>0.0721861525408278</v>
      </c>
      <c r="AT1348" s="141">
        <v>0.0555555555555556</v>
      </c>
      <c r="AU1348" s="141">
        <v>0</v>
      </c>
      <c r="AV1348" s="141">
        <v>0.0526315789473684</v>
      </c>
      <c r="AW1348" s="141">
        <v>0.0379310344827586</v>
      </c>
      <c r="AX1348" s="95"/>
      <c r="AY1348" s="93"/>
    </row>
    <row r="1349" ht="14.5" spans="1:51">
      <c r="A1349" s="91"/>
      <c r="B1349" s="95"/>
      <c r="C1349" s="152" t="s">
        <v>1085</v>
      </c>
      <c r="D1349" s="153" t="s">
        <v>25</v>
      </c>
      <c r="E1349" s="130" t="s">
        <v>1086</v>
      </c>
      <c r="F1349" s="195" t="s">
        <v>1379</v>
      </c>
      <c r="G1349" s="195" t="s">
        <v>1379</v>
      </c>
      <c r="H1349" s="195" t="s">
        <v>1379</v>
      </c>
      <c r="I1349" s="195" t="s">
        <v>1379</v>
      </c>
      <c r="J1349" s="132">
        <v>0.9</v>
      </c>
      <c r="K1349" s="133">
        <v>0.954545454545455</v>
      </c>
      <c r="L1349" s="133">
        <v>0.958333333333333</v>
      </c>
      <c r="M1349" s="134">
        <v>0.888888888888889</v>
      </c>
      <c r="N1349" s="133">
        <v>0.947368421052632</v>
      </c>
      <c r="O1349" s="135">
        <v>0.9</v>
      </c>
      <c r="P1349" s="133">
        <v>0.973506200676437</v>
      </c>
      <c r="Q1349" s="133">
        <v>0.977896029471961</v>
      </c>
      <c r="R1349" s="133">
        <v>0.9375</v>
      </c>
      <c r="S1349" s="133">
        <v>0.968495553050232</v>
      </c>
      <c r="T1349" s="135">
        <v>0.9</v>
      </c>
      <c r="U1349" s="133">
        <v>0.953776775648253</v>
      </c>
      <c r="V1349" s="133">
        <v>0.961113385182153</v>
      </c>
      <c r="W1349" s="133">
        <v>0.934782608695652</v>
      </c>
      <c r="X1349" s="133">
        <v>0.955217336840787</v>
      </c>
      <c r="Y1349" s="135">
        <v>0.92</v>
      </c>
      <c r="Z1349" s="135">
        <v>0</v>
      </c>
      <c r="AA1349" s="135" t="s">
        <v>35</v>
      </c>
      <c r="AB1349" s="135" t="s">
        <v>35</v>
      </c>
      <c r="AC1349" s="135">
        <v>0</v>
      </c>
      <c r="AD1349" s="135">
        <v>0.92</v>
      </c>
      <c r="AE1349" s="133">
        <v>0.996962794229309</v>
      </c>
      <c r="AF1349" s="133">
        <v>0.997445721583653</v>
      </c>
      <c r="AG1349" s="133">
        <v>0.998427672955975</v>
      </c>
      <c r="AH1349" s="133">
        <v>0.999096991339326</v>
      </c>
      <c r="AI1349" s="135">
        <v>0.92</v>
      </c>
      <c r="AJ1349" s="133">
        <v>0.968486212718064</v>
      </c>
      <c r="AK1349" s="133">
        <v>0.987310683585755</v>
      </c>
      <c r="AL1349" s="133">
        <v>0.981366459627329</v>
      </c>
      <c r="AM1349" s="133">
        <v>0.988434479447193</v>
      </c>
      <c r="AN1349" s="132">
        <v>0.99</v>
      </c>
      <c r="AO1349" s="137">
        <v>1</v>
      </c>
      <c r="AP1349" s="137">
        <v>1</v>
      </c>
      <c r="AQ1349" s="137">
        <v>1</v>
      </c>
      <c r="AR1349" s="137">
        <v>1</v>
      </c>
      <c r="AS1349" s="158">
        <v>0.0721861525408278</v>
      </c>
      <c r="AT1349" s="141">
        <v>0</v>
      </c>
      <c r="AU1349" s="141">
        <v>0.0625</v>
      </c>
      <c r="AV1349" s="141">
        <v>0.0666666666666667</v>
      </c>
      <c r="AW1349" s="141">
        <v>0.0484848484848485</v>
      </c>
      <c r="AX1349" s="95"/>
      <c r="AY1349" s="93"/>
    </row>
    <row r="1350" ht="14.5" spans="1:51">
      <c r="A1350" s="91"/>
      <c r="B1350" s="95"/>
      <c r="C1350" s="152" t="s">
        <v>1085</v>
      </c>
      <c r="D1350" s="153" t="s">
        <v>25</v>
      </c>
      <c r="E1350" s="130" t="s">
        <v>1086</v>
      </c>
      <c r="F1350" s="195" t="s">
        <v>1380</v>
      </c>
      <c r="G1350" s="195" t="s">
        <v>1380</v>
      </c>
      <c r="H1350" s="195" t="s">
        <v>1380</v>
      </c>
      <c r="I1350" s="195" t="s">
        <v>1380</v>
      </c>
      <c r="J1350" s="132">
        <v>0.9</v>
      </c>
      <c r="K1350" s="133">
        <v>1</v>
      </c>
      <c r="L1350" s="133">
        <v>1</v>
      </c>
      <c r="M1350" s="134">
        <v>1</v>
      </c>
      <c r="N1350" s="133">
        <v>0.960227272727273</v>
      </c>
      <c r="O1350" s="135">
        <v>0.9</v>
      </c>
      <c r="P1350" s="133">
        <v>0.973568281938326</v>
      </c>
      <c r="Q1350" s="133">
        <v>0.931386861313869</v>
      </c>
      <c r="R1350" s="133">
        <v>0.949693251533742</v>
      </c>
      <c r="S1350" s="133">
        <v>0.954484944532488</v>
      </c>
      <c r="T1350" s="135">
        <v>0.9</v>
      </c>
      <c r="U1350" s="133">
        <v>0.94273127753304</v>
      </c>
      <c r="V1350" s="133">
        <v>0.899270072992701</v>
      </c>
      <c r="W1350" s="133">
        <v>0.904294478527607</v>
      </c>
      <c r="X1350" s="133">
        <v>0.929762282091918</v>
      </c>
      <c r="Y1350" s="135">
        <v>0.92</v>
      </c>
      <c r="Z1350" s="135">
        <v>0.897810218978102</v>
      </c>
      <c r="AA1350" s="135">
        <v>0.898756660746004</v>
      </c>
      <c r="AB1350" s="135">
        <v>0.903846153846154</v>
      </c>
      <c r="AC1350" s="135">
        <v>0.947840717891195</v>
      </c>
      <c r="AD1350" s="135">
        <v>0.92</v>
      </c>
      <c r="AE1350" s="133">
        <v>1</v>
      </c>
      <c r="AF1350" s="133">
        <v>0.996960486322188</v>
      </c>
      <c r="AG1350" s="133">
        <v>0.999532819434712</v>
      </c>
      <c r="AH1350" s="133">
        <v>0.998366934536397</v>
      </c>
      <c r="AI1350" s="135">
        <v>0.92</v>
      </c>
      <c r="AJ1350" s="133">
        <v>0.934065934065934</v>
      </c>
      <c r="AK1350" s="133">
        <v>0.905524419535628</v>
      </c>
      <c r="AL1350" s="133">
        <v>0.926791277258567</v>
      </c>
      <c r="AM1350" s="133">
        <v>0.961933534743202</v>
      </c>
      <c r="AN1350" s="132">
        <v>0.99</v>
      </c>
      <c r="AO1350" s="137">
        <v>1</v>
      </c>
      <c r="AP1350" s="137">
        <v>1</v>
      </c>
      <c r="AQ1350" s="137">
        <v>1</v>
      </c>
      <c r="AR1350" s="137">
        <v>1</v>
      </c>
      <c r="AS1350" s="158">
        <v>0.0721861525408278</v>
      </c>
      <c r="AT1350" s="141">
        <v>0</v>
      </c>
      <c r="AU1350" s="141">
        <v>0.0909090909090909</v>
      </c>
      <c r="AV1350" s="141">
        <v>0.142857142857143</v>
      </c>
      <c r="AW1350" s="141">
        <v>0.0625</v>
      </c>
      <c r="AX1350" s="95"/>
      <c r="AY1350" s="93"/>
    </row>
    <row r="1351" ht="14.5" spans="1:51">
      <c r="A1351" s="91"/>
      <c r="B1351" s="95"/>
      <c r="C1351" s="152" t="s">
        <v>1085</v>
      </c>
      <c r="D1351" s="153" t="s">
        <v>25</v>
      </c>
      <c r="E1351" s="130" t="s">
        <v>1086</v>
      </c>
      <c r="F1351" s="195" t="s">
        <v>1381</v>
      </c>
      <c r="G1351" s="195" t="s">
        <v>1381</v>
      </c>
      <c r="H1351" s="195" t="s">
        <v>1381</v>
      </c>
      <c r="I1351" s="195" t="s">
        <v>1381</v>
      </c>
      <c r="J1351" s="132">
        <v>0.9</v>
      </c>
      <c r="K1351" s="133">
        <v>0.838709677419355</v>
      </c>
      <c r="L1351" s="133">
        <v>0.9375</v>
      </c>
      <c r="M1351" s="134">
        <v>0.966666666666667</v>
      </c>
      <c r="N1351" s="133">
        <v>0.930313588850174</v>
      </c>
      <c r="O1351" s="135">
        <v>0.9</v>
      </c>
      <c r="P1351" s="133">
        <v>0.950570342205323</v>
      </c>
      <c r="Q1351" s="133">
        <v>0.936378466557912</v>
      </c>
      <c r="R1351" s="133">
        <v>0.963476652797041</v>
      </c>
      <c r="S1351" s="133">
        <v>0.952955149887681</v>
      </c>
      <c r="T1351" s="135">
        <v>0.9</v>
      </c>
      <c r="U1351" s="133">
        <v>0.943916349809886</v>
      </c>
      <c r="V1351" s="133">
        <v>0.915715062533986</v>
      </c>
      <c r="W1351" s="133">
        <v>0.907535829865927</v>
      </c>
      <c r="X1351" s="133">
        <v>0.927651114152186</v>
      </c>
      <c r="Y1351" s="135">
        <v>0.92</v>
      </c>
      <c r="Z1351" s="135">
        <v>0.950282485875706</v>
      </c>
      <c r="AA1351" s="135">
        <v>0.919400855920114</v>
      </c>
      <c r="AB1351" s="135">
        <v>0.940430226144512</v>
      </c>
      <c r="AC1351" s="135">
        <v>0.958866729551273</v>
      </c>
      <c r="AD1351" s="135">
        <v>0.92</v>
      </c>
      <c r="AE1351" s="133">
        <v>0.973493975903614</v>
      </c>
      <c r="AF1351" s="133">
        <v>1</v>
      </c>
      <c r="AG1351" s="133">
        <v>1</v>
      </c>
      <c r="AH1351" s="133">
        <v>0.996774004340431</v>
      </c>
      <c r="AI1351" s="135">
        <v>0.92</v>
      </c>
      <c r="AJ1351" s="133">
        <v>0.962829117191533</v>
      </c>
      <c r="AK1351" s="133">
        <v>0.945078679419932</v>
      </c>
      <c r="AL1351" s="133">
        <v>0.954979879275654</v>
      </c>
      <c r="AM1351" s="133">
        <v>0.971995264334887</v>
      </c>
      <c r="AN1351" s="132">
        <v>0.99</v>
      </c>
      <c r="AO1351" s="137">
        <v>1</v>
      </c>
      <c r="AP1351" s="137">
        <v>1</v>
      </c>
      <c r="AQ1351" s="137">
        <v>1</v>
      </c>
      <c r="AR1351" s="137">
        <v>1</v>
      </c>
      <c r="AS1351" s="158">
        <v>0.0721861525408278</v>
      </c>
      <c r="AT1351" s="141">
        <v>0</v>
      </c>
      <c r="AU1351" s="141">
        <v>0.0588235294117647</v>
      </c>
      <c r="AV1351" s="141">
        <v>0.19047619047619</v>
      </c>
      <c r="AW1351" s="141">
        <v>0.0605095541401274</v>
      </c>
      <c r="AX1351" s="95"/>
      <c r="AY1351" s="93"/>
    </row>
    <row r="1352" ht="14.5" spans="1:51">
      <c r="A1352" s="91"/>
      <c r="B1352" s="95"/>
      <c r="C1352" s="152" t="s">
        <v>1085</v>
      </c>
      <c r="D1352" s="153" t="s">
        <v>25</v>
      </c>
      <c r="E1352" s="130" t="s">
        <v>1086</v>
      </c>
      <c r="F1352" s="195" t="s">
        <v>1382</v>
      </c>
      <c r="G1352" s="195" t="s">
        <v>1382</v>
      </c>
      <c r="H1352" s="195" t="s">
        <v>1382</v>
      </c>
      <c r="I1352" s="195" t="s">
        <v>1382</v>
      </c>
      <c r="J1352" s="132">
        <v>0.9</v>
      </c>
      <c r="K1352" s="133">
        <v>0.951219512195122</v>
      </c>
      <c r="L1352" s="133">
        <v>0.975609756097561</v>
      </c>
      <c r="M1352" s="134">
        <v>0.952380952380952</v>
      </c>
      <c r="N1352" s="133">
        <v>0.954954954954955</v>
      </c>
      <c r="O1352" s="135">
        <v>0.9</v>
      </c>
      <c r="P1352" s="133">
        <v>0.973479948253558</v>
      </c>
      <c r="Q1352" s="133">
        <v>0.974522292993631</v>
      </c>
      <c r="R1352" s="133">
        <v>0.971323978035387</v>
      </c>
      <c r="S1352" s="133">
        <v>0.973912106076395</v>
      </c>
      <c r="T1352" s="135">
        <v>0.9</v>
      </c>
      <c r="U1352" s="133">
        <v>0.946313065976714</v>
      </c>
      <c r="V1352" s="133">
        <v>0.939136588818117</v>
      </c>
      <c r="W1352" s="133">
        <v>0.942647956070775</v>
      </c>
      <c r="X1352" s="133">
        <v>0.943476229832189</v>
      </c>
      <c r="Y1352" s="135">
        <v>0.92</v>
      </c>
      <c r="Z1352" s="135">
        <v>0.934451219512195</v>
      </c>
      <c r="AA1352" s="135">
        <v>0.949860724233983</v>
      </c>
      <c r="AB1352" s="135">
        <v>0.942744323790721</v>
      </c>
      <c r="AC1352" s="135">
        <v>0.953544738436679</v>
      </c>
      <c r="AD1352" s="135">
        <v>0.92</v>
      </c>
      <c r="AE1352" s="133">
        <v>0.995508982035928</v>
      </c>
      <c r="AF1352" s="133">
        <v>1</v>
      </c>
      <c r="AG1352" s="133">
        <v>0.999140154772141</v>
      </c>
      <c r="AH1352" s="133">
        <v>0.996897201681891</v>
      </c>
      <c r="AI1352" s="135">
        <v>0.92</v>
      </c>
      <c r="AJ1352" s="133">
        <v>0.956962911126662</v>
      </c>
      <c r="AK1352" s="133">
        <v>0.963860636225925</v>
      </c>
      <c r="AL1352" s="133">
        <v>0.964177978883861</v>
      </c>
      <c r="AM1352" s="133">
        <v>0.97176594069798</v>
      </c>
      <c r="AN1352" s="132">
        <v>0.99</v>
      </c>
      <c r="AO1352" s="137">
        <v>1</v>
      </c>
      <c r="AP1352" s="137">
        <v>1</v>
      </c>
      <c r="AQ1352" s="137">
        <v>1</v>
      </c>
      <c r="AR1352" s="137">
        <v>1</v>
      </c>
      <c r="AS1352" s="158">
        <v>0.0721861525408278</v>
      </c>
      <c r="AT1352" s="141">
        <v>0.210526315789474</v>
      </c>
      <c r="AU1352" s="141">
        <v>0</v>
      </c>
      <c r="AV1352" s="141">
        <v>0.08</v>
      </c>
      <c r="AW1352" s="141">
        <v>0.0472103004291846</v>
      </c>
      <c r="AX1352" s="95"/>
      <c r="AY1352" s="93"/>
    </row>
    <row r="1353" ht="14.5" spans="1:51">
      <c r="A1353" s="91"/>
      <c r="B1353" s="95"/>
      <c r="C1353" s="152" t="s">
        <v>1085</v>
      </c>
      <c r="D1353" s="153" t="s">
        <v>25</v>
      </c>
      <c r="E1353" s="130" t="s">
        <v>1086</v>
      </c>
      <c r="F1353" s="195" t="s">
        <v>1383</v>
      </c>
      <c r="G1353" s="195" t="s">
        <v>1383</v>
      </c>
      <c r="H1353" s="195" t="s">
        <v>1383</v>
      </c>
      <c r="I1353" s="195" t="s">
        <v>1383</v>
      </c>
      <c r="J1353" s="132">
        <v>0.9</v>
      </c>
      <c r="K1353" s="133">
        <v>1</v>
      </c>
      <c r="L1353" s="133">
        <v>1</v>
      </c>
      <c r="M1353" s="134">
        <v>1</v>
      </c>
      <c r="N1353" s="133">
        <v>0.996732026143791</v>
      </c>
      <c r="O1353" s="135">
        <v>0.9</v>
      </c>
      <c r="P1353" s="133">
        <v>0.959761549925484</v>
      </c>
      <c r="Q1353" s="133">
        <v>0.989110707803993</v>
      </c>
      <c r="R1353" s="133">
        <v>0.98498023715415</v>
      </c>
      <c r="S1353" s="133">
        <v>0.986439428079807</v>
      </c>
      <c r="T1353" s="135">
        <v>0.9</v>
      </c>
      <c r="U1353" s="133">
        <v>0.928464977645306</v>
      </c>
      <c r="V1353" s="133">
        <v>0.94010889292196</v>
      </c>
      <c r="W1353" s="133">
        <v>0.948616600790514</v>
      </c>
      <c r="X1353" s="133">
        <v>0.95714695399238</v>
      </c>
      <c r="Y1353" s="135">
        <v>0.92</v>
      </c>
      <c r="Z1353" s="135">
        <v>0.970689655172414</v>
      </c>
      <c r="AA1353" s="135">
        <v>0.969047619047619</v>
      </c>
      <c r="AB1353" s="135">
        <v>0.9613196814562</v>
      </c>
      <c r="AC1353" s="135">
        <v>0.976425942962281</v>
      </c>
      <c r="AD1353" s="135">
        <v>0.92</v>
      </c>
      <c r="AE1353" s="133">
        <v>0.999418097177771</v>
      </c>
      <c r="AF1353" s="133">
        <v>0.999472016895459</v>
      </c>
      <c r="AG1353" s="133">
        <v>0.999097472924188</v>
      </c>
      <c r="AH1353" s="133">
        <v>0.999204444139634</v>
      </c>
      <c r="AI1353" s="135">
        <v>0.92</v>
      </c>
      <c r="AJ1353" s="133">
        <v>0.970423661071143</v>
      </c>
      <c r="AK1353" s="133">
        <v>0.968589083419156</v>
      </c>
      <c r="AL1353" s="133">
        <v>0.967817164179104</v>
      </c>
      <c r="AM1353" s="133">
        <v>0.981125756524651</v>
      </c>
      <c r="AN1353" s="132">
        <v>0.99</v>
      </c>
      <c r="AO1353" s="137">
        <v>1</v>
      </c>
      <c r="AP1353" s="137">
        <v>1</v>
      </c>
      <c r="AQ1353" s="137">
        <v>1</v>
      </c>
      <c r="AR1353" s="137">
        <v>1</v>
      </c>
      <c r="AS1353" s="158">
        <v>0.0721861525408278</v>
      </c>
      <c r="AT1353" s="141">
        <v>0</v>
      </c>
      <c r="AU1353" s="141">
        <v>0</v>
      </c>
      <c r="AV1353" s="141">
        <v>0.115384615384615</v>
      </c>
      <c r="AW1353" s="141">
        <v>0.0346534653465347</v>
      </c>
      <c r="AX1353" s="95"/>
      <c r="AY1353" s="93"/>
    </row>
    <row r="1354" ht="14.5" spans="1:51">
      <c r="A1354" s="91"/>
      <c r="B1354" s="95"/>
      <c r="C1354" s="152" t="s">
        <v>1085</v>
      </c>
      <c r="D1354" s="153" t="s">
        <v>25</v>
      </c>
      <c r="E1354" s="130" t="s">
        <v>1086</v>
      </c>
      <c r="F1354" s="195" t="s">
        <v>1384</v>
      </c>
      <c r="G1354" s="195" t="s">
        <v>1384</v>
      </c>
      <c r="H1354" s="195" t="s">
        <v>1384</v>
      </c>
      <c r="I1354" s="195" t="s">
        <v>1384</v>
      </c>
      <c r="J1354" s="132">
        <v>0.9</v>
      </c>
      <c r="K1354" s="133">
        <v>0.952380952380952</v>
      </c>
      <c r="L1354" s="133">
        <v>0.869565217391304</v>
      </c>
      <c r="M1354" s="134">
        <v>0.952380952380952</v>
      </c>
      <c r="N1354" s="133">
        <v>0.959134615384615</v>
      </c>
      <c r="O1354" s="135">
        <v>0.9</v>
      </c>
      <c r="P1354" s="133">
        <v>0.978043912175649</v>
      </c>
      <c r="Q1354" s="133">
        <v>0.977927651747394</v>
      </c>
      <c r="R1354" s="133">
        <v>0.960255824577433</v>
      </c>
      <c r="S1354" s="133">
        <v>0.960972916424503</v>
      </c>
      <c r="T1354" s="135">
        <v>0.9</v>
      </c>
      <c r="U1354" s="133">
        <v>0.945109780439122</v>
      </c>
      <c r="V1354" s="133">
        <v>0.944206008583691</v>
      </c>
      <c r="W1354" s="133">
        <v>0.920968478757423</v>
      </c>
      <c r="X1354" s="133">
        <v>0.932203882366616</v>
      </c>
      <c r="Y1354" s="135">
        <v>0.92</v>
      </c>
      <c r="Z1354" s="135">
        <v>0.943624161073826</v>
      </c>
      <c r="AA1354" s="135">
        <v>0.93984962406015</v>
      </c>
      <c r="AB1354" s="135">
        <v>0.943459915611814</v>
      </c>
      <c r="AC1354" s="135">
        <v>0.957</v>
      </c>
      <c r="AD1354" s="135">
        <v>0.92</v>
      </c>
      <c r="AE1354" s="133">
        <v>0.999314599040439</v>
      </c>
      <c r="AF1354" s="133">
        <v>1</v>
      </c>
      <c r="AG1354" s="133">
        <v>0.998447204968944</v>
      </c>
      <c r="AH1354" s="133">
        <v>0.997645729353046</v>
      </c>
      <c r="AI1354" s="135">
        <v>0.92</v>
      </c>
      <c r="AJ1354" s="133">
        <v>0.963365769891242</v>
      </c>
      <c r="AK1354" s="133">
        <v>0.959335219236209</v>
      </c>
      <c r="AL1354" s="133">
        <v>0.963841138114997</v>
      </c>
      <c r="AM1354" s="133">
        <v>0.973139081010751</v>
      </c>
      <c r="AN1354" s="132">
        <v>0.99</v>
      </c>
      <c r="AO1354" s="137">
        <v>1</v>
      </c>
      <c r="AP1354" s="137">
        <v>1</v>
      </c>
      <c r="AQ1354" s="137">
        <v>1</v>
      </c>
      <c r="AR1354" s="137">
        <v>1</v>
      </c>
      <c r="AS1354" s="158">
        <v>0.0721861525408278</v>
      </c>
      <c r="AT1354" s="141">
        <v>0</v>
      </c>
      <c r="AU1354" s="141">
        <v>0</v>
      </c>
      <c r="AV1354" s="141">
        <v>0</v>
      </c>
      <c r="AW1354" s="141">
        <v>0.0383275261324042</v>
      </c>
      <c r="AX1354" s="95"/>
      <c r="AY1354" s="93"/>
    </row>
    <row r="1355" ht="14.5" spans="1:51">
      <c r="A1355" s="91"/>
      <c r="B1355" s="95"/>
      <c r="C1355" s="152" t="s">
        <v>1085</v>
      </c>
      <c r="D1355" s="153" t="s">
        <v>25</v>
      </c>
      <c r="E1355" s="130" t="s">
        <v>1086</v>
      </c>
      <c r="F1355" s="195" t="s">
        <v>1385</v>
      </c>
      <c r="G1355" s="195" t="s">
        <v>1385</v>
      </c>
      <c r="H1355" s="195" t="s">
        <v>1385</v>
      </c>
      <c r="I1355" s="195" t="s">
        <v>1385</v>
      </c>
      <c r="J1355" s="132">
        <v>0.9</v>
      </c>
      <c r="K1355" s="133">
        <v>0.846153846153846</v>
      </c>
      <c r="L1355" s="133">
        <v>0.857142857142857</v>
      </c>
      <c r="M1355" s="134">
        <v>0.88</v>
      </c>
      <c r="N1355" s="133">
        <v>0.864864864864865</v>
      </c>
      <c r="O1355" s="135">
        <v>0.9</v>
      </c>
      <c r="P1355" s="133">
        <v>0.982352941176471</v>
      </c>
      <c r="Q1355" s="133">
        <v>0.986153846153846</v>
      </c>
      <c r="R1355" s="133">
        <v>0.988837820091924</v>
      </c>
      <c r="S1355" s="133">
        <v>0.982806175448651</v>
      </c>
      <c r="T1355" s="135">
        <v>0.9</v>
      </c>
      <c r="U1355" s="133">
        <v>0.944705882352941</v>
      </c>
      <c r="V1355" s="133">
        <v>0.933846153846154</v>
      </c>
      <c r="W1355" s="133">
        <v>0.92908732764281</v>
      </c>
      <c r="X1355" s="133">
        <v>0.939427588924311</v>
      </c>
      <c r="Y1355" s="135">
        <v>0.92</v>
      </c>
      <c r="Z1355" s="135">
        <v>0.933846153846154</v>
      </c>
      <c r="AA1355" s="135">
        <v>0.936681222707424</v>
      </c>
      <c r="AB1355" s="135">
        <v>0.923791821561338</v>
      </c>
      <c r="AC1355" s="135">
        <v>0.938039638932496</v>
      </c>
      <c r="AD1355" s="135">
        <v>0.92</v>
      </c>
      <c r="AE1355" s="133">
        <v>0.999521531100478</v>
      </c>
      <c r="AF1355" s="133">
        <v>0.997711670480549</v>
      </c>
      <c r="AG1355" s="133">
        <v>1</v>
      </c>
      <c r="AH1355" s="133">
        <v>0.998418604651163</v>
      </c>
      <c r="AI1355" s="135">
        <v>0.92</v>
      </c>
      <c r="AJ1355" s="133">
        <v>0.954030646235843</v>
      </c>
      <c r="AK1355" s="133">
        <v>0.961191335740072</v>
      </c>
      <c r="AL1355" s="133">
        <v>0.952674105425164</v>
      </c>
      <c r="AM1355" s="133">
        <v>0.963833222921497</v>
      </c>
      <c r="AN1355" s="132">
        <v>0.99</v>
      </c>
      <c r="AO1355" s="137">
        <v>1</v>
      </c>
      <c r="AP1355" s="137">
        <v>1</v>
      </c>
      <c r="AQ1355" s="137">
        <v>1</v>
      </c>
      <c r="AR1355" s="137">
        <v>1</v>
      </c>
      <c r="AS1355" s="158">
        <v>0.0721861525408278</v>
      </c>
      <c r="AT1355" s="141">
        <v>0</v>
      </c>
      <c r="AU1355" s="141">
        <v>0.0526315789473684</v>
      </c>
      <c r="AV1355" s="141">
        <v>0.0588235294117647</v>
      </c>
      <c r="AW1355" s="141">
        <v>0.0149253731343284</v>
      </c>
      <c r="AX1355" s="95"/>
      <c r="AY1355" s="93"/>
    </row>
    <row r="1356" ht="14.5" spans="1:51">
      <c r="A1356" s="91"/>
      <c r="B1356" s="95"/>
      <c r="C1356" s="152" t="s">
        <v>1085</v>
      </c>
      <c r="D1356" s="153" t="s">
        <v>25</v>
      </c>
      <c r="E1356" s="130" t="s">
        <v>1086</v>
      </c>
      <c r="F1356" s="195" t="s">
        <v>1386</v>
      </c>
      <c r="G1356" s="195" t="s">
        <v>1386</v>
      </c>
      <c r="H1356" s="195" t="s">
        <v>1386</v>
      </c>
      <c r="I1356" s="195" t="s">
        <v>1386</v>
      </c>
      <c r="J1356" s="132">
        <v>0.9</v>
      </c>
      <c r="K1356" s="133">
        <v>0.944444444444444</v>
      </c>
      <c r="L1356" s="133">
        <v>0.947368421052632</v>
      </c>
      <c r="M1356" s="134">
        <v>0.894736842105263</v>
      </c>
      <c r="N1356" s="133">
        <v>0.890855457227139</v>
      </c>
      <c r="O1356" s="135">
        <v>0.9</v>
      </c>
      <c r="P1356" s="133">
        <v>0.980861244019139</v>
      </c>
      <c r="Q1356" s="133">
        <v>0.920326864147089</v>
      </c>
      <c r="R1356" s="133">
        <v>0.920065252854812</v>
      </c>
      <c r="S1356" s="133">
        <v>0.914525900530691</v>
      </c>
      <c r="T1356" s="135">
        <v>0.9</v>
      </c>
      <c r="U1356" s="133">
        <v>0.926634768740032</v>
      </c>
      <c r="V1356" s="133">
        <v>0.940755873340143</v>
      </c>
      <c r="W1356" s="133">
        <v>0.893964110929853</v>
      </c>
      <c r="X1356" s="133">
        <v>0.921570469168271</v>
      </c>
      <c r="Y1356" s="135">
        <v>0.92</v>
      </c>
      <c r="Z1356" s="135">
        <v>0.925252525252525</v>
      </c>
      <c r="AA1356" s="135">
        <v>0.952380952380952</v>
      </c>
      <c r="AB1356" s="135">
        <v>0.961201501877347</v>
      </c>
      <c r="AC1356" s="135">
        <v>0.946599459419972</v>
      </c>
      <c r="AD1356" s="135">
        <v>0.92</v>
      </c>
      <c r="AE1356" s="133">
        <v>0.988465974625144</v>
      </c>
      <c r="AF1356" s="133">
        <v>1</v>
      </c>
      <c r="AG1356" s="133">
        <v>0.998800959232614</v>
      </c>
      <c r="AH1356" s="133">
        <v>0.997758126790385</v>
      </c>
      <c r="AI1356" s="135">
        <v>0.92</v>
      </c>
      <c r="AJ1356" s="133">
        <v>0.946524064171123</v>
      </c>
      <c r="AK1356" s="133">
        <v>0.970605187319885</v>
      </c>
      <c r="AL1356" s="133">
        <v>0.971358024691358</v>
      </c>
      <c r="AM1356" s="133">
        <v>0.966957267400314</v>
      </c>
      <c r="AN1356" s="132">
        <v>0.99</v>
      </c>
      <c r="AO1356" s="137">
        <v>1</v>
      </c>
      <c r="AP1356" s="137">
        <v>1</v>
      </c>
      <c r="AQ1356" s="137">
        <v>1</v>
      </c>
      <c r="AR1356" s="137">
        <v>1</v>
      </c>
      <c r="AS1356" s="158">
        <v>0.0721861525408278</v>
      </c>
      <c r="AT1356" s="141">
        <v>0</v>
      </c>
      <c r="AU1356" s="141">
        <v>0</v>
      </c>
      <c r="AV1356" s="141">
        <v>0</v>
      </c>
      <c r="AW1356" s="141">
        <v>0.048</v>
      </c>
      <c r="AX1356" s="95"/>
      <c r="AY1356" s="93"/>
    </row>
    <row r="1357" ht="14.5" spans="1:51">
      <c r="A1357" s="91"/>
      <c r="B1357" s="95"/>
      <c r="C1357" s="152" t="s">
        <v>1085</v>
      </c>
      <c r="D1357" s="153" t="s">
        <v>25</v>
      </c>
      <c r="E1357" s="130" t="s">
        <v>1086</v>
      </c>
      <c r="F1357" s="195" t="s">
        <v>1387</v>
      </c>
      <c r="G1357" s="195" t="s">
        <v>1387</v>
      </c>
      <c r="H1357" s="195" t="s">
        <v>1387</v>
      </c>
      <c r="I1357" s="195" t="s">
        <v>1387</v>
      </c>
      <c r="J1357" s="132">
        <v>0.9</v>
      </c>
      <c r="K1357" s="133">
        <v>0.857142857142857</v>
      </c>
      <c r="L1357" s="133">
        <v>1</v>
      </c>
      <c r="M1357" s="134">
        <v>0.928571428571429</v>
      </c>
      <c r="N1357" s="133">
        <v>0.932330827067669</v>
      </c>
      <c r="O1357" s="135">
        <v>0.9</v>
      </c>
      <c r="P1357" s="133">
        <v>0.994720965309201</v>
      </c>
      <c r="Q1357" s="133">
        <v>0.994011976047904</v>
      </c>
      <c r="R1357" s="133">
        <v>0.997323340471092</v>
      </c>
      <c r="S1357" s="133">
        <v>0.995472000917063</v>
      </c>
      <c r="T1357" s="135">
        <v>0.9</v>
      </c>
      <c r="U1357" s="133">
        <v>0.978129713423831</v>
      </c>
      <c r="V1357" s="133">
        <v>0.983033932135729</v>
      </c>
      <c r="W1357" s="133">
        <v>0.985010706638116</v>
      </c>
      <c r="X1357" s="133">
        <v>0.978248409468677</v>
      </c>
      <c r="Y1357" s="135">
        <v>0.92</v>
      </c>
      <c r="Z1357" s="135">
        <v>0</v>
      </c>
      <c r="AA1357" s="135" t="s">
        <v>35</v>
      </c>
      <c r="AB1357" s="135" t="s">
        <v>35</v>
      </c>
      <c r="AC1357" s="135">
        <v>0</v>
      </c>
      <c r="AD1357" s="135">
        <v>0.92</v>
      </c>
      <c r="AE1357" s="133">
        <v>1</v>
      </c>
      <c r="AF1357" s="133">
        <v>1</v>
      </c>
      <c r="AG1357" s="133">
        <v>1</v>
      </c>
      <c r="AH1357" s="133">
        <v>0.997581620314389</v>
      </c>
      <c r="AI1357" s="135">
        <v>0.92</v>
      </c>
      <c r="AJ1357" s="133">
        <v>0.988713318284424</v>
      </c>
      <c r="AK1357" s="133">
        <v>0.996007984031936</v>
      </c>
      <c r="AL1357" s="133">
        <v>0.994646680942184</v>
      </c>
      <c r="AM1357" s="133">
        <v>0.993781700432702</v>
      </c>
      <c r="AN1357" s="132">
        <v>0.99</v>
      </c>
      <c r="AO1357" s="137">
        <v>1</v>
      </c>
      <c r="AP1357" s="137">
        <v>1</v>
      </c>
      <c r="AQ1357" s="137">
        <v>1</v>
      </c>
      <c r="AR1357" s="137">
        <v>1</v>
      </c>
      <c r="AS1357" s="158">
        <v>0.0721861525408278</v>
      </c>
      <c r="AT1357" s="141">
        <v>0</v>
      </c>
      <c r="AU1357" s="141">
        <v>0</v>
      </c>
      <c r="AV1357" s="141">
        <v>0</v>
      </c>
      <c r="AW1357" s="141">
        <v>0.0326086956521739</v>
      </c>
      <c r="AX1357" s="95"/>
      <c r="AY1357" s="93"/>
    </row>
    <row r="1358" ht="14.5" spans="1:51">
      <c r="A1358" s="91"/>
      <c r="B1358" s="95"/>
      <c r="C1358" s="152" t="s">
        <v>1085</v>
      </c>
      <c r="D1358" s="153" t="s">
        <v>25</v>
      </c>
      <c r="E1358" s="130" t="s">
        <v>1086</v>
      </c>
      <c r="F1358" s="195" t="s">
        <v>1388</v>
      </c>
      <c r="G1358" s="195" t="s">
        <v>1388</v>
      </c>
      <c r="H1358" s="195" t="s">
        <v>1388</v>
      </c>
      <c r="I1358" s="195" t="s">
        <v>1388</v>
      </c>
      <c r="J1358" s="132">
        <v>0.9</v>
      </c>
      <c r="K1358" s="133">
        <v>0.95</v>
      </c>
      <c r="L1358" s="133">
        <v>0.956521739130435</v>
      </c>
      <c r="M1358" s="134">
        <v>1</v>
      </c>
      <c r="N1358" s="133">
        <v>0.918224299065421</v>
      </c>
      <c r="O1358" s="135">
        <v>0.9</v>
      </c>
      <c r="P1358" s="133">
        <v>0.990566037735849</v>
      </c>
      <c r="Q1358" s="133">
        <v>0.991692173152602</v>
      </c>
      <c r="R1358" s="133">
        <v>0.992650237786425</v>
      </c>
      <c r="S1358" s="133">
        <v>0.985098350884165</v>
      </c>
      <c r="T1358" s="135">
        <v>0.9</v>
      </c>
      <c r="U1358" s="133">
        <v>0.952201257861635</v>
      </c>
      <c r="V1358" s="133">
        <v>0.946217752514211</v>
      </c>
      <c r="W1358" s="133">
        <v>0.931690445309122</v>
      </c>
      <c r="X1358" s="133">
        <v>0.947082588250878</v>
      </c>
      <c r="Y1358" s="135">
        <v>0.92</v>
      </c>
      <c r="Z1358" s="135">
        <v>0.375</v>
      </c>
      <c r="AA1358" s="135">
        <v>0.25</v>
      </c>
      <c r="AB1358" s="135">
        <v>0.5</v>
      </c>
      <c r="AC1358" s="135">
        <v>0.523809523809524</v>
      </c>
      <c r="AD1358" s="135">
        <v>0.92</v>
      </c>
      <c r="AE1358" s="133">
        <v>0.989971921379864</v>
      </c>
      <c r="AF1358" s="133">
        <v>0.998420221169036</v>
      </c>
      <c r="AG1358" s="133">
        <v>0.996443089430894</v>
      </c>
      <c r="AH1358" s="133">
        <v>0.993517238252828</v>
      </c>
      <c r="AI1358" s="135">
        <v>0.92</v>
      </c>
      <c r="AJ1358" s="133">
        <v>0.981285090455396</v>
      </c>
      <c r="AK1358" s="133">
        <v>0.984749455337691</v>
      </c>
      <c r="AL1358" s="133">
        <v>0.986626402070751</v>
      </c>
      <c r="AM1358" s="133">
        <v>0.988977315314918</v>
      </c>
      <c r="AN1358" s="132">
        <v>0.99</v>
      </c>
      <c r="AO1358" s="137">
        <v>1</v>
      </c>
      <c r="AP1358" s="137">
        <v>1</v>
      </c>
      <c r="AQ1358" s="137">
        <v>1</v>
      </c>
      <c r="AR1358" s="137">
        <v>1</v>
      </c>
      <c r="AS1358" s="158">
        <v>0.0721861525408278</v>
      </c>
      <c r="AT1358" s="141">
        <v>0</v>
      </c>
      <c r="AU1358" s="141">
        <v>0</v>
      </c>
      <c r="AV1358" s="141">
        <v>0.0714285714285714</v>
      </c>
      <c r="AW1358" s="141">
        <v>0.0347826086956522</v>
      </c>
      <c r="AX1358" s="95"/>
      <c r="AY1358" s="93"/>
    </row>
    <row r="1359" ht="14.5" spans="1:51">
      <c r="A1359" s="91"/>
      <c r="B1359" s="95"/>
      <c r="C1359" s="152" t="s">
        <v>1085</v>
      </c>
      <c r="D1359" s="153" t="s">
        <v>25</v>
      </c>
      <c r="E1359" s="130" t="s">
        <v>1086</v>
      </c>
      <c r="F1359" s="195" t="s">
        <v>1389</v>
      </c>
      <c r="G1359" s="195" t="s">
        <v>1389</v>
      </c>
      <c r="H1359" s="195" t="s">
        <v>1389</v>
      </c>
      <c r="I1359" s="195" t="s">
        <v>1389</v>
      </c>
      <c r="J1359" s="132">
        <v>0.9</v>
      </c>
      <c r="K1359" s="133">
        <v>0.666666666666667</v>
      </c>
      <c r="L1359" s="133">
        <v>0.941176470588235</v>
      </c>
      <c r="M1359" s="134">
        <v>0.823529411764706</v>
      </c>
      <c r="N1359" s="133">
        <v>0.893063583815029</v>
      </c>
      <c r="O1359" s="135">
        <v>0.9</v>
      </c>
      <c r="P1359" s="133">
        <v>0.976452119309262</v>
      </c>
      <c r="Q1359" s="133">
        <v>0.954492415402567</v>
      </c>
      <c r="R1359" s="133">
        <v>0.919847328244275</v>
      </c>
      <c r="S1359" s="133">
        <v>0.954085262409019</v>
      </c>
      <c r="T1359" s="135">
        <v>0.9</v>
      </c>
      <c r="U1359" s="133">
        <v>0.919937205651491</v>
      </c>
      <c r="V1359" s="133">
        <v>0.889148191365227</v>
      </c>
      <c r="W1359" s="133">
        <v>0.895992366412214</v>
      </c>
      <c r="X1359" s="133">
        <v>0.928911508783451</v>
      </c>
      <c r="Y1359" s="135">
        <v>0.92</v>
      </c>
      <c r="Z1359" s="135">
        <v>0.804878048780488</v>
      </c>
      <c r="AA1359" s="135">
        <v>0.872</v>
      </c>
      <c r="AB1359" s="135">
        <v>0.887399463806971</v>
      </c>
      <c r="AC1359" s="135">
        <v>0.876844411979547</v>
      </c>
      <c r="AD1359" s="135">
        <v>0.92</v>
      </c>
      <c r="AE1359" s="133">
        <v>0.999723985647254</v>
      </c>
      <c r="AF1359" s="133">
        <v>1</v>
      </c>
      <c r="AG1359" s="133">
        <v>0.998734711092366</v>
      </c>
      <c r="AH1359" s="133">
        <v>0.996613119903124</v>
      </c>
      <c r="AI1359" s="135">
        <v>0.92</v>
      </c>
      <c r="AJ1359" s="133">
        <v>0.887511071744907</v>
      </c>
      <c r="AK1359" s="133">
        <v>0.902924704418171</v>
      </c>
      <c r="AL1359" s="133">
        <v>0.910813823857302</v>
      </c>
      <c r="AM1359" s="133">
        <v>0.927668627205606</v>
      </c>
      <c r="AN1359" s="132">
        <v>0.99</v>
      </c>
      <c r="AO1359" s="137">
        <v>1</v>
      </c>
      <c r="AP1359" s="137">
        <v>1</v>
      </c>
      <c r="AQ1359" s="137">
        <v>1</v>
      </c>
      <c r="AR1359" s="137">
        <v>1</v>
      </c>
      <c r="AS1359" s="158">
        <v>0.0721861525408278</v>
      </c>
      <c r="AT1359" s="141">
        <v>0.142857142857143</v>
      </c>
      <c r="AU1359" s="141">
        <v>0</v>
      </c>
      <c r="AV1359" s="141">
        <v>0</v>
      </c>
      <c r="AW1359" s="141">
        <v>0.0454545454545455</v>
      </c>
      <c r="AX1359" s="95"/>
      <c r="AY1359" s="93"/>
    </row>
    <row r="1360" ht="14.5" spans="1:51">
      <c r="A1360" s="91"/>
      <c r="B1360" s="95"/>
      <c r="C1360" s="152" t="s">
        <v>1085</v>
      </c>
      <c r="D1360" s="153" t="s">
        <v>25</v>
      </c>
      <c r="E1360" s="130" t="s">
        <v>1086</v>
      </c>
      <c r="F1360" s="195" t="s">
        <v>1390</v>
      </c>
      <c r="G1360" s="195" t="s">
        <v>1390</v>
      </c>
      <c r="H1360" s="195" t="s">
        <v>1390</v>
      </c>
      <c r="I1360" s="195" t="s">
        <v>1390</v>
      </c>
      <c r="J1360" s="132">
        <v>0.9</v>
      </c>
      <c r="K1360" s="133">
        <v>0.857142857142857</v>
      </c>
      <c r="L1360" s="133">
        <v>0.857142857142857</v>
      </c>
      <c r="M1360" s="134">
        <v>1</v>
      </c>
      <c r="N1360" s="133">
        <v>0.941605839416058</v>
      </c>
      <c r="O1360" s="135">
        <v>0.9</v>
      </c>
      <c r="P1360" s="133">
        <v>0.993640699523052</v>
      </c>
      <c r="Q1360" s="133">
        <v>0.994432071269488</v>
      </c>
      <c r="R1360" s="133">
        <v>0.995381062355658</v>
      </c>
      <c r="S1360" s="133">
        <v>0.970988675403995</v>
      </c>
      <c r="T1360" s="135">
        <v>0.9</v>
      </c>
      <c r="U1360" s="133">
        <v>0.952305246422893</v>
      </c>
      <c r="V1360" s="133">
        <v>0.957683741648107</v>
      </c>
      <c r="W1360" s="133">
        <v>0.965357967667437</v>
      </c>
      <c r="X1360" s="133">
        <v>0.939432497773254</v>
      </c>
      <c r="Y1360" s="135">
        <v>0.92</v>
      </c>
      <c r="Z1360" s="135" t="s">
        <v>35</v>
      </c>
      <c r="AA1360" s="135" t="s">
        <v>35</v>
      </c>
      <c r="AB1360" s="135" t="s">
        <v>35</v>
      </c>
      <c r="AC1360" s="135" t="s">
        <v>35</v>
      </c>
      <c r="AD1360" s="135">
        <v>0.92</v>
      </c>
      <c r="AE1360" s="133">
        <v>0.705752212389381</v>
      </c>
      <c r="AF1360" s="133">
        <v>0.990825688073395</v>
      </c>
      <c r="AG1360" s="133">
        <v>1</v>
      </c>
      <c r="AH1360" s="133">
        <v>0.926842889054356</v>
      </c>
      <c r="AI1360" s="135">
        <v>0.92</v>
      </c>
      <c r="AJ1360" s="133">
        <v>0.971473851030111</v>
      </c>
      <c r="AK1360" s="133">
        <v>0.989977728285078</v>
      </c>
      <c r="AL1360" s="133">
        <v>0.990762124711316</v>
      </c>
      <c r="AM1360" s="133">
        <v>0.988488201997074</v>
      </c>
      <c r="AN1360" s="132">
        <v>0.99</v>
      </c>
      <c r="AO1360" s="137">
        <v>1</v>
      </c>
      <c r="AP1360" s="137">
        <v>1</v>
      </c>
      <c r="AQ1360" s="137">
        <v>1</v>
      </c>
      <c r="AR1360" s="137">
        <v>1</v>
      </c>
      <c r="AS1360" s="158">
        <v>0.0721861525408278</v>
      </c>
      <c r="AT1360" s="141">
        <v>0</v>
      </c>
      <c r="AU1360" s="141">
        <v>0</v>
      </c>
      <c r="AV1360" s="141">
        <v>0</v>
      </c>
      <c r="AW1360" s="141">
        <v>0.0615384615384615</v>
      </c>
      <c r="AX1360" s="95"/>
      <c r="AY1360" s="93"/>
    </row>
    <row r="1361" ht="14.5" spans="1:51">
      <c r="A1361" s="91"/>
      <c r="B1361" s="95"/>
      <c r="C1361" s="152" t="s">
        <v>1085</v>
      </c>
      <c r="D1361" s="153" t="s">
        <v>25</v>
      </c>
      <c r="E1361" s="130" t="s">
        <v>1086</v>
      </c>
      <c r="F1361" s="195" t="s">
        <v>1391</v>
      </c>
      <c r="G1361" s="195" t="s">
        <v>1391</v>
      </c>
      <c r="H1361" s="195" t="s">
        <v>1391</v>
      </c>
      <c r="I1361" s="195" t="s">
        <v>1391</v>
      </c>
      <c r="J1361" s="132">
        <v>0.9</v>
      </c>
      <c r="K1361" s="133">
        <v>0.95</v>
      </c>
      <c r="L1361" s="133">
        <v>0.952380952380952</v>
      </c>
      <c r="M1361" s="134">
        <v>0.95</v>
      </c>
      <c r="N1361" s="133">
        <v>0.911764705882353</v>
      </c>
      <c r="O1361" s="135">
        <v>0.9</v>
      </c>
      <c r="P1361" s="133">
        <v>0.987110633727175</v>
      </c>
      <c r="Q1361" s="133">
        <v>0.948919449901768</v>
      </c>
      <c r="R1361" s="133">
        <v>0.968565815324165</v>
      </c>
      <c r="S1361" s="133">
        <v>0.964337186838797</v>
      </c>
      <c r="T1361" s="135">
        <v>0.9</v>
      </c>
      <c r="U1361" s="133">
        <v>0.9484425349087</v>
      </c>
      <c r="V1361" s="133">
        <v>0.951538965291421</v>
      </c>
      <c r="W1361" s="133">
        <v>0.923870333988212</v>
      </c>
      <c r="X1361" s="133">
        <v>0.939866916071264</v>
      </c>
      <c r="Y1361" s="135">
        <v>0.92</v>
      </c>
      <c r="Z1361" s="135">
        <v>0.944091486658196</v>
      </c>
      <c r="AA1361" s="135">
        <v>0.947863247863248</v>
      </c>
      <c r="AB1361" s="135">
        <v>0.954986760812004</v>
      </c>
      <c r="AC1361" s="135">
        <v>0.95982976505841</v>
      </c>
      <c r="AD1361" s="135">
        <v>0.92</v>
      </c>
      <c r="AE1361" s="133">
        <v>0.999584889995849</v>
      </c>
      <c r="AF1361" s="133">
        <v>0.998702983138781</v>
      </c>
      <c r="AG1361" s="133">
        <v>0.997078870496592</v>
      </c>
      <c r="AH1361" s="133">
        <v>0.998603284104159</v>
      </c>
      <c r="AI1361" s="135">
        <v>0.92</v>
      </c>
      <c r="AJ1361" s="133">
        <v>0.962165308498254</v>
      </c>
      <c r="AK1361" s="133">
        <v>0.96588802373007</v>
      </c>
      <c r="AL1361" s="133">
        <v>0.969390975071</v>
      </c>
      <c r="AM1361" s="133">
        <v>0.973417926274735</v>
      </c>
      <c r="AN1361" s="132">
        <v>0.99</v>
      </c>
      <c r="AO1361" s="137">
        <v>1</v>
      </c>
      <c r="AP1361" s="137">
        <v>1</v>
      </c>
      <c r="AQ1361" s="137">
        <v>1</v>
      </c>
      <c r="AR1361" s="137">
        <v>1</v>
      </c>
      <c r="AS1361" s="158">
        <v>0.0721861525408278</v>
      </c>
      <c r="AT1361" s="141">
        <v>0</v>
      </c>
      <c r="AU1361" s="141">
        <v>0</v>
      </c>
      <c r="AV1361" s="141">
        <v>0.0833333333333333</v>
      </c>
      <c r="AW1361" s="141">
        <v>0.038961038961039</v>
      </c>
      <c r="AX1361" s="95"/>
      <c r="AY1361" s="93"/>
    </row>
    <row r="1362" ht="14.5" spans="1:51">
      <c r="A1362" s="91"/>
      <c r="B1362" s="95"/>
      <c r="C1362" s="152" t="s">
        <v>1085</v>
      </c>
      <c r="D1362" s="153" t="s">
        <v>25</v>
      </c>
      <c r="E1362" s="130" t="s">
        <v>1086</v>
      </c>
      <c r="F1362" s="195" t="s">
        <v>1392</v>
      </c>
      <c r="G1362" s="195" t="s">
        <v>1392</v>
      </c>
      <c r="H1362" s="195" t="s">
        <v>1392</v>
      </c>
      <c r="I1362" s="195" t="s">
        <v>1392</v>
      </c>
      <c r="J1362" s="132">
        <v>0.9</v>
      </c>
      <c r="K1362" s="133">
        <v>1</v>
      </c>
      <c r="L1362" s="133">
        <v>1</v>
      </c>
      <c r="M1362" s="134">
        <v>0.976744186046512</v>
      </c>
      <c r="N1362" s="133">
        <v>0.976543209876543</v>
      </c>
      <c r="O1362" s="135">
        <v>0.9</v>
      </c>
      <c r="P1362" s="133">
        <v>0.98957654723127</v>
      </c>
      <c r="Q1362" s="133">
        <v>0.991666666666667</v>
      </c>
      <c r="R1362" s="133">
        <v>0.950049293460401</v>
      </c>
      <c r="S1362" s="133">
        <v>0.97908212276265</v>
      </c>
      <c r="T1362" s="135">
        <v>0.9</v>
      </c>
      <c r="U1362" s="133">
        <v>0.939413680781759</v>
      </c>
      <c r="V1362" s="133">
        <v>0.924603174603175</v>
      </c>
      <c r="W1362" s="133">
        <v>0.881367071968452</v>
      </c>
      <c r="X1362" s="133">
        <v>0.924229057617283</v>
      </c>
      <c r="Y1362" s="135">
        <v>0.92</v>
      </c>
      <c r="Z1362" s="135">
        <v>0.951178451178451</v>
      </c>
      <c r="AA1362" s="135">
        <v>0.947559709241952</v>
      </c>
      <c r="AB1362" s="135">
        <v>0.959979476654695</v>
      </c>
      <c r="AC1362" s="135">
        <v>0.963426906779661</v>
      </c>
      <c r="AD1362" s="135">
        <v>0.92</v>
      </c>
      <c r="AE1362" s="133">
        <v>0.999411533934876</v>
      </c>
      <c r="AF1362" s="133">
        <v>0.980314960629921</v>
      </c>
      <c r="AG1362" s="133">
        <v>0.998155467720685</v>
      </c>
      <c r="AH1362" s="133">
        <v>0.992591743995112</v>
      </c>
      <c r="AI1362" s="135">
        <v>0.92</v>
      </c>
      <c r="AJ1362" s="133">
        <v>0.967315460888726</v>
      </c>
      <c r="AK1362" s="133">
        <v>0.964687359424202</v>
      </c>
      <c r="AL1362" s="133">
        <v>0.969551282051282</v>
      </c>
      <c r="AM1362" s="133">
        <v>0.976788603271616</v>
      </c>
      <c r="AN1362" s="132">
        <v>0.99</v>
      </c>
      <c r="AO1362" s="137">
        <v>1</v>
      </c>
      <c r="AP1362" s="137">
        <v>1</v>
      </c>
      <c r="AQ1362" s="137">
        <v>1</v>
      </c>
      <c r="AR1362" s="137">
        <v>1</v>
      </c>
      <c r="AS1362" s="158">
        <v>0.0721861525408278</v>
      </c>
      <c r="AT1362" s="141">
        <v>0.0238095238095238</v>
      </c>
      <c r="AU1362" s="141">
        <v>0</v>
      </c>
      <c r="AV1362" s="141">
        <v>0.03125</v>
      </c>
      <c r="AW1362" s="141">
        <v>0.0327635327635328</v>
      </c>
      <c r="AX1362" s="95"/>
      <c r="AY1362" s="93"/>
    </row>
    <row r="1363" ht="14.5" spans="1:51">
      <c r="A1363" s="91"/>
      <c r="B1363" s="95"/>
      <c r="C1363" s="152" t="s">
        <v>1085</v>
      </c>
      <c r="D1363" s="153" t="s">
        <v>25</v>
      </c>
      <c r="E1363" s="130" t="s">
        <v>1086</v>
      </c>
      <c r="F1363" s="195" t="s">
        <v>1393</v>
      </c>
      <c r="G1363" s="195" t="s">
        <v>1393</v>
      </c>
      <c r="H1363" s="195" t="s">
        <v>1393</v>
      </c>
      <c r="I1363" s="195" t="s">
        <v>1393</v>
      </c>
      <c r="J1363" s="132">
        <v>0.9</v>
      </c>
      <c r="K1363" s="133">
        <v>0.923076923076923</v>
      </c>
      <c r="L1363" s="133">
        <v>0.96969696969697</v>
      </c>
      <c r="M1363" s="134">
        <v>0.953846153846154</v>
      </c>
      <c r="N1363" s="133">
        <v>0.963846153846154</v>
      </c>
      <c r="O1363" s="135">
        <v>0.9</v>
      </c>
      <c r="P1363" s="133">
        <v>0.99366802351877</v>
      </c>
      <c r="Q1363" s="133">
        <v>0.990482233502538</v>
      </c>
      <c r="R1363" s="133">
        <v>0.98343886994642</v>
      </c>
      <c r="S1363" s="133">
        <v>0.990914411526992</v>
      </c>
      <c r="T1363" s="135">
        <v>0.9</v>
      </c>
      <c r="U1363" s="133">
        <v>0.947987336047038</v>
      </c>
      <c r="V1363" s="133">
        <v>0.940672588832487</v>
      </c>
      <c r="W1363" s="133">
        <v>0.941061860691671</v>
      </c>
      <c r="X1363" s="133">
        <v>0.947632451715393</v>
      </c>
      <c r="Y1363" s="135">
        <v>0.92</v>
      </c>
      <c r="Z1363" s="135">
        <v>0.948663101604278</v>
      </c>
      <c r="AA1363" s="135">
        <v>0.961789099526066</v>
      </c>
      <c r="AB1363" s="135">
        <v>0.954601226993865</v>
      </c>
      <c r="AC1363" s="135">
        <v>0.967947720553913</v>
      </c>
      <c r="AD1363" s="135">
        <v>0.92</v>
      </c>
      <c r="AE1363" s="133">
        <v>0.992497320471597</v>
      </c>
      <c r="AF1363" s="133">
        <v>0.93235831809872</v>
      </c>
      <c r="AG1363" s="133">
        <v>0.99667497921862</v>
      </c>
      <c r="AH1363" s="133">
        <v>0.991689931592954</v>
      </c>
      <c r="AI1363" s="135">
        <v>0.92</v>
      </c>
      <c r="AJ1363" s="133">
        <v>0.964959568733154</v>
      </c>
      <c r="AK1363" s="133">
        <v>0.970894607843137</v>
      </c>
      <c r="AL1363" s="133">
        <v>0.96729098805646</v>
      </c>
      <c r="AM1363" s="133">
        <v>0.978667263314637</v>
      </c>
      <c r="AN1363" s="132">
        <v>0.99</v>
      </c>
      <c r="AO1363" s="137">
        <v>1</v>
      </c>
      <c r="AP1363" s="137">
        <v>1</v>
      </c>
      <c r="AQ1363" s="137">
        <v>1</v>
      </c>
      <c r="AR1363" s="137">
        <v>1</v>
      </c>
      <c r="AS1363" s="158">
        <v>0.0721861525408278</v>
      </c>
      <c r="AT1363" s="141">
        <v>0.03125</v>
      </c>
      <c r="AU1363" s="141">
        <v>0</v>
      </c>
      <c r="AV1363" s="141">
        <v>0</v>
      </c>
      <c r="AW1363" s="141">
        <v>0.03125</v>
      </c>
      <c r="AX1363" s="95"/>
      <c r="AY1363" s="93"/>
    </row>
    <row r="1364" ht="14.5" spans="1:51">
      <c r="A1364" s="91"/>
      <c r="B1364" s="95"/>
      <c r="C1364" s="152" t="s">
        <v>1085</v>
      </c>
      <c r="D1364" s="153" t="s">
        <v>25</v>
      </c>
      <c r="E1364" s="130" t="s">
        <v>1086</v>
      </c>
      <c r="F1364" s="195" t="s">
        <v>1394</v>
      </c>
      <c r="G1364" s="195" t="s">
        <v>1394</v>
      </c>
      <c r="H1364" s="195" t="s">
        <v>1394</v>
      </c>
      <c r="I1364" s="195" t="s">
        <v>1394</v>
      </c>
      <c r="J1364" s="132">
        <v>0.9</v>
      </c>
      <c r="K1364" s="133">
        <v>1</v>
      </c>
      <c r="L1364" s="133">
        <v>0.9</v>
      </c>
      <c r="M1364" s="134">
        <v>0.888888888888889</v>
      </c>
      <c r="N1364" s="133">
        <v>0.960674157303371</v>
      </c>
      <c r="O1364" s="135">
        <v>0.9</v>
      </c>
      <c r="P1364" s="133">
        <v>0.9985935302391</v>
      </c>
      <c r="Q1364" s="133">
        <v>0.995054401582592</v>
      </c>
      <c r="R1364" s="133">
        <v>0.995915032679739</v>
      </c>
      <c r="S1364" s="133">
        <v>0.988085264823606</v>
      </c>
      <c r="T1364" s="135">
        <v>0.9</v>
      </c>
      <c r="U1364" s="133">
        <v>0.935302390998594</v>
      </c>
      <c r="V1364" s="133">
        <v>0.943620178041543</v>
      </c>
      <c r="W1364" s="133">
        <v>0.95343137254902</v>
      </c>
      <c r="X1364" s="133">
        <v>0.930838685655776</v>
      </c>
      <c r="Y1364" s="135">
        <v>0.92</v>
      </c>
      <c r="Z1364" s="135">
        <v>0.965397923875433</v>
      </c>
      <c r="AA1364" s="135">
        <v>0.972195589645254</v>
      </c>
      <c r="AB1364" s="135">
        <v>0.958217270194986</v>
      </c>
      <c r="AC1364" s="135">
        <v>0.964442775930494</v>
      </c>
      <c r="AD1364" s="135">
        <v>0.92</v>
      </c>
      <c r="AE1364" s="133">
        <v>1</v>
      </c>
      <c r="AF1364" s="133">
        <v>1</v>
      </c>
      <c r="AG1364" s="133">
        <v>1</v>
      </c>
      <c r="AH1364" s="133">
        <v>0.992463425447022</v>
      </c>
      <c r="AI1364" s="135">
        <v>0.92</v>
      </c>
      <c r="AJ1364" s="133">
        <v>0.979053529868115</v>
      </c>
      <c r="AK1364" s="133">
        <v>0.978588807785888</v>
      </c>
      <c r="AL1364" s="133">
        <v>0.973924380704042</v>
      </c>
      <c r="AM1364" s="133">
        <v>0.977450540688693</v>
      </c>
      <c r="AN1364" s="132">
        <v>0.99</v>
      </c>
      <c r="AO1364" s="137">
        <v>1</v>
      </c>
      <c r="AP1364" s="137">
        <v>1</v>
      </c>
      <c r="AQ1364" s="137">
        <v>1</v>
      </c>
      <c r="AR1364" s="137">
        <v>1</v>
      </c>
      <c r="AS1364" s="158">
        <v>0.0721861525408278</v>
      </c>
      <c r="AT1364" s="141">
        <v>0</v>
      </c>
      <c r="AU1364" s="141">
        <v>0.0666666666666667</v>
      </c>
      <c r="AV1364" s="141">
        <v>0</v>
      </c>
      <c r="AW1364" s="141">
        <v>0.0489130434782609</v>
      </c>
      <c r="AX1364" s="95"/>
      <c r="AY1364" s="93"/>
    </row>
    <row r="1365" ht="14.5" spans="1:51">
      <c r="A1365" s="91"/>
      <c r="B1365" s="95"/>
      <c r="C1365" s="152" t="s">
        <v>1085</v>
      </c>
      <c r="D1365" s="153" t="s">
        <v>25</v>
      </c>
      <c r="E1365" s="130" t="s">
        <v>1086</v>
      </c>
      <c r="F1365" s="195" t="s">
        <v>1395</v>
      </c>
      <c r="G1365" s="195" t="s">
        <v>1395</v>
      </c>
      <c r="H1365" s="195" t="s">
        <v>1395</v>
      </c>
      <c r="I1365" s="195" t="s">
        <v>1395</v>
      </c>
      <c r="J1365" s="132">
        <v>0.9</v>
      </c>
      <c r="K1365" s="133">
        <v>0.936170212765957</v>
      </c>
      <c r="L1365" s="133">
        <v>0.94</v>
      </c>
      <c r="M1365" s="134">
        <v>0.978260869565217</v>
      </c>
      <c r="N1365" s="133">
        <v>0.932059447983015</v>
      </c>
      <c r="O1365" s="135">
        <v>0.9</v>
      </c>
      <c r="P1365" s="133">
        <v>0.96875</v>
      </c>
      <c r="Q1365" s="133">
        <v>0.97339482085846</v>
      </c>
      <c r="R1365" s="133">
        <v>0.956842703009654</v>
      </c>
      <c r="S1365" s="133">
        <v>0.968336530021781</v>
      </c>
      <c r="T1365" s="135">
        <v>0.9</v>
      </c>
      <c r="U1365" s="133">
        <v>0.90625</v>
      </c>
      <c r="V1365" s="133">
        <v>0.909542390918766</v>
      </c>
      <c r="W1365" s="133">
        <v>0.888131743327655</v>
      </c>
      <c r="X1365" s="133">
        <v>0.911478820584506</v>
      </c>
      <c r="Y1365" s="135">
        <v>0.92</v>
      </c>
      <c r="Z1365" s="135">
        <v>0.930216329378925</v>
      </c>
      <c r="AA1365" s="135">
        <v>0.939753537197627</v>
      </c>
      <c r="AB1365" s="135">
        <v>0.90828025477707</v>
      </c>
      <c r="AC1365" s="135">
        <v>0.945834839176003</v>
      </c>
      <c r="AD1365" s="135">
        <v>0.92</v>
      </c>
      <c r="AE1365" s="133">
        <v>0.998189061934082</v>
      </c>
      <c r="AF1365" s="133">
        <v>0.991388589881593</v>
      </c>
      <c r="AG1365" s="133">
        <v>0.994578610152785</v>
      </c>
      <c r="AH1365" s="133">
        <v>0.98871642293766</v>
      </c>
      <c r="AI1365" s="135">
        <v>0.92</v>
      </c>
      <c r="AJ1365" s="133">
        <v>0.951937984496124</v>
      </c>
      <c r="AK1365" s="133">
        <v>0.96127744510978</v>
      </c>
      <c r="AL1365" s="133">
        <v>0.935851624978731</v>
      </c>
      <c r="AM1365" s="133">
        <v>0.964498383712358</v>
      </c>
      <c r="AN1365" s="132">
        <v>0.99</v>
      </c>
      <c r="AO1365" s="137">
        <v>1</v>
      </c>
      <c r="AP1365" s="137">
        <v>1</v>
      </c>
      <c r="AQ1365" s="137">
        <v>1</v>
      </c>
      <c r="AR1365" s="137">
        <v>1</v>
      </c>
      <c r="AS1365" s="158">
        <v>0.0721861525408278</v>
      </c>
      <c r="AT1365" s="141">
        <v>0.0512820512820513</v>
      </c>
      <c r="AU1365" s="141">
        <v>0</v>
      </c>
      <c r="AV1365" s="141">
        <v>0</v>
      </c>
      <c r="AW1365" s="141">
        <v>0.0440340909090909</v>
      </c>
      <c r="AX1365" s="95"/>
      <c r="AY1365" s="93"/>
    </row>
    <row r="1366" ht="14.5" spans="1:51">
      <c r="A1366" s="91"/>
      <c r="B1366" s="95"/>
      <c r="C1366" s="152" t="s">
        <v>1085</v>
      </c>
      <c r="D1366" s="153" t="s">
        <v>25</v>
      </c>
      <c r="E1366" s="130" t="s">
        <v>1086</v>
      </c>
      <c r="F1366" s="195" t="s">
        <v>1396</v>
      </c>
      <c r="G1366" s="195" t="s">
        <v>1396</v>
      </c>
      <c r="H1366" s="195" t="s">
        <v>1396</v>
      </c>
      <c r="I1366" s="195" t="s">
        <v>1396</v>
      </c>
      <c r="J1366" s="132">
        <v>0.9</v>
      </c>
      <c r="K1366" s="133">
        <v>0.971014492753623</v>
      </c>
      <c r="L1366" s="133">
        <v>0.930555555555556</v>
      </c>
      <c r="M1366" s="134">
        <v>0.972602739726027</v>
      </c>
      <c r="N1366" s="133">
        <v>0.957894736842105</v>
      </c>
      <c r="O1366" s="135">
        <v>0.9</v>
      </c>
      <c r="P1366" s="133">
        <v>0.957362419434804</v>
      </c>
      <c r="Q1366" s="133">
        <v>0.949222797927461</v>
      </c>
      <c r="R1366" s="133">
        <v>0.92048692048692</v>
      </c>
      <c r="S1366" s="133">
        <v>0.942243993468626</v>
      </c>
      <c r="T1366" s="135">
        <v>0.9</v>
      </c>
      <c r="U1366" s="133">
        <v>0.797719385225582</v>
      </c>
      <c r="V1366" s="133">
        <v>0.760621761658031</v>
      </c>
      <c r="W1366" s="133">
        <v>0.731157731157731</v>
      </c>
      <c r="X1366" s="133">
        <v>0.755026825285748</v>
      </c>
      <c r="Y1366" s="135">
        <v>0.92</v>
      </c>
      <c r="Z1366" s="135">
        <v>0.899584076054664</v>
      </c>
      <c r="AA1366" s="135">
        <v>0.903703703703704</v>
      </c>
      <c r="AB1366" s="135">
        <v>0.884310134310134</v>
      </c>
      <c r="AC1366" s="135">
        <v>0.896956674755034</v>
      </c>
      <c r="AD1366" s="135">
        <v>0.92</v>
      </c>
      <c r="AE1366" s="133">
        <v>0.998832457676591</v>
      </c>
      <c r="AF1366" s="133">
        <v>0.997014925373134</v>
      </c>
      <c r="AG1366" s="133">
        <v>0.996478873239437</v>
      </c>
      <c r="AH1366" s="133">
        <v>0.994776931447225</v>
      </c>
      <c r="AI1366" s="135">
        <v>0.92</v>
      </c>
      <c r="AJ1366" s="133">
        <v>0.925425560659281</v>
      </c>
      <c r="AK1366" s="133">
        <v>0.934290271132376</v>
      </c>
      <c r="AL1366" s="133">
        <v>0.923928271224433</v>
      </c>
      <c r="AM1366" s="133">
        <v>0.932271589910056</v>
      </c>
      <c r="AN1366" s="132">
        <v>0.99</v>
      </c>
      <c r="AO1366" s="137">
        <v>1</v>
      </c>
      <c r="AP1366" s="137">
        <v>1</v>
      </c>
      <c r="AQ1366" s="137">
        <v>1</v>
      </c>
      <c r="AR1366" s="137">
        <v>1</v>
      </c>
      <c r="AS1366" s="158">
        <v>0.0721861525408278</v>
      </c>
      <c r="AT1366" s="141">
        <v>0</v>
      </c>
      <c r="AU1366" s="141">
        <v>0</v>
      </c>
      <c r="AV1366" s="141">
        <v>0.025</v>
      </c>
      <c r="AW1366" s="141">
        <v>0.0347648261758691</v>
      </c>
      <c r="AX1366" s="95"/>
      <c r="AY1366" s="93"/>
    </row>
    <row r="1367" ht="14.5" spans="1:51">
      <c r="A1367" s="91"/>
      <c r="B1367" s="95"/>
      <c r="C1367" s="152" t="s">
        <v>1085</v>
      </c>
      <c r="D1367" s="153" t="s">
        <v>25</v>
      </c>
      <c r="E1367" s="130" t="s">
        <v>1086</v>
      </c>
      <c r="F1367" s="195" t="s">
        <v>1397</v>
      </c>
      <c r="G1367" s="195" t="s">
        <v>1397</v>
      </c>
      <c r="H1367" s="195" t="s">
        <v>1397</v>
      </c>
      <c r="I1367" s="195" t="s">
        <v>1397</v>
      </c>
      <c r="J1367" s="132">
        <v>0.9</v>
      </c>
      <c r="K1367" s="133">
        <v>1</v>
      </c>
      <c r="L1367" s="133">
        <v>0.974358974358974</v>
      </c>
      <c r="M1367" s="134">
        <v>1</v>
      </c>
      <c r="N1367" s="133">
        <v>0.977044476327116</v>
      </c>
      <c r="O1367" s="135">
        <v>0.9</v>
      </c>
      <c r="P1367" s="133">
        <v>0.977481234361968</v>
      </c>
      <c r="Q1367" s="133">
        <v>0.988535695674831</v>
      </c>
      <c r="R1367" s="133">
        <v>0.988205560235889</v>
      </c>
      <c r="S1367" s="133">
        <v>0.980625077823434</v>
      </c>
      <c r="T1367" s="135">
        <v>0.9</v>
      </c>
      <c r="U1367" s="133">
        <v>0.906588824020017</v>
      </c>
      <c r="V1367" s="133">
        <v>0.921313183949974</v>
      </c>
      <c r="W1367" s="133">
        <v>0.926284751474305</v>
      </c>
      <c r="X1367" s="133">
        <v>0.92815340555348</v>
      </c>
      <c r="Y1367" s="135">
        <v>0.92</v>
      </c>
      <c r="Z1367" s="135">
        <v>0.953557312252964</v>
      </c>
      <c r="AA1367" s="135">
        <v>0.95973597359736</v>
      </c>
      <c r="AB1367" s="135">
        <v>0.964015151515151</v>
      </c>
      <c r="AC1367" s="135">
        <v>0.962970464135021</v>
      </c>
      <c r="AD1367" s="135">
        <v>0.92</v>
      </c>
      <c r="AE1367" s="133">
        <v>0.997390737116765</v>
      </c>
      <c r="AF1367" s="133">
        <v>0.999043062200957</v>
      </c>
      <c r="AG1367" s="133">
        <v>0.992952783650458</v>
      </c>
      <c r="AH1367" s="133">
        <v>0.990338840660879</v>
      </c>
      <c r="AI1367" s="135">
        <v>0.92</v>
      </c>
      <c r="AJ1367" s="133">
        <v>0.962912709181366</v>
      </c>
      <c r="AK1367" s="133">
        <v>0.97146185206756</v>
      </c>
      <c r="AL1367" s="133">
        <v>0.97599797877716</v>
      </c>
      <c r="AM1367" s="133">
        <v>0.976598885115286</v>
      </c>
      <c r="AN1367" s="132">
        <v>0.99</v>
      </c>
      <c r="AO1367" s="137">
        <v>1</v>
      </c>
      <c r="AP1367" s="137">
        <v>1</v>
      </c>
      <c r="AQ1367" s="137">
        <v>1</v>
      </c>
      <c r="AR1367" s="137">
        <v>1</v>
      </c>
      <c r="AS1367" s="158">
        <v>0.0721861525408278</v>
      </c>
      <c r="AT1367" s="141">
        <v>0.107142857142857</v>
      </c>
      <c r="AU1367" s="141">
        <v>0</v>
      </c>
      <c r="AV1367" s="141">
        <v>0</v>
      </c>
      <c r="AW1367" s="141">
        <v>0.035</v>
      </c>
      <c r="AX1367" s="95"/>
      <c r="AY1367" s="93"/>
    </row>
    <row r="1368" ht="14.5" spans="1:51">
      <c r="A1368" s="91"/>
      <c r="B1368" s="95"/>
      <c r="C1368" s="152" t="s">
        <v>1085</v>
      </c>
      <c r="D1368" s="153" t="s">
        <v>25</v>
      </c>
      <c r="E1368" s="130" t="s">
        <v>1086</v>
      </c>
      <c r="F1368" s="195" t="s">
        <v>1398</v>
      </c>
      <c r="G1368" s="195" t="s">
        <v>1398</v>
      </c>
      <c r="H1368" s="195" t="s">
        <v>1398</v>
      </c>
      <c r="I1368" s="195" t="s">
        <v>1398</v>
      </c>
      <c r="J1368" s="132">
        <v>0.9</v>
      </c>
      <c r="K1368" s="133">
        <v>1</v>
      </c>
      <c r="L1368" s="133">
        <v>1</v>
      </c>
      <c r="M1368" s="134">
        <v>1</v>
      </c>
      <c r="N1368" s="133">
        <v>0.997627520759193</v>
      </c>
      <c r="O1368" s="135">
        <v>0.9</v>
      </c>
      <c r="P1368" s="133">
        <v>0.99438202247191</v>
      </c>
      <c r="Q1368" s="133">
        <v>0.998077847188852</v>
      </c>
      <c r="R1368" s="133">
        <v>0.996223248006714</v>
      </c>
      <c r="S1368" s="133">
        <v>0.995927136015754</v>
      </c>
      <c r="T1368" s="135">
        <v>0.9</v>
      </c>
      <c r="U1368" s="133">
        <v>0.915730337078652</v>
      </c>
      <c r="V1368" s="133">
        <v>0.918308505526189</v>
      </c>
      <c r="W1368" s="133">
        <v>0.870751154007554</v>
      </c>
      <c r="X1368" s="133">
        <v>0.92295125990243</v>
      </c>
      <c r="Y1368" s="135">
        <v>0.92</v>
      </c>
      <c r="Z1368" s="135">
        <v>0.977618621307073</v>
      </c>
      <c r="AA1368" s="135">
        <v>0.974346076458752</v>
      </c>
      <c r="AB1368" s="135">
        <v>0.97688145597639</v>
      </c>
      <c r="AC1368" s="135">
        <v>0.97997812736603</v>
      </c>
      <c r="AD1368" s="135">
        <v>0.92</v>
      </c>
      <c r="AE1368" s="133">
        <v>0.99931833674165</v>
      </c>
      <c r="AF1368" s="133">
        <v>0.981627296587926</v>
      </c>
      <c r="AG1368" s="133">
        <v>0.999211977935382</v>
      </c>
      <c r="AH1368" s="133">
        <v>0.996633160925149</v>
      </c>
      <c r="AI1368" s="135">
        <v>0.92</v>
      </c>
      <c r="AJ1368" s="133">
        <v>0.987012987012987</v>
      </c>
      <c r="AK1368" s="133">
        <v>0.982305234701401</v>
      </c>
      <c r="AL1368" s="133">
        <v>0.985054347826087</v>
      </c>
      <c r="AM1368" s="133">
        <v>0.987255914674366</v>
      </c>
      <c r="AN1368" s="132">
        <v>0.99</v>
      </c>
      <c r="AO1368" s="137">
        <v>1</v>
      </c>
      <c r="AP1368" s="137">
        <v>1</v>
      </c>
      <c r="AQ1368" s="137">
        <v>1</v>
      </c>
      <c r="AR1368" s="137">
        <v>1</v>
      </c>
      <c r="AS1368" s="158">
        <v>0.0721861525408278</v>
      </c>
      <c r="AT1368" s="141">
        <v>0</v>
      </c>
      <c r="AU1368" s="141">
        <v>0</v>
      </c>
      <c r="AV1368" s="141">
        <v>0</v>
      </c>
      <c r="AW1368" s="141">
        <v>0.032</v>
      </c>
      <c r="AX1368" s="95"/>
      <c r="AY1368" s="93"/>
    </row>
    <row r="1369" ht="14.5" spans="1:51">
      <c r="A1369" s="91"/>
      <c r="B1369" s="95"/>
      <c r="C1369" s="152" t="s">
        <v>1085</v>
      </c>
      <c r="D1369" s="153" t="s">
        <v>25</v>
      </c>
      <c r="E1369" s="130" t="s">
        <v>1086</v>
      </c>
      <c r="F1369" s="195" t="s">
        <v>1399</v>
      </c>
      <c r="G1369" s="195" t="s">
        <v>1399</v>
      </c>
      <c r="H1369" s="195" t="s">
        <v>1399</v>
      </c>
      <c r="I1369" s="195" t="s">
        <v>1399</v>
      </c>
      <c r="J1369" s="132">
        <v>0.9</v>
      </c>
      <c r="K1369" s="133">
        <v>0.964285714285714</v>
      </c>
      <c r="L1369" s="133">
        <v>0.964285714285714</v>
      </c>
      <c r="M1369" s="134">
        <v>0.962962962962963</v>
      </c>
      <c r="N1369" s="133">
        <v>0.947272727272727</v>
      </c>
      <c r="O1369" s="135">
        <v>0.9</v>
      </c>
      <c r="P1369" s="133">
        <v>0.999150382327952</v>
      </c>
      <c r="Q1369" s="133">
        <v>0.996897621509824</v>
      </c>
      <c r="R1369" s="133">
        <v>0.992901508429459</v>
      </c>
      <c r="S1369" s="133">
        <v>0.988125014609972</v>
      </c>
      <c r="T1369" s="135">
        <v>0.9</v>
      </c>
      <c r="U1369" s="133">
        <v>0.960067969413764</v>
      </c>
      <c r="V1369" s="133">
        <v>0.957083764219235</v>
      </c>
      <c r="W1369" s="133">
        <v>0.936557231588288</v>
      </c>
      <c r="X1369" s="133">
        <v>0.955071413544029</v>
      </c>
      <c r="Y1369" s="135">
        <v>0.92</v>
      </c>
      <c r="Z1369" s="135">
        <v>0.961496149614962</v>
      </c>
      <c r="AA1369" s="135">
        <v>0.982813494589433</v>
      </c>
      <c r="AB1369" s="135">
        <v>0.941544885177453</v>
      </c>
      <c r="AC1369" s="135">
        <v>0.971751412429379</v>
      </c>
      <c r="AD1369" s="135">
        <v>0.92</v>
      </c>
      <c r="AE1369" s="133">
        <v>1</v>
      </c>
      <c r="AF1369" s="133">
        <v>1</v>
      </c>
      <c r="AG1369" s="133">
        <v>1</v>
      </c>
      <c r="AH1369" s="133">
        <v>0.99959796791053</v>
      </c>
      <c r="AI1369" s="135">
        <v>0.92</v>
      </c>
      <c r="AJ1369" s="133">
        <v>0.978427612655801</v>
      </c>
      <c r="AK1369" s="133">
        <v>0.987446504992867</v>
      </c>
      <c r="AL1369" s="133">
        <v>0.95947242206235</v>
      </c>
      <c r="AM1369" s="133">
        <v>0.98252615533846</v>
      </c>
      <c r="AN1369" s="132">
        <v>0.99</v>
      </c>
      <c r="AO1369" s="137">
        <v>1</v>
      </c>
      <c r="AP1369" s="137">
        <v>1</v>
      </c>
      <c r="AQ1369" s="137">
        <v>1</v>
      </c>
      <c r="AR1369" s="137">
        <v>1</v>
      </c>
      <c r="AS1369" s="158">
        <v>0.0721861525408278</v>
      </c>
      <c r="AT1369" s="141">
        <v>0</v>
      </c>
      <c r="AU1369" s="141">
        <v>0.136363636363636</v>
      </c>
      <c r="AV1369" s="141">
        <v>0.2</v>
      </c>
      <c r="AW1369" s="141">
        <v>0.0636704119850187</v>
      </c>
      <c r="AX1369" s="95"/>
      <c r="AY1369" s="93"/>
    </row>
    <row r="1370" ht="14.5" spans="1:51">
      <c r="A1370" s="91"/>
      <c r="B1370" s="95"/>
      <c r="C1370" s="152" t="s">
        <v>1085</v>
      </c>
      <c r="D1370" s="153" t="s">
        <v>25</v>
      </c>
      <c r="E1370" s="130" t="s">
        <v>1086</v>
      </c>
      <c r="F1370" s="195" t="s">
        <v>1400</v>
      </c>
      <c r="G1370" s="195" t="s">
        <v>1400</v>
      </c>
      <c r="H1370" s="195" t="s">
        <v>1400</v>
      </c>
      <c r="I1370" s="195" t="s">
        <v>1400</v>
      </c>
      <c r="J1370" s="132">
        <v>0.9</v>
      </c>
      <c r="K1370" s="133">
        <v>0.916666666666667</v>
      </c>
      <c r="L1370" s="133">
        <v>0.941176470588235</v>
      </c>
      <c r="M1370" s="134">
        <v>0.9375</v>
      </c>
      <c r="N1370" s="133">
        <v>0.961479198767334</v>
      </c>
      <c r="O1370" s="135">
        <v>0.9</v>
      </c>
      <c r="P1370" s="133">
        <v>0.966535433070866</v>
      </c>
      <c r="Q1370" s="133">
        <v>0.983843046739758</v>
      </c>
      <c r="R1370" s="133">
        <v>0.969749854566608</v>
      </c>
      <c r="S1370" s="133">
        <v>0.977523318419656</v>
      </c>
      <c r="T1370" s="135">
        <v>0.9</v>
      </c>
      <c r="U1370" s="133">
        <v>0.965748031496063</v>
      </c>
      <c r="V1370" s="133">
        <v>0.972879399884593</v>
      </c>
      <c r="W1370" s="133">
        <v>0.963350785340314</v>
      </c>
      <c r="X1370" s="133">
        <v>0.962053537574884</v>
      </c>
      <c r="Y1370" s="135">
        <v>0.92</v>
      </c>
      <c r="Z1370" s="135" t="s">
        <v>35</v>
      </c>
      <c r="AA1370" s="135" t="s">
        <v>35</v>
      </c>
      <c r="AB1370" s="135" t="s">
        <v>35</v>
      </c>
      <c r="AC1370" s="135">
        <v>0</v>
      </c>
      <c r="AD1370" s="135">
        <v>0.92</v>
      </c>
      <c r="AE1370" s="133">
        <v>0.999673416067929</v>
      </c>
      <c r="AF1370" s="133">
        <v>0.997995991983968</v>
      </c>
      <c r="AG1370" s="133">
        <v>1</v>
      </c>
      <c r="AH1370" s="133">
        <v>0.998822917522105</v>
      </c>
      <c r="AI1370" s="135">
        <v>0.92</v>
      </c>
      <c r="AJ1370" s="133">
        <v>0.980314960629921</v>
      </c>
      <c r="AK1370" s="133">
        <v>0.98730525100981</v>
      </c>
      <c r="AL1370" s="133">
        <v>0.984874927283304</v>
      </c>
      <c r="AM1370" s="133">
        <v>0.987412226822573</v>
      </c>
      <c r="AN1370" s="132">
        <v>0.99</v>
      </c>
      <c r="AO1370" s="137">
        <v>1</v>
      </c>
      <c r="AP1370" s="137">
        <v>1</v>
      </c>
      <c r="AQ1370" s="137">
        <v>1</v>
      </c>
      <c r="AR1370" s="137">
        <v>1</v>
      </c>
      <c r="AS1370" s="158">
        <v>0.0721861525408278</v>
      </c>
      <c r="AT1370" s="141">
        <v>0</v>
      </c>
      <c r="AU1370" s="141">
        <v>0</v>
      </c>
      <c r="AV1370" s="141">
        <v>0</v>
      </c>
      <c r="AW1370" s="141">
        <v>0.045643153526971</v>
      </c>
      <c r="AX1370" s="95"/>
      <c r="AY1370" s="93"/>
    </row>
    <row r="1371" ht="14.5" spans="1:51">
      <c r="A1371" s="91"/>
      <c r="B1371" s="95"/>
      <c r="C1371" s="152" t="s">
        <v>1085</v>
      </c>
      <c r="D1371" s="153" t="s">
        <v>25</v>
      </c>
      <c r="E1371" s="130" t="s">
        <v>1086</v>
      </c>
      <c r="F1371" s="195" t="s">
        <v>1401</v>
      </c>
      <c r="G1371" s="195" t="s">
        <v>1401</v>
      </c>
      <c r="H1371" s="195" t="s">
        <v>1401</v>
      </c>
      <c r="I1371" s="195" t="s">
        <v>1401</v>
      </c>
      <c r="J1371" s="132">
        <v>0.9</v>
      </c>
      <c r="K1371" s="133">
        <v>0.966666666666667</v>
      </c>
      <c r="L1371" s="133">
        <v>1</v>
      </c>
      <c r="M1371" s="134">
        <v>1</v>
      </c>
      <c r="N1371" s="133">
        <v>0.960975609756098</v>
      </c>
      <c r="O1371" s="135">
        <v>0.9</v>
      </c>
      <c r="P1371" s="133">
        <v>0.995359628770302</v>
      </c>
      <c r="Q1371" s="133">
        <v>0.994526722472634</v>
      </c>
      <c r="R1371" s="133">
        <v>0.988159675236806</v>
      </c>
      <c r="S1371" s="133">
        <v>0.986552308343922</v>
      </c>
      <c r="T1371" s="135">
        <v>0.9</v>
      </c>
      <c r="U1371" s="133">
        <v>0.961948955916473</v>
      </c>
      <c r="V1371" s="133">
        <v>0.971667739858339</v>
      </c>
      <c r="W1371" s="133">
        <v>0.963125845737483</v>
      </c>
      <c r="X1371" s="133">
        <v>0.930432020330369</v>
      </c>
      <c r="Y1371" s="135">
        <v>0.92</v>
      </c>
      <c r="Z1371" s="135">
        <v>0</v>
      </c>
      <c r="AA1371" s="135" t="s">
        <v>35</v>
      </c>
      <c r="AB1371" s="135" t="s">
        <v>35</v>
      </c>
      <c r="AC1371" s="135">
        <v>0</v>
      </c>
      <c r="AD1371" s="135">
        <v>0.92</v>
      </c>
      <c r="AE1371" s="133">
        <v>1</v>
      </c>
      <c r="AF1371" s="133">
        <v>0.999479437792816</v>
      </c>
      <c r="AG1371" s="133">
        <v>0.998581560283688</v>
      </c>
      <c r="AH1371" s="133">
        <v>0.998799350236599</v>
      </c>
      <c r="AI1371" s="135">
        <v>0.92</v>
      </c>
      <c r="AJ1371" s="133">
        <v>0.978683966635774</v>
      </c>
      <c r="AK1371" s="133">
        <v>0.990985189954926</v>
      </c>
      <c r="AL1371" s="133">
        <v>0.986468200270636</v>
      </c>
      <c r="AM1371" s="133">
        <v>0.988264982000424</v>
      </c>
      <c r="AN1371" s="132">
        <v>0.99</v>
      </c>
      <c r="AO1371" s="137">
        <v>1</v>
      </c>
      <c r="AP1371" s="137">
        <v>1</v>
      </c>
      <c r="AQ1371" s="137">
        <v>1</v>
      </c>
      <c r="AR1371" s="137">
        <v>1</v>
      </c>
      <c r="AS1371" s="158">
        <v>0.0721861525408278</v>
      </c>
      <c r="AT1371" s="141">
        <v>0</v>
      </c>
      <c r="AU1371" s="141">
        <v>0</v>
      </c>
      <c r="AV1371" s="141">
        <v>0</v>
      </c>
      <c r="AW1371" s="141">
        <v>0.0204081632653061</v>
      </c>
      <c r="AX1371" s="95"/>
      <c r="AY1371" s="93"/>
    </row>
    <row r="1372" ht="14.5" spans="1:51">
      <c r="A1372" s="91"/>
      <c r="B1372" s="95"/>
      <c r="C1372" s="152" t="s">
        <v>1085</v>
      </c>
      <c r="D1372" s="153" t="s">
        <v>25</v>
      </c>
      <c r="E1372" s="130" t="s">
        <v>1086</v>
      </c>
      <c r="F1372" s="195" t="s">
        <v>1402</v>
      </c>
      <c r="G1372" s="195" t="s">
        <v>1402</v>
      </c>
      <c r="H1372" s="195" t="s">
        <v>1402</v>
      </c>
      <c r="I1372" s="195" t="s">
        <v>1402</v>
      </c>
      <c r="J1372" s="132">
        <v>0.9</v>
      </c>
      <c r="K1372" s="133">
        <v>0.888888888888889</v>
      </c>
      <c r="L1372" s="133">
        <v>0.888888888888889</v>
      </c>
      <c r="M1372" s="134">
        <v>0.941176470588235</v>
      </c>
      <c r="N1372" s="133">
        <v>0.93984962406015</v>
      </c>
      <c r="O1372" s="135">
        <v>0.9</v>
      </c>
      <c r="P1372" s="133">
        <v>0.966697080291971</v>
      </c>
      <c r="Q1372" s="133">
        <v>0.947351102336295</v>
      </c>
      <c r="R1372" s="133">
        <v>0.90943139257746</v>
      </c>
      <c r="S1372" s="133">
        <v>0.950855429077772</v>
      </c>
      <c r="T1372" s="135">
        <v>0.9</v>
      </c>
      <c r="U1372" s="133">
        <v>0.93978102189781</v>
      </c>
      <c r="V1372" s="133">
        <v>0.927936821322804</v>
      </c>
      <c r="W1372" s="133">
        <v>0.896493020088526</v>
      </c>
      <c r="X1372" s="133">
        <v>0.926760275373185</v>
      </c>
      <c r="Y1372" s="135">
        <v>0.92</v>
      </c>
      <c r="Z1372" s="135">
        <v>0</v>
      </c>
      <c r="AA1372" s="135" t="s">
        <v>35</v>
      </c>
      <c r="AB1372" s="135" t="s">
        <v>35</v>
      </c>
      <c r="AC1372" s="135">
        <v>0</v>
      </c>
      <c r="AD1372" s="135">
        <v>0.92</v>
      </c>
      <c r="AE1372" s="133">
        <v>1</v>
      </c>
      <c r="AF1372" s="133">
        <v>1</v>
      </c>
      <c r="AG1372" s="133">
        <v>0.986666666666667</v>
      </c>
      <c r="AH1372" s="133">
        <v>0.991768631813126</v>
      </c>
      <c r="AI1372" s="135">
        <v>0.92</v>
      </c>
      <c r="AJ1372" s="133">
        <v>0.970856102003643</v>
      </c>
      <c r="AK1372" s="133">
        <v>0.967752550180981</v>
      </c>
      <c r="AL1372" s="133">
        <v>0.955056179775281</v>
      </c>
      <c r="AM1372" s="133">
        <v>0.970062533013001</v>
      </c>
      <c r="AN1372" s="132">
        <v>0.99</v>
      </c>
      <c r="AO1372" s="137">
        <v>1</v>
      </c>
      <c r="AP1372" s="137">
        <v>1</v>
      </c>
      <c r="AQ1372" s="137">
        <v>1</v>
      </c>
      <c r="AR1372" s="137">
        <v>1</v>
      </c>
      <c r="AS1372" s="158">
        <v>0.0721861525408278</v>
      </c>
      <c r="AT1372" s="141">
        <v>0.0625</v>
      </c>
      <c r="AU1372" s="141">
        <v>0</v>
      </c>
      <c r="AV1372" s="141">
        <v>0</v>
      </c>
      <c r="AW1372" s="141">
        <v>0.0145631067961165</v>
      </c>
      <c r="AX1372" s="95"/>
      <c r="AY1372" s="93"/>
    </row>
    <row r="1373" ht="14.5" spans="1:51">
      <c r="A1373" s="91"/>
      <c r="B1373" s="95"/>
      <c r="C1373" s="152" t="s">
        <v>1085</v>
      </c>
      <c r="D1373" s="153" t="s">
        <v>25</v>
      </c>
      <c r="E1373" s="130" t="s">
        <v>1086</v>
      </c>
      <c r="F1373" s="195" t="s">
        <v>1403</v>
      </c>
      <c r="G1373" s="195" t="s">
        <v>1403</v>
      </c>
      <c r="H1373" s="195" t="s">
        <v>1403</v>
      </c>
      <c r="I1373" s="195" t="s">
        <v>1403</v>
      </c>
      <c r="J1373" s="132">
        <v>0.9</v>
      </c>
      <c r="K1373" s="133">
        <v>1</v>
      </c>
      <c r="L1373" s="133">
        <v>1</v>
      </c>
      <c r="M1373" s="134">
        <v>1</v>
      </c>
      <c r="N1373" s="133">
        <v>0.993119266055046</v>
      </c>
      <c r="O1373" s="135">
        <v>0.9</v>
      </c>
      <c r="P1373" s="133">
        <v>0.994236311239193</v>
      </c>
      <c r="Q1373" s="133">
        <v>0.989105058365759</v>
      </c>
      <c r="R1373" s="133">
        <v>0.991689750692521</v>
      </c>
      <c r="S1373" s="133">
        <v>0.990965596993351</v>
      </c>
      <c r="T1373" s="135">
        <v>0.9</v>
      </c>
      <c r="U1373" s="133">
        <v>0.96685878962536</v>
      </c>
      <c r="V1373" s="133">
        <v>0.949416342412451</v>
      </c>
      <c r="W1373" s="133">
        <v>0.964681440443213</v>
      </c>
      <c r="X1373" s="133">
        <v>0.955478461983232</v>
      </c>
      <c r="Y1373" s="135">
        <v>0.92</v>
      </c>
      <c r="Z1373" s="135">
        <v>0.98641765704584</v>
      </c>
      <c r="AA1373" s="135">
        <v>0.977906976744186</v>
      </c>
      <c r="AB1373" s="135">
        <v>0.978305785123967</v>
      </c>
      <c r="AC1373" s="135">
        <v>0.983296153218347</v>
      </c>
      <c r="AD1373" s="135">
        <v>0.92</v>
      </c>
      <c r="AE1373" s="133">
        <v>1</v>
      </c>
      <c r="AF1373" s="133">
        <v>1</v>
      </c>
      <c r="AG1373" s="133">
        <v>0.995294117647059</v>
      </c>
      <c r="AH1373" s="133">
        <v>0.997067674974921</v>
      </c>
      <c r="AI1373" s="135">
        <v>0.92</v>
      </c>
      <c r="AJ1373" s="133">
        <v>0.987529228371005</v>
      </c>
      <c r="AK1373" s="133">
        <v>0.985081585081585</v>
      </c>
      <c r="AL1373" s="133">
        <v>0.988805970149254</v>
      </c>
      <c r="AM1373" s="133">
        <v>0.989252214695154</v>
      </c>
      <c r="AN1373" s="132">
        <v>0.99</v>
      </c>
      <c r="AO1373" s="137">
        <v>1</v>
      </c>
      <c r="AP1373" s="137">
        <v>1</v>
      </c>
      <c r="AQ1373" s="137">
        <v>1</v>
      </c>
      <c r="AR1373" s="137">
        <v>1</v>
      </c>
      <c r="AS1373" s="158">
        <v>0.0721861525408278</v>
      </c>
      <c r="AT1373" s="141">
        <v>0.2</v>
      </c>
      <c r="AU1373" s="141">
        <v>0.0833333333333333</v>
      </c>
      <c r="AV1373" s="141">
        <v>0.166666666666667</v>
      </c>
      <c r="AW1373" s="141">
        <v>0.0635838150289017</v>
      </c>
      <c r="AX1373" s="95"/>
      <c r="AY1373" s="93"/>
    </row>
    <row r="1374" ht="14.5" spans="1:51">
      <c r="A1374" s="91"/>
      <c r="B1374" s="95"/>
      <c r="C1374" s="152" t="s">
        <v>1085</v>
      </c>
      <c r="D1374" s="153" t="s">
        <v>25</v>
      </c>
      <c r="E1374" s="130" t="s">
        <v>1086</v>
      </c>
      <c r="F1374" s="195" t="s">
        <v>1404</v>
      </c>
      <c r="G1374" s="195" t="s">
        <v>1404</v>
      </c>
      <c r="H1374" s="195" t="s">
        <v>1404</v>
      </c>
      <c r="I1374" s="195" t="s">
        <v>1404</v>
      </c>
      <c r="J1374" s="132">
        <v>0.9</v>
      </c>
      <c r="K1374" s="133">
        <v>1</v>
      </c>
      <c r="L1374" s="133">
        <v>0.975609756097561</v>
      </c>
      <c r="M1374" s="134">
        <v>0.875</v>
      </c>
      <c r="N1374" s="133">
        <v>0.97768479776848</v>
      </c>
      <c r="O1374" s="135">
        <v>0.9</v>
      </c>
      <c r="P1374" s="133">
        <v>0.998381877022654</v>
      </c>
      <c r="Q1374" s="133">
        <v>0.992548435171386</v>
      </c>
      <c r="R1374" s="133">
        <v>0.936605316973415</v>
      </c>
      <c r="S1374" s="133">
        <v>0.959126851542488</v>
      </c>
      <c r="T1374" s="135">
        <v>0.9</v>
      </c>
      <c r="U1374" s="133">
        <v>0.940938511326861</v>
      </c>
      <c r="V1374" s="133">
        <v>0.949329359165425</v>
      </c>
      <c r="W1374" s="133">
        <v>0.894478527607362</v>
      </c>
      <c r="X1374" s="133">
        <v>0.939280543490366</v>
      </c>
      <c r="Y1374" s="135">
        <v>0.92</v>
      </c>
      <c r="Z1374" s="135">
        <v>0.950048030739673</v>
      </c>
      <c r="AA1374" s="135">
        <v>0.94693094629156</v>
      </c>
      <c r="AB1374" s="135">
        <v>0.954785954785955</v>
      </c>
      <c r="AC1374" s="135">
        <v>0.960829854681272</v>
      </c>
      <c r="AD1374" s="135">
        <v>0.92</v>
      </c>
      <c r="AE1374" s="133">
        <v>0.998618784530387</v>
      </c>
      <c r="AF1374" s="133">
        <v>1</v>
      </c>
      <c r="AG1374" s="133">
        <v>0.999275887038378</v>
      </c>
      <c r="AH1374" s="133">
        <v>0.998209810239885</v>
      </c>
      <c r="AI1374" s="135">
        <v>0.92</v>
      </c>
      <c r="AJ1374" s="133">
        <v>0.963109354413702</v>
      </c>
      <c r="AK1374" s="133">
        <v>0.966172770478054</v>
      </c>
      <c r="AL1374" s="133">
        <v>0.969944751381215</v>
      </c>
      <c r="AM1374" s="133">
        <v>0.975298991636051</v>
      </c>
      <c r="AN1374" s="132">
        <v>0.99</v>
      </c>
      <c r="AO1374" s="137">
        <v>1</v>
      </c>
      <c r="AP1374" s="137">
        <v>1</v>
      </c>
      <c r="AQ1374" s="137">
        <v>1</v>
      </c>
      <c r="AR1374" s="137">
        <v>1</v>
      </c>
      <c r="AS1374" s="158">
        <v>0.0721861525408278</v>
      </c>
      <c r="AT1374" s="141">
        <v>0.0555555555555556</v>
      </c>
      <c r="AU1374" s="141">
        <v>0.117647058823529</v>
      </c>
      <c r="AV1374" s="141">
        <v>0.0526315789473684</v>
      </c>
      <c r="AW1374" s="141">
        <v>0.0534591194968553</v>
      </c>
      <c r="AX1374" s="95"/>
      <c r="AY1374" s="93"/>
    </row>
    <row r="1375" ht="14.5" spans="1:51">
      <c r="A1375" s="91"/>
      <c r="B1375" s="95"/>
      <c r="C1375" s="152" t="s">
        <v>1085</v>
      </c>
      <c r="D1375" s="153" t="s">
        <v>25</v>
      </c>
      <c r="E1375" s="130" t="s">
        <v>1086</v>
      </c>
      <c r="F1375" s="195" t="s">
        <v>1405</v>
      </c>
      <c r="G1375" s="195" t="s">
        <v>1405</v>
      </c>
      <c r="H1375" s="195" t="s">
        <v>1405</v>
      </c>
      <c r="I1375" s="195" t="s">
        <v>1405</v>
      </c>
      <c r="J1375" s="132">
        <v>0.9</v>
      </c>
      <c r="K1375" s="133">
        <v>0.941176470588235</v>
      </c>
      <c r="L1375" s="133">
        <v>0.944444444444444</v>
      </c>
      <c r="M1375" s="134">
        <v>0.947368421052632</v>
      </c>
      <c r="N1375" s="133">
        <v>0.972222222222222</v>
      </c>
      <c r="O1375" s="135">
        <v>0.9</v>
      </c>
      <c r="P1375" s="133">
        <v>0.977459016393443</v>
      </c>
      <c r="Q1375" s="133">
        <v>0.989118607181719</v>
      </c>
      <c r="R1375" s="133">
        <v>0.988816402609506</v>
      </c>
      <c r="S1375" s="133">
        <v>0.988671046505613</v>
      </c>
      <c r="T1375" s="135">
        <v>0.9</v>
      </c>
      <c r="U1375" s="133">
        <v>0.913934426229508</v>
      </c>
      <c r="V1375" s="133">
        <v>0.939064200217628</v>
      </c>
      <c r="W1375" s="133">
        <v>0.947809878844362</v>
      </c>
      <c r="X1375" s="133">
        <v>0.928405152345973</v>
      </c>
      <c r="Y1375" s="135">
        <v>0.92</v>
      </c>
      <c r="Z1375" s="135">
        <v>0.934684684684685</v>
      </c>
      <c r="AA1375" s="135">
        <v>0.936274509803922</v>
      </c>
      <c r="AB1375" s="135">
        <v>0.936813186813187</v>
      </c>
      <c r="AC1375" s="135">
        <v>0.949487554904832</v>
      </c>
      <c r="AD1375" s="135">
        <v>0.92</v>
      </c>
      <c r="AE1375" s="133">
        <v>0.997093023255814</v>
      </c>
      <c r="AF1375" s="133">
        <v>0.996086105675147</v>
      </c>
      <c r="AG1375" s="133">
        <v>0.996268656716418</v>
      </c>
      <c r="AH1375" s="133">
        <v>0.996106910234334</v>
      </c>
      <c r="AI1375" s="135">
        <v>0.92</v>
      </c>
      <c r="AJ1375" s="133">
        <v>0.947424892703863</v>
      </c>
      <c r="AK1375" s="133">
        <v>0.959503592423253</v>
      </c>
      <c r="AL1375" s="133">
        <v>0.960022209883398</v>
      </c>
      <c r="AM1375" s="133">
        <v>0.96893645231556</v>
      </c>
      <c r="AN1375" s="132">
        <v>0.99</v>
      </c>
      <c r="AO1375" s="137">
        <v>1</v>
      </c>
      <c r="AP1375" s="137">
        <v>1</v>
      </c>
      <c r="AQ1375" s="137">
        <v>1</v>
      </c>
      <c r="AR1375" s="137">
        <v>1</v>
      </c>
      <c r="AS1375" s="158">
        <v>0.0721861525408278</v>
      </c>
      <c r="AT1375" s="141">
        <v>0</v>
      </c>
      <c r="AU1375" s="141">
        <v>0</v>
      </c>
      <c r="AV1375" s="141">
        <v>0</v>
      </c>
      <c r="AW1375" s="141">
        <v>0.0514285714285714</v>
      </c>
      <c r="AX1375" s="95"/>
      <c r="AY1375" s="93"/>
    </row>
    <row r="1376" ht="14.5" spans="1:51">
      <c r="A1376" s="91"/>
      <c r="B1376" s="95"/>
      <c r="C1376" s="152" t="s">
        <v>1085</v>
      </c>
      <c r="D1376" s="153" t="s">
        <v>25</v>
      </c>
      <c r="E1376" s="130" t="s">
        <v>1086</v>
      </c>
      <c r="F1376" s="195" t="s">
        <v>1406</v>
      </c>
      <c r="G1376" s="195" t="s">
        <v>1406</v>
      </c>
      <c r="H1376" s="195" t="s">
        <v>1406</v>
      </c>
      <c r="I1376" s="195" t="s">
        <v>1406</v>
      </c>
      <c r="J1376" s="132">
        <v>0.9</v>
      </c>
      <c r="K1376" s="133">
        <v>0.975</v>
      </c>
      <c r="L1376" s="133">
        <v>0.952380952380952</v>
      </c>
      <c r="M1376" s="134">
        <v>0.974358974358974</v>
      </c>
      <c r="N1376" s="133">
        <v>0.960526315789474</v>
      </c>
      <c r="O1376" s="135">
        <v>0.9</v>
      </c>
      <c r="P1376" s="133">
        <v>0.993721222268732</v>
      </c>
      <c r="Q1376" s="133">
        <v>0.990691901954701</v>
      </c>
      <c r="R1376" s="133">
        <v>0.967520299812617</v>
      </c>
      <c r="S1376" s="133">
        <v>0.962914150345334</v>
      </c>
      <c r="T1376" s="135">
        <v>0.9</v>
      </c>
      <c r="U1376" s="133">
        <v>0.946421096693177</v>
      </c>
      <c r="V1376" s="133">
        <v>0.885510394042817</v>
      </c>
      <c r="W1376" s="133">
        <v>0.86633354153654</v>
      </c>
      <c r="X1376" s="133">
        <v>0.870808448166561</v>
      </c>
      <c r="Y1376" s="135">
        <v>0.92</v>
      </c>
      <c r="Z1376" s="135" t="s">
        <v>35</v>
      </c>
      <c r="AA1376" s="135" t="s">
        <v>35</v>
      </c>
      <c r="AB1376" s="135" t="s">
        <v>35</v>
      </c>
      <c r="AC1376" s="135" t="s">
        <v>35</v>
      </c>
      <c r="AD1376" s="135">
        <v>0.92</v>
      </c>
      <c r="AE1376" s="133">
        <v>1</v>
      </c>
      <c r="AF1376" s="133">
        <v>1</v>
      </c>
      <c r="AG1376" s="133">
        <v>1</v>
      </c>
      <c r="AH1376" s="133">
        <v>1</v>
      </c>
      <c r="AI1376" s="135">
        <v>0.92</v>
      </c>
      <c r="AJ1376" s="133">
        <v>0.961908748430306</v>
      </c>
      <c r="AK1376" s="133">
        <v>0.965249767297549</v>
      </c>
      <c r="AL1376" s="133">
        <v>0.97314178638351</v>
      </c>
      <c r="AM1376" s="133">
        <v>0.968202595842648</v>
      </c>
      <c r="AN1376" s="132">
        <v>0.99</v>
      </c>
      <c r="AO1376" s="137">
        <v>1</v>
      </c>
      <c r="AP1376" s="137">
        <v>1</v>
      </c>
      <c r="AQ1376" s="137">
        <v>1</v>
      </c>
      <c r="AR1376" s="137">
        <v>1</v>
      </c>
      <c r="AS1376" s="158">
        <v>0.0721861525408278</v>
      </c>
      <c r="AT1376" s="141">
        <v>0</v>
      </c>
      <c r="AU1376" s="141">
        <v>0</v>
      </c>
      <c r="AV1376" s="141">
        <v>0</v>
      </c>
      <c r="AW1376" s="141">
        <v>0.0227272727272727</v>
      </c>
      <c r="AX1376" s="95"/>
      <c r="AY1376" s="93"/>
    </row>
    <row r="1377" ht="14.5" spans="1:51">
      <c r="A1377" s="91"/>
      <c r="B1377" s="95"/>
      <c r="C1377" s="152" t="s">
        <v>1085</v>
      </c>
      <c r="D1377" s="153" t="s">
        <v>25</v>
      </c>
      <c r="E1377" s="130" t="s">
        <v>1086</v>
      </c>
      <c r="F1377" s="195" t="s">
        <v>1407</v>
      </c>
      <c r="G1377" s="195" t="s">
        <v>1407</v>
      </c>
      <c r="H1377" s="195" t="s">
        <v>1407</v>
      </c>
      <c r="I1377" s="195" t="s">
        <v>1407</v>
      </c>
      <c r="J1377" s="132">
        <v>0.9</v>
      </c>
      <c r="K1377" s="133">
        <v>1</v>
      </c>
      <c r="L1377" s="133">
        <v>0.971428571428571</v>
      </c>
      <c r="M1377" s="134">
        <v>0.945945945945946</v>
      </c>
      <c r="N1377" s="133">
        <v>0.956259426847662</v>
      </c>
      <c r="O1377" s="135">
        <v>0.9</v>
      </c>
      <c r="P1377" s="133">
        <v>0.990394877267876</v>
      </c>
      <c r="Q1377" s="133">
        <v>0.985583224115334</v>
      </c>
      <c r="R1377" s="133">
        <v>0.993834080717489</v>
      </c>
      <c r="S1377" s="133">
        <v>0.985071410982517</v>
      </c>
      <c r="T1377" s="135">
        <v>0.9</v>
      </c>
      <c r="U1377" s="133">
        <v>0.951974386339381</v>
      </c>
      <c r="V1377" s="133">
        <v>0.935779816513762</v>
      </c>
      <c r="W1377" s="133">
        <v>0.960762331838565</v>
      </c>
      <c r="X1377" s="133">
        <v>0.906827136173356</v>
      </c>
      <c r="Y1377" s="135">
        <v>0.92</v>
      </c>
      <c r="Z1377" s="135">
        <v>0.926229508196721</v>
      </c>
      <c r="AA1377" s="135">
        <v>0.962624584717608</v>
      </c>
      <c r="AB1377" s="135">
        <v>0.981544771018455</v>
      </c>
      <c r="AC1377" s="135">
        <v>0.962440891691061</v>
      </c>
      <c r="AD1377" s="135">
        <v>0.92</v>
      </c>
      <c r="AE1377" s="133">
        <v>0.998407643312102</v>
      </c>
      <c r="AF1377" s="133">
        <v>0.988654781199352</v>
      </c>
      <c r="AG1377" s="133">
        <v>0.987370838117107</v>
      </c>
      <c r="AH1377" s="133">
        <v>0.997078353253652</v>
      </c>
      <c r="AI1377" s="135">
        <v>0.92</v>
      </c>
      <c r="AJ1377" s="133">
        <v>0.950898203592814</v>
      </c>
      <c r="AK1377" s="133">
        <v>0.96959706959707</v>
      </c>
      <c r="AL1377" s="133">
        <v>0.979981521404373</v>
      </c>
      <c r="AM1377" s="133">
        <v>0.972026693482037</v>
      </c>
      <c r="AN1377" s="132">
        <v>0.99</v>
      </c>
      <c r="AO1377" s="137">
        <v>1</v>
      </c>
      <c r="AP1377" s="137">
        <v>1</v>
      </c>
      <c r="AQ1377" s="137">
        <v>1</v>
      </c>
      <c r="AR1377" s="137">
        <v>1</v>
      </c>
      <c r="AS1377" s="158">
        <v>0.0721861525408278</v>
      </c>
      <c r="AT1377" s="141">
        <v>0.5</v>
      </c>
      <c r="AU1377" s="141">
        <v>0.25</v>
      </c>
      <c r="AV1377" s="141">
        <v>0.125</v>
      </c>
      <c r="AW1377" s="141">
        <v>0.0759493670886076</v>
      </c>
      <c r="AX1377" s="95"/>
      <c r="AY1377" s="93"/>
    </row>
    <row r="1378" ht="14.5" spans="1:51">
      <c r="A1378" s="91"/>
      <c r="B1378" s="95"/>
      <c r="C1378" s="152" t="s">
        <v>1085</v>
      </c>
      <c r="D1378" s="153" t="s">
        <v>25</v>
      </c>
      <c r="E1378" s="130" t="s">
        <v>1086</v>
      </c>
      <c r="F1378" s="195" t="s">
        <v>1408</v>
      </c>
      <c r="G1378" s="195" t="s">
        <v>1408</v>
      </c>
      <c r="H1378" s="195" t="s">
        <v>1408</v>
      </c>
      <c r="I1378" s="195" t="s">
        <v>1408</v>
      </c>
      <c r="J1378" s="132">
        <v>0.9</v>
      </c>
      <c r="K1378" s="133">
        <v>0.978723404255319</v>
      </c>
      <c r="L1378" s="133">
        <v>0.941176470588235</v>
      </c>
      <c r="M1378" s="134">
        <v>0.925925925925926</v>
      </c>
      <c r="N1378" s="133">
        <v>0.936353829557713</v>
      </c>
      <c r="O1378" s="135">
        <v>0.9</v>
      </c>
      <c r="P1378" s="133">
        <v>0.945420906567993</v>
      </c>
      <c r="Q1378" s="133">
        <v>0.935657686212361</v>
      </c>
      <c r="R1378" s="133">
        <v>0.956362425049967</v>
      </c>
      <c r="S1378" s="133">
        <v>0.927908455181182</v>
      </c>
      <c r="T1378" s="135">
        <v>0.9</v>
      </c>
      <c r="U1378" s="133">
        <v>0.916281221091582</v>
      </c>
      <c r="V1378" s="133">
        <v>0.899524564183835</v>
      </c>
      <c r="W1378" s="133">
        <v>0.929047301798801</v>
      </c>
      <c r="X1378" s="133">
        <v>0.894959585868677</v>
      </c>
      <c r="Y1378" s="135">
        <v>0.92</v>
      </c>
      <c r="Z1378" s="135">
        <v>0</v>
      </c>
      <c r="AA1378" s="135" t="s">
        <v>35</v>
      </c>
      <c r="AB1378" s="135" t="s">
        <v>35</v>
      </c>
      <c r="AC1378" s="135">
        <v>0</v>
      </c>
      <c r="AD1378" s="135">
        <v>0.92</v>
      </c>
      <c r="AE1378" s="133">
        <v>1</v>
      </c>
      <c r="AF1378" s="133">
        <v>0.993197278911565</v>
      </c>
      <c r="AG1378" s="133">
        <v>0.973529411764706</v>
      </c>
      <c r="AH1378" s="133">
        <v>0.992484463072698</v>
      </c>
      <c r="AI1378" s="135">
        <v>0.92</v>
      </c>
      <c r="AJ1378" s="133">
        <v>0.95473441108545</v>
      </c>
      <c r="AK1378" s="133">
        <v>0.955625990491284</v>
      </c>
      <c r="AL1378" s="133">
        <v>0.965356429047302</v>
      </c>
      <c r="AM1378" s="133">
        <v>0.954875481013577</v>
      </c>
      <c r="AN1378" s="132">
        <v>0.99</v>
      </c>
      <c r="AO1378" s="137">
        <v>1</v>
      </c>
      <c r="AP1378" s="137">
        <v>1</v>
      </c>
      <c r="AQ1378" s="137">
        <v>1</v>
      </c>
      <c r="AR1378" s="137">
        <v>1</v>
      </c>
      <c r="AS1378" s="158">
        <v>0.0721861525408278</v>
      </c>
      <c r="AT1378" s="141">
        <v>0</v>
      </c>
      <c r="AU1378" s="141">
        <v>0</v>
      </c>
      <c r="AV1378" s="141">
        <v>0</v>
      </c>
      <c r="AW1378" s="141">
        <v>0.0261780104712042</v>
      </c>
      <c r="AX1378" s="95"/>
      <c r="AY1378" s="93"/>
    </row>
    <row r="1379" ht="14.5" spans="1:51">
      <c r="A1379" s="91"/>
      <c r="B1379" s="95"/>
      <c r="C1379" s="152" t="s">
        <v>1085</v>
      </c>
      <c r="D1379" s="153" t="s">
        <v>25</v>
      </c>
      <c r="E1379" s="130" t="s">
        <v>1086</v>
      </c>
      <c r="F1379" s="195" t="s">
        <v>1409</v>
      </c>
      <c r="G1379" s="195" t="s">
        <v>1409</v>
      </c>
      <c r="H1379" s="195" t="s">
        <v>1409</v>
      </c>
      <c r="I1379" s="195" t="s">
        <v>1409</v>
      </c>
      <c r="J1379" s="132">
        <v>0.9</v>
      </c>
      <c r="K1379" s="133">
        <v>0.914285714285714</v>
      </c>
      <c r="L1379" s="133">
        <v>0.947368421052632</v>
      </c>
      <c r="M1379" s="134">
        <v>0.878048780487805</v>
      </c>
      <c r="N1379" s="133">
        <v>0.957081545064378</v>
      </c>
      <c r="O1379" s="135">
        <v>0.9</v>
      </c>
      <c r="P1379" s="133">
        <v>0.935251798561151</v>
      </c>
      <c r="Q1379" s="133">
        <v>0.942827078218169</v>
      </c>
      <c r="R1379" s="133">
        <v>0.960953697304769</v>
      </c>
      <c r="S1379" s="133">
        <v>0.948777001270648</v>
      </c>
      <c r="T1379" s="135">
        <v>0.9</v>
      </c>
      <c r="U1379" s="133">
        <v>0.907913669064748</v>
      </c>
      <c r="V1379" s="133">
        <v>0.908102420203437</v>
      </c>
      <c r="W1379" s="133">
        <v>0.932273669661368</v>
      </c>
      <c r="X1379" s="133">
        <v>0.91077668360864</v>
      </c>
      <c r="Y1379" s="135">
        <v>0.92</v>
      </c>
      <c r="Z1379" s="135">
        <v>0</v>
      </c>
      <c r="AA1379" s="135" t="s">
        <v>35</v>
      </c>
      <c r="AB1379" s="135" t="s">
        <v>35</v>
      </c>
      <c r="AC1379" s="135">
        <v>0</v>
      </c>
      <c r="AD1379" s="135">
        <v>0.92</v>
      </c>
      <c r="AE1379" s="133">
        <v>1</v>
      </c>
      <c r="AF1379" s="133">
        <v>1</v>
      </c>
      <c r="AG1379" s="133">
        <v>1</v>
      </c>
      <c r="AH1379" s="133">
        <v>0.995861661247413</v>
      </c>
      <c r="AI1379" s="135">
        <v>0.92</v>
      </c>
      <c r="AJ1379" s="133">
        <v>0.956459330143541</v>
      </c>
      <c r="AK1379" s="133">
        <v>0.95826025955805</v>
      </c>
      <c r="AL1379" s="133">
        <v>0.977194194885971</v>
      </c>
      <c r="AM1379" s="133">
        <v>0.964901832330812</v>
      </c>
      <c r="AN1379" s="132">
        <v>0.99</v>
      </c>
      <c r="AO1379" s="137">
        <v>1</v>
      </c>
      <c r="AP1379" s="137">
        <v>1</v>
      </c>
      <c r="AQ1379" s="137">
        <v>1</v>
      </c>
      <c r="AR1379" s="137">
        <v>1</v>
      </c>
      <c r="AS1379" s="158">
        <v>0.0721861525408278</v>
      </c>
      <c r="AT1379" s="141">
        <v>0</v>
      </c>
      <c r="AU1379" s="141">
        <v>0.142857142857143</v>
      </c>
      <c r="AV1379" s="141">
        <v>0.0555555555555556</v>
      </c>
      <c r="AW1379" s="141">
        <v>0.05</v>
      </c>
      <c r="AX1379" s="95"/>
      <c r="AY1379" s="93"/>
    </row>
    <row r="1380" ht="14.5" spans="1:51">
      <c r="A1380" s="91"/>
      <c r="B1380" s="95"/>
      <c r="C1380" s="152" t="s">
        <v>1085</v>
      </c>
      <c r="D1380" s="153" t="s">
        <v>25</v>
      </c>
      <c r="E1380" s="130" t="s">
        <v>1086</v>
      </c>
      <c r="F1380" s="195" t="s">
        <v>1410</v>
      </c>
      <c r="G1380" s="195" t="s">
        <v>1410</v>
      </c>
      <c r="H1380" s="195" t="s">
        <v>1410</v>
      </c>
      <c r="I1380" s="195" t="s">
        <v>1410</v>
      </c>
      <c r="J1380" s="132">
        <v>0.9</v>
      </c>
      <c r="K1380" s="133">
        <v>1</v>
      </c>
      <c r="L1380" s="133">
        <v>1</v>
      </c>
      <c r="M1380" s="134">
        <v>1</v>
      </c>
      <c r="N1380" s="133">
        <v>0.993067590987868</v>
      </c>
      <c r="O1380" s="135">
        <v>0.9</v>
      </c>
      <c r="P1380" s="133">
        <v>0.986363636363636</v>
      </c>
      <c r="Q1380" s="133">
        <v>0.995213402473075</v>
      </c>
      <c r="R1380" s="133">
        <v>0.992493744787323</v>
      </c>
      <c r="S1380" s="133">
        <v>0.981299297911069</v>
      </c>
      <c r="T1380" s="135">
        <v>0.9</v>
      </c>
      <c r="U1380" s="133">
        <v>0.907954545454545</v>
      </c>
      <c r="V1380" s="133">
        <v>0.9206222576785</v>
      </c>
      <c r="W1380" s="133">
        <v>0.906171809841535</v>
      </c>
      <c r="X1380" s="133">
        <v>0.888575886278929</v>
      </c>
      <c r="Y1380" s="135">
        <v>0.92</v>
      </c>
      <c r="Z1380" s="135">
        <v>0</v>
      </c>
      <c r="AA1380" s="135" t="s">
        <v>35</v>
      </c>
      <c r="AB1380" s="135" t="s">
        <v>35</v>
      </c>
      <c r="AC1380" s="135">
        <v>0</v>
      </c>
      <c r="AD1380" s="135">
        <v>0.92</v>
      </c>
      <c r="AE1380" s="133">
        <v>1</v>
      </c>
      <c r="AF1380" s="133">
        <v>1</v>
      </c>
      <c r="AG1380" s="133">
        <v>0.992</v>
      </c>
      <c r="AH1380" s="133">
        <v>0.997163567601639</v>
      </c>
      <c r="AI1380" s="135">
        <v>0.92</v>
      </c>
      <c r="AJ1380" s="133">
        <v>0.946053378762067</v>
      </c>
      <c r="AK1380" s="133">
        <v>0.968089349820503</v>
      </c>
      <c r="AL1380" s="133">
        <v>0.976647206005004</v>
      </c>
      <c r="AM1380" s="133">
        <v>0.97209040282563</v>
      </c>
      <c r="AN1380" s="132">
        <v>0.99</v>
      </c>
      <c r="AO1380" s="137">
        <v>1</v>
      </c>
      <c r="AP1380" s="137">
        <v>1</v>
      </c>
      <c r="AQ1380" s="137">
        <v>1</v>
      </c>
      <c r="AR1380" s="137">
        <v>1</v>
      </c>
      <c r="AS1380" s="158">
        <v>0.0721861525408278</v>
      </c>
      <c r="AT1380" s="141">
        <v>0</v>
      </c>
      <c r="AU1380" s="141">
        <v>0</v>
      </c>
      <c r="AV1380" s="141">
        <v>0</v>
      </c>
      <c r="AW1380" s="141">
        <v>0.0670391061452514</v>
      </c>
      <c r="AX1380" s="95"/>
      <c r="AY1380" s="93"/>
    </row>
    <row r="1381" ht="14.5" spans="1:51">
      <c r="A1381" s="91"/>
      <c r="B1381" s="95"/>
      <c r="C1381" s="152" t="s">
        <v>1085</v>
      </c>
      <c r="D1381" s="153" t="s">
        <v>25</v>
      </c>
      <c r="E1381" s="130" t="s">
        <v>1086</v>
      </c>
      <c r="F1381" s="195" t="s">
        <v>1411</v>
      </c>
      <c r="G1381" s="195" t="s">
        <v>1411</v>
      </c>
      <c r="H1381" s="195" t="s">
        <v>1411</v>
      </c>
      <c r="I1381" s="195" t="s">
        <v>1411</v>
      </c>
      <c r="J1381" s="132">
        <v>0.9</v>
      </c>
      <c r="K1381" s="133">
        <v>1</v>
      </c>
      <c r="L1381" s="133">
        <v>1</v>
      </c>
      <c r="M1381" s="134">
        <v>0.863636363636364</v>
      </c>
      <c r="N1381" s="133">
        <v>0.984848484848485</v>
      </c>
      <c r="O1381" s="135">
        <v>0.9</v>
      </c>
      <c r="P1381" s="133">
        <v>0.970394736842105</v>
      </c>
      <c r="Q1381" s="133">
        <v>0.990757855822551</v>
      </c>
      <c r="R1381" s="133">
        <v>0.972668810289389</v>
      </c>
      <c r="S1381" s="133">
        <v>0.973729008511617</v>
      </c>
      <c r="T1381" s="135">
        <v>0.9</v>
      </c>
      <c r="U1381" s="133">
        <v>0.952302631578947</v>
      </c>
      <c r="V1381" s="133">
        <v>0.962107208872458</v>
      </c>
      <c r="W1381" s="133">
        <v>0.960610932475884</v>
      </c>
      <c r="X1381" s="133">
        <v>0.955601564297216</v>
      </c>
      <c r="Y1381" s="135">
        <v>0.92</v>
      </c>
      <c r="Z1381" s="135">
        <v>0.948275862068966</v>
      </c>
      <c r="AA1381" s="135">
        <v>0.963636363636364</v>
      </c>
      <c r="AB1381" s="135">
        <v>0.966907962771458</v>
      </c>
      <c r="AC1381" s="135">
        <v>0.966272043408558</v>
      </c>
      <c r="AD1381" s="135">
        <v>0.92</v>
      </c>
      <c r="AE1381" s="133">
        <v>1</v>
      </c>
      <c r="AF1381" s="133">
        <v>1</v>
      </c>
      <c r="AG1381" s="133">
        <v>0.995</v>
      </c>
      <c r="AH1381" s="133">
        <v>0.999062792877226</v>
      </c>
      <c r="AI1381" s="135">
        <v>0.92</v>
      </c>
      <c r="AJ1381" s="133">
        <v>0.966371681415929</v>
      </c>
      <c r="AK1381" s="133">
        <v>0.97745149449397</v>
      </c>
      <c r="AL1381" s="133">
        <v>0.982368896925859</v>
      </c>
      <c r="AM1381" s="133">
        <v>0.981030167303386</v>
      </c>
      <c r="AN1381" s="132">
        <v>0.99</v>
      </c>
      <c r="AO1381" s="137">
        <v>1</v>
      </c>
      <c r="AP1381" s="137">
        <v>1</v>
      </c>
      <c r="AQ1381" s="137">
        <v>1</v>
      </c>
      <c r="AR1381" s="137">
        <v>1</v>
      </c>
      <c r="AS1381" s="158">
        <v>0.0721861525408278</v>
      </c>
      <c r="AT1381" s="141">
        <v>0.166666666666667</v>
      </c>
      <c r="AU1381" s="141">
        <v>0.2</v>
      </c>
      <c r="AV1381" s="141">
        <v>0.166666666666667</v>
      </c>
      <c r="AW1381" s="141">
        <v>0.0666666666666667</v>
      </c>
      <c r="AX1381" s="95"/>
      <c r="AY1381" s="93"/>
    </row>
    <row r="1382" ht="14.5" spans="1:51">
      <c r="A1382" s="91"/>
      <c r="B1382" s="95"/>
      <c r="C1382" s="152" t="s">
        <v>1085</v>
      </c>
      <c r="D1382" s="153" t="s">
        <v>25</v>
      </c>
      <c r="E1382" s="130" t="s">
        <v>1086</v>
      </c>
      <c r="F1382" s="195" t="s">
        <v>1412</v>
      </c>
      <c r="G1382" s="195" t="s">
        <v>1412</v>
      </c>
      <c r="H1382" s="195" t="s">
        <v>1412</v>
      </c>
      <c r="I1382" s="195" t="s">
        <v>1412</v>
      </c>
      <c r="J1382" s="132">
        <v>0.9</v>
      </c>
      <c r="K1382" s="133">
        <v>1</v>
      </c>
      <c r="L1382" s="133">
        <v>1</v>
      </c>
      <c r="M1382" s="134">
        <v>0.941176470588235</v>
      </c>
      <c r="N1382" s="133">
        <v>0.979452054794521</v>
      </c>
      <c r="O1382" s="135">
        <v>0.9</v>
      </c>
      <c r="P1382" s="133">
        <v>0.984924623115578</v>
      </c>
      <c r="Q1382" s="133">
        <v>0.983739837398374</v>
      </c>
      <c r="R1382" s="133">
        <v>0.985915492957746</v>
      </c>
      <c r="S1382" s="133">
        <v>0.969108802624385</v>
      </c>
      <c r="T1382" s="135">
        <v>0.9</v>
      </c>
      <c r="U1382" s="133">
        <v>0.909547738693467</v>
      </c>
      <c r="V1382" s="133">
        <v>0.940379403794038</v>
      </c>
      <c r="W1382" s="133">
        <v>0.961267605633803</v>
      </c>
      <c r="X1382" s="133">
        <v>0.931793329688354</v>
      </c>
      <c r="Y1382" s="135">
        <v>0.92</v>
      </c>
      <c r="Z1382" s="135">
        <v>0.925925925925926</v>
      </c>
      <c r="AA1382" s="135">
        <v>0.945233265720081</v>
      </c>
      <c r="AB1382" s="135">
        <v>0.94316163410302</v>
      </c>
      <c r="AC1382" s="135">
        <v>0.962782850337435</v>
      </c>
      <c r="AD1382" s="135">
        <v>0.92</v>
      </c>
      <c r="AE1382" s="133">
        <v>0.998204667863555</v>
      </c>
      <c r="AF1382" s="133">
        <v>1</v>
      </c>
      <c r="AG1382" s="133">
        <v>1</v>
      </c>
      <c r="AH1382" s="133">
        <v>0.999717753316399</v>
      </c>
      <c r="AI1382" s="135">
        <v>0.92</v>
      </c>
      <c r="AJ1382" s="133">
        <v>0.945876288659794</v>
      </c>
      <c r="AK1382" s="133">
        <v>0.965881397238018</v>
      </c>
      <c r="AL1382" s="133">
        <v>0.968197879858657</v>
      </c>
      <c r="AM1382" s="133">
        <v>0.976324416204622</v>
      </c>
      <c r="AN1382" s="132">
        <v>0.99</v>
      </c>
      <c r="AO1382" s="137">
        <v>1</v>
      </c>
      <c r="AP1382" s="137">
        <v>1</v>
      </c>
      <c r="AQ1382" s="137">
        <v>1</v>
      </c>
      <c r="AR1382" s="137">
        <v>1</v>
      </c>
      <c r="AS1382" s="158">
        <v>0.0721861525408278</v>
      </c>
      <c r="AT1382" s="141">
        <v>0</v>
      </c>
      <c r="AU1382" s="141">
        <v>0</v>
      </c>
      <c r="AV1382" s="141">
        <v>0</v>
      </c>
      <c r="AW1382" s="141">
        <v>0.0126582278481013</v>
      </c>
      <c r="AX1382" s="95"/>
      <c r="AY1382" s="93"/>
    </row>
    <row r="1383" ht="14.5" spans="1:51">
      <c r="A1383" s="91"/>
      <c r="B1383" s="95"/>
      <c r="C1383" s="152" t="s">
        <v>1085</v>
      </c>
      <c r="D1383" s="153" t="s">
        <v>25</v>
      </c>
      <c r="E1383" s="130" t="s">
        <v>1086</v>
      </c>
      <c r="F1383" s="195" t="s">
        <v>1413</v>
      </c>
      <c r="G1383" s="195" t="s">
        <v>1413</v>
      </c>
      <c r="H1383" s="195" t="s">
        <v>1413</v>
      </c>
      <c r="I1383" s="195" t="s">
        <v>1413</v>
      </c>
      <c r="J1383" s="132">
        <v>0.9</v>
      </c>
      <c r="K1383" s="133">
        <v>0.970588235294118</v>
      </c>
      <c r="L1383" s="133">
        <v>0.871794871794872</v>
      </c>
      <c r="M1383" s="134">
        <v>0.871794871794872</v>
      </c>
      <c r="N1383" s="133">
        <v>0.929655172413793</v>
      </c>
      <c r="O1383" s="135">
        <v>0.9</v>
      </c>
      <c r="P1383" s="133">
        <v>0.951456310679612</v>
      </c>
      <c r="Q1383" s="133">
        <v>0.948499776085983</v>
      </c>
      <c r="R1383" s="133">
        <v>0.938913548932572</v>
      </c>
      <c r="S1383" s="133">
        <v>0.942058126769515</v>
      </c>
      <c r="T1383" s="135">
        <v>0.9</v>
      </c>
      <c r="U1383" s="133">
        <v>0.912014563106796</v>
      </c>
      <c r="V1383" s="133">
        <v>0.9205105239588</v>
      </c>
      <c r="W1383" s="133">
        <v>0.905939547664342</v>
      </c>
      <c r="X1383" s="133">
        <v>0.896943433292887</v>
      </c>
      <c r="Y1383" s="135">
        <v>0.92</v>
      </c>
      <c r="Z1383" s="135">
        <v>0</v>
      </c>
      <c r="AA1383" s="135">
        <v>0</v>
      </c>
      <c r="AB1383" s="135" t="s">
        <v>35</v>
      </c>
      <c r="AC1383" s="135">
        <v>0</v>
      </c>
      <c r="AD1383" s="135">
        <v>0.92</v>
      </c>
      <c r="AE1383" s="133">
        <v>0.989549314173743</v>
      </c>
      <c r="AF1383" s="133">
        <v>0.997126436781609</v>
      </c>
      <c r="AG1383" s="133">
        <v>0.983016983016983</v>
      </c>
      <c r="AH1383" s="133">
        <v>0.985376421736776</v>
      </c>
      <c r="AI1383" s="135">
        <v>0.92</v>
      </c>
      <c r="AJ1383" s="133">
        <v>0.957233848953594</v>
      </c>
      <c r="AK1383" s="133">
        <v>0.974031788672487</v>
      </c>
      <c r="AL1383" s="133">
        <v>0.970407947579793</v>
      </c>
      <c r="AM1383" s="133">
        <v>0.973248746215535</v>
      </c>
      <c r="AN1383" s="132">
        <v>0.99</v>
      </c>
      <c r="AO1383" s="137">
        <v>1</v>
      </c>
      <c r="AP1383" s="137">
        <v>1</v>
      </c>
      <c r="AQ1383" s="137">
        <v>1</v>
      </c>
      <c r="AR1383" s="137">
        <v>1</v>
      </c>
      <c r="AS1383" s="158">
        <v>0.0721861525408278</v>
      </c>
      <c r="AT1383" s="141">
        <v>0.0555555555555556</v>
      </c>
      <c r="AU1383" s="141">
        <v>0.0555555555555556</v>
      </c>
      <c r="AV1383" s="141">
        <v>0</v>
      </c>
      <c r="AW1383" s="141">
        <v>0.0284810126582278</v>
      </c>
      <c r="AX1383" s="95"/>
      <c r="AY1383" s="93"/>
    </row>
    <row r="1384" ht="14.5" spans="1:51">
      <c r="A1384" s="91"/>
      <c r="B1384" s="95"/>
      <c r="C1384" s="152" t="s">
        <v>1085</v>
      </c>
      <c r="D1384" s="153" t="s">
        <v>25</v>
      </c>
      <c r="E1384" s="130" t="s">
        <v>1086</v>
      </c>
      <c r="F1384" s="195" t="s">
        <v>1414</v>
      </c>
      <c r="G1384" s="195" t="s">
        <v>1414</v>
      </c>
      <c r="H1384" s="195" t="s">
        <v>1414</v>
      </c>
      <c r="I1384" s="195" t="s">
        <v>1414</v>
      </c>
      <c r="J1384" s="132">
        <v>0.9</v>
      </c>
      <c r="K1384" s="133">
        <v>1</v>
      </c>
      <c r="L1384" s="133">
        <v>0.984848484848485</v>
      </c>
      <c r="M1384" s="134">
        <v>1</v>
      </c>
      <c r="N1384" s="133">
        <v>0.972558514931396</v>
      </c>
      <c r="O1384" s="135">
        <v>0.9</v>
      </c>
      <c r="P1384" s="133">
        <v>0.970005083884087</v>
      </c>
      <c r="Q1384" s="133">
        <v>0.976580796252927</v>
      </c>
      <c r="R1384" s="133">
        <v>0.968</v>
      </c>
      <c r="S1384" s="133">
        <v>0.976074543259776</v>
      </c>
      <c r="T1384" s="135">
        <v>0.9</v>
      </c>
      <c r="U1384" s="133">
        <v>0.919674631418404</v>
      </c>
      <c r="V1384" s="133">
        <v>0.931791569086651</v>
      </c>
      <c r="W1384" s="133">
        <v>0.9056</v>
      </c>
      <c r="X1384" s="133">
        <v>0.933079249684656</v>
      </c>
      <c r="Y1384" s="135">
        <v>0.92</v>
      </c>
      <c r="Z1384" s="135">
        <v>0.923945335710042</v>
      </c>
      <c r="AA1384" s="135">
        <v>0.923107890499195</v>
      </c>
      <c r="AB1384" s="135">
        <v>0.932142857142857</v>
      </c>
      <c r="AC1384" s="135">
        <v>0.946734768332725</v>
      </c>
      <c r="AD1384" s="135">
        <v>0.92</v>
      </c>
      <c r="AE1384" s="133">
        <v>0.994440583738707</v>
      </c>
      <c r="AF1384" s="133">
        <v>0.997899159663866</v>
      </c>
      <c r="AG1384" s="133">
        <v>0.989709443099274</v>
      </c>
      <c r="AH1384" s="133">
        <v>0.99518333936576</v>
      </c>
      <c r="AI1384" s="135">
        <v>0.92</v>
      </c>
      <c r="AJ1384" s="133">
        <v>0.943835616438356</v>
      </c>
      <c r="AK1384" s="133">
        <v>0.948483307913913</v>
      </c>
      <c r="AL1384" s="133">
        <v>0.951131090487239</v>
      </c>
      <c r="AM1384" s="133">
        <v>0.965180139724525</v>
      </c>
      <c r="AN1384" s="132">
        <v>0.99</v>
      </c>
      <c r="AO1384" s="137">
        <v>1</v>
      </c>
      <c r="AP1384" s="137">
        <v>1</v>
      </c>
      <c r="AQ1384" s="137">
        <v>1</v>
      </c>
      <c r="AR1384" s="137">
        <v>1</v>
      </c>
      <c r="AS1384" s="158">
        <v>0.0721861525408278</v>
      </c>
      <c r="AT1384" s="141">
        <v>0.0285714285714286</v>
      </c>
      <c r="AU1384" s="141">
        <v>0.0121951219512195</v>
      </c>
      <c r="AV1384" s="141">
        <v>0.027027027027027</v>
      </c>
      <c r="AW1384" s="141">
        <v>0.0258868648130393</v>
      </c>
      <c r="AX1384" s="95"/>
      <c r="AY1384" s="93"/>
    </row>
    <row r="1385" ht="14.5" spans="1:51">
      <c r="A1385" s="91"/>
      <c r="B1385" s="95"/>
      <c r="C1385" s="152" t="s">
        <v>1085</v>
      </c>
      <c r="D1385" s="153" t="s">
        <v>25</v>
      </c>
      <c r="E1385" s="130" t="s">
        <v>1086</v>
      </c>
      <c r="F1385" s="195" t="s">
        <v>1415</v>
      </c>
      <c r="G1385" s="195" t="s">
        <v>1415</v>
      </c>
      <c r="H1385" s="195" t="s">
        <v>1415</v>
      </c>
      <c r="I1385" s="195" t="s">
        <v>1415</v>
      </c>
      <c r="J1385" s="132">
        <v>0.9</v>
      </c>
      <c r="K1385" s="133">
        <v>0.936507936507937</v>
      </c>
      <c r="L1385" s="133">
        <v>0.885245901639344</v>
      </c>
      <c r="M1385" s="134">
        <v>0.947368421052632</v>
      </c>
      <c r="N1385" s="133">
        <v>0.933155080213904</v>
      </c>
      <c r="O1385" s="135">
        <v>0.9</v>
      </c>
      <c r="P1385" s="133">
        <v>0.886253630203291</v>
      </c>
      <c r="Q1385" s="133">
        <v>0.878398565879892</v>
      </c>
      <c r="R1385" s="133">
        <v>0.860695255011418</v>
      </c>
      <c r="S1385" s="133">
        <v>0.883916549838291</v>
      </c>
      <c r="T1385" s="135">
        <v>0.9</v>
      </c>
      <c r="U1385" s="133">
        <v>0.813165537270087</v>
      </c>
      <c r="V1385" s="133">
        <v>0.798924409919331</v>
      </c>
      <c r="W1385" s="133">
        <v>0.724689165186501</v>
      </c>
      <c r="X1385" s="133">
        <v>0.796427133795095</v>
      </c>
      <c r="Y1385" s="135">
        <v>0.92</v>
      </c>
      <c r="Z1385" s="135">
        <v>0.910071942446043</v>
      </c>
      <c r="AA1385" s="135">
        <v>0.844574780058651</v>
      </c>
      <c r="AB1385" s="135">
        <v>0.848748639825898</v>
      </c>
      <c r="AC1385" s="135">
        <v>0.901361457334612</v>
      </c>
      <c r="AD1385" s="135">
        <v>0.92</v>
      </c>
      <c r="AE1385" s="133">
        <v>0.999238127486667</v>
      </c>
      <c r="AF1385" s="133">
        <v>0.988475177304965</v>
      </c>
      <c r="AG1385" s="133">
        <v>0.988988988988989</v>
      </c>
      <c r="AH1385" s="133">
        <v>0.994898162541353</v>
      </c>
      <c r="AI1385" s="135">
        <v>0.92</v>
      </c>
      <c r="AJ1385" s="133">
        <v>0.930905195500803</v>
      </c>
      <c r="AK1385" s="133">
        <v>0.905476107429369</v>
      </c>
      <c r="AL1385" s="133">
        <v>0.892654523738429</v>
      </c>
      <c r="AM1385" s="133">
        <v>0.935382063812829</v>
      </c>
      <c r="AN1385" s="132">
        <v>0.99</v>
      </c>
      <c r="AO1385" s="137">
        <v>1</v>
      </c>
      <c r="AP1385" s="137">
        <v>1</v>
      </c>
      <c r="AQ1385" s="137">
        <v>1</v>
      </c>
      <c r="AR1385" s="137">
        <v>1</v>
      </c>
      <c r="AS1385" s="158">
        <v>0.0721861525408278</v>
      </c>
      <c r="AT1385" s="141">
        <v>0.0769230769230769</v>
      </c>
      <c r="AU1385" s="141">
        <v>0.0294117647058824</v>
      </c>
      <c r="AV1385" s="141">
        <v>0.0344827586206897</v>
      </c>
      <c r="AW1385" s="141">
        <v>0.060952380952381</v>
      </c>
      <c r="AX1385" s="95"/>
      <c r="AY1385" s="93"/>
    </row>
    <row r="1386" ht="14.5" spans="1:51">
      <c r="A1386" s="91"/>
      <c r="B1386" s="95"/>
      <c r="C1386" s="152" t="s">
        <v>1085</v>
      </c>
      <c r="D1386" s="153" t="s">
        <v>25</v>
      </c>
      <c r="E1386" s="130" t="s">
        <v>1086</v>
      </c>
      <c r="F1386" s="195" t="s">
        <v>1416</v>
      </c>
      <c r="G1386" s="195" t="s">
        <v>1416</v>
      </c>
      <c r="H1386" s="195" t="s">
        <v>1416</v>
      </c>
      <c r="I1386" s="195" t="s">
        <v>1416</v>
      </c>
      <c r="J1386" s="132">
        <v>0.9</v>
      </c>
      <c r="K1386" s="133">
        <v>0.930232558139535</v>
      </c>
      <c r="L1386" s="133">
        <v>0.869565217391304</v>
      </c>
      <c r="M1386" s="134">
        <v>0.844444444444444</v>
      </c>
      <c r="N1386" s="133">
        <v>0.912114014251782</v>
      </c>
      <c r="O1386" s="135">
        <v>0.9</v>
      </c>
      <c r="P1386" s="133">
        <v>0.962172056131788</v>
      </c>
      <c r="Q1386" s="133">
        <v>0.976581614819993</v>
      </c>
      <c r="R1386" s="133">
        <v>0.954811063498247</v>
      </c>
      <c r="S1386" s="133">
        <v>0.945727912625663</v>
      </c>
      <c r="T1386" s="135">
        <v>0.9</v>
      </c>
      <c r="U1386" s="133">
        <v>0.957901159243441</v>
      </c>
      <c r="V1386" s="133">
        <v>0.954211814051031</v>
      </c>
      <c r="W1386" s="133">
        <v>0.962991819244254</v>
      </c>
      <c r="X1386" s="133">
        <v>0.965107001648907</v>
      </c>
      <c r="Y1386" s="135">
        <v>0.92</v>
      </c>
      <c r="Z1386" s="135">
        <v>0.959663865546219</v>
      </c>
      <c r="AA1386" s="135">
        <v>0.955983493810179</v>
      </c>
      <c r="AB1386" s="135">
        <v>0.957354535598121</v>
      </c>
      <c r="AC1386" s="135">
        <v>0.965770541461568</v>
      </c>
      <c r="AD1386" s="135">
        <v>0.92</v>
      </c>
      <c r="AE1386" s="133">
        <v>1</v>
      </c>
      <c r="AF1386" s="133">
        <v>1</v>
      </c>
      <c r="AG1386" s="133">
        <v>0.979876160990712</v>
      </c>
      <c r="AH1386" s="133">
        <v>0.992924528301887</v>
      </c>
      <c r="AI1386" s="135">
        <v>0.92</v>
      </c>
      <c r="AJ1386" s="133">
        <v>0.969964664310954</v>
      </c>
      <c r="AK1386" s="133">
        <v>0.968945538818076</v>
      </c>
      <c r="AL1386" s="133">
        <v>0.968878890138733</v>
      </c>
      <c r="AM1386" s="133">
        <v>0.978495631436992</v>
      </c>
      <c r="AN1386" s="132">
        <v>0.99</v>
      </c>
      <c r="AO1386" s="137">
        <v>1</v>
      </c>
      <c r="AP1386" s="137">
        <v>1</v>
      </c>
      <c r="AQ1386" s="137">
        <v>1</v>
      </c>
      <c r="AR1386" s="137">
        <v>1</v>
      </c>
      <c r="AS1386" s="158">
        <v>0.0721861525408278</v>
      </c>
      <c r="AT1386" s="141">
        <v>0</v>
      </c>
      <c r="AU1386" s="141">
        <v>0</v>
      </c>
      <c r="AV1386" s="141">
        <v>0</v>
      </c>
      <c r="AW1386" s="141">
        <v>0.0100502512562814</v>
      </c>
      <c r="AX1386" s="95"/>
      <c r="AY1386" s="93"/>
    </row>
    <row r="1387" ht="14.5" spans="1:51">
      <c r="A1387" s="91"/>
      <c r="B1387" s="95"/>
      <c r="C1387" s="152" t="s">
        <v>1085</v>
      </c>
      <c r="D1387" s="153" t="s">
        <v>25</v>
      </c>
      <c r="E1387" s="130" t="s">
        <v>1086</v>
      </c>
      <c r="F1387" s="195" t="s">
        <v>1417</v>
      </c>
      <c r="G1387" s="195" t="s">
        <v>1417</v>
      </c>
      <c r="H1387" s="195" t="s">
        <v>1417</v>
      </c>
      <c r="I1387" s="195" t="s">
        <v>1417</v>
      </c>
      <c r="J1387" s="132">
        <v>0.9</v>
      </c>
      <c r="K1387" s="133">
        <v>0.967741935483871</v>
      </c>
      <c r="L1387" s="133">
        <v>0.96875</v>
      </c>
      <c r="M1387" s="134">
        <v>0.967741935483871</v>
      </c>
      <c r="N1387" s="133">
        <v>0.98494983277592</v>
      </c>
      <c r="O1387" s="135">
        <v>0.9</v>
      </c>
      <c r="P1387" s="133">
        <v>0.9860853432282</v>
      </c>
      <c r="Q1387" s="133">
        <v>0.988035892323031</v>
      </c>
      <c r="R1387" s="133">
        <v>0.959793222286042</v>
      </c>
      <c r="S1387" s="133">
        <v>0.985606731620904</v>
      </c>
      <c r="T1387" s="135">
        <v>0.9</v>
      </c>
      <c r="U1387" s="133">
        <v>0.963821892393321</v>
      </c>
      <c r="V1387" s="133">
        <v>0.979062811565304</v>
      </c>
      <c r="W1387" s="133">
        <v>0.945433658816772</v>
      </c>
      <c r="X1387" s="133">
        <v>0.975531443755536</v>
      </c>
      <c r="Y1387" s="135">
        <v>0.92</v>
      </c>
      <c r="Z1387" s="135">
        <v>0.971428571428571</v>
      </c>
      <c r="AA1387" s="135">
        <v>0.974206349206349</v>
      </c>
      <c r="AB1387" s="135">
        <v>0.975432719151312</v>
      </c>
      <c r="AC1387" s="135">
        <v>0.982720875684128</v>
      </c>
      <c r="AD1387" s="135">
        <v>0.92</v>
      </c>
      <c r="AE1387" s="133">
        <v>0.995039682539683</v>
      </c>
      <c r="AF1387" s="133">
        <v>0.996563573883162</v>
      </c>
      <c r="AG1387" s="133">
        <v>0.995268138801262</v>
      </c>
      <c r="AH1387" s="133">
        <v>0.99081663630844</v>
      </c>
      <c r="AI1387" s="135">
        <v>0.92</v>
      </c>
      <c r="AJ1387" s="133">
        <v>0.979819437068508</v>
      </c>
      <c r="AK1387" s="133">
        <v>0.984074319840743</v>
      </c>
      <c r="AL1387" s="133">
        <v>0.982446206115515</v>
      </c>
      <c r="AM1387" s="133">
        <v>0.988899692108248</v>
      </c>
      <c r="AN1387" s="132">
        <v>0.99</v>
      </c>
      <c r="AO1387" s="137">
        <v>1</v>
      </c>
      <c r="AP1387" s="137">
        <v>1</v>
      </c>
      <c r="AQ1387" s="137">
        <v>1</v>
      </c>
      <c r="AR1387" s="137">
        <v>1</v>
      </c>
      <c r="AS1387" s="158">
        <v>0.0721861525408278</v>
      </c>
      <c r="AT1387" s="141">
        <v>0</v>
      </c>
      <c r="AU1387" s="141">
        <v>0</v>
      </c>
      <c r="AV1387" s="141">
        <v>0</v>
      </c>
      <c r="AW1387" s="141">
        <v>0.0217391304347826</v>
      </c>
      <c r="AX1387" s="95"/>
      <c r="AY1387" s="93"/>
    </row>
    <row r="1388" ht="14.5" spans="1:51">
      <c r="A1388" s="91"/>
      <c r="B1388" s="95"/>
      <c r="C1388" s="152" t="s">
        <v>1085</v>
      </c>
      <c r="D1388" s="153" t="s">
        <v>25</v>
      </c>
      <c r="E1388" s="130" t="s">
        <v>1086</v>
      </c>
      <c r="F1388" s="195" t="s">
        <v>1418</v>
      </c>
      <c r="G1388" s="195" t="s">
        <v>1418</v>
      </c>
      <c r="H1388" s="195" t="s">
        <v>1418</v>
      </c>
      <c r="I1388" s="195" t="s">
        <v>1418</v>
      </c>
      <c r="J1388" s="132">
        <v>0.9</v>
      </c>
      <c r="K1388" s="133">
        <v>0.857142857142857</v>
      </c>
      <c r="L1388" s="133">
        <v>0.875</v>
      </c>
      <c r="M1388" s="134">
        <v>0.945945945945946</v>
      </c>
      <c r="N1388" s="133">
        <v>0.915915915915916</v>
      </c>
      <c r="O1388" s="135">
        <v>0.9</v>
      </c>
      <c r="P1388" s="133">
        <v>0.986376021798365</v>
      </c>
      <c r="Q1388" s="133">
        <v>0.982058047493404</v>
      </c>
      <c r="R1388" s="133">
        <v>0.989946777054997</v>
      </c>
      <c r="S1388" s="133">
        <v>0.982045298558682</v>
      </c>
      <c r="T1388" s="135">
        <v>0.9</v>
      </c>
      <c r="U1388" s="133">
        <v>0.948228882833787</v>
      </c>
      <c r="V1388" s="133">
        <v>0.955145118733509</v>
      </c>
      <c r="W1388" s="133">
        <v>0.972205795387345</v>
      </c>
      <c r="X1388" s="133">
        <v>0.963212079615649</v>
      </c>
      <c r="Y1388" s="135">
        <v>0.92</v>
      </c>
      <c r="Z1388" s="135">
        <v>0.967459324155194</v>
      </c>
      <c r="AA1388" s="135">
        <v>0.969141755062681</v>
      </c>
      <c r="AB1388" s="135">
        <v>0.965401785714286</v>
      </c>
      <c r="AC1388" s="135">
        <v>0.974989451072155</v>
      </c>
      <c r="AD1388" s="135">
        <v>0.92</v>
      </c>
      <c r="AE1388" s="133">
        <v>1</v>
      </c>
      <c r="AF1388" s="133">
        <v>1</v>
      </c>
      <c r="AG1388" s="133">
        <v>1</v>
      </c>
      <c r="AH1388" s="133">
        <v>0.98609490470634</v>
      </c>
      <c r="AI1388" s="135">
        <v>0.92</v>
      </c>
      <c r="AJ1388" s="133">
        <v>0.97421052631579</v>
      </c>
      <c r="AK1388" s="133">
        <v>0.97987721691678</v>
      </c>
      <c r="AL1388" s="133">
        <v>0.97616996841803</v>
      </c>
      <c r="AM1388" s="133">
        <v>0.984271245019761</v>
      </c>
      <c r="AN1388" s="132">
        <v>0.99</v>
      </c>
      <c r="AO1388" s="137">
        <v>1</v>
      </c>
      <c r="AP1388" s="137">
        <v>1</v>
      </c>
      <c r="AQ1388" s="137">
        <v>1</v>
      </c>
      <c r="AR1388" s="137">
        <v>1</v>
      </c>
      <c r="AS1388" s="158">
        <v>0.0721861525408278</v>
      </c>
      <c r="AT1388" s="141">
        <v>0</v>
      </c>
      <c r="AU1388" s="141">
        <v>0</v>
      </c>
      <c r="AV1388" s="141">
        <v>0</v>
      </c>
      <c r="AW1388" s="141">
        <v>-0.00520833333333333</v>
      </c>
      <c r="AX1388" s="95"/>
      <c r="AY1388" s="93"/>
    </row>
    <row r="1389" ht="14.5" spans="1:51">
      <c r="A1389" s="91"/>
      <c r="B1389" s="95"/>
      <c r="C1389" s="152" t="s">
        <v>1085</v>
      </c>
      <c r="D1389" s="153" t="s">
        <v>25</v>
      </c>
      <c r="E1389" s="130" t="s">
        <v>1086</v>
      </c>
      <c r="F1389" s="195" t="s">
        <v>1419</v>
      </c>
      <c r="G1389" s="195" t="s">
        <v>1419</v>
      </c>
      <c r="H1389" s="195" t="s">
        <v>1419</v>
      </c>
      <c r="I1389" s="195" t="s">
        <v>1419</v>
      </c>
      <c r="J1389" s="132">
        <v>0.9</v>
      </c>
      <c r="K1389" s="133">
        <v>0.892857142857143</v>
      </c>
      <c r="L1389" s="133">
        <v>0.935483870967742</v>
      </c>
      <c r="M1389" s="134">
        <v>0.9</v>
      </c>
      <c r="N1389" s="133">
        <v>0.902527075812274</v>
      </c>
      <c r="O1389" s="135">
        <v>0.9</v>
      </c>
      <c r="P1389" s="133">
        <v>0.891330891330891</v>
      </c>
      <c r="Q1389" s="133">
        <v>0.951564828614009</v>
      </c>
      <c r="R1389" s="133">
        <v>0.946287519747235</v>
      </c>
      <c r="S1389" s="133">
        <v>0.964258333029097</v>
      </c>
      <c r="T1389" s="135">
        <v>0.9</v>
      </c>
      <c r="U1389" s="133">
        <v>0.938949938949939</v>
      </c>
      <c r="V1389" s="133">
        <v>0.939642324888227</v>
      </c>
      <c r="W1389" s="133">
        <v>0.911532385466035</v>
      </c>
      <c r="X1389" s="133">
        <v>0.949947062903874</v>
      </c>
      <c r="Y1389" s="135">
        <v>0.92</v>
      </c>
      <c r="Z1389" s="135">
        <v>0.857142857142857</v>
      </c>
      <c r="AA1389" s="135">
        <v>0.914110429447853</v>
      </c>
      <c r="AB1389" s="135">
        <v>0.942877801879971</v>
      </c>
      <c r="AC1389" s="135">
        <v>0.948797478008847</v>
      </c>
      <c r="AD1389" s="135">
        <v>0.92</v>
      </c>
      <c r="AE1389" s="133">
        <v>0.992125984251969</v>
      </c>
      <c r="AF1389" s="133">
        <v>1</v>
      </c>
      <c r="AG1389" s="133">
        <v>1</v>
      </c>
      <c r="AH1389" s="133">
        <v>0.944802578565673</v>
      </c>
      <c r="AI1389" s="135">
        <v>0.92</v>
      </c>
      <c r="AJ1389" s="133">
        <v>0.923857868020305</v>
      </c>
      <c r="AK1389" s="133">
        <v>0.953360080240722</v>
      </c>
      <c r="AL1389" s="133">
        <v>0.958097395243488</v>
      </c>
      <c r="AM1389" s="133">
        <v>0.968485698499724</v>
      </c>
      <c r="AN1389" s="132">
        <v>0.99</v>
      </c>
      <c r="AO1389" s="137">
        <v>1</v>
      </c>
      <c r="AP1389" s="137">
        <v>1</v>
      </c>
      <c r="AQ1389" s="137">
        <v>1</v>
      </c>
      <c r="AR1389" s="137">
        <v>1</v>
      </c>
      <c r="AS1389" s="158">
        <v>0.0721861525408278</v>
      </c>
      <c r="AT1389" s="141">
        <v>0.1</v>
      </c>
      <c r="AU1389" s="141">
        <v>0</v>
      </c>
      <c r="AV1389" s="141">
        <v>0</v>
      </c>
      <c r="AW1389" s="141">
        <v>0.0526315789473684</v>
      </c>
      <c r="AX1389" s="95"/>
      <c r="AY1389" s="93"/>
    </row>
    <row r="1390" ht="14.5" spans="1:51">
      <c r="A1390" s="91"/>
      <c r="B1390" s="95"/>
      <c r="C1390" s="152" t="s">
        <v>1085</v>
      </c>
      <c r="D1390" s="153" t="s">
        <v>25</v>
      </c>
      <c r="E1390" s="130" t="s">
        <v>1086</v>
      </c>
      <c r="F1390" s="195" t="s">
        <v>1420</v>
      </c>
      <c r="G1390" s="195" t="s">
        <v>1420</v>
      </c>
      <c r="H1390" s="195" t="s">
        <v>1420</v>
      </c>
      <c r="I1390" s="195" t="s">
        <v>1420</v>
      </c>
      <c r="J1390" s="132">
        <v>0.9</v>
      </c>
      <c r="K1390" s="133">
        <v>1</v>
      </c>
      <c r="L1390" s="133">
        <v>0.91304347826087</v>
      </c>
      <c r="M1390" s="134">
        <v>0.956521739130435</v>
      </c>
      <c r="N1390" s="133">
        <v>0.969543147208122</v>
      </c>
      <c r="O1390" s="135">
        <v>0.9</v>
      </c>
      <c r="P1390" s="133">
        <v>0.992599444958372</v>
      </c>
      <c r="Q1390" s="133">
        <v>0.985492227979275</v>
      </c>
      <c r="R1390" s="133">
        <v>0.992197659297789</v>
      </c>
      <c r="S1390" s="133">
        <v>0.990211420009988</v>
      </c>
      <c r="T1390" s="135">
        <v>0.9</v>
      </c>
      <c r="U1390" s="133">
        <v>0.924144310823312</v>
      </c>
      <c r="V1390" s="133">
        <v>0.923316062176166</v>
      </c>
      <c r="W1390" s="133">
        <v>0.94668400520156</v>
      </c>
      <c r="X1390" s="133">
        <v>0.944364907607791</v>
      </c>
      <c r="Y1390" s="135">
        <v>0.92</v>
      </c>
      <c r="Z1390" s="135" t="s">
        <v>35</v>
      </c>
      <c r="AA1390" s="135" t="s">
        <v>35</v>
      </c>
      <c r="AB1390" s="135" t="s">
        <v>35</v>
      </c>
      <c r="AC1390" s="135" t="s">
        <v>35</v>
      </c>
      <c r="AD1390" s="135">
        <v>0.92</v>
      </c>
      <c r="AE1390" s="133">
        <v>0.981308411214953</v>
      </c>
      <c r="AF1390" s="133">
        <v>1</v>
      </c>
      <c r="AG1390" s="133">
        <v>1</v>
      </c>
      <c r="AH1390" s="133">
        <v>0.993914807302231</v>
      </c>
      <c r="AI1390" s="135">
        <v>0.92</v>
      </c>
      <c r="AJ1390" s="133">
        <v>0.93154486586494</v>
      </c>
      <c r="AK1390" s="133">
        <v>0.946113989637306</v>
      </c>
      <c r="AL1390" s="133">
        <v>0.963589076723017</v>
      </c>
      <c r="AM1390" s="133">
        <v>0.965173963709006</v>
      </c>
      <c r="AN1390" s="132">
        <v>0.99</v>
      </c>
      <c r="AO1390" s="137">
        <v>1</v>
      </c>
      <c r="AP1390" s="137">
        <v>1</v>
      </c>
      <c r="AQ1390" s="137">
        <v>1</v>
      </c>
      <c r="AR1390" s="137">
        <v>1</v>
      </c>
      <c r="AS1390" s="158">
        <v>0.0721861525408278</v>
      </c>
      <c r="AT1390" s="141">
        <v>0</v>
      </c>
      <c r="AU1390" s="141">
        <v>0</v>
      </c>
      <c r="AV1390" s="141">
        <v>0</v>
      </c>
      <c r="AW1390" s="141">
        <v>0.027027027027027</v>
      </c>
      <c r="AX1390" s="95"/>
      <c r="AY1390" s="93"/>
    </row>
    <row r="1391" ht="14.5" spans="1:51">
      <c r="A1391" s="91"/>
      <c r="B1391" s="95"/>
      <c r="C1391" s="152" t="s">
        <v>1085</v>
      </c>
      <c r="D1391" s="153" t="s">
        <v>25</v>
      </c>
      <c r="E1391" s="130" t="s">
        <v>1086</v>
      </c>
      <c r="F1391" s="195" t="s">
        <v>1421</v>
      </c>
      <c r="G1391" s="195" t="s">
        <v>1421</v>
      </c>
      <c r="H1391" s="195" t="s">
        <v>1421</v>
      </c>
      <c r="I1391" s="195" t="s">
        <v>1421</v>
      </c>
      <c r="J1391" s="132">
        <v>0.9</v>
      </c>
      <c r="K1391" s="133">
        <v>0.903225806451613</v>
      </c>
      <c r="L1391" s="133">
        <v>0.842105263157895</v>
      </c>
      <c r="M1391" s="134">
        <v>0.769230769230769</v>
      </c>
      <c r="N1391" s="133">
        <v>0.879360465116279</v>
      </c>
      <c r="O1391" s="135">
        <v>0.9</v>
      </c>
      <c r="P1391" s="133">
        <v>0.948402948402948</v>
      </c>
      <c r="Q1391" s="133">
        <v>0.941124391323594</v>
      </c>
      <c r="R1391" s="133">
        <v>0.978364116094987</v>
      </c>
      <c r="S1391" s="133">
        <v>0.976861116670002</v>
      </c>
      <c r="T1391" s="135">
        <v>0.9</v>
      </c>
      <c r="U1391" s="133">
        <v>0.895167895167895</v>
      </c>
      <c r="V1391" s="133">
        <v>0.871181938911023</v>
      </c>
      <c r="W1391" s="133">
        <v>0.906596306068602</v>
      </c>
      <c r="X1391" s="133">
        <v>0.905318190914549</v>
      </c>
      <c r="Y1391" s="135">
        <v>0.92</v>
      </c>
      <c r="Z1391" s="135">
        <v>0.892255892255892</v>
      </c>
      <c r="AA1391" s="135">
        <v>0.923866552609068</v>
      </c>
      <c r="AB1391" s="135">
        <v>0.913020558777016</v>
      </c>
      <c r="AC1391" s="135">
        <v>0.93619957537155</v>
      </c>
      <c r="AD1391" s="135">
        <v>0.92</v>
      </c>
      <c r="AE1391" s="133">
        <v>1</v>
      </c>
      <c r="AF1391" s="133">
        <v>0.993775933609959</v>
      </c>
      <c r="AG1391" s="133">
        <v>0.998995983935743</v>
      </c>
      <c r="AH1391" s="133">
        <v>0.997056182017763</v>
      </c>
      <c r="AI1391" s="135">
        <v>0.92</v>
      </c>
      <c r="AJ1391" s="133">
        <v>0.927083333333333</v>
      </c>
      <c r="AK1391" s="133">
        <v>0.950116686114352</v>
      </c>
      <c r="AL1391" s="133">
        <v>0.941455696202532</v>
      </c>
      <c r="AM1391" s="133">
        <v>0.958322342389871</v>
      </c>
      <c r="AN1391" s="132">
        <v>0.99</v>
      </c>
      <c r="AO1391" s="137">
        <v>1</v>
      </c>
      <c r="AP1391" s="137">
        <v>1</v>
      </c>
      <c r="AQ1391" s="137">
        <v>1</v>
      </c>
      <c r="AR1391" s="137">
        <v>1</v>
      </c>
      <c r="AS1391" s="158">
        <v>0.0721861525408278</v>
      </c>
      <c r="AT1391" s="141">
        <v>0.0666666666666667</v>
      </c>
      <c r="AU1391" s="141">
        <v>0</v>
      </c>
      <c r="AV1391" s="141">
        <v>0</v>
      </c>
      <c r="AW1391" s="141">
        <v>0.0355731225296443</v>
      </c>
      <c r="AX1391" s="95"/>
      <c r="AY1391" s="93"/>
    </row>
    <row r="1392" ht="14.5" spans="1:51">
      <c r="A1392" s="91"/>
      <c r="B1392" s="95"/>
      <c r="C1392" s="152" t="s">
        <v>1085</v>
      </c>
      <c r="D1392" s="153" t="s">
        <v>25</v>
      </c>
      <c r="E1392" s="130" t="s">
        <v>1086</v>
      </c>
      <c r="F1392" s="195" t="s">
        <v>1422</v>
      </c>
      <c r="G1392" s="195" t="s">
        <v>1422</v>
      </c>
      <c r="H1392" s="195" t="s">
        <v>1422</v>
      </c>
      <c r="I1392" s="195" t="s">
        <v>1422</v>
      </c>
      <c r="J1392" s="132">
        <v>0.9</v>
      </c>
      <c r="K1392" s="133">
        <v>1</v>
      </c>
      <c r="L1392" s="133">
        <v>1</v>
      </c>
      <c r="M1392" s="134">
        <v>1</v>
      </c>
      <c r="N1392" s="133">
        <v>0.979647218453189</v>
      </c>
      <c r="O1392" s="135">
        <v>0.9</v>
      </c>
      <c r="P1392" s="133">
        <v>0.989769820971867</v>
      </c>
      <c r="Q1392" s="133">
        <v>0.993156199677939</v>
      </c>
      <c r="R1392" s="133">
        <v>0.992766726943942</v>
      </c>
      <c r="S1392" s="133">
        <v>0.989976582846388</v>
      </c>
      <c r="T1392" s="135">
        <v>0.9</v>
      </c>
      <c r="U1392" s="133">
        <v>0.959718670076726</v>
      </c>
      <c r="V1392" s="133">
        <v>0.923913043478261</v>
      </c>
      <c r="W1392" s="133">
        <v>0.972875226039783</v>
      </c>
      <c r="X1392" s="133">
        <v>0.965880988335194</v>
      </c>
      <c r="Y1392" s="135">
        <v>0.92</v>
      </c>
      <c r="Z1392" s="135">
        <v>0.946113074204947</v>
      </c>
      <c r="AA1392" s="135">
        <v>0.953541507996954</v>
      </c>
      <c r="AB1392" s="135">
        <v>0.962402765773552</v>
      </c>
      <c r="AC1392" s="135">
        <v>0.968285490762472</v>
      </c>
      <c r="AD1392" s="135">
        <v>0.92</v>
      </c>
      <c r="AE1392" s="133">
        <v>0.996663886572143</v>
      </c>
      <c r="AF1392" s="133">
        <v>0.993541442411195</v>
      </c>
      <c r="AG1392" s="133">
        <v>0.997360084477297</v>
      </c>
      <c r="AH1392" s="133">
        <v>0.994549032120825</v>
      </c>
      <c r="AI1392" s="135">
        <v>0.92</v>
      </c>
      <c r="AJ1392" s="133">
        <v>0.961424332344214</v>
      </c>
      <c r="AK1392" s="133">
        <v>0.964182249144061</v>
      </c>
      <c r="AL1392" s="133">
        <v>0.973928413610252</v>
      </c>
      <c r="AM1392" s="133">
        <v>0.979665268785871</v>
      </c>
      <c r="AN1392" s="132">
        <v>0.99</v>
      </c>
      <c r="AO1392" s="137">
        <v>1</v>
      </c>
      <c r="AP1392" s="137">
        <v>1</v>
      </c>
      <c r="AQ1392" s="137">
        <v>1</v>
      </c>
      <c r="AR1392" s="137">
        <v>1</v>
      </c>
      <c r="AS1392" s="158">
        <v>0.0721861525408278</v>
      </c>
      <c r="AT1392" s="141">
        <v>0.0526315789473684</v>
      </c>
      <c r="AU1392" s="141">
        <v>0.0740740740740741</v>
      </c>
      <c r="AV1392" s="141">
        <v>0</v>
      </c>
      <c r="AW1392" s="141">
        <v>0.0108695652173913</v>
      </c>
      <c r="AX1392" s="95"/>
      <c r="AY1392" s="93"/>
    </row>
    <row r="1393" ht="14.5" spans="1:51">
      <c r="A1393" s="91"/>
      <c r="B1393" s="95"/>
      <c r="C1393" s="152" t="s">
        <v>1085</v>
      </c>
      <c r="D1393" s="153" t="s">
        <v>25</v>
      </c>
      <c r="E1393" s="130" t="s">
        <v>1086</v>
      </c>
      <c r="F1393" s="195" t="s">
        <v>1423</v>
      </c>
      <c r="G1393" s="195" t="s">
        <v>1423</v>
      </c>
      <c r="H1393" s="195" t="s">
        <v>1423</v>
      </c>
      <c r="I1393" s="195" t="s">
        <v>1423</v>
      </c>
      <c r="J1393" s="132">
        <v>0.9</v>
      </c>
      <c r="K1393" s="133">
        <v>0.84</v>
      </c>
      <c r="L1393" s="133">
        <v>0.8</v>
      </c>
      <c r="M1393" s="134">
        <v>0.72</v>
      </c>
      <c r="N1393" s="133">
        <v>0.838383838383838</v>
      </c>
      <c r="O1393" s="135">
        <v>0.9</v>
      </c>
      <c r="P1393" s="133">
        <v>0.97724039829303</v>
      </c>
      <c r="Q1393" s="133">
        <v>0.996688741721854</v>
      </c>
      <c r="R1393" s="133">
        <v>0.973090277777778</v>
      </c>
      <c r="S1393" s="133">
        <v>0.987404849721416</v>
      </c>
      <c r="T1393" s="135">
        <v>0.9</v>
      </c>
      <c r="U1393" s="133">
        <v>0.961593172119488</v>
      </c>
      <c r="V1393" s="133">
        <v>0.96523178807947</v>
      </c>
      <c r="W1393" s="133">
        <v>0.967881944444444</v>
      </c>
      <c r="X1393" s="133">
        <v>0.965588950796516</v>
      </c>
      <c r="Y1393" s="135">
        <v>0.92</v>
      </c>
      <c r="Z1393" s="135">
        <v>0.943048576214405</v>
      </c>
      <c r="AA1393" s="135">
        <v>0.96583850931677</v>
      </c>
      <c r="AB1393" s="135">
        <v>0.980440097799511</v>
      </c>
      <c r="AC1393" s="135">
        <v>0.977094478782527</v>
      </c>
      <c r="AD1393" s="135">
        <v>0.92</v>
      </c>
      <c r="AE1393" s="133">
        <v>0.993957703927492</v>
      </c>
      <c r="AF1393" s="133">
        <v>0.85513078470825</v>
      </c>
      <c r="AG1393" s="133">
        <v>0.980392156862745</v>
      </c>
      <c r="AH1393" s="133">
        <v>0.989034218522922</v>
      </c>
      <c r="AI1393" s="135">
        <v>0.92</v>
      </c>
      <c r="AJ1393" s="133">
        <v>0.963846153846154</v>
      </c>
      <c r="AK1393" s="133">
        <v>0.98110151187905</v>
      </c>
      <c r="AL1393" s="133">
        <v>0.98655462184874</v>
      </c>
      <c r="AM1393" s="133">
        <v>0.985852851779009</v>
      </c>
      <c r="AN1393" s="132">
        <v>0.99</v>
      </c>
      <c r="AO1393" s="137">
        <v>1</v>
      </c>
      <c r="AP1393" s="137">
        <v>1</v>
      </c>
      <c r="AQ1393" s="137">
        <v>1</v>
      </c>
      <c r="AR1393" s="137">
        <v>1</v>
      </c>
      <c r="AS1393" s="158">
        <v>0.0721861525408278</v>
      </c>
      <c r="AT1393" s="141">
        <v>0</v>
      </c>
      <c r="AU1393" s="141">
        <v>0.272727272727273</v>
      </c>
      <c r="AV1393" s="141">
        <v>0.0909090909090909</v>
      </c>
      <c r="AW1393" s="141">
        <v>0.108333333333333</v>
      </c>
      <c r="AX1393" s="95"/>
      <c r="AY1393" s="93"/>
    </row>
    <row r="1394" ht="14.5" spans="1:51">
      <c r="A1394" s="91"/>
      <c r="B1394" s="95"/>
      <c r="C1394" s="152" t="s">
        <v>1085</v>
      </c>
      <c r="D1394" s="153" t="s">
        <v>25</v>
      </c>
      <c r="E1394" s="130" t="s">
        <v>1086</v>
      </c>
      <c r="F1394" s="195" t="s">
        <v>1424</v>
      </c>
      <c r="G1394" s="195" t="s">
        <v>1424</v>
      </c>
      <c r="H1394" s="195" t="s">
        <v>1424</v>
      </c>
      <c r="I1394" s="195" t="s">
        <v>1424</v>
      </c>
      <c r="J1394" s="132">
        <v>0.9</v>
      </c>
      <c r="K1394" s="133">
        <v>0.946428571428571</v>
      </c>
      <c r="L1394" s="133">
        <v>0.929824561403509</v>
      </c>
      <c r="M1394" s="134">
        <v>0.946428571428571</v>
      </c>
      <c r="N1394" s="133">
        <v>0.854460093896714</v>
      </c>
      <c r="O1394" s="135">
        <v>0.9</v>
      </c>
      <c r="P1394" s="133">
        <v>0.981891348088531</v>
      </c>
      <c r="Q1394" s="133">
        <v>0.978435882691202</v>
      </c>
      <c r="R1394" s="133">
        <v>0.985862068965517</v>
      </c>
      <c r="S1394" s="133">
        <v>0.978260539539403</v>
      </c>
      <c r="T1394" s="135">
        <v>0.9</v>
      </c>
      <c r="U1394" s="133">
        <v>0.957746478873239</v>
      </c>
      <c r="V1394" s="133">
        <v>0.95830937320299</v>
      </c>
      <c r="W1394" s="133">
        <v>0.970689655172414</v>
      </c>
      <c r="X1394" s="133">
        <v>0.962775728317469</v>
      </c>
      <c r="Y1394" s="135">
        <v>0.92</v>
      </c>
      <c r="Z1394" s="135">
        <v>0.977331606217617</v>
      </c>
      <c r="AA1394" s="135">
        <v>0.97170837867247</v>
      </c>
      <c r="AB1394" s="135">
        <v>0.968729851708575</v>
      </c>
      <c r="AC1394" s="135">
        <v>0.972252821482759</v>
      </c>
      <c r="AD1394" s="135">
        <v>0.92</v>
      </c>
      <c r="AE1394" s="133">
        <v>0.985106382978723</v>
      </c>
      <c r="AF1394" s="133">
        <v>0.976744186046512</v>
      </c>
      <c r="AG1394" s="133">
        <v>0.939008042895442</v>
      </c>
      <c r="AH1394" s="133">
        <v>0.981715720804876</v>
      </c>
      <c r="AI1394" s="135">
        <v>0.92</v>
      </c>
      <c r="AJ1394" s="133">
        <v>0.983012457531144</v>
      </c>
      <c r="AK1394" s="133">
        <v>0.981000752445448</v>
      </c>
      <c r="AL1394" s="133">
        <v>0.977674108630457</v>
      </c>
      <c r="AM1394" s="133">
        <v>0.983306138919592</v>
      </c>
      <c r="AN1394" s="132">
        <v>0.99</v>
      </c>
      <c r="AO1394" s="137">
        <v>1</v>
      </c>
      <c r="AP1394" s="137">
        <v>1</v>
      </c>
      <c r="AQ1394" s="137">
        <v>1</v>
      </c>
      <c r="AR1394" s="137">
        <v>1</v>
      </c>
      <c r="AS1394" s="158">
        <v>0.0721861525408278</v>
      </c>
      <c r="AT1394" s="141">
        <v>0.0333333333333333</v>
      </c>
      <c r="AU1394" s="141">
        <v>0.04</v>
      </c>
      <c r="AV1394" s="141">
        <v>0</v>
      </c>
      <c r="AW1394" s="141">
        <v>0.0373563218390805</v>
      </c>
      <c r="AX1394" s="95"/>
      <c r="AY1394" s="93"/>
    </row>
    <row r="1395" ht="14.5" spans="1:51">
      <c r="A1395" s="91"/>
      <c r="B1395" s="95"/>
      <c r="C1395" s="152" t="s">
        <v>1085</v>
      </c>
      <c r="D1395" s="153" t="s">
        <v>25</v>
      </c>
      <c r="E1395" s="130" t="s">
        <v>1086</v>
      </c>
      <c r="F1395" s="195" t="s">
        <v>1425</v>
      </c>
      <c r="G1395" s="195" t="s">
        <v>1425</v>
      </c>
      <c r="H1395" s="195" t="s">
        <v>1425</v>
      </c>
      <c r="I1395" s="195" t="s">
        <v>1425</v>
      </c>
      <c r="J1395" s="132">
        <v>0.9</v>
      </c>
      <c r="K1395" s="133">
        <v>0.810810810810811</v>
      </c>
      <c r="L1395" s="133">
        <v>0.815789473684211</v>
      </c>
      <c r="M1395" s="134">
        <v>0.861111111111111</v>
      </c>
      <c r="N1395" s="133">
        <v>0.858126721763085</v>
      </c>
      <c r="O1395" s="135">
        <v>0.9</v>
      </c>
      <c r="P1395" s="133">
        <v>0.990007686395081</v>
      </c>
      <c r="Q1395" s="133">
        <v>0.991179201485608</v>
      </c>
      <c r="R1395" s="133">
        <v>0.989247311827957</v>
      </c>
      <c r="S1395" s="133">
        <v>0.987868995409197</v>
      </c>
      <c r="T1395" s="135">
        <v>0.9</v>
      </c>
      <c r="U1395" s="133">
        <v>0.973097617217525</v>
      </c>
      <c r="V1395" s="133">
        <v>0.969823584029712</v>
      </c>
      <c r="W1395" s="133">
        <v>0.970005659309564</v>
      </c>
      <c r="X1395" s="133">
        <v>0.980969967428381</v>
      </c>
      <c r="Y1395" s="135">
        <v>0.92</v>
      </c>
      <c r="Z1395" s="135">
        <v>0.96218487394958</v>
      </c>
      <c r="AA1395" s="135">
        <v>0.975813953488372</v>
      </c>
      <c r="AB1395" s="135">
        <v>0.966865833785986</v>
      </c>
      <c r="AC1395" s="135">
        <v>0.978303319592102</v>
      </c>
      <c r="AD1395" s="135">
        <v>0.92</v>
      </c>
      <c r="AE1395" s="133">
        <v>0.998688155922039</v>
      </c>
      <c r="AF1395" s="133">
        <v>0.995601173020528</v>
      </c>
      <c r="AG1395" s="133">
        <v>1</v>
      </c>
      <c r="AH1395" s="133">
        <v>0.986150102938424</v>
      </c>
      <c r="AI1395" s="135">
        <v>0.92</v>
      </c>
      <c r="AJ1395" s="133">
        <v>0.97381269418553</v>
      </c>
      <c r="AK1395" s="133">
        <v>0.976772994735212</v>
      </c>
      <c r="AL1395" s="133">
        <v>0.976164079822616</v>
      </c>
      <c r="AM1395" s="133">
        <v>0.986376185331893</v>
      </c>
      <c r="AN1395" s="132">
        <v>0.99</v>
      </c>
      <c r="AO1395" s="137">
        <v>1</v>
      </c>
      <c r="AP1395" s="137">
        <v>1</v>
      </c>
      <c r="AQ1395" s="137">
        <v>1</v>
      </c>
      <c r="AR1395" s="137">
        <v>1</v>
      </c>
      <c r="AS1395" s="158">
        <v>0.0721861525408278</v>
      </c>
      <c r="AT1395" s="141">
        <v>0</v>
      </c>
      <c r="AU1395" s="141">
        <v>0.0344827586206897</v>
      </c>
      <c r="AV1395" s="141">
        <v>0.0384615384615385</v>
      </c>
      <c r="AW1395" s="141">
        <v>0.023696682464455</v>
      </c>
      <c r="AX1395" s="95"/>
      <c r="AY1395" s="93"/>
    </row>
    <row r="1396" ht="14.5" spans="1:51">
      <c r="A1396" s="91"/>
      <c r="B1396" s="95"/>
      <c r="C1396" s="152" t="s">
        <v>1085</v>
      </c>
      <c r="D1396" s="153" t="s">
        <v>25</v>
      </c>
      <c r="E1396" s="130" t="s">
        <v>1086</v>
      </c>
      <c r="F1396" s="195" t="s">
        <v>1426</v>
      </c>
      <c r="G1396" s="195" t="s">
        <v>1426</v>
      </c>
      <c r="H1396" s="195" t="s">
        <v>1426</v>
      </c>
      <c r="I1396" s="195" t="s">
        <v>1426</v>
      </c>
      <c r="J1396" s="132">
        <v>0.9</v>
      </c>
      <c r="K1396" s="133">
        <v>0.970588235294118</v>
      </c>
      <c r="L1396" s="133">
        <v>0.948717948717949</v>
      </c>
      <c r="M1396" s="134">
        <v>0.891891891891892</v>
      </c>
      <c r="N1396" s="133">
        <v>0.955840455840456</v>
      </c>
      <c r="O1396" s="135">
        <v>0.9</v>
      </c>
      <c r="P1396" s="133">
        <v>0.943900267141585</v>
      </c>
      <c r="Q1396" s="133">
        <v>0.988941548183254</v>
      </c>
      <c r="R1396" s="133">
        <v>0.945135746606335</v>
      </c>
      <c r="S1396" s="133">
        <v>0.970886707702545</v>
      </c>
      <c r="T1396" s="135">
        <v>0.9</v>
      </c>
      <c r="U1396" s="133">
        <v>0.91273374888691</v>
      </c>
      <c r="V1396" s="133">
        <v>0.934702474986835</v>
      </c>
      <c r="W1396" s="133">
        <v>0.937217194570136</v>
      </c>
      <c r="X1396" s="133">
        <v>0.940026617867243</v>
      </c>
      <c r="Y1396" s="135">
        <v>0.92</v>
      </c>
      <c r="Z1396" s="135">
        <v>0.919338159255429</v>
      </c>
      <c r="AA1396" s="135">
        <v>0.935028248587571</v>
      </c>
      <c r="AB1396" s="135">
        <v>0.938341968911917</v>
      </c>
      <c r="AC1396" s="135">
        <v>0.952858244300033</v>
      </c>
      <c r="AD1396" s="135">
        <v>0.92</v>
      </c>
      <c r="AE1396" s="133">
        <v>1</v>
      </c>
      <c r="AF1396" s="133">
        <v>0.994186046511628</v>
      </c>
      <c r="AG1396" s="133">
        <v>1</v>
      </c>
      <c r="AH1396" s="133">
        <v>0.999252895031752</v>
      </c>
      <c r="AI1396" s="135">
        <v>0.92</v>
      </c>
      <c r="AJ1396" s="133">
        <v>0.941148325358852</v>
      </c>
      <c r="AK1396" s="133">
        <v>0.952734638757596</v>
      </c>
      <c r="AL1396" s="133">
        <v>0.961060032449973</v>
      </c>
      <c r="AM1396" s="133">
        <v>0.970602638022273</v>
      </c>
      <c r="AN1396" s="132">
        <v>0.99</v>
      </c>
      <c r="AO1396" s="137">
        <v>1</v>
      </c>
      <c r="AP1396" s="137">
        <v>1</v>
      </c>
      <c r="AQ1396" s="137">
        <v>1</v>
      </c>
      <c r="AR1396" s="137">
        <v>1</v>
      </c>
      <c r="AS1396" s="158">
        <v>0.0721861525408278</v>
      </c>
      <c r="AT1396" s="141">
        <v>0.142857142857143</v>
      </c>
      <c r="AU1396" s="141">
        <v>0</v>
      </c>
      <c r="AV1396" s="141">
        <v>0</v>
      </c>
      <c r="AW1396" s="141">
        <v>0.0387931034482759</v>
      </c>
      <c r="AX1396" s="95"/>
      <c r="AY1396" s="93"/>
    </row>
    <row r="1397" ht="14.5" spans="1:51">
      <c r="A1397" s="91"/>
      <c r="B1397" s="95"/>
      <c r="C1397" s="152" t="s">
        <v>1085</v>
      </c>
      <c r="D1397" s="153" t="s">
        <v>25</v>
      </c>
      <c r="E1397" s="130" t="s">
        <v>1086</v>
      </c>
      <c r="F1397" s="195" t="s">
        <v>1427</v>
      </c>
      <c r="G1397" s="195" t="s">
        <v>1427</v>
      </c>
      <c r="H1397" s="195" t="s">
        <v>1427</v>
      </c>
      <c r="I1397" s="195" t="s">
        <v>1427</v>
      </c>
      <c r="J1397" s="132">
        <v>0.9</v>
      </c>
      <c r="K1397" s="133">
        <v>0.92156862745098</v>
      </c>
      <c r="L1397" s="133">
        <v>0.964285714285714</v>
      </c>
      <c r="M1397" s="134">
        <v>0.959183673469388</v>
      </c>
      <c r="N1397" s="133">
        <v>0.944327731092437</v>
      </c>
      <c r="O1397" s="135">
        <v>0.9</v>
      </c>
      <c r="P1397" s="133">
        <v>0.960589651022864</v>
      </c>
      <c r="Q1397" s="133">
        <v>0.982155863073562</v>
      </c>
      <c r="R1397" s="133">
        <v>0.982154958210978</v>
      </c>
      <c r="S1397" s="133">
        <v>0.976171457501266</v>
      </c>
      <c r="T1397" s="135">
        <v>0.9</v>
      </c>
      <c r="U1397" s="133">
        <v>0.8823706377858</v>
      </c>
      <c r="V1397" s="133">
        <v>0.796067006554989</v>
      </c>
      <c r="W1397" s="133">
        <v>0.841427603343122</v>
      </c>
      <c r="X1397" s="133">
        <v>0.817247004556449</v>
      </c>
      <c r="Y1397" s="135">
        <v>0.92</v>
      </c>
      <c r="Z1397" s="135" t="s">
        <v>35</v>
      </c>
      <c r="AA1397" s="135" t="s">
        <v>35</v>
      </c>
      <c r="AB1397" s="135" t="s">
        <v>35</v>
      </c>
      <c r="AC1397" s="135">
        <v>0.5</v>
      </c>
      <c r="AD1397" s="135">
        <v>0.92</v>
      </c>
      <c r="AE1397" s="133">
        <v>0.999154691462384</v>
      </c>
      <c r="AF1397" s="133">
        <v>0.989915966386555</v>
      </c>
      <c r="AG1397" s="133">
        <v>0.997398543184183</v>
      </c>
      <c r="AH1397" s="133">
        <v>0.998050375774347</v>
      </c>
      <c r="AI1397" s="135">
        <v>0.92</v>
      </c>
      <c r="AJ1397" s="133">
        <v>0.950361010830325</v>
      </c>
      <c r="AK1397" s="133">
        <v>0.960852148579752</v>
      </c>
      <c r="AL1397" s="133">
        <v>0.962051050372713</v>
      </c>
      <c r="AM1397" s="133">
        <v>0.96498925602169</v>
      </c>
      <c r="AN1397" s="132">
        <v>0.99</v>
      </c>
      <c r="AO1397" s="137">
        <v>1</v>
      </c>
      <c r="AP1397" s="137">
        <v>1</v>
      </c>
      <c r="AQ1397" s="137">
        <v>1</v>
      </c>
      <c r="AR1397" s="137">
        <v>1</v>
      </c>
      <c r="AS1397" s="158">
        <v>0.0721861525408278</v>
      </c>
      <c r="AT1397" s="141">
        <v>0</v>
      </c>
      <c r="AU1397" s="141">
        <v>0.0454545454545455</v>
      </c>
      <c r="AV1397" s="141">
        <v>0.0555555555555556</v>
      </c>
      <c r="AW1397" s="141">
        <v>0.0317460317460317</v>
      </c>
      <c r="AX1397" s="95"/>
      <c r="AY1397" s="93"/>
    </row>
    <row r="1398" ht="14.5" spans="1:51">
      <c r="A1398" s="91"/>
      <c r="B1398" s="95"/>
      <c r="C1398" s="152" t="s">
        <v>1085</v>
      </c>
      <c r="D1398" s="153" t="s">
        <v>25</v>
      </c>
      <c r="E1398" s="130" t="s">
        <v>1086</v>
      </c>
      <c r="F1398" s="195" t="s">
        <v>1428</v>
      </c>
      <c r="G1398" s="195" t="s">
        <v>1428</v>
      </c>
      <c r="H1398" s="195" t="s">
        <v>1428</v>
      </c>
      <c r="I1398" s="195" t="s">
        <v>1428</v>
      </c>
      <c r="J1398" s="132">
        <v>0.9</v>
      </c>
      <c r="K1398" s="133">
        <v>0.947368421052632</v>
      </c>
      <c r="L1398" s="133">
        <v>0.948717948717949</v>
      </c>
      <c r="M1398" s="134">
        <v>0.871794871794872</v>
      </c>
      <c r="N1398" s="133">
        <v>0.939775910364146</v>
      </c>
      <c r="O1398" s="135">
        <v>0.9</v>
      </c>
      <c r="P1398" s="133">
        <v>0.977110157367668</v>
      </c>
      <c r="Q1398" s="133">
        <v>0.994734532689776</v>
      </c>
      <c r="R1398" s="133">
        <v>0.990330788804071</v>
      </c>
      <c r="S1398" s="133">
        <v>0.986129640704789</v>
      </c>
      <c r="T1398" s="135">
        <v>0.9</v>
      </c>
      <c r="U1398" s="133">
        <v>0.956366237482117</v>
      </c>
      <c r="V1398" s="133">
        <v>0.958315050460728</v>
      </c>
      <c r="W1398" s="133">
        <v>0.964885496183206</v>
      </c>
      <c r="X1398" s="133">
        <v>0.965427611905967</v>
      </c>
      <c r="Y1398" s="135">
        <v>0.92</v>
      </c>
      <c r="Z1398" s="135">
        <v>0.975222993062438</v>
      </c>
      <c r="AA1398" s="135">
        <v>0.965403624382208</v>
      </c>
      <c r="AB1398" s="135">
        <v>0.966810966810967</v>
      </c>
      <c r="AC1398" s="135">
        <v>0.970928720083247</v>
      </c>
      <c r="AD1398" s="135">
        <v>0.92</v>
      </c>
      <c r="AE1398" s="133">
        <v>0.992</v>
      </c>
      <c r="AF1398" s="133">
        <v>0.997278911564626</v>
      </c>
      <c r="AG1398" s="133">
        <v>0.996354799513973</v>
      </c>
      <c r="AH1398" s="133">
        <v>0.987442243469509</v>
      </c>
      <c r="AI1398" s="135">
        <v>0.92</v>
      </c>
      <c r="AJ1398" s="133">
        <v>0.976734524304113</v>
      </c>
      <c r="AK1398" s="133">
        <v>0.974234182651016</v>
      </c>
      <c r="AL1398" s="133">
        <v>0.974536464771323</v>
      </c>
      <c r="AM1398" s="133">
        <v>0.982203720917701</v>
      </c>
      <c r="AN1398" s="132">
        <v>0.99</v>
      </c>
      <c r="AO1398" s="137">
        <v>1</v>
      </c>
      <c r="AP1398" s="137">
        <v>1</v>
      </c>
      <c r="AQ1398" s="137">
        <v>1</v>
      </c>
      <c r="AR1398" s="137">
        <v>1</v>
      </c>
      <c r="AS1398" s="158">
        <v>0.0721861525408278</v>
      </c>
      <c r="AT1398" s="141">
        <v>0</v>
      </c>
      <c r="AU1398" s="141">
        <v>0</v>
      </c>
      <c r="AV1398" s="141">
        <v>0</v>
      </c>
      <c r="AW1398" s="141">
        <v>0.0138568129330254</v>
      </c>
      <c r="AX1398" s="95"/>
      <c r="AY1398" s="93"/>
    </row>
    <row r="1399" ht="14.5" spans="1:51">
      <c r="A1399" s="91"/>
      <c r="B1399" s="95"/>
      <c r="C1399" s="152" t="s">
        <v>1085</v>
      </c>
      <c r="D1399" s="153" t="s">
        <v>25</v>
      </c>
      <c r="E1399" s="130" t="s">
        <v>1086</v>
      </c>
      <c r="F1399" s="195" t="s">
        <v>1429</v>
      </c>
      <c r="G1399" s="195" t="s">
        <v>1429</v>
      </c>
      <c r="H1399" s="195" t="s">
        <v>1429</v>
      </c>
      <c r="I1399" s="195" t="s">
        <v>1429</v>
      </c>
      <c r="J1399" s="132">
        <v>0.9</v>
      </c>
      <c r="K1399" s="133">
        <v>0.983870967741935</v>
      </c>
      <c r="L1399" s="133">
        <v>0.968253968253968</v>
      </c>
      <c r="M1399" s="134">
        <v>0.925373134328358</v>
      </c>
      <c r="N1399" s="133">
        <v>0.961476725521669</v>
      </c>
      <c r="O1399" s="135">
        <v>0.9</v>
      </c>
      <c r="P1399" s="133">
        <v>0.966903073286052</v>
      </c>
      <c r="Q1399" s="133">
        <v>0.968054898248935</v>
      </c>
      <c r="R1399" s="133">
        <v>0.974715198666296</v>
      </c>
      <c r="S1399" s="133">
        <v>0.969960261332256</v>
      </c>
      <c r="T1399" s="135">
        <v>0.9</v>
      </c>
      <c r="U1399" s="133">
        <v>0.942868400315209</v>
      </c>
      <c r="V1399" s="133">
        <v>0.955750118315192</v>
      </c>
      <c r="W1399" s="133">
        <v>0.959155320922478</v>
      </c>
      <c r="X1399" s="133">
        <v>0.950427695830808</v>
      </c>
      <c r="Y1399" s="135">
        <v>0.92</v>
      </c>
      <c r="Z1399" s="135">
        <v>0.919298245614035</v>
      </c>
      <c r="AA1399" s="135">
        <v>0.953785211267606</v>
      </c>
      <c r="AB1399" s="135">
        <v>0.932377049180328</v>
      </c>
      <c r="AC1399" s="135">
        <v>0.946332670544292</v>
      </c>
      <c r="AD1399" s="135">
        <v>0.92</v>
      </c>
      <c r="AE1399" s="133">
        <v>0.996649916247906</v>
      </c>
      <c r="AF1399" s="133">
        <v>0.987654320987654</v>
      </c>
      <c r="AG1399" s="133">
        <v>0.993555316863588</v>
      </c>
      <c r="AH1399" s="133">
        <v>0.973642626888313</v>
      </c>
      <c r="AI1399" s="135">
        <v>0.92</v>
      </c>
      <c r="AJ1399" s="133">
        <v>0.947496139422016</v>
      </c>
      <c r="AK1399" s="133">
        <v>0.970914127423823</v>
      </c>
      <c r="AL1399" s="133">
        <v>0.954418232706917</v>
      </c>
      <c r="AM1399" s="133">
        <v>0.968522075934342</v>
      </c>
      <c r="AN1399" s="132">
        <v>0.99</v>
      </c>
      <c r="AO1399" s="137">
        <v>1</v>
      </c>
      <c r="AP1399" s="137">
        <v>1</v>
      </c>
      <c r="AQ1399" s="137">
        <v>1</v>
      </c>
      <c r="AR1399" s="137">
        <v>1</v>
      </c>
      <c r="AS1399" s="158">
        <v>0.0721861525408278</v>
      </c>
      <c r="AT1399" s="141">
        <v>0.0256410256410256</v>
      </c>
      <c r="AU1399" s="141">
        <v>0.0204081632653061</v>
      </c>
      <c r="AV1399" s="141">
        <v>0</v>
      </c>
      <c r="AW1399" s="141">
        <v>0.0405063291139241</v>
      </c>
      <c r="AX1399" s="95"/>
      <c r="AY1399" s="93"/>
    </row>
    <row r="1400" ht="14.5" spans="1:51">
      <c r="A1400" s="91"/>
      <c r="B1400" s="95"/>
      <c r="C1400" s="152" t="s">
        <v>1085</v>
      </c>
      <c r="D1400" s="153" t="s">
        <v>25</v>
      </c>
      <c r="E1400" s="130" t="s">
        <v>1086</v>
      </c>
      <c r="F1400" s="195" t="s">
        <v>1430</v>
      </c>
      <c r="G1400" s="195" t="s">
        <v>1430</v>
      </c>
      <c r="H1400" s="195" t="s">
        <v>1430</v>
      </c>
      <c r="I1400" s="195" t="s">
        <v>1430</v>
      </c>
      <c r="J1400" s="132">
        <v>0.9</v>
      </c>
      <c r="K1400" s="133">
        <v>0.933333333333333</v>
      </c>
      <c r="L1400" s="133">
        <v>0.823529411764706</v>
      </c>
      <c r="M1400" s="134">
        <v>1</v>
      </c>
      <c r="N1400" s="133">
        <v>0.867986798679868</v>
      </c>
      <c r="O1400" s="135">
        <v>0.9</v>
      </c>
      <c r="P1400" s="133">
        <v>0.944444444444444</v>
      </c>
      <c r="Q1400" s="133">
        <v>0.965542521994135</v>
      </c>
      <c r="R1400" s="133">
        <v>0.987378640776699</v>
      </c>
      <c r="S1400" s="133">
        <v>0.960868053831256</v>
      </c>
      <c r="T1400" s="135">
        <v>0.9</v>
      </c>
      <c r="U1400" s="133">
        <v>0.757105943152455</v>
      </c>
      <c r="V1400" s="133">
        <v>0.631231671554252</v>
      </c>
      <c r="W1400" s="133">
        <v>0.696116504854369</v>
      </c>
      <c r="X1400" s="133">
        <v>0.692506331628346</v>
      </c>
      <c r="Y1400" s="135">
        <v>0.92</v>
      </c>
      <c r="Z1400" s="135" t="s">
        <v>35</v>
      </c>
      <c r="AA1400" s="135">
        <v>0</v>
      </c>
      <c r="AB1400" s="135" t="s">
        <v>35</v>
      </c>
      <c r="AC1400" s="135">
        <v>0</v>
      </c>
      <c r="AD1400" s="135">
        <v>0.92</v>
      </c>
      <c r="AE1400" s="133">
        <v>0.583333333333333</v>
      </c>
      <c r="AF1400" s="133">
        <v>1</v>
      </c>
      <c r="AG1400" s="133">
        <v>1</v>
      </c>
      <c r="AH1400" s="133">
        <v>0.789115646258503</v>
      </c>
      <c r="AI1400" s="135">
        <v>0.92</v>
      </c>
      <c r="AJ1400" s="133">
        <v>0.810077519379845</v>
      </c>
      <c r="AK1400" s="133">
        <v>0.873260073260073</v>
      </c>
      <c r="AL1400" s="133">
        <v>0.846601941747573</v>
      </c>
      <c r="AM1400" s="133">
        <v>0.879139977158747</v>
      </c>
      <c r="AN1400" s="132">
        <v>0.99</v>
      </c>
      <c r="AO1400" s="137">
        <v>1</v>
      </c>
      <c r="AP1400" s="137">
        <v>1</v>
      </c>
      <c r="AQ1400" s="137">
        <v>1</v>
      </c>
      <c r="AR1400" s="137">
        <v>1</v>
      </c>
      <c r="AS1400" s="158">
        <v>0.0721861525408278</v>
      </c>
      <c r="AT1400" s="141">
        <v>0</v>
      </c>
      <c r="AU1400" s="141">
        <v>0.125</v>
      </c>
      <c r="AV1400" s="141">
        <v>0</v>
      </c>
      <c r="AW1400" s="141">
        <v>0.0416666666666667</v>
      </c>
      <c r="AX1400" s="95"/>
      <c r="AY1400" s="93"/>
    </row>
    <row r="1401" ht="14.5" spans="1:51">
      <c r="A1401" s="91"/>
      <c r="B1401" s="95"/>
      <c r="C1401" s="152" t="s">
        <v>1085</v>
      </c>
      <c r="D1401" s="153" t="s">
        <v>25</v>
      </c>
      <c r="E1401" s="130" t="s">
        <v>1086</v>
      </c>
      <c r="F1401" s="195" t="s">
        <v>1431</v>
      </c>
      <c r="G1401" s="195" t="s">
        <v>1431</v>
      </c>
      <c r="H1401" s="195" t="s">
        <v>1431</v>
      </c>
      <c r="I1401" s="195" t="s">
        <v>1431</v>
      </c>
      <c r="J1401" s="132">
        <v>0.9</v>
      </c>
      <c r="K1401" s="133">
        <v>0.888888888888889</v>
      </c>
      <c r="L1401" s="133">
        <v>0.941176470588235</v>
      </c>
      <c r="M1401" s="134">
        <v>0.942857142857143</v>
      </c>
      <c r="N1401" s="133">
        <v>0.944527736131934</v>
      </c>
      <c r="O1401" s="135">
        <v>0.9</v>
      </c>
      <c r="P1401" s="133">
        <v>0.991178829190056</v>
      </c>
      <c r="Q1401" s="133">
        <v>0.992904446546831</v>
      </c>
      <c r="R1401" s="133">
        <v>0.992437463641652</v>
      </c>
      <c r="S1401" s="133">
        <v>0.979178082191781</v>
      </c>
      <c r="T1401" s="135">
        <v>0.9</v>
      </c>
      <c r="U1401" s="133">
        <v>0.960705693664796</v>
      </c>
      <c r="V1401" s="133">
        <v>0.947492904446547</v>
      </c>
      <c r="W1401" s="133">
        <v>0.957533449680046</v>
      </c>
      <c r="X1401" s="133">
        <v>0.955691158156912</v>
      </c>
      <c r="Y1401" s="135">
        <v>0.92</v>
      </c>
      <c r="Z1401" s="135">
        <v>0.979899497487437</v>
      </c>
      <c r="AA1401" s="135">
        <v>0.986194995685936</v>
      </c>
      <c r="AB1401" s="135">
        <v>0.961436872688854</v>
      </c>
      <c r="AC1401" s="135">
        <v>0.971162118448673</v>
      </c>
      <c r="AD1401" s="135">
        <v>0.92</v>
      </c>
      <c r="AE1401" s="133">
        <v>0.994276795005203</v>
      </c>
      <c r="AF1401" s="133">
        <v>0.999235474006116</v>
      </c>
      <c r="AG1401" s="133">
        <v>0.997961679576029</v>
      </c>
      <c r="AH1401" s="133">
        <v>0.994803483861524</v>
      </c>
      <c r="AI1401" s="135">
        <v>0.92</v>
      </c>
      <c r="AJ1401" s="133">
        <v>0.985727029438002</v>
      </c>
      <c r="AK1401" s="133">
        <v>0.983195844790712</v>
      </c>
      <c r="AL1401" s="133">
        <v>0.972598948242458</v>
      </c>
      <c r="AM1401" s="133">
        <v>0.981260745813648</v>
      </c>
      <c r="AN1401" s="132">
        <v>0.99</v>
      </c>
      <c r="AO1401" s="137">
        <v>1</v>
      </c>
      <c r="AP1401" s="137">
        <v>1</v>
      </c>
      <c r="AQ1401" s="137">
        <v>1</v>
      </c>
      <c r="AR1401" s="137">
        <v>1</v>
      </c>
      <c r="AS1401" s="158">
        <v>0.0721861525408278</v>
      </c>
      <c r="AT1401" s="141">
        <v>0</v>
      </c>
      <c r="AU1401" s="141">
        <v>0</v>
      </c>
      <c r="AV1401" s="141">
        <v>0</v>
      </c>
      <c r="AW1401" s="141">
        <v>-0.00586510263929619</v>
      </c>
      <c r="AX1401" s="95"/>
      <c r="AY1401" s="93"/>
    </row>
    <row r="1402" ht="14.5" spans="1:51">
      <c r="A1402" s="91"/>
      <c r="B1402" s="95"/>
      <c r="C1402" s="152" t="s">
        <v>1085</v>
      </c>
      <c r="D1402" s="153" t="s">
        <v>25</v>
      </c>
      <c r="E1402" s="130" t="s">
        <v>1086</v>
      </c>
      <c r="F1402" s="195" t="s">
        <v>1432</v>
      </c>
      <c r="G1402" s="195" t="s">
        <v>1432</v>
      </c>
      <c r="H1402" s="195" t="s">
        <v>1432</v>
      </c>
      <c r="I1402" s="195" t="s">
        <v>1432</v>
      </c>
      <c r="J1402" s="132">
        <v>0.9</v>
      </c>
      <c r="K1402" s="133">
        <v>0.868421052631579</v>
      </c>
      <c r="L1402" s="133">
        <v>0.894736842105263</v>
      </c>
      <c r="M1402" s="134">
        <v>0.947368421052632</v>
      </c>
      <c r="N1402" s="133">
        <v>0.935082872928177</v>
      </c>
      <c r="O1402" s="135">
        <v>0.9</v>
      </c>
      <c r="P1402" s="133">
        <v>0.992821249102656</v>
      </c>
      <c r="Q1402" s="133">
        <v>0.964494382022472</v>
      </c>
      <c r="R1402" s="133">
        <v>0.985736118186449</v>
      </c>
      <c r="S1402" s="133">
        <v>0.987934241616812</v>
      </c>
      <c r="T1402" s="135">
        <v>0.9</v>
      </c>
      <c r="U1402" s="133">
        <v>0.933955491744436</v>
      </c>
      <c r="V1402" s="133">
        <v>0.944269662921348</v>
      </c>
      <c r="W1402" s="133">
        <v>0.944982170147733</v>
      </c>
      <c r="X1402" s="133">
        <v>0.947865868985974</v>
      </c>
      <c r="Y1402" s="135">
        <v>0.92</v>
      </c>
      <c r="Z1402" s="135">
        <v>0.924242424242424</v>
      </c>
      <c r="AA1402" s="135">
        <v>0.949195596951736</v>
      </c>
      <c r="AB1402" s="135">
        <v>0.959498553519769</v>
      </c>
      <c r="AC1402" s="135">
        <v>0.96504095691812</v>
      </c>
      <c r="AD1402" s="135">
        <v>0.92</v>
      </c>
      <c r="AE1402" s="133">
        <v>0.995018679950187</v>
      </c>
      <c r="AF1402" s="133">
        <v>1</v>
      </c>
      <c r="AG1402" s="133">
        <v>0.998456790123457</v>
      </c>
      <c r="AH1402" s="133">
        <v>0.99887856456264</v>
      </c>
      <c r="AI1402" s="135">
        <v>0.92</v>
      </c>
      <c r="AJ1402" s="133">
        <v>0.944467129440588</v>
      </c>
      <c r="AK1402" s="133">
        <v>0.963300058719906</v>
      </c>
      <c r="AL1402" s="133">
        <v>0.966311617537776</v>
      </c>
      <c r="AM1402" s="133">
        <v>0.975869719688511</v>
      </c>
      <c r="AN1402" s="132">
        <v>0.99</v>
      </c>
      <c r="AO1402" s="137">
        <v>1</v>
      </c>
      <c r="AP1402" s="137">
        <v>1</v>
      </c>
      <c r="AQ1402" s="137">
        <v>1</v>
      </c>
      <c r="AR1402" s="137">
        <v>1</v>
      </c>
      <c r="AS1402" s="158">
        <v>0.0721861525408278</v>
      </c>
      <c r="AT1402" s="141">
        <v>0</v>
      </c>
      <c r="AU1402" s="141">
        <v>0</v>
      </c>
      <c r="AV1402" s="141">
        <v>0</v>
      </c>
      <c r="AW1402" s="141">
        <v>0.0324324324324324</v>
      </c>
      <c r="AX1402" s="95"/>
      <c r="AY1402" s="93"/>
    </row>
    <row r="1403" ht="14.5" spans="1:51">
      <c r="A1403" s="91"/>
      <c r="B1403" s="95"/>
      <c r="C1403" s="152" t="s">
        <v>1085</v>
      </c>
      <c r="D1403" s="153" t="s">
        <v>25</v>
      </c>
      <c r="E1403" s="130" t="s">
        <v>1086</v>
      </c>
      <c r="F1403" s="195" t="s">
        <v>1433</v>
      </c>
      <c r="G1403" s="195" t="s">
        <v>1433</v>
      </c>
      <c r="H1403" s="195" t="s">
        <v>1433</v>
      </c>
      <c r="I1403" s="195" t="s">
        <v>1433</v>
      </c>
      <c r="J1403" s="132">
        <v>0.9</v>
      </c>
      <c r="K1403" s="133">
        <v>1</v>
      </c>
      <c r="L1403" s="133">
        <v>1</v>
      </c>
      <c r="M1403" s="134">
        <v>1</v>
      </c>
      <c r="N1403" s="133">
        <v>0.992890995260663</v>
      </c>
      <c r="O1403" s="135">
        <v>0.9</v>
      </c>
      <c r="P1403" s="133">
        <v>0.994176813128639</v>
      </c>
      <c r="Q1403" s="133">
        <v>0.987893462469734</v>
      </c>
      <c r="R1403" s="133">
        <v>0.9865273577124</v>
      </c>
      <c r="S1403" s="133">
        <v>0.984691492089347</v>
      </c>
      <c r="T1403" s="135">
        <v>0.9</v>
      </c>
      <c r="U1403" s="133">
        <v>0.948120698782425</v>
      </c>
      <c r="V1403" s="133">
        <v>0.963983050847458</v>
      </c>
      <c r="W1403" s="133">
        <v>0.952983227935111</v>
      </c>
      <c r="X1403" s="133">
        <v>0.952867894363754</v>
      </c>
      <c r="Y1403" s="135">
        <v>0.92</v>
      </c>
      <c r="Z1403" s="135">
        <v>0.939240506329114</v>
      </c>
      <c r="AA1403" s="135">
        <v>0.958801498127341</v>
      </c>
      <c r="AB1403" s="135">
        <v>0.964244521337947</v>
      </c>
      <c r="AC1403" s="135">
        <v>0.962771392081737</v>
      </c>
      <c r="AD1403" s="135">
        <v>0.92</v>
      </c>
      <c r="AE1403" s="133">
        <v>0.999900139804274</v>
      </c>
      <c r="AF1403" s="133">
        <v>0.999621355547141</v>
      </c>
      <c r="AG1403" s="133">
        <v>1</v>
      </c>
      <c r="AH1403" s="133">
        <v>0.995383139465164</v>
      </c>
      <c r="AI1403" s="135">
        <v>0.92</v>
      </c>
      <c r="AJ1403" s="133">
        <v>0.969391564016424</v>
      </c>
      <c r="AK1403" s="133">
        <v>0.985409067222512</v>
      </c>
      <c r="AL1403" s="133">
        <v>0.979795737122558</v>
      </c>
      <c r="AM1403" s="133">
        <v>0.984908560762258</v>
      </c>
      <c r="AN1403" s="132">
        <v>0.99</v>
      </c>
      <c r="AO1403" s="137">
        <v>1</v>
      </c>
      <c r="AP1403" s="137">
        <v>1</v>
      </c>
      <c r="AQ1403" s="137">
        <v>1</v>
      </c>
      <c r="AR1403" s="137">
        <v>1</v>
      </c>
      <c r="AS1403" s="158">
        <v>0.0721861525408278</v>
      </c>
      <c r="AT1403" s="141">
        <v>0</v>
      </c>
      <c r="AU1403" s="141">
        <v>0.0555555555555556</v>
      </c>
      <c r="AV1403" s="141">
        <v>0.0526315789473684</v>
      </c>
      <c r="AW1403" s="141">
        <v>0.0163398692810458</v>
      </c>
      <c r="AX1403" s="95"/>
      <c r="AY1403" s="93"/>
    </row>
    <row r="1404" ht="14.5" spans="1:51">
      <c r="A1404" s="91"/>
      <c r="B1404" s="95"/>
      <c r="C1404" s="152" t="s">
        <v>1085</v>
      </c>
      <c r="D1404" s="153" t="s">
        <v>25</v>
      </c>
      <c r="E1404" s="130" t="s">
        <v>1086</v>
      </c>
      <c r="F1404" s="195" t="s">
        <v>1434</v>
      </c>
      <c r="G1404" s="195" t="s">
        <v>1434</v>
      </c>
      <c r="H1404" s="195" t="s">
        <v>1434</v>
      </c>
      <c r="I1404" s="195" t="s">
        <v>1434</v>
      </c>
      <c r="J1404" s="132">
        <v>0.9</v>
      </c>
      <c r="K1404" s="133">
        <v>1</v>
      </c>
      <c r="L1404" s="133">
        <v>1</v>
      </c>
      <c r="M1404" s="134">
        <v>1</v>
      </c>
      <c r="N1404" s="133">
        <v>0.995297805642633</v>
      </c>
      <c r="O1404" s="135">
        <v>0.9</v>
      </c>
      <c r="P1404" s="133">
        <v>0.997716894977169</v>
      </c>
      <c r="Q1404" s="133">
        <v>0.991037735849057</v>
      </c>
      <c r="R1404" s="133">
        <v>0.989406779661017</v>
      </c>
      <c r="S1404" s="133">
        <v>0.992582981943994</v>
      </c>
      <c r="T1404" s="135">
        <v>0.9</v>
      </c>
      <c r="U1404" s="133">
        <v>0.953576864535769</v>
      </c>
      <c r="V1404" s="133">
        <v>0.961320754716981</v>
      </c>
      <c r="W1404" s="133">
        <v>0.952542372881356</v>
      </c>
      <c r="X1404" s="133">
        <v>0.959822683533355</v>
      </c>
      <c r="Y1404" s="135">
        <v>0.92</v>
      </c>
      <c r="Z1404" s="135">
        <v>0.968441814595661</v>
      </c>
      <c r="AA1404" s="135">
        <v>0.978978978978979</v>
      </c>
      <c r="AB1404" s="135">
        <v>0.97158081705151</v>
      </c>
      <c r="AC1404" s="135">
        <v>0.983440839510927</v>
      </c>
      <c r="AD1404" s="135">
        <v>0.92</v>
      </c>
      <c r="AE1404" s="133">
        <v>0.999172185430464</v>
      </c>
      <c r="AF1404" s="133">
        <v>1</v>
      </c>
      <c r="AG1404" s="133">
        <v>1</v>
      </c>
      <c r="AH1404" s="133">
        <v>0.999418284562727</v>
      </c>
      <c r="AI1404" s="135">
        <v>0.92</v>
      </c>
      <c r="AJ1404" s="133">
        <v>0.982976386600769</v>
      </c>
      <c r="AK1404" s="133">
        <v>0.986954749286588</v>
      </c>
      <c r="AL1404" s="133">
        <v>0.981525829627095</v>
      </c>
      <c r="AM1404" s="133">
        <v>0.99034166151673</v>
      </c>
      <c r="AN1404" s="132">
        <v>0.99</v>
      </c>
      <c r="AO1404" s="137">
        <v>1</v>
      </c>
      <c r="AP1404" s="137">
        <v>1</v>
      </c>
      <c r="AQ1404" s="137">
        <v>1</v>
      </c>
      <c r="AR1404" s="137">
        <v>1</v>
      </c>
      <c r="AS1404" s="158">
        <v>0.0721861525408278</v>
      </c>
      <c r="AT1404" s="141">
        <v>0</v>
      </c>
      <c r="AU1404" s="141">
        <v>0.0909090909090909</v>
      </c>
      <c r="AV1404" s="141">
        <v>0.0555555555555556</v>
      </c>
      <c r="AW1404" s="141">
        <v>0.0176678445229682</v>
      </c>
      <c r="AX1404" s="95"/>
      <c r="AY1404" s="93"/>
    </row>
    <row r="1405" ht="14.5" spans="1:51">
      <c r="A1405" s="91"/>
      <c r="B1405" s="95"/>
      <c r="C1405" s="152" t="s">
        <v>1085</v>
      </c>
      <c r="D1405" s="153" t="s">
        <v>25</v>
      </c>
      <c r="E1405" s="130" t="s">
        <v>1086</v>
      </c>
      <c r="F1405" s="195" t="s">
        <v>1435</v>
      </c>
      <c r="G1405" s="195" t="s">
        <v>1435</v>
      </c>
      <c r="H1405" s="195" t="s">
        <v>1435</v>
      </c>
      <c r="I1405" s="195" t="s">
        <v>1435</v>
      </c>
      <c r="J1405" s="132">
        <v>0.9</v>
      </c>
      <c r="K1405" s="133">
        <v>0.941176470588235</v>
      </c>
      <c r="L1405" s="133">
        <v>0.862068965517241</v>
      </c>
      <c r="M1405" s="134">
        <v>0.870967741935484</v>
      </c>
      <c r="N1405" s="133">
        <v>0.921951219512195</v>
      </c>
      <c r="O1405" s="135">
        <v>0.9</v>
      </c>
      <c r="P1405" s="133">
        <v>0.978297161936561</v>
      </c>
      <c r="Q1405" s="133">
        <v>0.985886042864611</v>
      </c>
      <c r="R1405" s="133">
        <v>0.969314079422383</v>
      </c>
      <c r="S1405" s="133">
        <v>0.910676047721016</v>
      </c>
      <c r="T1405" s="135">
        <v>0.9</v>
      </c>
      <c r="U1405" s="133">
        <v>0.924040066777963</v>
      </c>
      <c r="V1405" s="133">
        <v>0.935703084161004</v>
      </c>
      <c r="W1405" s="133">
        <v>0.92057761732852</v>
      </c>
      <c r="X1405" s="133">
        <v>0.912904776471616</v>
      </c>
      <c r="Y1405" s="135">
        <v>0.92</v>
      </c>
      <c r="Z1405" s="135">
        <v>0.920081967213115</v>
      </c>
      <c r="AA1405" s="135">
        <v>0.819718309859155</v>
      </c>
      <c r="AB1405" s="135">
        <v>0.903677758318739</v>
      </c>
      <c r="AC1405" s="135">
        <v>0.925547030406365</v>
      </c>
      <c r="AD1405" s="135">
        <v>0.92</v>
      </c>
      <c r="AE1405" s="133">
        <v>0.994356994356994</v>
      </c>
      <c r="AF1405" s="133">
        <v>0.998807631160572</v>
      </c>
      <c r="AG1405" s="133">
        <v>0.998495335540175</v>
      </c>
      <c r="AH1405" s="133">
        <v>0.995667870036101</v>
      </c>
      <c r="AI1405" s="135">
        <v>0.92</v>
      </c>
      <c r="AJ1405" s="133">
        <v>0.954329774614472</v>
      </c>
      <c r="AK1405" s="133">
        <v>0.937830687830688</v>
      </c>
      <c r="AL1405" s="133">
        <v>0.952637244348762</v>
      </c>
      <c r="AM1405" s="133">
        <v>0.963747403554246</v>
      </c>
      <c r="AN1405" s="132">
        <v>0.99</v>
      </c>
      <c r="AO1405" s="137">
        <v>1</v>
      </c>
      <c r="AP1405" s="137">
        <v>1</v>
      </c>
      <c r="AQ1405" s="137">
        <v>1</v>
      </c>
      <c r="AR1405" s="137">
        <v>1</v>
      </c>
      <c r="AS1405" s="158">
        <v>0.0721861525408278</v>
      </c>
      <c r="AT1405" s="141">
        <v>0.1</v>
      </c>
      <c r="AU1405" s="141">
        <v>0.272727272727273</v>
      </c>
      <c r="AV1405" s="141">
        <v>0</v>
      </c>
      <c r="AW1405" s="141">
        <v>0.0465116279069767</v>
      </c>
      <c r="AX1405" s="95"/>
      <c r="AY1405" s="93"/>
    </row>
    <row r="1406" ht="14.5" spans="1:51">
      <c r="A1406" s="91"/>
      <c r="B1406" s="95"/>
      <c r="C1406" s="152" t="s">
        <v>1085</v>
      </c>
      <c r="D1406" s="153" t="s">
        <v>25</v>
      </c>
      <c r="E1406" s="130" t="s">
        <v>1086</v>
      </c>
      <c r="F1406" s="195" t="s">
        <v>1436</v>
      </c>
      <c r="G1406" s="195" t="s">
        <v>1436</v>
      </c>
      <c r="H1406" s="195" t="s">
        <v>1436</v>
      </c>
      <c r="I1406" s="195" t="s">
        <v>1436</v>
      </c>
      <c r="J1406" s="132">
        <v>0.9</v>
      </c>
      <c r="K1406" s="133">
        <v>0.944444444444444</v>
      </c>
      <c r="L1406" s="133">
        <v>0.971428571428571</v>
      </c>
      <c r="M1406" s="134">
        <v>0.928571428571429</v>
      </c>
      <c r="N1406" s="133">
        <v>0.95475113122172</v>
      </c>
      <c r="O1406" s="135">
        <v>0.9</v>
      </c>
      <c r="P1406" s="133">
        <v>0.998297872340426</v>
      </c>
      <c r="Q1406" s="133">
        <v>0.998440748440748</v>
      </c>
      <c r="R1406" s="133">
        <v>0.965388213283442</v>
      </c>
      <c r="S1406" s="133">
        <v>0.981502713444929</v>
      </c>
      <c r="T1406" s="135">
        <v>0.9</v>
      </c>
      <c r="U1406" s="133">
        <v>0.961702127659574</v>
      </c>
      <c r="V1406" s="133">
        <v>0.969334719334719</v>
      </c>
      <c r="W1406" s="133">
        <v>0.938727782974743</v>
      </c>
      <c r="X1406" s="133">
        <v>0.94858467731662</v>
      </c>
      <c r="Y1406" s="135">
        <v>0.92</v>
      </c>
      <c r="Z1406" s="135">
        <v>0.962305986696231</v>
      </c>
      <c r="AA1406" s="135">
        <v>0.966101694915254</v>
      </c>
      <c r="AB1406" s="135">
        <v>0.950884086444008</v>
      </c>
      <c r="AC1406" s="135">
        <v>0.962159769860589</v>
      </c>
      <c r="AD1406" s="135">
        <v>0.92</v>
      </c>
      <c r="AE1406" s="133">
        <v>0.9557901682613</v>
      </c>
      <c r="AF1406" s="133">
        <v>0.990748189863234</v>
      </c>
      <c r="AG1406" s="133">
        <v>0.998073217726397</v>
      </c>
      <c r="AH1406" s="133">
        <v>0.876426997796916</v>
      </c>
      <c r="AI1406" s="135">
        <v>0.92</v>
      </c>
      <c r="AJ1406" s="133">
        <v>0.980319803198032</v>
      </c>
      <c r="AK1406" s="133">
        <v>0.985128436232537</v>
      </c>
      <c r="AL1406" s="133">
        <v>0.98036253776435</v>
      </c>
      <c r="AM1406" s="133">
        <v>0.985795336894852</v>
      </c>
      <c r="AN1406" s="132">
        <v>0.99</v>
      </c>
      <c r="AO1406" s="137">
        <v>1</v>
      </c>
      <c r="AP1406" s="137">
        <v>1</v>
      </c>
      <c r="AQ1406" s="137">
        <v>1</v>
      </c>
      <c r="AR1406" s="137">
        <v>1</v>
      </c>
      <c r="AS1406" s="158">
        <v>0.0721861525408278</v>
      </c>
      <c r="AT1406" s="141">
        <v>0</v>
      </c>
      <c r="AU1406" s="141">
        <v>0</v>
      </c>
      <c r="AV1406" s="141">
        <v>0</v>
      </c>
      <c r="AW1406" s="141">
        <v>0.0303030303030303</v>
      </c>
      <c r="AX1406" s="95"/>
      <c r="AY1406" s="93"/>
    </row>
    <row r="1407" ht="14.5" spans="1:51">
      <c r="A1407" s="91"/>
      <c r="B1407" s="95"/>
      <c r="C1407" s="152" t="s">
        <v>1085</v>
      </c>
      <c r="D1407" s="153" t="s">
        <v>25</v>
      </c>
      <c r="E1407" s="130" t="s">
        <v>1086</v>
      </c>
      <c r="F1407" s="195" t="s">
        <v>1437</v>
      </c>
      <c r="G1407" s="195" t="s">
        <v>1437</v>
      </c>
      <c r="H1407" s="195" t="s">
        <v>1437</v>
      </c>
      <c r="I1407" s="195" t="s">
        <v>1437</v>
      </c>
      <c r="J1407" s="132">
        <v>0.9</v>
      </c>
      <c r="K1407" s="133">
        <v>0.896103896103896</v>
      </c>
      <c r="L1407" s="133">
        <v>0.897058823529412</v>
      </c>
      <c r="M1407" s="134">
        <v>0.896103896103896</v>
      </c>
      <c r="N1407" s="133">
        <v>0.927309782608696</v>
      </c>
      <c r="O1407" s="135">
        <v>0.9</v>
      </c>
      <c r="P1407" s="133">
        <v>0.991601866251944</v>
      </c>
      <c r="Q1407" s="133">
        <v>0.986427069393997</v>
      </c>
      <c r="R1407" s="133">
        <v>0.950721348678878</v>
      </c>
      <c r="S1407" s="133">
        <v>0.951373012407203</v>
      </c>
      <c r="T1407" s="135">
        <v>0.9</v>
      </c>
      <c r="U1407" s="133">
        <v>0.942457231726283</v>
      </c>
      <c r="V1407" s="133">
        <v>0.912445039189448</v>
      </c>
      <c r="W1407" s="133">
        <v>0.922191603177176</v>
      </c>
      <c r="X1407" s="133">
        <v>0.924974526274329</v>
      </c>
      <c r="Y1407" s="135">
        <v>0.92</v>
      </c>
      <c r="Z1407" s="135">
        <v>0.934609250398724</v>
      </c>
      <c r="AA1407" s="135">
        <v>0.905502392344498</v>
      </c>
      <c r="AB1407" s="135">
        <v>0.910764872521246</v>
      </c>
      <c r="AC1407" s="135">
        <v>0.930335189660607</v>
      </c>
      <c r="AD1407" s="135">
        <v>0.92</v>
      </c>
      <c r="AE1407" s="133">
        <v>0.98752787643512</v>
      </c>
      <c r="AF1407" s="133">
        <v>0.979773740143984</v>
      </c>
      <c r="AG1407" s="133">
        <v>0.697273233166388</v>
      </c>
      <c r="AH1407" s="133">
        <v>0.909281384342071</v>
      </c>
      <c r="AI1407" s="135">
        <v>0.92</v>
      </c>
      <c r="AJ1407" s="133">
        <v>0.959722533005147</v>
      </c>
      <c r="AK1407" s="133">
        <v>0.951046645788693</v>
      </c>
      <c r="AL1407" s="133">
        <v>0.960691201688432</v>
      </c>
      <c r="AM1407" s="133">
        <v>0.967249434089486</v>
      </c>
      <c r="AN1407" s="132">
        <v>0.99</v>
      </c>
      <c r="AO1407" s="137">
        <v>1</v>
      </c>
      <c r="AP1407" s="137">
        <v>1</v>
      </c>
      <c r="AQ1407" s="137">
        <v>1</v>
      </c>
      <c r="AR1407" s="137">
        <v>1</v>
      </c>
      <c r="AS1407" s="158">
        <v>0.0721861525408278</v>
      </c>
      <c r="AT1407" s="141">
        <v>0.0416666666666667</v>
      </c>
      <c r="AU1407" s="141">
        <v>0</v>
      </c>
      <c r="AV1407" s="141">
        <v>0.028169014084507</v>
      </c>
      <c r="AW1407" s="141">
        <v>0.0334412081984898</v>
      </c>
      <c r="AX1407" s="95"/>
      <c r="AY1407" s="93"/>
    </row>
    <row r="1408" ht="14.5" spans="1:51">
      <c r="A1408" s="91"/>
      <c r="B1408" s="95"/>
      <c r="C1408" s="152" t="s">
        <v>1085</v>
      </c>
      <c r="D1408" s="153" t="s">
        <v>25</v>
      </c>
      <c r="E1408" s="130" t="s">
        <v>1086</v>
      </c>
      <c r="F1408" s="195" t="s">
        <v>1438</v>
      </c>
      <c r="G1408" s="195" t="s">
        <v>1438</v>
      </c>
      <c r="H1408" s="195" t="s">
        <v>1438</v>
      </c>
      <c r="I1408" s="195" t="s">
        <v>1438</v>
      </c>
      <c r="J1408" s="132">
        <v>0.9</v>
      </c>
      <c r="K1408" s="133">
        <v>1</v>
      </c>
      <c r="L1408" s="133">
        <v>1</v>
      </c>
      <c r="M1408" s="134">
        <v>1</v>
      </c>
      <c r="N1408" s="133">
        <v>0.997668997668998</v>
      </c>
      <c r="O1408" s="135">
        <v>0.9</v>
      </c>
      <c r="P1408" s="133">
        <v>0.992063492063492</v>
      </c>
      <c r="Q1408" s="133">
        <v>0.988295537673738</v>
      </c>
      <c r="R1408" s="133">
        <v>0.984117647058824</v>
      </c>
      <c r="S1408" s="133">
        <v>0.986341724692019</v>
      </c>
      <c r="T1408" s="135">
        <v>0.9</v>
      </c>
      <c r="U1408" s="133">
        <v>0.935374149659864</v>
      </c>
      <c r="V1408" s="133">
        <v>0.965618141916606</v>
      </c>
      <c r="W1408" s="133">
        <v>0.949411764705882</v>
      </c>
      <c r="X1408" s="133">
        <v>0.949551419389395</v>
      </c>
      <c r="Y1408" s="135">
        <v>0.92</v>
      </c>
      <c r="Z1408" s="135">
        <v>0.935754189944134</v>
      </c>
      <c r="AA1408" s="135">
        <v>0.936936936936937</v>
      </c>
      <c r="AB1408" s="135">
        <v>0.961928934010152</v>
      </c>
      <c r="AC1408" s="135">
        <v>0.953375555855006</v>
      </c>
      <c r="AD1408" s="135">
        <v>0.92</v>
      </c>
      <c r="AE1408" s="133">
        <v>0.989406408684994</v>
      </c>
      <c r="AF1408" s="133">
        <v>0.991746905089409</v>
      </c>
      <c r="AG1408" s="133">
        <v>0.995420225275405</v>
      </c>
      <c r="AH1408" s="133">
        <v>0.994385948918972</v>
      </c>
      <c r="AI1408" s="135">
        <v>0.92</v>
      </c>
      <c r="AJ1408" s="133">
        <v>0.966129032258065</v>
      </c>
      <c r="AK1408" s="133">
        <v>0.979245283018868</v>
      </c>
      <c r="AL1408" s="133">
        <v>0.978510028653295</v>
      </c>
      <c r="AM1408" s="133">
        <v>0.980320132986567</v>
      </c>
      <c r="AN1408" s="132">
        <v>0.99</v>
      </c>
      <c r="AO1408" s="137">
        <v>1</v>
      </c>
      <c r="AP1408" s="137">
        <v>1</v>
      </c>
      <c r="AQ1408" s="137">
        <v>1</v>
      </c>
      <c r="AR1408" s="137">
        <v>1</v>
      </c>
      <c r="AS1408" s="158">
        <v>0.0721861525408278</v>
      </c>
      <c r="AT1408" s="141">
        <v>0</v>
      </c>
      <c r="AU1408" s="141">
        <v>0</v>
      </c>
      <c r="AV1408" s="141">
        <v>0.111111111111111</v>
      </c>
      <c r="AW1408" s="141">
        <v>0.0197368421052632</v>
      </c>
      <c r="AX1408" s="95"/>
      <c r="AY1408" s="93"/>
    </row>
    <row r="1409" ht="14.5" spans="1:51">
      <c r="A1409" s="91"/>
      <c r="B1409" s="95"/>
      <c r="C1409" s="152" t="s">
        <v>1085</v>
      </c>
      <c r="D1409" s="153" t="s">
        <v>25</v>
      </c>
      <c r="E1409" s="130" t="s">
        <v>1086</v>
      </c>
      <c r="F1409" s="195" t="s">
        <v>1439</v>
      </c>
      <c r="G1409" s="195" t="s">
        <v>1439</v>
      </c>
      <c r="H1409" s="195" t="s">
        <v>1439</v>
      </c>
      <c r="I1409" s="195" t="s">
        <v>1439</v>
      </c>
      <c r="J1409" s="132">
        <v>0.9</v>
      </c>
      <c r="K1409" s="133">
        <v>0.983050847457627</v>
      </c>
      <c r="L1409" s="133">
        <v>0.964285714285714</v>
      </c>
      <c r="M1409" s="134">
        <v>1</v>
      </c>
      <c r="N1409" s="133">
        <v>0.980874316939891</v>
      </c>
      <c r="O1409" s="135">
        <v>0.9</v>
      </c>
      <c r="P1409" s="133">
        <v>0.992721391023049</v>
      </c>
      <c r="Q1409" s="133">
        <v>0.983513779527559</v>
      </c>
      <c r="R1409" s="133">
        <v>0.984440986885975</v>
      </c>
      <c r="S1409" s="133">
        <v>0.979821575302266</v>
      </c>
      <c r="T1409" s="135">
        <v>0.9</v>
      </c>
      <c r="U1409" s="133">
        <v>0.936918722199757</v>
      </c>
      <c r="V1409" s="133">
        <v>0.946604330708661</v>
      </c>
      <c r="W1409" s="133">
        <v>0.935541231384752</v>
      </c>
      <c r="X1409" s="133">
        <v>0.934217631177368</v>
      </c>
      <c r="Y1409" s="135">
        <v>0.92</v>
      </c>
      <c r="Z1409" s="135">
        <v>0.953904045155221</v>
      </c>
      <c r="AA1409" s="135">
        <v>0.934782608695652</v>
      </c>
      <c r="AB1409" s="135">
        <v>0.942458587619878</v>
      </c>
      <c r="AC1409" s="135">
        <v>0.943343711670912</v>
      </c>
      <c r="AD1409" s="135">
        <v>0.92</v>
      </c>
      <c r="AE1409" s="133">
        <v>0.968120805369127</v>
      </c>
      <c r="AF1409" s="133">
        <v>0.972953216374269</v>
      </c>
      <c r="AG1409" s="133">
        <v>0.997426761678543</v>
      </c>
      <c r="AH1409" s="133">
        <v>0.993970781479477</v>
      </c>
      <c r="AI1409" s="135">
        <v>0.92</v>
      </c>
      <c r="AJ1409" s="133">
        <v>0.964649321266968</v>
      </c>
      <c r="AK1409" s="133">
        <v>0.9667835774706</v>
      </c>
      <c r="AL1409" s="133">
        <v>0.965291305117762</v>
      </c>
      <c r="AM1409" s="133">
        <v>0.975027726085077</v>
      </c>
      <c r="AN1409" s="132">
        <v>0.99</v>
      </c>
      <c r="AO1409" s="137">
        <v>1</v>
      </c>
      <c r="AP1409" s="137">
        <v>1</v>
      </c>
      <c r="AQ1409" s="137">
        <v>1</v>
      </c>
      <c r="AR1409" s="137">
        <v>1</v>
      </c>
      <c r="AS1409" s="158">
        <v>0.0721861525408278</v>
      </c>
      <c r="AT1409" s="141">
        <v>0</v>
      </c>
      <c r="AU1409" s="141">
        <v>0.0303030303030303</v>
      </c>
      <c r="AV1409" s="141">
        <v>0.0263157894736842</v>
      </c>
      <c r="AW1409" s="141">
        <v>0.0290791599353796</v>
      </c>
      <c r="AX1409" s="95"/>
      <c r="AY1409" s="93"/>
    </row>
    <row r="1410" ht="14.5" spans="1:51">
      <c r="A1410" s="91"/>
      <c r="B1410" s="95"/>
      <c r="C1410" s="152" t="s">
        <v>1085</v>
      </c>
      <c r="D1410" s="153" t="s">
        <v>25</v>
      </c>
      <c r="E1410" s="130" t="s">
        <v>1086</v>
      </c>
      <c r="F1410" s="195" t="s">
        <v>1440</v>
      </c>
      <c r="G1410" s="195" t="s">
        <v>1440</v>
      </c>
      <c r="H1410" s="195" t="s">
        <v>1440</v>
      </c>
      <c r="I1410" s="195" t="s">
        <v>1440</v>
      </c>
      <c r="J1410" s="132">
        <v>0.9</v>
      </c>
      <c r="K1410" s="133">
        <v>0.873239436619718</v>
      </c>
      <c r="L1410" s="133">
        <v>0.942028985507246</v>
      </c>
      <c r="M1410" s="134">
        <v>0.845070422535211</v>
      </c>
      <c r="N1410" s="133">
        <v>0.881652661064426</v>
      </c>
      <c r="O1410" s="135">
        <v>0.9</v>
      </c>
      <c r="P1410" s="133">
        <v>0.970748955319833</v>
      </c>
      <c r="Q1410" s="133">
        <v>0.962985811227637</v>
      </c>
      <c r="R1410" s="133">
        <v>0.947188514783798</v>
      </c>
      <c r="S1410" s="133">
        <v>0.944677772287711</v>
      </c>
      <c r="T1410" s="135">
        <v>0.9</v>
      </c>
      <c r="U1410" s="133">
        <v>0.942140790742527</v>
      </c>
      <c r="V1410" s="133">
        <v>0.917129344026321</v>
      </c>
      <c r="W1410" s="133">
        <v>0.918646385233293</v>
      </c>
      <c r="X1410" s="133">
        <v>0.930189877885226</v>
      </c>
      <c r="Y1410" s="135">
        <v>0.92</v>
      </c>
      <c r="Z1410" s="135">
        <v>0.894105894105894</v>
      </c>
      <c r="AA1410" s="135">
        <v>0.890865954922894</v>
      </c>
      <c r="AB1410" s="135">
        <v>0.887880751782242</v>
      </c>
      <c r="AC1410" s="135">
        <v>0.915358937958025</v>
      </c>
      <c r="AD1410" s="135">
        <v>0.92</v>
      </c>
      <c r="AE1410" s="133">
        <v>0.999565532223027</v>
      </c>
      <c r="AF1410" s="133">
        <v>0.99728576967817</v>
      </c>
      <c r="AG1410" s="133">
        <v>0.999450775779212</v>
      </c>
      <c r="AH1410" s="133">
        <v>0.992287682414238</v>
      </c>
      <c r="AI1410" s="135">
        <v>0.92</v>
      </c>
      <c r="AJ1410" s="133">
        <v>0.950145914396887</v>
      </c>
      <c r="AK1410" s="133">
        <v>0.942341395022783</v>
      </c>
      <c r="AL1410" s="133">
        <v>0.941844738977549</v>
      </c>
      <c r="AM1410" s="133">
        <v>0.964412019999856</v>
      </c>
      <c r="AN1410" s="132">
        <v>0.99</v>
      </c>
      <c r="AO1410" s="137">
        <v>1</v>
      </c>
      <c r="AP1410" s="137">
        <v>1</v>
      </c>
      <c r="AQ1410" s="137">
        <v>1</v>
      </c>
      <c r="AR1410" s="137">
        <v>1</v>
      </c>
      <c r="AS1410" s="158">
        <v>0.0721861525408278</v>
      </c>
      <c r="AT1410" s="141">
        <v>0.0588235294117647</v>
      </c>
      <c r="AU1410" s="141">
        <v>0.0138888888888889</v>
      </c>
      <c r="AV1410" s="141">
        <v>0.0151515151515152</v>
      </c>
      <c r="AW1410" s="141">
        <v>0.038662486938349</v>
      </c>
      <c r="AX1410" s="95"/>
      <c r="AY1410" s="93"/>
    </row>
    <row r="1411" ht="14.5" spans="1:51">
      <c r="A1411" s="91"/>
      <c r="B1411" s="95"/>
      <c r="C1411" s="152" t="s">
        <v>1085</v>
      </c>
      <c r="D1411" s="153" t="s">
        <v>25</v>
      </c>
      <c r="E1411" s="130" t="s">
        <v>1086</v>
      </c>
      <c r="F1411" s="195" t="s">
        <v>1441</v>
      </c>
      <c r="G1411" s="195" t="s">
        <v>1441</v>
      </c>
      <c r="H1411" s="195" t="s">
        <v>1441</v>
      </c>
      <c r="I1411" s="195" t="s">
        <v>1441</v>
      </c>
      <c r="J1411" s="132">
        <v>0.9</v>
      </c>
      <c r="K1411" s="133">
        <v>0.91044776119403</v>
      </c>
      <c r="L1411" s="133">
        <v>0.967213114754098</v>
      </c>
      <c r="M1411" s="134">
        <v>0.918032786885246</v>
      </c>
      <c r="N1411" s="133">
        <v>0.941221964423821</v>
      </c>
      <c r="O1411" s="135">
        <v>0.9</v>
      </c>
      <c r="P1411" s="133">
        <v>0.949542837792076</v>
      </c>
      <c r="Q1411" s="133">
        <v>0.960976673206889</v>
      </c>
      <c r="R1411" s="133">
        <v>0.952170713760118</v>
      </c>
      <c r="S1411" s="133">
        <v>0.946018187352561</v>
      </c>
      <c r="T1411" s="135">
        <v>0.9</v>
      </c>
      <c r="U1411" s="133">
        <v>0.900778868946834</v>
      </c>
      <c r="V1411" s="133">
        <v>0.909308916503161</v>
      </c>
      <c r="W1411" s="133">
        <v>0.900662251655629</v>
      </c>
      <c r="X1411" s="133">
        <v>0.927621566090861</v>
      </c>
      <c r="Y1411" s="135">
        <v>0.92</v>
      </c>
      <c r="Z1411" s="135">
        <v>0.868627450980392</v>
      </c>
      <c r="AA1411" s="135">
        <v>0.808743169398907</v>
      </c>
      <c r="AB1411" s="135">
        <v>0.831782945736434</v>
      </c>
      <c r="AC1411" s="135">
        <v>0.903755671315745</v>
      </c>
      <c r="AD1411" s="135">
        <v>0.92</v>
      </c>
      <c r="AE1411" s="133">
        <v>0.984411164057182</v>
      </c>
      <c r="AF1411" s="133">
        <v>0.880011706175007</v>
      </c>
      <c r="AG1411" s="133">
        <v>0.994970278920896</v>
      </c>
      <c r="AH1411" s="133">
        <v>0.980662919529063</v>
      </c>
      <c r="AI1411" s="135">
        <v>0.92</v>
      </c>
      <c r="AJ1411" s="133">
        <v>0.927007299270073</v>
      </c>
      <c r="AK1411" s="133">
        <v>0.927833114076301</v>
      </c>
      <c r="AL1411" s="133">
        <v>0.918091273970566</v>
      </c>
      <c r="AM1411" s="133">
        <v>0.961016804572209</v>
      </c>
      <c r="AN1411" s="132">
        <v>0.99</v>
      </c>
      <c r="AO1411" s="137">
        <v>1</v>
      </c>
      <c r="AP1411" s="137">
        <v>1</v>
      </c>
      <c r="AQ1411" s="137">
        <v>1</v>
      </c>
      <c r="AR1411" s="137">
        <v>1</v>
      </c>
      <c r="AS1411" s="158">
        <v>0.0721861525408278</v>
      </c>
      <c r="AT1411" s="141">
        <v>0.0306122448979592</v>
      </c>
      <c r="AU1411" s="141">
        <v>0.0238095238095238</v>
      </c>
      <c r="AV1411" s="141">
        <v>0.0131578947368421</v>
      </c>
      <c r="AW1411" s="141">
        <v>0.029595015576324</v>
      </c>
      <c r="AX1411" s="95"/>
      <c r="AY1411" s="93"/>
    </row>
    <row r="1412" ht="14.5" spans="1:51">
      <c r="A1412" s="91"/>
      <c r="B1412" s="95"/>
      <c r="C1412" s="152" t="s">
        <v>1085</v>
      </c>
      <c r="D1412" s="153" t="s">
        <v>25</v>
      </c>
      <c r="E1412" s="130" t="s">
        <v>1086</v>
      </c>
      <c r="F1412" s="195" t="s">
        <v>1442</v>
      </c>
      <c r="G1412" s="195" t="s">
        <v>1442</v>
      </c>
      <c r="H1412" s="195" t="s">
        <v>1442</v>
      </c>
      <c r="I1412" s="195" t="s">
        <v>1442</v>
      </c>
      <c r="J1412" s="132">
        <v>0.9</v>
      </c>
      <c r="K1412" s="133">
        <v>0.921875</v>
      </c>
      <c r="L1412" s="133">
        <v>0.936507936507937</v>
      </c>
      <c r="M1412" s="134">
        <v>0.907692307692308</v>
      </c>
      <c r="N1412" s="133">
        <v>0.920945395273024</v>
      </c>
      <c r="O1412" s="135">
        <v>0.9</v>
      </c>
      <c r="P1412" s="133">
        <v>0.945709946848899</v>
      </c>
      <c r="Q1412" s="133">
        <v>0.957643161381921</v>
      </c>
      <c r="R1412" s="133">
        <v>0.95442191093456</v>
      </c>
      <c r="S1412" s="133">
        <v>0.939920414604026</v>
      </c>
      <c r="T1412" s="135">
        <v>0.9</v>
      </c>
      <c r="U1412" s="133">
        <v>0.922171602126044</v>
      </c>
      <c r="V1412" s="133">
        <v>0.907240889730241</v>
      </c>
      <c r="W1412" s="133">
        <v>0.934559899644575</v>
      </c>
      <c r="X1412" s="133">
        <v>0.915643702304177</v>
      </c>
      <c r="Y1412" s="135">
        <v>0.92</v>
      </c>
      <c r="Z1412" s="135">
        <v>0.921153846153846</v>
      </c>
      <c r="AA1412" s="135">
        <v>0.906666666666667</v>
      </c>
      <c r="AB1412" s="135">
        <v>0.931707317073171</v>
      </c>
      <c r="AC1412" s="135">
        <v>0.927882727629685</v>
      </c>
      <c r="AD1412" s="135">
        <v>0.92</v>
      </c>
      <c r="AE1412" s="133">
        <v>0.999214865218529</v>
      </c>
      <c r="AF1412" s="133">
        <v>0.991574854180169</v>
      </c>
      <c r="AG1412" s="133">
        <v>0.99726430976431</v>
      </c>
      <c r="AH1412" s="133">
        <v>0.995650665741655</v>
      </c>
      <c r="AI1412" s="135">
        <v>0.92</v>
      </c>
      <c r="AJ1412" s="133">
        <v>0.947740881872618</v>
      </c>
      <c r="AK1412" s="133">
        <v>0.951254334081175</v>
      </c>
      <c r="AL1412" s="133">
        <v>0.963751247090123</v>
      </c>
      <c r="AM1412" s="133">
        <v>0.968181393253843</v>
      </c>
      <c r="AN1412" s="132">
        <v>0.99</v>
      </c>
      <c r="AO1412" s="137">
        <v>1</v>
      </c>
      <c r="AP1412" s="137">
        <v>1</v>
      </c>
      <c r="AQ1412" s="137">
        <v>1</v>
      </c>
      <c r="AR1412" s="137">
        <v>1</v>
      </c>
      <c r="AS1412" s="158">
        <v>0.0721861525408278</v>
      </c>
      <c r="AT1412" s="141">
        <v>0</v>
      </c>
      <c r="AU1412" s="141">
        <v>0.0465116279069767</v>
      </c>
      <c r="AV1412" s="141">
        <v>0</v>
      </c>
      <c r="AW1412" s="141">
        <v>0.0243589743589744</v>
      </c>
      <c r="AX1412" s="95"/>
      <c r="AY1412" s="93"/>
    </row>
    <row r="1413" ht="14.5" spans="1:51">
      <c r="A1413" s="91"/>
      <c r="B1413" s="95"/>
      <c r="C1413" s="152" t="s">
        <v>1085</v>
      </c>
      <c r="D1413" s="153" t="s">
        <v>25</v>
      </c>
      <c r="E1413" s="130" t="s">
        <v>1086</v>
      </c>
      <c r="F1413" s="195" t="s">
        <v>1443</v>
      </c>
      <c r="G1413" s="195" t="s">
        <v>1443</v>
      </c>
      <c r="H1413" s="195" t="s">
        <v>1443</v>
      </c>
      <c r="I1413" s="195" t="s">
        <v>1443</v>
      </c>
      <c r="J1413" s="132">
        <v>0.9</v>
      </c>
      <c r="K1413" s="133">
        <v>0.91304347826087</v>
      </c>
      <c r="L1413" s="133">
        <v>0.947368421052632</v>
      </c>
      <c r="M1413" s="134">
        <v>0.857142857142857</v>
      </c>
      <c r="N1413" s="133">
        <v>0.93398533007335</v>
      </c>
      <c r="O1413" s="135">
        <v>0.9</v>
      </c>
      <c r="P1413" s="133">
        <v>0.986111111111111</v>
      </c>
      <c r="Q1413" s="133">
        <v>0.979256080114449</v>
      </c>
      <c r="R1413" s="133">
        <v>0.977331606217617</v>
      </c>
      <c r="S1413" s="133">
        <v>0.982073578595318</v>
      </c>
      <c r="T1413" s="135">
        <v>0.9</v>
      </c>
      <c r="U1413" s="133">
        <v>0.935185185185185</v>
      </c>
      <c r="V1413" s="133">
        <v>0.917024320457797</v>
      </c>
      <c r="W1413" s="133">
        <v>0.948186528497409</v>
      </c>
      <c r="X1413" s="133">
        <v>0.94190635451505</v>
      </c>
      <c r="Y1413" s="135">
        <v>0.92</v>
      </c>
      <c r="Z1413" s="135">
        <v>0.916387959866221</v>
      </c>
      <c r="AA1413" s="135">
        <v>0.948837209302326</v>
      </c>
      <c r="AB1413" s="135">
        <v>0.970059880239521</v>
      </c>
      <c r="AC1413" s="135">
        <v>0.953155303595405</v>
      </c>
      <c r="AD1413" s="135">
        <v>0.92</v>
      </c>
      <c r="AE1413" s="133">
        <v>0.998366680277664</v>
      </c>
      <c r="AF1413" s="133">
        <v>1</v>
      </c>
      <c r="AG1413" s="133">
        <v>1</v>
      </c>
      <c r="AH1413" s="133">
        <v>0.999379368916182</v>
      </c>
      <c r="AI1413" s="135">
        <v>0.92</v>
      </c>
      <c r="AJ1413" s="133">
        <v>0.956147893379192</v>
      </c>
      <c r="AK1413" s="133">
        <v>0.951642901425914</v>
      </c>
      <c r="AL1413" s="133">
        <v>0.97444089456869</v>
      </c>
      <c r="AM1413" s="133">
        <v>0.977382610833402</v>
      </c>
      <c r="AN1413" s="132">
        <v>0.99</v>
      </c>
      <c r="AO1413" s="137">
        <v>1</v>
      </c>
      <c r="AP1413" s="137">
        <v>1</v>
      </c>
      <c r="AQ1413" s="137">
        <v>1</v>
      </c>
      <c r="AR1413" s="137">
        <v>1</v>
      </c>
      <c r="AS1413" s="158">
        <v>0.0721861525408278</v>
      </c>
      <c r="AT1413" s="141">
        <v>0</v>
      </c>
      <c r="AU1413" s="141">
        <v>0</v>
      </c>
      <c r="AV1413" s="141">
        <v>0.125</v>
      </c>
      <c r="AW1413" s="141">
        <v>0.0393700787401575</v>
      </c>
      <c r="AX1413" s="95"/>
      <c r="AY1413" s="93"/>
    </row>
    <row r="1414" ht="14.5" spans="1:51">
      <c r="A1414" s="91"/>
      <c r="B1414" s="95"/>
      <c r="C1414" s="152" t="s">
        <v>1085</v>
      </c>
      <c r="D1414" s="153" t="s">
        <v>25</v>
      </c>
      <c r="E1414" s="130" t="s">
        <v>1086</v>
      </c>
      <c r="F1414" s="195" t="s">
        <v>1444</v>
      </c>
      <c r="G1414" s="195" t="s">
        <v>1444</v>
      </c>
      <c r="H1414" s="195" t="s">
        <v>1444</v>
      </c>
      <c r="I1414" s="195" t="s">
        <v>1444</v>
      </c>
      <c r="J1414" s="132">
        <v>0.9</v>
      </c>
      <c r="K1414" s="133">
        <v>1</v>
      </c>
      <c r="L1414" s="133">
        <v>0.92</v>
      </c>
      <c r="M1414" s="134">
        <v>0.96</v>
      </c>
      <c r="N1414" s="133">
        <v>0.98635477582846</v>
      </c>
      <c r="O1414" s="135">
        <v>0.9</v>
      </c>
      <c r="P1414" s="133">
        <v>0.994994994994995</v>
      </c>
      <c r="Q1414" s="133">
        <v>0.988961038961039</v>
      </c>
      <c r="R1414" s="133">
        <v>0.993142857142857</v>
      </c>
      <c r="S1414" s="133">
        <v>0.991385173430061</v>
      </c>
      <c r="T1414" s="135">
        <v>0.9</v>
      </c>
      <c r="U1414" s="133">
        <v>0.94994994994995</v>
      </c>
      <c r="V1414" s="133">
        <v>0.935064935064935</v>
      </c>
      <c r="W1414" s="133">
        <v>0.956</v>
      </c>
      <c r="X1414" s="133">
        <v>0.945987304466107</v>
      </c>
      <c r="Y1414" s="135">
        <v>0.92</v>
      </c>
      <c r="Z1414" s="135">
        <v>0.96594427244582</v>
      </c>
      <c r="AA1414" s="135">
        <v>0.937238493723849</v>
      </c>
      <c r="AB1414" s="135">
        <v>0.974358974358974</v>
      </c>
      <c r="AC1414" s="135">
        <v>0.972827804107425</v>
      </c>
      <c r="AD1414" s="135">
        <v>0.92</v>
      </c>
      <c r="AE1414" s="133">
        <v>1</v>
      </c>
      <c r="AF1414" s="133">
        <v>0.94954954954955</v>
      </c>
      <c r="AG1414" s="133">
        <v>1</v>
      </c>
      <c r="AH1414" s="133">
        <v>0.998577873675951</v>
      </c>
      <c r="AI1414" s="135">
        <v>0.92</v>
      </c>
      <c r="AJ1414" s="133">
        <v>0.978819969742814</v>
      </c>
      <c r="AK1414" s="133">
        <v>0.974142776840922</v>
      </c>
      <c r="AL1414" s="133">
        <v>0.985773290500229</v>
      </c>
      <c r="AM1414" s="133">
        <v>0.983834594860116</v>
      </c>
      <c r="AN1414" s="132">
        <v>0.99</v>
      </c>
      <c r="AO1414" s="137">
        <v>1</v>
      </c>
      <c r="AP1414" s="137">
        <v>1</v>
      </c>
      <c r="AQ1414" s="137">
        <v>1</v>
      </c>
      <c r="AR1414" s="137">
        <v>1</v>
      </c>
      <c r="AS1414" s="158">
        <v>0.0721861525408278</v>
      </c>
      <c r="AT1414" s="141">
        <v>0</v>
      </c>
      <c r="AU1414" s="141">
        <v>0</v>
      </c>
      <c r="AV1414" s="141">
        <v>0.0625</v>
      </c>
      <c r="AW1414" s="141">
        <v>0.0283400809716599</v>
      </c>
      <c r="AX1414" s="95"/>
      <c r="AY1414" s="93"/>
    </row>
    <row r="1415" ht="14.5" spans="1:51">
      <c r="A1415" s="91"/>
      <c r="B1415" s="95"/>
      <c r="C1415" s="152" t="s">
        <v>1085</v>
      </c>
      <c r="D1415" s="153" t="s">
        <v>25</v>
      </c>
      <c r="E1415" s="130" t="s">
        <v>1086</v>
      </c>
      <c r="F1415" s="195" t="s">
        <v>1445</v>
      </c>
      <c r="G1415" s="195" t="s">
        <v>1445</v>
      </c>
      <c r="H1415" s="195" t="s">
        <v>1445</v>
      </c>
      <c r="I1415" s="195" t="s">
        <v>1445</v>
      </c>
      <c r="J1415" s="132">
        <v>0.9</v>
      </c>
      <c r="K1415" s="133">
        <v>0.844444444444444</v>
      </c>
      <c r="L1415" s="133">
        <v>1</v>
      </c>
      <c r="M1415" s="134">
        <v>0.902439024390244</v>
      </c>
      <c r="N1415" s="133">
        <v>0.921085080147966</v>
      </c>
      <c r="O1415" s="135">
        <v>0.9</v>
      </c>
      <c r="P1415" s="133">
        <v>0.978601252609603</v>
      </c>
      <c r="Q1415" s="133">
        <v>0.974493361285814</v>
      </c>
      <c r="R1415" s="133">
        <v>0.980513728963685</v>
      </c>
      <c r="S1415" s="133">
        <v>0.971833461145194</v>
      </c>
      <c r="T1415" s="135">
        <v>0.9</v>
      </c>
      <c r="U1415" s="133">
        <v>0.96294363256785</v>
      </c>
      <c r="V1415" s="133">
        <v>0.944095038434661</v>
      </c>
      <c r="W1415" s="133">
        <v>0.954532034248598</v>
      </c>
      <c r="X1415" s="133">
        <v>0.956591896728016</v>
      </c>
      <c r="Y1415" s="135">
        <v>0.92</v>
      </c>
      <c r="Z1415" s="135">
        <v>0.927728613569322</v>
      </c>
      <c r="AA1415" s="135">
        <v>0.893491124260355</v>
      </c>
      <c r="AB1415" s="135">
        <v>0.933680104031209</v>
      </c>
      <c r="AC1415" s="135">
        <v>0.931822248732478</v>
      </c>
      <c r="AD1415" s="135">
        <v>0.92</v>
      </c>
      <c r="AE1415" s="133">
        <v>0.997133715504599</v>
      </c>
      <c r="AF1415" s="133">
        <v>0.471446179129006</v>
      </c>
      <c r="AG1415" s="133">
        <v>0.866302186878728</v>
      </c>
      <c r="AH1415" s="133">
        <v>0.929951638082554</v>
      </c>
      <c r="AI1415" s="135">
        <v>0.92</v>
      </c>
      <c r="AJ1415" s="133">
        <v>0.963957055214724</v>
      </c>
      <c r="AK1415" s="133">
        <v>0.952916790050341</v>
      </c>
      <c r="AL1415" s="133">
        <v>0.965690978886756</v>
      </c>
      <c r="AM1415" s="133">
        <v>0.970914946346127</v>
      </c>
      <c r="AN1415" s="132">
        <v>0.99</v>
      </c>
      <c r="AO1415" s="137">
        <v>1</v>
      </c>
      <c r="AP1415" s="137">
        <v>1</v>
      </c>
      <c r="AQ1415" s="137">
        <v>1</v>
      </c>
      <c r="AR1415" s="137">
        <v>1</v>
      </c>
      <c r="AS1415" s="158">
        <v>0.0721861525408278</v>
      </c>
      <c r="AT1415" s="141">
        <v>0.105263157894737</v>
      </c>
      <c r="AU1415" s="141">
        <v>0.0689655172413793</v>
      </c>
      <c r="AV1415" s="141">
        <v>0</v>
      </c>
      <c r="AW1415" s="141">
        <v>0.0268456375838926</v>
      </c>
      <c r="AX1415" s="95"/>
      <c r="AY1415" s="93"/>
    </row>
    <row r="1416" ht="14.5" spans="1:51">
      <c r="A1416" s="91"/>
      <c r="B1416" s="95"/>
      <c r="C1416" s="152" t="s">
        <v>1085</v>
      </c>
      <c r="D1416" s="153" t="s">
        <v>125</v>
      </c>
      <c r="E1416" s="130" t="s">
        <v>1086</v>
      </c>
      <c r="F1416" s="195" t="s">
        <v>1446</v>
      </c>
      <c r="G1416" s="195" t="s">
        <v>1446</v>
      </c>
      <c r="H1416" s="195" t="s">
        <v>1446</v>
      </c>
      <c r="I1416" s="195" t="s">
        <v>1446</v>
      </c>
      <c r="J1416" s="132">
        <v>0.9</v>
      </c>
      <c r="K1416" s="133" t="s">
        <v>35</v>
      </c>
      <c r="L1416" s="133" t="s">
        <v>35</v>
      </c>
      <c r="M1416" s="134" t="s">
        <v>35</v>
      </c>
      <c r="N1416" s="133" t="s">
        <v>35</v>
      </c>
      <c r="O1416" s="135">
        <v>0.9</v>
      </c>
      <c r="P1416" s="133" t="s">
        <v>35</v>
      </c>
      <c r="Q1416" s="133" t="s">
        <v>35</v>
      </c>
      <c r="R1416" s="133" t="s">
        <v>35</v>
      </c>
      <c r="S1416" s="133" t="s">
        <v>35</v>
      </c>
      <c r="T1416" s="135">
        <v>0.9</v>
      </c>
      <c r="U1416" s="133" t="s">
        <v>35</v>
      </c>
      <c r="V1416" s="133" t="s">
        <v>35</v>
      </c>
      <c r="W1416" s="133" t="s">
        <v>35</v>
      </c>
      <c r="X1416" s="133" t="s">
        <v>35</v>
      </c>
      <c r="Y1416" s="135">
        <v>0.92</v>
      </c>
      <c r="Z1416" s="135" t="s">
        <v>35</v>
      </c>
      <c r="AA1416" s="135" t="s">
        <v>35</v>
      </c>
      <c r="AB1416" s="135" t="s">
        <v>35</v>
      </c>
      <c r="AC1416" s="135" t="s">
        <v>35</v>
      </c>
      <c r="AD1416" s="135">
        <v>0.92</v>
      </c>
      <c r="AE1416" s="133">
        <v>1</v>
      </c>
      <c r="AF1416" s="133">
        <v>1</v>
      </c>
      <c r="AG1416" s="133">
        <v>1</v>
      </c>
      <c r="AH1416" s="133">
        <v>0.999035825122782</v>
      </c>
      <c r="AI1416" s="135">
        <v>0.92</v>
      </c>
      <c r="AJ1416" s="133" t="s">
        <v>35</v>
      </c>
      <c r="AK1416" s="133" t="s">
        <v>35</v>
      </c>
      <c r="AL1416" s="133" t="s">
        <v>35</v>
      </c>
      <c r="AM1416" s="133" t="s">
        <v>35</v>
      </c>
      <c r="AN1416" s="132">
        <v>0.99</v>
      </c>
      <c r="AO1416" s="137">
        <v>1</v>
      </c>
      <c r="AP1416" s="137">
        <v>1</v>
      </c>
      <c r="AQ1416" s="137">
        <v>1</v>
      </c>
      <c r="AR1416" s="137">
        <v>1</v>
      </c>
      <c r="AS1416" s="158">
        <v>0.0721861525408278</v>
      </c>
      <c r="AT1416" s="141" t="s">
        <v>35</v>
      </c>
      <c r="AU1416" s="141" t="s">
        <v>35</v>
      </c>
      <c r="AV1416" s="141" t="s">
        <v>35</v>
      </c>
      <c r="AW1416" s="141" t="s">
        <v>35</v>
      </c>
      <c r="AX1416" s="95"/>
      <c r="AY1416" s="93"/>
    </row>
    <row r="1417" ht="14.5" spans="1:51">
      <c r="A1417" s="91"/>
      <c r="B1417" s="95"/>
      <c r="C1417" s="152" t="s">
        <v>1085</v>
      </c>
      <c r="D1417" s="153" t="s">
        <v>25</v>
      </c>
      <c r="E1417" s="130" t="s">
        <v>1086</v>
      </c>
      <c r="F1417" s="195" t="s">
        <v>1447</v>
      </c>
      <c r="G1417" s="195" t="s">
        <v>1447</v>
      </c>
      <c r="H1417" s="195" t="s">
        <v>1447</v>
      </c>
      <c r="I1417" s="195" t="s">
        <v>1447</v>
      </c>
      <c r="J1417" s="132">
        <v>0.9</v>
      </c>
      <c r="K1417" s="133">
        <v>0.842105263157895</v>
      </c>
      <c r="L1417" s="133">
        <v>0.839285714285714</v>
      </c>
      <c r="M1417" s="134">
        <v>0.844827586206897</v>
      </c>
      <c r="N1417" s="133">
        <v>0.868161434977578</v>
      </c>
      <c r="O1417" s="135">
        <v>0.9</v>
      </c>
      <c r="P1417" s="133">
        <v>0.979192546583851</v>
      </c>
      <c r="Q1417" s="133">
        <v>0.981867024848892</v>
      </c>
      <c r="R1417" s="133">
        <v>0.958233413269384</v>
      </c>
      <c r="S1417" s="133">
        <v>0.948193186448115</v>
      </c>
      <c r="T1417" s="135">
        <v>0.9</v>
      </c>
      <c r="U1417" s="133">
        <v>0.937267080745342</v>
      </c>
      <c r="V1417" s="133">
        <v>0.894112379673159</v>
      </c>
      <c r="W1417" s="133">
        <v>0.899280575539568</v>
      </c>
      <c r="X1417" s="133">
        <v>0.894338755341043</v>
      </c>
      <c r="Y1417" s="135">
        <v>0.92</v>
      </c>
      <c r="Z1417" s="135">
        <v>0.937998228520815</v>
      </c>
      <c r="AA1417" s="135">
        <v>0.846572361262242</v>
      </c>
      <c r="AB1417" s="135">
        <v>0.903940886699507</v>
      </c>
      <c r="AC1417" s="135">
        <v>0.931541561085033</v>
      </c>
      <c r="AD1417" s="135">
        <v>0.92</v>
      </c>
      <c r="AE1417" s="133">
        <v>0.9961999302028</v>
      </c>
      <c r="AF1417" s="133">
        <v>0.995558489886561</v>
      </c>
      <c r="AG1417" s="133">
        <v>0.998219478900825</v>
      </c>
      <c r="AH1417" s="133">
        <v>0.958119763683896</v>
      </c>
      <c r="AI1417" s="135">
        <v>0.92</v>
      </c>
      <c r="AJ1417" s="133">
        <v>0.958850574712644</v>
      </c>
      <c r="AK1417" s="133">
        <v>0.932071269487751</v>
      </c>
      <c r="AL1417" s="133">
        <v>0.940713367609255</v>
      </c>
      <c r="AM1417" s="133">
        <v>0.96265324687247</v>
      </c>
      <c r="AN1417" s="132">
        <v>0.99</v>
      </c>
      <c r="AO1417" s="137">
        <v>1</v>
      </c>
      <c r="AP1417" s="137">
        <v>1</v>
      </c>
      <c r="AQ1417" s="137">
        <v>1</v>
      </c>
      <c r="AR1417" s="137">
        <v>1</v>
      </c>
      <c r="AS1417" s="158">
        <v>0.0721861525408278</v>
      </c>
      <c r="AT1417" s="141">
        <v>0.0652173913043478</v>
      </c>
      <c r="AU1417" s="141">
        <v>0.0470588235294118</v>
      </c>
      <c r="AV1417" s="141">
        <v>0.130434782608696</v>
      </c>
      <c r="AW1417" s="141">
        <v>0.0423728813559322</v>
      </c>
      <c r="AX1417" s="95"/>
      <c r="AY1417" s="93"/>
    </row>
    <row r="1418" ht="14.5" spans="1:51">
      <c r="A1418" s="91"/>
      <c r="B1418" s="95"/>
      <c r="C1418" s="152" t="s">
        <v>1085</v>
      </c>
      <c r="D1418" s="153" t="s">
        <v>25</v>
      </c>
      <c r="E1418" s="130" t="s">
        <v>1086</v>
      </c>
      <c r="F1418" s="195" t="s">
        <v>1448</v>
      </c>
      <c r="G1418" s="195" t="s">
        <v>1448</v>
      </c>
      <c r="H1418" s="195" t="s">
        <v>1448</v>
      </c>
      <c r="I1418" s="195" t="s">
        <v>1448</v>
      </c>
      <c r="J1418" s="132">
        <v>0.9</v>
      </c>
      <c r="K1418" s="133">
        <v>0.977272727272727</v>
      </c>
      <c r="L1418" s="133">
        <v>0.976744186046512</v>
      </c>
      <c r="M1418" s="134">
        <v>0.978260869565217</v>
      </c>
      <c r="N1418" s="133">
        <v>0.972972972972973</v>
      </c>
      <c r="O1418" s="135">
        <v>0.9</v>
      </c>
      <c r="P1418" s="133">
        <v>0.979226069246436</v>
      </c>
      <c r="Q1418" s="133">
        <v>0.997466216216216</v>
      </c>
      <c r="R1418" s="133">
        <v>0.989152371342079</v>
      </c>
      <c r="S1418" s="133">
        <v>0.976772918211021</v>
      </c>
      <c r="T1418" s="135">
        <v>0.9</v>
      </c>
      <c r="U1418" s="133">
        <v>0.95152749490835</v>
      </c>
      <c r="V1418" s="133">
        <v>0.928209459459459</v>
      </c>
      <c r="W1418" s="133">
        <v>0.954086781029263</v>
      </c>
      <c r="X1418" s="133">
        <v>0.942348458247175</v>
      </c>
      <c r="Y1418" s="135">
        <v>0.92</v>
      </c>
      <c r="Z1418" s="135">
        <v>0.932752179327522</v>
      </c>
      <c r="AA1418" s="135">
        <v>0.908396946564885</v>
      </c>
      <c r="AB1418" s="135">
        <v>0.9082774049217</v>
      </c>
      <c r="AC1418" s="135">
        <v>0.9349870204788</v>
      </c>
      <c r="AD1418" s="135">
        <v>0.92</v>
      </c>
      <c r="AE1418" s="133">
        <v>0.998957301496272</v>
      </c>
      <c r="AF1418" s="133">
        <v>0.859563965446318</v>
      </c>
      <c r="AG1418" s="133">
        <v>0.998492506872395</v>
      </c>
      <c r="AH1418" s="133">
        <v>0.962395644064011</v>
      </c>
      <c r="AI1418" s="135">
        <v>0.92</v>
      </c>
      <c r="AJ1418" s="133">
        <v>0.962565204050322</v>
      </c>
      <c r="AK1418" s="133">
        <v>0.951996197718631</v>
      </c>
      <c r="AL1418" s="133">
        <v>0.962955340605063</v>
      </c>
      <c r="AM1418" s="133">
        <v>0.968061627265396</v>
      </c>
      <c r="AN1418" s="132">
        <v>0.99</v>
      </c>
      <c r="AO1418" s="137">
        <v>1</v>
      </c>
      <c r="AP1418" s="137">
        <v>1</v>
      </c>
      <c r="AQ1418" s="137">
        <v>1</v>
      </c>
      <c r="AR1418" s="137">
        <v>1</v>
      </c>
      <c r="AS1418" s="158">
        <v>0.0721861525408278</v>
      </c>
      <c r="AT1418" s="141">
        <v>0</v>
      </c>
      <c r="AU1418" s="141">
        <v>0.0333333333333333</v>
      </c>
      <c r="AV1418" s="141">
        <v>0.0263157894736842</v>
      </c>
      <c r="AW1418" s="141">
        <v>0.0456989247311828</v>
      </c>
      <c r="AX1418" s="95"/>
      <c r="AY1418" s="93"/>
    </row>
    <row r="1419" ht="14.5" spans="1:51">
      <c r="A1419" s="91"/>
      <c r="B1419" s="95"/>
      <c r="C1419" s="152" t="s">
        <v>1085</v>
      </c>
      <c r="D1419" s="153" t="s">
        <v>25</v>
      </c>
      <c r="E1419" s="130" t="s">
        <v>1086</v>
      </c>
      <c r="F1419" s="195" t="s">
        <v>1449</v>
      </c>
      <c r="G1419" s="195" t="s">
        <v>1449</v>
      </c>
      <c r="H1419" s="195" t="s">
        <v>1449</v>
      </c>
      <c r="I1419" s="195" t="s">
        <v>1449</v>
      </c>
      <c r="J1419" s="132">
        <v>0.9</v>
      </c>
      <c r="K1419" s="133">
        <v>0.842105263157895</v>
      </c>
      <c r="L1419" s="133">
        <v>0.962962962962963</v>
      </c>
      <c r="M1419" s="134">
        <v>0.925925925925926</v>
      </c>
      <c r="N1419" s="133">
        <v>0.921369102682701</v>
      </c>
      <c r="O1419" s="135">
        <v>0.9</v>
      </c>
      <c r="P1419" s="133">
        <v>0.975786924939467</v>
      </c>
      <c r="Q1419" s="133">
        <v>0.976254002134472</v>
      </c>
      <c r="R1419" s="133">
        <v>0.97520075578649</v>
      </c>
      <c r="S1419" s="133">
        <v>0.924631538618105</v>
      </c>
      <c r="T1419" s="135">
        <v>0.9</v>
      </c>
      <c r="U1419" s="133">
        <v>0.938256658595642</v>
      </c>
      <c r="V1419" s="133">
        <v>0.902614727854856</v>
      </c>
      <c r="W1419" s="133">
        <v>0.917572035899858</v>
      </c>
      <c r="X1419" s="133">
        <v>0.894101026064677</v>
      </c>
      <c r="Y1419" s="135">
        <v>0.92</v>
      </c>
      <c r="Z1419" s="135">
        <v>0.902634593356243</v>
      </c>
      <c r="AA1419" s="135">
        <v>0.909763313609467</v>
      </c>
      <c r="AB1419" s="135">
        <v>0.872727272727273</v>
      </c>
      <c r="AC1419" s="135">
        <v>0.912289469738618</v>
      </c>
      <c r="AD1419" s="135">
        <v>0.92</v>
      </c>
      <c r="AE1419" s="133">
        <v>0.996930497697873</v>
      </c>
      <c r="AF1419" s="133">
        <v>0.988803680981595</v>
      </c>
      <c r="AG1419" s="133">
        <v>0.997998180163785</v>
      </c>
      <c r="AH1419" s="133">
        <v>0.963636632944766</v>
      </c>
      <c r="AI1419" s="135">
        <v>0.92</v>
      </c>
      <c r="AJ1419" s="133">
        <v>0.953446732318711</v>
      </c>
      <c r="AK1419" s="133">
        <v>0.949819168173599</v>
      </c>
      <c r="AL1419" s="133">
        <v>0.943382077240345</v>
      </c>
      <c r="AM1419" s="133">
        <v>0.962409573389223</v>
      </c>
      <c r="AN1419" s="132">
        <v>0.99</v>
      </c>
      <c r="AO1419" s="137">
        <v>1</v>
      </c>
      <c r="AP1419" s="137">
        <v>1</v>
      </c>
      <c r="AQ1419" s="137">
        <v>1</v>
      </c>
      <c r="AR1419" s="137">
        <v>0.99949083503055</v>
      </c>
      <c r="AS1419" s="158">
        <v>0.0721861525408278</v>
      </c>
      <c r="AT1419" s="141">
        <v>0.04</v>
      </c>
      <c r="AU1419" s="141">
        <v>0.0285714285714286</v>
      </c>
      <c r="AV1419" s="141">
        <v>0.138888888888889</v>
      </c>
      <c r="AW1419" s="141">
        <v>0.0584795321637427</v>
      </c>
      <c r="AX1419" s="95"/>
      <c r="AY1419" s="93"/>
    </row>
    <row r="1420" ht="14.5" spans="1:51">
      <c r="A1420" s="91"/>
      <c r="B1420" s="95"/>
      <c r="C1420" s="152" t="s">
        <v>1085</v>
      </c>
      <c r="D1420" s="153" t="s">
        <v>25</v>
      </c>
      <c r="E1420" s="130" t="s">
        <v>1086</v>
      </c>
      <c r="F1420" s="195" t="s">
        <v>1450</v>
      </c>
      <c r="G1420" s="195" t="s">
        <v>1450</v>
      </c>
      <c r="H1420" s="195" t="s">
        <v>1450</v>
      </c>
      <c r="I1420" s="195" t="s">
        <v>1450</v>
      </c>
      <c r="J1420" s="132">
        <v>0.9</v>
      </c>
      <c r="K1420" s="133">
        <v>0.919354838709677</v>
      </c>
      <c r="L1420" s="133">
        <v>0.892857142857143</v>
      </c>
      <c r="M1420" s="134">
        <v>0.929824561403509</v>
      </c>
      <c r="N1420" s="133">
        <v>0.934426229508197</v>
      </c>
      <c r="O1420" s="135">
        <v>0.9</v>
      </c>
      <c r="P1420" s="133">
        <v>0.969639468690702</v>
      </c>
      <c r="Q1420" s="133">
        <v>0.966486486486486</v>
      </c>
      <c r="R1420" s="133">
        <v>0.961222091656874</v>
      </c>
      <c r="S1420" s="133">
        <v>0.928738824754796</v>
      </c>
      <c r="T1420" s="135">
        <v>0.9</v>
      </c>
      <c r="U1420" s="133">
        <v>0.94573055028463</v>
      </c>
      <c r="V1420" s="133">
        <v>0.935945945945946</v>
      </c>
      <c r="W1420" s="133">
        <v>0.931139835487662</v>
      </c>
      <c r="X1420" s="133">
        <v>0.926333279601225</v>
      </c>
      <c r="Y1420" s="135">
        <v>0.92</v>
      </c>
      <c r="Z1420" s="135">
        <v>0.914016489988221</v>
      </c>
      <c r="AA1420" s="135">
        <v>0.890625</v>
      </c>
      <c r="AB1420" s="135">
        <v>0.919242273180459</v>
      </c>
      <c r="AC1420" s="135">
        <v>0.920758807588076</v>
      </c>
      <c r="AD1420" s="135">
        <v>0.92</v>
      </c>
      <c r="AE1420" s="133">
        <v>0.938455067993831</v>
      </c>
      <c r="AF1420" s="133">
        <v>0.993946983928199</v>
      </c>
      <c r="AG1420" s="133">
        <v>0.995951417004049</v>
      </c>
      <c r="AH1420" s="133">
        <v>0.959481265743073</v>
      </c>
      <c r="AI1420" s="135">
        <v>0.92</v>
      </c>
      <c r="AJ1420" s="133">
        <v>0.955523672883788</v>
      </c>
      <c r="AK1420" s="133">
        <v>0.950045413260672</v>
      </c>
      <c r="AL1420" s="133">
        <v>0.95511601369342</v>
      </c>
      <c r="AM1420" s="133">
        <v>0.965269859848447</v>
      </c>
      <c r="AN1420" s="132">
        <v>0.99</v>
      </c>
      <c r="AO1420" s="137">
        <v>1</v>
      </c>
      <c r="AP1420" s="137">
        <v>1</v>
      </c>
      <c r="AQ1420" s="137">
        <v>1</v>
      </c>
      <c r="AR1420" s="137">
        <v>1</v>
      </c>
      <c r="AS1420" s="158">
        <v>0.0721861525408278</v>
      </c>
      <c r="AT1420" s="141">
        <v>0</v>
      </c>
      <c r="AU1420" s="141">
        <v>0.0344827586206897</v>
      </c>
      <c r="AV1420" s="141">
        <v>0.0454545454545455</v>
      </c>
      <c r="AW1420" s="141">
        <v>0.0389908256880734</v>
      </c>
      <c r="AX1420" s="95"/>
      <c r="AY1420" s="93"/>
    </row>
    <row r="1421" ht="14.5" spans="1:51">
      <c r="A1421" s="91"/>
      <c r="B1421" s="95"/>
      <c r="C1421" s="152" t="s">
        <v>1085</v>
      </c>
      <c r="D1421" s="153" t="s">
        <v>25</v>
      </c>
      <c r="E1421" s="130" t="s">
        <v>1086</v>
      </c>
      <c r="F1421" s="195" t="s">
        <v>1451</v>
      </c>
      <c r="G1421" s="195" t="s">
        <v>1451</v>
      </c>
      <c r="H1421" s="195" t="s">
        <v>1451</v>
      </c>
      <c r="I1421" s="195" t="s">
        <v>1451</v>
      </c>
      <c r="J1421" s="132">
        <v>0.9</v>
      </c>
      <c r="K1421" s="133">
        <v>0.882352941176471</v>
      </c>
      <c r="L1421" s="133">
        <v>0.914893617021277</v>
      </c>
      <c r="M1421" s="134">
        <v>0.92</v>
      </c>
      <c r="N1421" s="133">
        <v>0.941238195173137</v>
      </c>
      <c r="O1421" s="135">
        <v>0.9</v>
      </c>
      <c r="P1421" s="133">
        <v>0.985011709601874</v>
      </c>
      <c r="Q1421" s="133">
        <v>0.975192758967482</v>
      </c>
      <c r="R1421" s="133">
        <v>0.971703452178834</v>
      </c>
      <c r="S1421" s="133">
        <v>0.974512448715787</v>
      </c>
      <c r="T1421" s="135">
        <v>0.9</v>
      </c>
      <c r="U1421" s="133">
        <v>0.944262295081967</v>
      </c>
      <c r="V1421" s="133">
        <v>0.923566878980892</v>
      </c>
      <c r="W1421" s="133">
        <v>0.915959252971138</v>
      </c>
      <c r="X1421" s="133">
        <v>0.943671668633732</v>
      </c>
      <c r="Y1421" s="135">
        <v>0.92</v>
      </c>
      <c r="Z1421" s="135">
        <v>0.914634146341463</v>
      </c>
      <c r="AA1421" s="135">
        <v>0.832412523020258</v>
      </c>
      <c r="AB1421" s="135">
        <v>0.819956616052061</v>
      </c>
      <c r="AC1421" s="135">
        <v>0.895251902863356</v>
      </c>
      <c r="AD1421" s="135">
        <v>0.92</v>
      </c>
      <c r="AE1421" s="133">
        <v>0.97201795435011</v>
      </c>
      <c r="AF1421" s="133">
        <v>0.970415778251599</v>
      </c>
      <c r="AG1421" s="133">
        <v>0.993113896157554</v>
      </c>
      <c r="AH1421" s="133">
        <v>0.979167831255706</v>
      </c>
      <c r="AI1421" s="135">
        <v>0.92</v>
      </c>
      <c r="AJ1421" s="133">
        <v>0.951966585450748</v>
      </c>
      <c r="AK1421" s="133">
        <v>0.93079977311401</v>
      </c>
      <c r="AL1421" s="133">
        <v>0.919658886894075</v>
      </c>
      <c r="AM1421" s="133">
        <v>0.960058362210469</v>
      </c>
      <c r="AN1421" s="132">
        <v>0.99</v>
      </c>
      <c r="AO1421" s="137">
        <v>1</v>
      </c>
      <c r="AP1421" s="137">
        <v>1</v>
      </c>
      <c r="AQ1421" s="137">
        <v>1</v>
      </c>
      <c r="AR1421" s="137">
        <v>1</v>
      </c>
      <c r="AS1421" s="158">
        <v>0.0721861525408278</v>
      </c>
      <c r="AT1421" s="141">
        <v>0.0425531914893617</v>
      </c>
      <c r="AU1421" s="141">
        <v>0.0652173913043478</v>
      </c>
      <c r="AV1421" s="141">
        <v>0.0476190476190476</v>
      </c>
      <c r="AW1421" s="141">
        <v>0.0434153400868307</v>
      </c>
      <c r="AX1421" s="95"/>
      <c r="AY1421" s="93"/>
    </row>
    <row r="1422" ht="14.5" spans="1:51">
      <c r="A1422" s="91"/>
      <c r="B1422" s="95"/>
      <c r="C1422" s="152" t="s">
        <v>1085</v>
      </c>
      <c r="D1422" s="153" t="s">
        <v>1452</v>
      </c>
      <c r="E1422" s="130" t="s">
        <v>1086</v>
      </c>
      <c r="F1422" s="195" t="s">
        <v>1453</v>
      </c>
      <c r="G1422" s="195" t="s">
        <v>1453</v>
      </c>
      <c r="H1422" s="195" t="s">
        <v>1453</v>
      </c>
      <c r="I1422" s="195" t="s">
        <v>1453</v>
      </c>
      <c r="J1422" s="132">
        <v>0.9</v>
      </c>
      <c r="K1422" s="133" t="s">
        <v>35</v>
      </c>
      <c r="L1422" s="133" t="s">
        <v>35</v>
      </c>
      <c r="M1422" s="134" t="s">
        <v>35</v>
      </c>
      <c r="N1422" s="133" t="s">
        <v>35</v>
      </c>
      <c r="O1422" s="135">
        <v>0.9</v>
      </c>
      <c r="P1422" s="133" t="s">
        <v>35</v>
      </c>
      <c r="Q1422" s="133" t="s">
        <v>35</v>
      </c>
      <c r="R1422" s="133" t="s">
        <v>35</v>
      </c>
      <c r="S1422" s="133" t="s">
        <v>35</v>
      </c>
      <c r="T1422" s="135">
        <v>0.9</v>
      </c>
      <c r="U1422" s="133" t="s">
        <v>35</v>
      </c>
      <c r="V1422" s="133" t="s">
        <v>35</v>
      </c>
      <c r="W1422" s="133" t="s">
        <v>35</v>
      </c>
      <c r="X1422" s="133" t="s">
        <v>35</v>
      </c>
      <c r="Y1422" s="135">
        <v>0.92</v>
      </c>
      <c r="Z1422" s="135" t="s">
        <v>35</v>
      </c>
      <c r="AA1422" s="135" t="s">
        <v>35</v>
      </c>
      <c r="AB1422" s="135" t="s">
        <v>35</v>
      </c>
      <c r="AC1422" s="135" t="s">
        <v>35</v>
      </c>
      <c r="AD1422" s="135">
        <v>0.92</v>
      </c>
      <c r="AE1422" s="133" t="s">
        <v>35</v>
      </c>
      <c r="AF1422" s="133" t="s">
        <v>35</v>
      </c>
      <c r="AG1422" s="133" t="s">
        <v>35</v>
      </c>
      <c r="AH1422" s="133" t="s">
        <v>35</v>
      </c>
      <c r="AI1422" s="135">
        <v>0.92</v>
      </c>
      <c r="AJ1422" s="133" t="s">
        <v>35</v>
      </c>
      <c r="AK1422" s="133" t="s">
        <v>35</v>
      </c>
      <c r="AL1422" s="133" t="s">
        <v>35</v>
      </c>
      <c r="AM1422" s="133" t="s">
        <v>35</v>
      </c>
      <c r="AN1422" s="132">
        <v>0.99</v>
      </c>
      <c r="AO1422" s="137" t="s">
        <v>35</v>
      </c>
      <c r="AP1422" s="137" t="s">
        <v>35</v>
      </c>
      <c r="AQ1422" s="137" t="s">
        <v>35</v>
      </c>
      <c r="AR1422" s="137" t="s">
        <v>35</v>
      </c>
      <c r="AS1422" s="158">
        <v>0.0721861525408278</v>
      </c>
      <c r="AT1422" s="141" t="s">
        <v>35</v>
      </c>
      <c r="AU1422" s="141" t="s">
        <v>35</v>
      </c>
      <c r="AV1422" s="141" t="s">
        <v>35</v>
      </c>
      <c r="AW1422" s="141" t="s">
        <v>35</v>
      </c>
      <c r="AX1422" s="95"/>
      <c r="AY1422" s="93"/>
    </row>
    <row r="1423" ht="14.5" spans="1:51">
      <c r="A1423" s="91"/>
      <c r="B1423" s="95"/>
      <c r="C1423" s="152" t="s">
        <v>1085</v>
      </c>
      <c r="D1423" s="153" t="s">
        <v>25</v>
      </c>
      <c r="E1423" s="130" t="s">
        <v>1086</v>
      </c>
      <c r="F1423" s="195" t="s">
        <v>1454</v>
      </c>
      <c r="G1423" s="195" t="s">
        <v>1454</v>
      </c>
      <c r="H1423" s="195" t="s">
        <v>1454</v>
      </c>
      <c r="I1423" s="195" t="s">
        <v>1454</v>
      </c>
      <c r="J1423" s="132">
        <v>0.9</v>
      </c>
      <c r="K1423" s="133" t="s">
        <v>35</v>
      </c>
      <c r="L1423" s="133" t="s">
        <v>35</v>
      </c>
      <c r="M1423" s="134" t="s">
        <v>35</v>
      </c>
      <c r="N1423" s="133" t="s">
        <v>35</v>
      </c>
      <c r="O1423" s="135">
        <v>0.9</v>
      </c>
      <c r="P1423" s="133" t="s">
        <v>35</v>
      </c>
      <c r="Q1423" s="133" t="s">
        <v>35</v>
      </c>
      <c r="R1423" s="133" t="s">
        <v>35</v>
      </c>
      <c r="S1423" s="133" t="s">
        <v>35</v>
      </c>
      <c r="T1423" s="135">
        <v>0.9</v>
      </c>
      <c r="U1423" s="133" t="s">
        <v>35</v>
      </c>
      <c r="V1423" s="133" t="s">
        <v>35</v>
      </c>
      <c r="W1423" s="133" t="s">
        <v>35</v>
      </c>
      <c r="X1423" s="133" t="s">
        <v>35</v>
      </c>
      <c r="Y1423" s="135">
        <v>0.92</v>
      </c>
      <c r="Z1423" s="135" t="s">
        <v>35</v>
      </c>
      <c r="AA1423" s="135" t="s">
        <v>35</v>
      </c>
      <c r="AB1423" s="135" t="s">
        <v>35</v>
      </c>
      <c r="AC1423" s="135" t="s">
        <v>35</v>
      </c>
      <c r="AD1423" s="135">
        <v>0.92</v>
      </c>
      <c r="AE1423" s="133" t="s">
        <v>35</v>
      </c>
      <c r="AF1423" s="133" t="s">
        <v>35</v>
      </c>
      <c r="AG1423" s="133" t="s">
        <v>35</v>
      </c>
      <c r="AH1423" s="133" t="s">
        <v>35</v>
      </c>
      <c r="AI1423" s="135">
        <v>0.92</v>
      </c>
      <c r="AJ1423" s="133" t="s">
        <v>35</v>
      </c>
      <c r="AK1423" s="133" t="s">
        <v>35</v>
      </c>
      <c r="AL1423" s="133" t="s">
        <v>35</v>
      </c>
      <c r="AM1423" s="133" t="s">
        <v>35</v>
      </c>
      <c r="AN1423" s="132">
        <v>0.99</v>
      </c>
      <c r="AO1423" s="137" t="s">
        <v>35</v>
      </c>
      <c r="AP1423" s="137" t="s">
        <v>35</v>
      </c>
      <c r="AQ1423" s="137" t="s">
        <v>35</v>
      </c>
      <c r="AR1423" s="137" t="s">
        <v>35</v>
      </c>
      <c r="AS1423" s="158">
        <v>0.0721861525408278</v>
      </c>
      <c r="AT1423" s="141" t="s">
        <v>35</v>
      </c>
      <c r="AU1423" s="141" t="s">
        <v>35</v>
      </c>
      <c r="AV1423" s="141" t="s">
        <v>35</v>
      </c>
      <c r="AW1423" s="141" t="s">
        <v>35</v>
      </c>
      <c r="AX1423" s="95"/>
      <c r="AY1423" s="93"/>
    </row>
    <row r="1424" ht="14.5" spans="1:51">
      <c r="A1424" s="91"/>
      <c r="B1424" s="95"/>
      <c r="C1424" s="174"/>
      <c r="D1424" s="175"/>
      <c r="E1424" s="176"/>
      <c r="F1424" s="176"/>
      <c r="G1424" s="145"/>
      <c r="H1424" s="145"/>
      <c r="I1424" s="176"/>
      <c r="J1424" s="177"/>
      <c r="K1424" s="199"/>
      <c r="L1424" s="199"/>
      <c r="M1424" s="199"/>
      <c r="N1424" s="199"/>
      <c r="O1424" s="150"/>
      <c r="P1424" s="178"/>
      <c r="Q1424" s="178"/>
      <c r="R1424" s="133"/>
      <c r="S1424" s="178"/>
      <c r="T1424" s="150"/>
      <c r="U1424" s="178"/>
      <c r="V1424" s="178"/>
      <c r="W1424" s="133"/>
      <c r="X1424" s="178"/>
      <c r="Y1424" s="150"/>
      <c r="Z1424" s="150"/>
      <c r="AA1424" s="150"/>
      <c r="AB1424" s="135"/>
      <c r="AC1424" s="150"/>
      <c r="AD1424" s="178"/>
      <c r="AE1424" s="178"/>
      <c r="AF1424" s="178"/>
      <c r="AG1424" s="133"/>
      <c r="AH1424" s="178"/>
      <c r="AI1424" s="178"/>
      <c r="AJ1424" s="178"/>
      <c r="AK1424" s="178"/>
      <c r="AL1424" s="133"/>
      <c r="AM1424" s="178"/>
      <c r="AN1424" s="177"/>
      <c r="AO1424" s="177"/>
      <c r="AP1424" s="177"/>
      <c r="AQ1424" s="137"/>
      <c r="AR1424" s="177"/>
      <c r="AS1424" s="178"/>
      <c r="AT1424" s="177"/>
      <c r="AU1424" s="177"/>
      <c r="AV1424" s="141"/>
      <c r="AW1424" s="177"/>
      <c r="AX1424" s="95"/>
      <c r="AY1424" s="93"/>
    </row>
    <row r="1425" ht="14.5" spans="1:51">
      <c r="A1425" s="91"/>
      <c r="B1425" s="95"/>
      <c r="C1425" s="152" t="s">
        <v>1455</v>
      </c>
      <c r="D1425" s="153" t="s">
        <v>125</v>
      </c>
      <c r="E1425" s="130" t="s">
        <v>1456</v>
      </c>
      <c r="F1425" s="200" t="s">
        <v>1457</v>
      </c>
      <c r="G1425" s="200" t="s">
        <v>1457</v>
      </c>
      <c r="H1425" s="200" t="s">
        <v>1457</v>
      </c>
      <c r="I1425" s="200" t="s">
        <v>1457</v>
      </c>
      <c r="J1425" s="132">
        <v>0.9</v>
      </c>
      <c r="K1425" s="133" t="s">
        <v>35</v>
      </c>
      <c r="L1425" s="133" t="s">
        <v>35</v>
      </c>
      <c r="M1425" s="134" t="s">
        <v>35</v>
      </c>
      <c r="N1425" s="133" t="s">
        <v>35</v>
      </c>
      <c r="O1425" s="135">
        <v>0.9</v>
      </c>
      <c r="P1425" s="133" t="s">
        <v>35</v>
      </c>
      <c r="Q1425" s="133">
        <v>0</v>
      </c>
      <c r="R1425" s="133" t="s">
        <v>35</v>
      </c>
      <c r="S1425" s="133">
        <v>0</v>
      </c>
      <c r="T1425" s="135">
        <v>0.9</v>
      </c>
      <c r="U1425" s="133" t="s">
        <v>35</v>
      </c>
      <c r="V1425" s="133">
        <v>1</v>
      </c>
      <c r="W1425" s="133" t="s">
        <v>35</v>
      </c>
      <c r="X1425" s="133">
        <v>1</v>
      </c>
      <c r="Y1425" s="135">
        <v>0.92</v>
      </c>
      <c r="Z1425" s="135" t="s">
        <v>35</v>
      </c>
      <c r="AA1425" s="135" t="s">
        <v>35</v>
      </c>
      <c r="AB1425" s="135" t="s">
        <v>35</v>
      </c>
      <c r="AC1425" s="135" t="s">
        <v>35</v>
      </c>
      <c r="AD1425" s="135">
        <v>0.92</v>
      </c>
      <c r="AE1425" s="133">
        <v>1</v>
      </c>
      <c r="AF1425" s="133">
        <v>0.985637342908438</v>
      </c>
      <c r="AG1425" s="133">
        <v>1</v>
      </c>
      <c r="AH1425" s="133">
        <v>0.991988511828282</v>
      </c>
      <c r="AI1425" s="135">
        <v>0.92</v>
      </c>
      <c r="AJ1425" s="133" t="s">
        <v>35</v>
      </c>
      <c r="AK1425" s="133">
        <v>1</v>
      </c>
      <c r="AL1425" s="133" t="s">
        <v>35</v>
      </c>
      <c r="AM1425" s="133">
        <v>1</v>
      </c>
      <c r="AN1425" s="132">
        <v>0.99</v>
      </c>
      <c r="AO1425" s="137">
        <v>1</v>
      </c>
      <c r="AP1425" s="137">
        <v>1</v>
      </c>
      <c r="AQ1425" s="137">
        <v>1</v>
      </c>
      <c r="AR1425" s="137">
        <v>1</v>
      </c>
      <c r="AS1425" s="158">
        <v>0.110069253262963</v>
      </c>
      <c r="AT1425" s="141" t="s">
        <v>35</v>
      </c>
      <c r="AU1425" s="141" t="s">
        <v>35</v>
      </c>
      <c r="AV1425" s="141" t="s">
        <v>35</v>
      </c>
      <c r="AW1425" s="141" t="s">
        <v>35</v>
      </c>
      <c r="AX1425" s="95"/>
      <c r="AY1425" s="93"/>
    </row>
    <row r="1426" ht="14.5" spans="1:51">
      <c r="A1426" s="91"/>
      <c r="B1426" s="95"/>
      <c r="C1426" s="152" t="s">
        <v>1455</v>
      </c>
      <c r="D1426" s="153" t="s">
        <v>125</v>
      </c>
      <c r="E1426" s="130" t="s">
        <v>1456</v>
      </c>
      <c r="F1426" s="201" t="s">
        <v>1458</v>
      </c>
      <c r="G1426" s="201" t="s">
        <v>1458</v>
      </c>
      <c r="H1426" s="201" t="s">
        <v>1458</v>
      </c>
      <c r="I1426" s="201" t="s">
        <v>1458</v>
      </c>
      <c r="J1426" s="132">
        <v>0.9</v>
      </c>
      <c r="K1426" s="133" t="s">
        <v>35</v>
      </c>
      <c r="L1426" s="133" t="s">
        <v>35</v>
      </c>
      <c r="M1426" s="134" t="s">
        <v>35</v>
      </c>
      <c r="N1426" s="133" t="s">
        <v>35</v>
      </c>
      <c r="O1426" s="135">
        <v>0.9</v>
      </c>
      <c r="P1426" s="133" t="s">
        <v>35</v>
      </c>
      <c r="Q1426" s="133" t="s">
        <v>35</v>
      </c>
      <c r="R1426" s="133" t="s">
        <v>35</v>
      </c>
      <c r="S1426" s="133">
        <v>0</v>
      </c>
      <c r="T1426" s="135">
        <v>0.9</v>
      </c>
      <c r="U1426" s="133" t="s">
        <v>35</v>
      </c>
      <c r="V1426" s="133" t="s">
        <v>35</v>
      </c>
      <c r="W1426" s="133" t="s">
        <v>35</v>
      </c>
      <c r="X1426" s="133">
        <v>1</v>
      </c>
      <c r="Y1426" s="135">
        <v>0.92</v>
      </c>
      <c r="Z1426" s="135" t="s">
        <v>35</v>
      </c>
      <c r="AA1426" s="135" t="s">
        <v>35</v>
      </c>
      <c r="AB1426" s="135" t="s">
        <v>35</v>
      </c>
      <c r="AC1426" s="135" t="s">
        <v>35</v>
      </c>
      <c r="AD1426" s="135">
        <v>0.92</v>
      </c>
      <c r="AE1426" s="133">
        <v>0.937823834196891</v>
      </c>
      <c r="AF1426" s="133">
        <v>0.907407407407407</v>
      </c>
      <c r="AG1426" s="133">
        <v>0.994565217391304</v>
      </c>
      <c r="AH1426" s="133">
        <v>0.977474402730375</v>
      </c>
      <c r="AI1426" s="135">
        <v>0.92</v>
      </c>
      <c r="AJ1426" s="133" t="s">
        <v>35</v>
      </c>
      <c r="AK1426" s="133" t="s">
        <v>35</v>
      </c>
      <c r="AL1426" s="133" t="s">
        <v>35</v>
      </c>
      <c r="AM1426" s="133">
        <v>1</v>
      </c>
      <c r="AN1426" s="132">
        <v>0.99</v>
      </c>
      <c r="AO1426" s="137" t="s">
        <v>35</v>
      </c>
      <c r="AP1426" s="137" t="s">
        <v>35</v>
      </c>
      <c r="AQ1426" s="137" t="s">
        <v>35</v>
      </c>
      <c r="AR1426" s="137">
        <v>1</v>
      </c>
      <c r="AS1426" s="158">
        <v>0.110069253262963</v>
      </c>
      <c r="AT1426" s="141" t="s">
        <v>35</v>
      </c>
      <c r="AU1426" s="141" t="s">
        <v>35</v>
      </c>
      <c r="AV1426" s="141" t="s">
        <v>35</v>
      </c>
      <c r="AW1426" s="141" t="s">
        <v>35</v>
      </c>
      <c r="AX1426" s="95"/>
      <c r="AY1426" s="93"/>
    </row>
    <row r="1427" ht="14.5" spans="1:51">
      <c r="A1427" s="91"/>
      <c r="B1427" s="95"/>
      <c r="C1427" s="152" t="s">
        <v>1455</v>
      </c>
      <c r="D1427" s="153" t="s">
        <v>125</v>
      </c>
      <c r="E1427" s="130" t="s">
        <v>1456</v>
      </c>
      <c r="F1427" s="200" t="s">
        <v>1459</v>
      </c>
      <c r="G1427" s="200" t="s">
        <v>1459</v>
      </c>
      <c r="H1427" s="200" t="s">
        <v>1459</v>
      </c>
      <c r="I1427" s="200" t="s">
        <v>1459</v>
      </c>
      <c r="J1427" s="132">
        <v>0.9</v>
      </c>
      <c r="K1427" s="133" t="s">
        <v>35</v>
      </c>
      <c r="L1427" s="133" t="s">
        <v>35</v>
      </c>
      <c r="M1427" s="134" t="s">
        <v>35</v>
      </c>
      <c r="N1427" s="133" t="s">
        <v>35</v>
      </c>
      <c r="O1427" s="135">
        <v>0.9</v>
      </c>
      <c r="P1427" s="133" t="s">
        <v>35</v>
      </c>
      <c r="Q1427" s="133" t="s">
        <v>35</v>
      </c>
      <c r="R1427" s="133" t="s">
        <v>35</v>
      </c>
      <c r="S1427" s="133" t="s">
        <v>35</v>
      </c>
      <c r="T1427" s="135">
        <v>0.9</v>
      </c>
      <c r="U1427" s="133" t="s">
        <v>35</v>
      </c>
      <c r="V1427" s="133" t="s">
        <v>35</v>
      </c>
      <c r="W1427" s="133" t="s">
        <v>35</v>
      </c>
      <c r="X1427" s="133" t="s">
        <v>35</v>
      </c>
      <c r="Y1427" s="135">
        <v>0.92</v>
      </c>
      <c r="Z1427" s="135" t="s">
        <v>35</v>
      </c>
      <c r="AA1427" s="135" t="s">
        <v>35</v>
      </c>
      <c r="AB1427" s="135" t="s">
        <v>35</v>
      </c>
      <c r="AC1427" s="135" t="s">
        <v>35</v>
      </c>
      <c r="AD1427" s="135">
        <v>0.92</v>
      </c>
      <c r="AE1427" s="133">
        <v>0.156521739130435</v>
      </c>
      <c r="AF1427" s="133">
        <v>1</v>
      </c>
      <c r="AG1427" s="133">
        <v>0.678899082568807</v>
      </c>
      <c r="AH1427" s="133">
        <v>0.858282496480526</v>
      </c>
      <c r="AI1427" s="135">
        <v>0.92</v>
      </c>
      <c r="AJ1427" s="133" t="s">
        <v>35</v>
      </c>
      <c r="AK1427" s="133" t="s">
        <v>35</v>
      </c>
      <c r="AL1427" s="133" t="s">
        <v>35</v>
      </c>
      <c r="AM1427" s="133" t="s">
        <v>35</v>
      </c>
      <c r="AN1427" s="132">
        <v>0.99</v>
      </c>
      <c r="AO1427" s="137" t="s">
        <v>35</v>
      </c>
      <c r="AP1427" s="137" t="s">
        <v>35</v>
      </c>
      <c r="AQ1427" s="137" t="s">
        <v>35</v>
      </c>
      <c r="AR1427" s="137">
        <v>1</v>
      </c>
      <c r="AS1427" s="158">
        <v>0.110069253262963</v>
      </c>
      <c r="AT1427" s="141" t="s">
        <v>35</v>
      </c>
      <c r="AU1427" s="141" t="s">
        <v>35</v>
      </c>
      <c r="AV1427" s="141" t="s">
        <v>35</v>
      </c>
      <c r="AW1427" s="141" t="s">
        <v>35</v>
      </c>
      <c r="AX1427" s="95"/>
      <c r="AY1427" s="93"/>
    </row>
    <row r="1428" ht="14.5" spans="1:51">
      <c r="A1428" s="91"/>
      <c r="B1428" s="95"/>
      <c r="C1428" s="152" t="s">
        <v>1455</v>
      </c>
      <c r="D1428" s="153" t="s">
        <v>125</v>
      </c>
      <c r="E1428" s="130" t="s">
        <v>1456</v>
      </c>
      <c r="F1428" s="201" t="s">
        <v>1460</v>
      </c>
      <c r="G1428" s="201" t="s">
        <v>1460</v>
      </c>
      <c r="H1428" s="201" t="s">
        <v>1460</v>
      </c>
      <c r="I1428" s="201" t="s">
        <v>1460</v>
      </c>
      <c r="J1428" s="132">
        <v>0.9</v>
      </c>
      <c r="K1428" s="133" t="s">
        <v>35</v>
      </c>
      <c r="L1428" s="133" t="s">
        <v>35</v>
      </c>
      <c r="M1428" s="134" t="s">
        <v>35</v>
      </c>
      <c r="N1428" s="133" t="s">
        <v>35</v>
      </c>
      <c r="O1428" s="135">
        <v>0.9</v>
      </c>
      <c r="P1428" s="133">
        <v>0</v>
      </c>
      <c r="Q1428" s="133">
        <v>0</v>
      </c>
      <c r="R1428" s="133">
        <v>0</v>
      </c>
      <c r="S1428" s="133">
        <v>0</v>
      </c>
      <c r="T1428" s="135">
        <v>0.9</v>
      </c>
      <c r="U1428" s="133">
        <v>0.666666666666667</v>
      </c>
      <c r="V1428" s="133">
        <v>1</v>
      </c>
      <c r="W1428" s="133">
        <v>1</v>
      </c>
      <c r="X1428" s="133">
        <v>0.98989898989899</v>
      </c>
      <c r="Y1428" s="135">
        <v>0.92</v>
      </c>
      <c r="Z1428" s="135" t="s">
        <v>35</v>
      </c>
      <c r="AA1428" s="135">
        <v>1</v>
      </c>
      <c r="AB1428" s="135" t="s">
        <v>35</v>
      </c>
      <c r="AC1428" s="135">
        <v>0.952380952380952</v>
      </c>
      <c r="AD1428" s="135">
        <v>0.92</v>
      </c>
      <c r="AE1428" s="133">
        <v>1</v>
      </c>
      <c r="AF1428" s="133">
        <v>0.999491353001017</v>
      </c>
      <c r="AG1428" s="133">
        <v>0.999798954563731</v>
      </c>
      <c r="AH1428" s="133">
        <v>0.997776966194007</v>
      </c>
      <c r="AI1428" s="135">
        <v>0.92</v>
      </c>
      <c r="AJ1428" s="133">
        <v>0.75</v>
      </c>
      <c r="AK1428" s="133">
        <v>1</v>
      </c>
      <c r="AL1428" s="133">
        <v>1</v>
      </c>
      <c r="AM1428" s="133">
        <v>0.973154362416107</v>
      </c>
      <c r="AN1428" s="132">
        <v>0.99</v>
      </c>
      <c r="AO1428" s="137">
        <v>1</v>
      </c>
      <c r="AP1428" s="137">
        <v>1</v>
      </c>
      <c r="AQ1428" s="137">
        <v>1</v>
      </c>
      <c r="AR1428" s="137">
        <v>1</v>
      </c>
      <c r="AS1428" s="158">
        <v>0.110069253262963</v>
      </c>
      <c r="AT1428" s="141" t="s">
        <v>35</v>
      </c>
      <c r="AU1428" s="141" t="s">
        <v>35</v>
      </c>
      <c r="AV1428" s="141" t="s">
        <v>35</v>
      </c>
      <c r="AW1428" s="141" t="s">
        <v>35</v>
      </c>
      <c r="AX1428" s="95"/>
      <c r="AY1428" s="93"/>
    </row>
    <row r="1429" ht="14.5" spans="1:51">
      <c r="A1429" s="91"/>
      <c r="B1429" s="95"/>
      <c r="C1429" s="152" t="s">
        <v>1455</v>
      </c>
      <c r="D1429" s="153" t="s">
        <v>125</v>
      </c>
      <c r="E1429" s="130" t="s">
        <v>1456</v>
      </c>
      <c r="F1429" s="201" t="s">
        <v>1461</v>
      </c>
      <c r="G1429" s="201" t="s">
        <v>1461</v>
      </c>
      <c r="H1429" s="201" t="s">
        <v>1461</v>
      </c>
      <c r="I1429" s="201" t="s">
        <v>1461</v>
      </c>
      <c r="J1429" s="132">
        <v>0.9</v>
      </c>
      <c r="K1429" s="133" t="s">
        <v>35</v>
      </c>
      <c r="L1429" s="133" t="s">
        <v>35</v>
      </c>
      <c r="M1429" s="134" t="s">
        <v>35</v>
      </c>
      <c r="N1429" s="133" t="s">
        <v>35</v>
      </c>
      <c r="O1429" s="135">
        <v>0.9</v>
      </c>
      <c r="P1429" s="133">
        <v>0</v>
      </c>
      <c r="Q1429" s="133" t="s">
        <v>35</v>
      </c>
      <c r="R1429" s="133" t="s">
        <v>35</v>
      </c>
      <c r="S1429" s="133">
        <v>0</v>
      </c>
      <c r="T1429" s="135">
        <v>0.9</v>
      </c>
      <c r="U1429" s="133">
        <v>1</v>
      </c>
      <c r="V1429" s="133" t="s">
        <v>35</v>
      </c>
      <c r="W1429" s="133" t="s">
        <v>35</v>
      </c>
      <c r="X1429" s="133">
        <v>1</v>
      </c>
      <c r="Y1429" s="135">
        <v>0.92</v>
      </c>
      <c r="Z1429" s="135" t="s">
        <v>35</v>
      </c>
      <c r="AA1429" s="135" t="s">
        <v>35</v>
      </c>
      <c r="AB1429" s="135" t="s">
        <v>35</v>
      </c>
      <c r="AC1429" s="135" t="s">
        <v>35</v>
      </c>
      <c r="AD1429" s="135">
        <v>0.92</v>
      </c>
      <c r="AE1429" s="133">
        <v>0.783050847457627</v>
      </c>
      <c r="AF1429" s="133">
        <v>0.978260869565217</v>
      </c>
      <c r="AG1429" s="133">
        <v>0.991253644314869</v>
      </c>
      <c r="AH1429" s="133">
        <v>0.964159021406728</v>
      </c>
      <c r="AI1429" s="135">
        <v>0.92</v>
      </c>
      <c r="AJ1429" s="133">
        <v>1</v>
      </c>
      <c r="AK1429" s="133" t="s">
        <v>35</v>
      </c>
      <c r="AL1429" s="133" t="s">
        <v>35</v>
      </c>
      <c r="AM1429" s="133">
        <v>1</v>
      </c>
      <c r="AN1429" s="132">
        <v>0.99</v>
      </c>
      <c r="AO1429" s="137">
        <v>1</v>
      </c>
      <c r="AP1429" s="137">
        <v>1</v>
      </c>
      <c r="AQ1429" s="137">
        <v>1</v>
      </c>
      <c r="AR1429" s="137">
        <v>1</v>
      </c>
      <c r="AS1429" s="158">
        <v>0.110069253262963</v>
      </c>
      <c r="AT1429" s="141" t="s">
        <v>35</v>
      </c>
      <c r="AU1429" s="141" t="s">
        <v>35</v>
      </c>
      <c r="AV1429" s="141" t="s">
        <v>35</v>
      </c>
      <c r="AW1429" s="141" t="s">
        <v>35</v>
      </c>
      <c r="AX1429" s="95"/>
      <c r="AY1429" s="93"/>
    </row>
    <row r="1430" ht="14.5" spans="1:51">
      <c r="A1430" s="91"/>
      <c r="B1430" s="95"/>
      <c r="C1430" s="152" t="s">
        <v>1455</v>
      </c>
      <c r="D1430" s="153" t="s">
        <v>125</v>
      </c>
      <c r="E1430" s="130" t="s">
        <v>1456</v>
      </c>
      <c r="F1430" s="201" t="s">
        <v>1462</v>
      </c>
      <c r="G1430" s="201" t="s">
        <v>1462</v>
      </c>
      <c r="H1430" s="201" t="s">
        <v>1462</v>
      </c>
      <c r="I1430" s="201" t="s">
        <v>1462</v>
      </c>
      <c r="J1430" s="132">
        <v>0.9</v>
      </c>
      <c r="K1430" s="133" t="s">
        <v>35</v>
      </c>
      <c r="L1430" s="133" t="s">
        <v>35</v>
      </c>
      <c r="M1430" s="134" t="s">
        <v>35</v>
      </c>
      <c r="N1430" s="133" t="s">
        <v>35</v>
      </c>
      <c r="O1430" s="135">
        <v>0.9</v>
      </c>
      <c r="P1430" s="133" t="s">
        <v>35</v>
      </c>
      <c r="Q1430" s="133" t="s">
        <v>35</v>
      </c>
      <c r="R1430" s="133" t="s">
        <v>35</v>
      </c>
      <c r="S1430" s="133">
        <v>0</v>
      </c>
      <c r="T1430" s="135">
        <v>0.9</v>
      </c>
      <c r="U1430" s="133" t="s">
        <v>35</v>
      </c>
      <c r="V1430" s="133" t="s">
        <v>35</v>
      </c>
      <c r="W1430" s="133" t="s">
        <v>35</v>
      </c>
      <c r="X1430" s="133">
        <v>0</v>
      </c>
      <c r="Y1430" s="135">
        <v>0.92</v>
      </c>
      <c r="Z1430" s="135" t="s">
        <v>35</v>
      </c>
      <c r="AA1430" s="135" t="s">
        <v>35</v>
      </c>
      <c r="AB1430" s="135" t="s">
        <v>35</v>
      </c>
      <c r="AC1430" s="135" t="s">
        <v>35</v>
      </c>
      <c r="AD1430" s="135">
        <v>0.92</v>
      </c>
      <c r="AE1430" s="133">
        <v>1</v>
      </c>
      <c r="AF1430" s="133">
        <v>1</v>
      </c>
      <c r="AG1430" s="133">
        <v>0.99562363238512</v>
      </c>
      <c r="AH1430" s="133">
        <v>0.982457037643208</v>
      </c>
      <c r="AI1430" s="135">
        <v>0.92</v>
      </c>
      <c r="AJ1430" s="133" t="s">
        <v>35</v>
      </c>
      <c r="AK1430" s="133" t="s">
        <v>35</v>
      </c>
      <c r="AL1430" s="133">
        <v>1</v>
      </c>
      <c r="AM1430" s="133">
        <v>0.416666666666667</v>
      </c>
      <c r="AN1430" s="132">
        <v>0.99</v>
      </c>
      <c r="AO1430" s="137">
        <v>1</v>
      </c>
      <c r="AP1430" s="137">
        <v>1</v>
      </c>
      <c r="AQ1430" s="137">
        <v>1</v>
      </c>
      <c r="AR1430" s="137">
        <v>1</v>
      </c>
      <c r="AS1430" s="158">
        <v>0.110069253262963</v>
      </c>
      <c r="AT1430" s="141" t="s">
        <v>35</v>
      </c>
      <c r="AU1430" s="141" t="s">
        <v>35</v>
      </c>
      <c r="AV1430" s="141" t="s">
        <v>35</v>
      </c>
      <c r="AW1430" s="141" t="s">
        <v>35</v>
      </c>
      <c r="AX1430" s="95"/>
      <c r="AY1430" s="93"/>
    </row>
    <row r="1431" ht="14.5" spans="1:51">
      <c r="A1431" s="91"/>
      <c r="B1431" s="95"/>
      <c r="C1431" s="152" t="s">
        <v>1455</v>
      </c>
      <c r="D1431" s="153" t="s">
        <v>125</v>
      </c>
      <c r="E1431" s="130" t="s">
        <v>1456</v>
      </c>
      <c r="F1431" s="201" t="s">
        <v>1463</v>
      </c>
      <c r="G1431" s="201" t="s">
        <v>1463</v>
      </c>
      <c r="H1431" s="201" t="s">
        <v>1463</v>
      </c>
      <c r="I1431" s="201" t="s">
        <v>1463</v>
      </c>
      <c r="J1431" s="132">
        <v>0.9</v>
      </c>
      <c r="K1431" s="133" t="s">
        <v>35</v>
      </c>
      <c r="L1431" s="133" t="s">
        <v>35</v>
      </c>
      <c r="M1431" s="134" t="s">
        <v>35</v>
      </c>
      <c r="N1431" s="133" t="s">
        <v>35</v>
      </c>
      <c r="O1431" s="135">
        <v>0.9</v>
      </c>
      <c r="P1431" s="133" t="s">
        <v>35</v>
      </c>
      <c r="Q1431" s="133">
        <v>0</v>
      </c>
      <c r="R1431" s="133" t="s">
        <v>35</v>
      </c>
      <c r="S1431" s="133">
        <v>0</v>
      </c>
      <c r="T1431" s="135">
        <v>0.9</v>
      </c>
      <c r="U1431" s="133" t="s">
        <v>35</v>
      </c>
      <c r="V1431" s="133">
        <v>1</v>
      </c>
      <c r="W1431" s="133" t="s">
        <v>35</v>
      </c>
      <c r="X1431" s="133">
        <v>1</v>
      </c>
      <c r="Y1431" s="135">
        <v>0.92</v>
      </c>
      <c r="Z1431" s="135" t="s">
        <v>35</v>
      </c>
      <c r="AA1431" s="135" t="s">
        <v>35</v>
      </c>
      <c r="AB1431" s="135" t="s">
        <v>35</v>
      </c>
      <c r="AC1431" s="135" t="s">
        <v>35</v>
      </c>
      <c r="AD1431" s="135">
        <v>0.92</v>
      </c>
      <c r="AE1431" s="133">
        <v>1</v>
      </c>
      <c r="AF1431" s="133">
        <v>1</v>
      </c>
      <c r="AG1431" s="133">
        <v>1</v>
      </c>
      <c r="AH1431" s="133">
        <v>0.997078514911747</v>
      </c>
      <c r="AI1431" s="135">
        <v>0.92</v>
      </c>
      <c r="AJ1431" s="133" t="s">
        <v>35</v>
      </c>
      <c r="AK1431" s="133">
        <v>1</v>
      </c>
      <c r="AL1431" s="133" t="s">
        <v>35</v>
      </c>
      <c r="AM1431" s="133">
        <v>1</v>
      </c>
      <c r="AN1431" s="132">
        <v>0.99</v>
      </c>
      <c r="AO1431" s="137">
        <v>1</v>
      </c>
      <c r="AP1431" s="137">
        <v>1</v>
      </c>
      <c r="AQ1431" s="137">
        <v>1</v>
      </c>
      <c r="AR1431" s="137">
        <v>1</v>
      </c>
      <c r="AS1431" s="158">
        <v>0.110069253262963</v>
      </c>
      <c r="AT1431" s="141" t="s">
        <v>35</v>
      </c>
      <c r="AU1431" s="141" t="s">
        <v>35</v>
      </c>
      <c r="AV1431" s="141" t="s">
        <v>35</v>
      </c>
      <c r="AW1431" s="141" t="s">
        <v>35</v>
      </c>
      <c r="AX1431" s="95"/>
      <c r="AY1431" s="93"/>
    </row>
    <row r="1432" ht="14.5" spans="1:51">
      <c r="A1432" s="91"/>
      <c r="B1432" s="95"/>
      <c r="C1432" s="152" t="s">
        <v>1455</v>
      </c>
      <c r="D1432" s="153" t="s">
        <v>125</v>
      </c>
      <c r="E1432" s="130" t="s">
        <v>1456</v>
      </c>
      <c r="F1432" s="201" t="s">
        <v>1464</v>
      </c>
      <c r="G1432" s="201" t="s">
        <v>1464</v>
      </c>
      <c r="H1432" s="201" t="s">
        <v>1464</v>
      </c>
      <c r="I1432" s="201" t="s">
        <v>1464</v>
      </c>
      <c r="J1432" s="132">
        <v>0.9</v>
      </c>
      <c r="K1432" s="133" t="s">
        <v>35</v>
      </c>
      <c r="L1432" s="133" t="s">
        <v>35</v>
      </c>
      <c r="M1432" s="134" t="s">
        <v>35</v>
      </c>
      <c r="N1432" s="133" t="s">
        <v>35</v>
      </c>
      <c r="O1432" s="135">
        <v>0.9</v>
      </c>
      <c r="P1432" s="133" t="s">
        <v>35</v>
      </c>
      <c r="Q1432" s="133" t="s">
        <v>35</v>
      </c>
      <c r="R1432" s="133" t="s">
        <v>35</v>
      </c>
      <c r="S1432" s="133">
        <v>0</v>
      </c>
      <c r="T1432" s="135">
        <v>0.9</v>
      </c>
      <c r="U1432" s="133" t="s">
        <v>35</v>
      </c>
      <c r="V1432" s="133" t="s">
        <v>35</v>
      </c>
      <c r="W1432" s="133" t="s">
        <v>35</v>
      </c>
      <c r="X1432" s="133">
        <v>0.619047619047619</v>
      </c>
      <c r="Y1432" s="135">
        <v>0.92</v>
      </c>
      <c r="Z1432" s="135" t="s">
        <v>35</v>
      </c>
      <c r="AA1432" s="135" t="s">
        <v>35</v>
      </c>
      <c r="AB1432" s="135" t="s">
        <v>35</v>
      </c>
      <c r="AC1432" s="135">
        <v>0</v>
      </c>
      <c r="AD1432" s="135">
        <v>0.92</v>
      </c>
      <c r="AE1432" s="133">
        <v>0.984615384615385</v>
      </c>
      <c r="AF1432" s="133">
        <v>0.99781181619256</v>
      </c>
      <c r="AG1432" s="133">
        <v>0.98589562764457</v>
      </c>
      <c r="AH1432" s="133">
        <v>0.994296454728109</v>
      </c>
      <c r="AI1432" s="135">
        <v>0.92</v>
      </c>
      <c r="AJ1432" s="133" t="s">
        <v>35</v>
      </c>
      <c r="AK1432" s="133" t="s">
        <v>35</v>
      </c>
      <c r="AL1432" s="133" t="s">
        <v>35</v>
      </c>
      <c r="AM1432" s="133">
        <v>0.818181818181818</v>
      </c>
      <c r="AN1432" s="132">
        <v>0.99</v>
      </c>
      <c r="AO1432" s="137">
        <v>1</v>
      </c>
      <c r="AP1432" s="137" t="s">
        <v>35</v>
      </c>
      <c r="AQ1432" s="137" t="s">
        <v>35</v>
      </c>
      <c r="AR1432" s="137">
        <v>1</v>
      </c>
      <c r="AS1432" s="158">
        <v>0.110069253262963</v>
      </c>
      <c r="AT1432" s="141" t="s">
        <v>35</v>
      </c>
      <c r="AU1432" s="141" t="s">
        <v>35</v>
      </c>
      <c r="AV1432" s="141" t="s">
        <v>35</v>
      </c>
      <c r="AW1432" s="141" t="s">
        <v>35</v>
      </c>
      <c r="AX1432" s="95"/>
      <c r="AY1432" s="93"/>
    </row>
    <row r="1433" ht="14.5" spans="1:51">
      <c r="A1433" s="91"/>
      <c r="B1433" s="95"/>
      <c r="C1433" s="152" t="s">
        <v>1455</v>
      </c>
      <c r="D1433" s="153" t="s">
        <v>125</v>
      </c>
      <c r="E1433" s="130" t="s">
        <v>1456</v>
      </c>
      <c r="F1433" s="200" t="s">
        <v>1465</v>
      </c>
      <c r="G1433" s="200" t="s">
        <v>1465</v>
      </c>
      <c r="H1433" s="200" t="s">
        <v>1465</v>
      </c>
      <c r="I1433" s="200" t="s">
        <v>1465</v>
      </c>
      <c r="J1433" s="132">
        <v>0.9</v>
      </c>
      <c r="K1433" s="133" t="s">
        <v>35</v>
      </c>
      <c r="L1433" s="133" t="s">
        <v>35</v>
      </c>
      <c r="M1433" s="134" t="s">
        <v>35</v>
      </c>
      <c r="N1433" s="133" t="s">
        <v>35</v>
      </c>
      <c r="O1433" s="135">
        <v>0.9</v>
      </c>
      <c r="P1433" s="133">
        <v>0</v>
      </c>
      <c r="Q1433" s="133" t="s">
        <v>35</v>
      </c>
      <c r="R1433" s="133" t="s">
        <v>35</v>
      </c>
      <c r="S1433" s="133">
        <v>0</v>
      </c>
      <c r="T1433" s="135">
        <v>0.9</v>
      </c>
      <c r="U1433" s="133">
        <v>1</v>
      </c>
      <c r="V1433" s="133" t="s">
        <v>35</v>
      </c>
      <c r="W1433" s="133" t="s">
        <v>35</v>
      </c>
      <c r="X1433" s="133">
        <v>1</v>
      </c>
      <c r="Y1433" s="135">
        <v>0.92</v>
      </c>
      <c r="Z1433" s="135" t="s">
        <v>35</v>
      </c>
      <c r="AA1433" s="135" t="s">
        <v>35</v>
      </c>
      <c r="AB1433" s="135" t="s">
        <v>35</v>
      </c>
      <c r="AC1433" s="135" t="s">
        <v>35</v>
      </c>
      <c r="AD1433" s="135">
        <v>0.92</v>
      </c>
      <c r="AE1433" s="133">
        <v>0.938461538461538</v>
      </c>
      <c r="AF1433" s="133">
        <v>0.904761904761905</v>
      </c>
      <c r="AG1433" s="133">
        <v>1</v>
      </c>
      <c r="AH1433" s="133">
        <v>0.991315136476427</v>
      </c>
      <c r="AI1433" s="135">
        <v>0.92</v>
      </c>
      <c r="AJ1433" s="133">
        <v>1</v>
      </c>
      <c r="AK1433" s="133" t="s">
        <v>35</v>
      </c>
      <c r="AL1433" s="133">
        <v>1</v>
      </c>
      <c r="AM1433" s="133">
        <v>1</v>
      </c>
      <c r="AN1433" s="132">
        <v>0.99</v>
      </c>
      <c r="AO1433" s="137">
        <v>1</v>
      </c>
      <c r="AP1433" s="137" t="s">
        <v>35</v>
      </c>
      <c r="AQ1433" s="137" t="s">
        <v>35</v>
      </c>
      <c r="AR1433" s="137">
        <v>1</v>
      </c>
      <c r="AS1433" s="158">
        <v>0.110069253262963</v>
      </c>
      <c r="AT1433" s="141" t="s">
        <v>35</v>
      </c>
      <c r="AU1433" s="141" t="s">
        <v>35</v>
      </c>
      <c r="AV1433" s="141" t="s">
        <v>35</v>
      </c>
      <c r="AW1433" s="141" t="s">
        <v>35</v>
      </c>
      <c r="AX1433" s="95"/>
      <c r="AY1433" s="93"/>
    </row>
    <row r="1434" ht="14.5" spans="1:51">
      <c r="A1434" s="91"/>
      <c r="B1434" s="95"/>
      <c r="C1434" s="152" t="s">
        <v>1455</v>
      </c>
      <c r="D1434" s="153" t="s">
        <v>125</v>
      </c>
      <c r="E1434" s="130" t="s">
        <v>1456</v>
      </c>
      <c r="F1434" s="201" t="s">
        <v>1466</v>
      </c>
      <c r="G1434" s="201" t="s">
        <v>1466</v>
      </c>
      <c r="H1434" s="201" t="s">
        <v>1466</v>
      </c>
      <c r="I1434" s="201" t="s">
        <v>1466</v>
      </c>
      <c r="J1434" s="132">
        <v>0.9</v>
      </c>
      <c r="K1434" s="133" t="s">
        <v>35</v>
      </c>
      <c r="L1434" s="133" t="s">
        <v>35</v>
      </c>
      <c r="M1434" s="134" t="s">
        <v>35</v>
      </c>
      <c r="N1434" s="133" t="s">
        <v>35</v>
      </c>
      <c r="O1434" s="135">
        <v>0.9</v>
      </c>
      <c r="P1434" s="133" t="s">
        <v>35</v>
      </c>
      <c r="Q1434" s="133" t="s">
        <v>35</v>
      </c>
      <c r="R1434" s="133" t="s">
        <v>35</v>
      </c>
      <c r="S1434" s="133" t="s">
        <v>35</v>
      </c>
      <c r="T1434" s="135">
        <v>0.9</v>
      </c>
      <c r="U1434" s="133" t="s">
        <v>35</v>
      </c>
      <c r="V1434" s="133" t="s">
        <v>35</v>
      </c>
      <c r="W1434" s="133" t="s">
        <v>35</v>
      </c>
      <c r="X1434" s="133" t="s">
        <v>35</v>
      </c>
      <c r="Y1434" s="135">
        <v>0.92</v>
      </c>
      <c r="Z1434" s="135" t="s">
        <v>35</v>
      </c>
      <c r="AA1434" s="135" t="s">
        <v>35</v>
      </c>
      <c r="AB1434" s="135" t="s">
        <v>35</v>
      </c>
      <c r="AC1434" s="135" t="s">
        <v>35</v>
      </c>
      <c r="AD1434" s="135">
        <v>0.92</v>
      </c>
      <c r="AE1434" s="133">
        <v>0.774193548387097</v>
      </c>
      <c r="AF1434" s="133">
        <v>1</v>
      </c>
      <c r="AG1434" s="133">
        <v>0.967741935483871</v>
      </c>
      <c r="AH1434" s="133">
        <v>0.949786324786325</v>
      </c>
      <c r="AI1434" s="135">
        <v>0.92</v>
      </c>
      <c r="AJ1434" s="133" t="s">
        <v>35</v>
      </c>
      <c r="AK1434" s="133" t="s">
        <v>35</v>
      </c>
      <c r="AL1434" s="133" t="s">
        <v>35</v>
      </c>
      <c r="AM1434" s="133" t="s">
        <v>35</v>
      </c>
      <c r="AN1434" s="132">
        <v>0.99</v>
      </c>
      <c r="AO1434" s="137" t="s">
        <v>35</v>
      </c>
      <c r="AP1434" s="137" t="s">
        <v>35</v>
      </c>
      <c r="AQ1434" s="137" t="s">
        <v>35</v>
      </c>
      <c r="AR1434" s="137" t="s">
        <v>35</v>
      </c>
      <c r="AS1434" s="158">
        <v>0.110069253262963</v>
      </c>
      <c r="AT1434" s="141" t="s">
        <v>35</v>
      </c>
      <c r="AU1434" s="141" t="s">
        <v>35</v>
      </c>
      <c r="AV1434" s="141" t="s">
        <v>35</v>
      </c>
      <c r="AW1434" s="141" t="s">
        <v>35</v>
      </c>
      <c r="AX1434" s="95"/>
      <c r="AY1434" s="93"/>
    </row>
    <row r="1435" ht="14.5" spans="1:51">
      <c r="A1435" s="91"/>
      <c r="B1435" s="95"/>
      <c r="C1435" s="152" t="s">
        <v>1455</v>
      </c>
      <c r="D1435" s="153" t="s">
        <v>125</v>
      </c>
      <c r="E1435" s="130" t="s">
        <v>1456</v>
      </c>
      <c r="F1435" s="200" t="s">
        <v>1467</v>
      </c>
      <c r="G1435" s="200" t="s">
        <v>1467</v>
      </c>
      <c r="H1435" s="200" t="s">
        <v>1467</v>
      </c>
      <c r="I1435" s="200" t="s">
        <v>1467</v>
      </c>
      <c r="J1435" s="132">
        <v>0.9</v>
      </c>
      <c r="K1435" s="133" t="s">
        <v>35</v>
      </c>
      <c r="L1435" s="133" t="s">
        <v>35</v>
      </c>
      <c r="M1435" s="134" t="s">
        <v>35</v>
      </c>
      <c r="N1435" s="133" t="s">
        <v>35</v>
      </c>
      <c r="O1435" s="135">
        <v>0.9</v>
      </c>
      <c r="P1435" s="133" t="s">
        <v>35</v>
      </c>
      <c r="Q1435" s="133">
        <v>0</v>
      </c>
      <c r="R1435" s="133">
        <v>0</v>
      </c>
      <c r="S1435" s="133">
        <v>0</v>
      </c>
      <c r="T1435" s="135">
        <v>0.9</v>
      </c>
      <c r="U1435" s="133" t="s">
        <v>35</v>
      </c>
      <c r="V1435" s="133">
        <v>1</v>
      </c>
      <c r="W1435" s="133">
        <v>0.666666666666667</v>
      </c>
      <c r="X1435" s="133">
        <v>0.861111111111111</v>
      </c>
      <c r="Y1435" s="135">
        <v>0.92</v>
      </c>
      <c r="Z1435" s="135" t="s">
        <v>35</v>
      </c>
      <c r="AA1435" s="135" t="s">
        <v>35</v>
      </c>
      <c r="AB1435" s="135" t="s">
        <v>35</v>
      </c>
      <c r="AC1435" s="135">
        <v>0.5</v>
      </c>
      <c r="AD1435" s="135">
        <v>0.92</v>
      </c>
      <c r="AE1435" s="133">
        <v>0.996759559300065</v>
      </c>
      <c r="AF1435" s="133">
        <v>0.998713826366559</v>
      </c>
      <c r="AG1435" s="133">
        <v>0.997524752475248</v>
      </c>
      <c r="AH1435" s="133">
        <v>0.972764670896114</v>
      </c>
      <c r="AI1435" s="135">
        <v>0.92</v>
      </c>
      <c r="AJ1435" s="133">
        <v>0</v>
      </c>
      <c r="AK1435" s="133">
        <v>1</v>
      </c>
      <c r="AL1435" s="133">
        <v>0.666666666666667</v>
      </c>
      <c r="AM1435" s="133">
        <v>0.87719298245614</v>
      </c>
      <c r="AN1435" s="132">
        <v>0.99</v>
      </c>
      <c r="AO1435" s="137" t="s">
        <v>35</v>
      </c>
      <c r="AP1435" s="137">
        <v>1</v>
      </c>
      <c r="AQ1435" s="137" t="s">
        <v>35</v>
      </c>
      <c r="AR1435" s="137">
        <v>1</v>
      </c>
      <c r="AS1435" s="158">
        <v>0.110069253262963</v>
      </c>
      <c r="AT1435" s="141" t="s">
        <v>35</v>
      </c>
      <c r="AU1435" s="141" t="s">
        <v>35</v>
      </c>
      <c r="AV1435" s="141" t="s">
        <v>35</v>
      </c>
      <c r="AW1435" s="141" t="s">
        <v>35</v>
      </c>
      <c r="AX1435" s="95"/>
      <c r="AY1435" s="93"/>
    </row>
    <row r="1436" ht="14.5" spans="1:51">
      <c r="A1436" s="91"/>
      <c r="B1436" s="95"/>
      <c r="C1436" s="152" t="s">
        <v>1455</v>
      </c>
      <c r="D1436" s="153" t="s">
        <v>125</v>
      </c>
      <c r="E1436" s="130" t="s">
        <v>1456</v>
      </c>
      <c r="F1436" s="200" t="s">
        <v>1468</v>
      </c>
      <c r="G1436" s="200" t="s">
        <v>1468</v>
      </c>
      <c r="H1436" s="200" t="s">
        <v>1468</v>
      </c>
      <c r="I1436" s="200" t="s">
        <v>1468</v>
      </c>
      <c r="J1436" s="132">
        <v>0.9</v>
      </c>
      <c r="K1436" s="133" t="s">
        <v>35</v>
      </c>
      <c r="L1436" s="133" t="s">
        <v>35</v>
      </c>
      <c r="M1436" s="134" t="s">
        <v>35</v>
      </c>
      <c r="N1436" s="133" t="s">
        <v>35</v>
      </c>
      <c r="O1436" s="135">
        <v>0.9</v>
      </c>
      <c r="P1436" s="133" t="s">
        <v>35</v>
      </c>
      <c r="Q1436" s="133" t="s">
        <v>35</v>
      </c>
      <c r="R1436" s="133" t="s">
        <v>35</v>
      </c>
      <c r="S1436" s="133" t="s">
        <v>35</v>
      </c>
      <c r="T1436" s="135">
        <v>0.9</v>
      </c>
      <c r="U1436" s="133" t="s">
        <v>35</v>
      </c>
      <c r="V1436" s="133" t="s">
        <v>35</v>
      </c>
      <c r="W1436" s="133" t="s">
        <v>35</v>
      </c>
      <c r="X1436" s="133" t="s">
        <v>35</v>
      </c>
      <c r="Y1436" s="135">
        <v>0.92</v>
      </c>
      <c r="Z1436" s="135" t="s">
        <v>35</v>
      </c>
      <c r="AA1436" s="135" t="s">
        <v>35</v>
      </c>
      <c r="AB1436" s="135" t="s">
        <v>35</v>
      </c>
      <c r="AC1436" s="135" t="s">
        <v>35</v>
      </c>
      <c r="AD1436" s="135">
        <v>0.92</v>
      </c>
      <c r="AE1436" s="133">
        <v>1</v>
      </c>
      <c r="AF1436" s="133">
        <v>1</v>
      </c>
      <c r="AG1436" s="133">
        <v>1</v>
      </c>
      <c r="AH1436" s="133">
        <v>1</v>
      </c>
      <c r="AI1436" s="135">
        <v>0.92</v>
      </c>
      <c r="AJ1436" s="133" t="s">
        <v>35</v>
      </c>
      <c r="AK1436" s="133" t="s">
        <v>35</v>
      </c>
      <c r="AL1436" s="133" t="s">
        <v>35</v>
      </c>
      <c r="AM1436" s="133" t="s">
        <v>35</v>
      </c>
      <c r="AN1436" s="132">
        <v>0.99</v>
      </c>
      <c r="AO1436" s="137" t="s">
        <v>35</v>
      </c>
      <c r="AP1436" s="137">
        <v>1</v>
      </c>
      <c r="AQ1436" s="137" t="s">
        <v>35</v>
      </c>
      <c r="AR1436" s="137">
        <v>1</v>
      </c>
      <c r="AS1436" s="158">
        <v>0.110069253262963</v>
      </c>
      <c r="AT1436" s="141" t="s">
        <v>35</v>
      </c>
      <c r="AU1436" s="141" t="s">
        <v>35</v>
      </c>
      <c r="AV1436" s="141" t="s">
        <v>35</v>
      </c>
      <c r="AW1436" s="141" t="s">
        <v>35</v>
      </c>
      <c r="AX1436" s="95"/>
      <c r="AY1436" s="93"/>
    </row>
    <row r="1437" ht="14.5" spans="1:51">
      <c r="A1437" s="91"/>
      <c r="B1437" s="95"/>
      <c r="C1437" s="152" t="s">
        <v>1455</v>
      </c>
      <c r="D1437" s="153" t="s">
        <v>125</v>
      </c>
      <c r="E1437" s="130" t="s">
        <v>1456</v>
      </c>
      <c r="F1437" s="201" t="s">
        <v>1469</v>
      </c>
      <c r="G1437" s="201" t="s">
        <v>1469</v>
      </c>
      <c r="H1437" s="201" t="s">
        <v>1469</v>
      </c>
      <c r="I1437" s="201" t="s">
        <v>1469</v>
      </c>
      <c r="J1437" s="132">
        <v>0.9</v>
      </c>
      <c r="K1437" s="133" t="s">
        <v>35</v>
      </c>
      <c r="L1437" s="133" t="s">
        <v>35</v>
      </c>
      <c r="M1437" s="134" t="s">
        <v>35</v>
      </c>
      <c r="N1437" s="133" t="s">
        <v>35</v>
      </c>
      <c r="O1437" s="135">
        <v>0.9</v>
      </c>
      <c r="P1437" s="133" t="s">
        <v>35</v>
      </c>
      <c r="Q1437" s="133" t="s">
        <v>35</v>
      </c>
      <c r="R1437" s="133" t="s">
        <v>35</v>
      </c>
      <c r="S1437" s="133">
        <v>0</v>
      </c>
      <c r="T1437" s="135">
        <v>0.9</v>
      </c>
      <c r="U1437" s="133" t="s">
        <v>35</v>
      </c>
      <c r="V1437" s="133" t="s">
        <v>35</v>
      </c>
      <c r="W1437" s="133" t="s">
        <v>35</v>
      </c>
      <c r="X1437" s="133">
        <v>1</v>
      </c>
      <c r="Y1437" s="135">
        <v>0.92</v>
      </c>
      <c r="Z1437" s="135" t="s">
        <v>35</v>
      </c>
      <c r="AA1437" s="135" t="s">
        <v>35</v>
      </c>
      <c r="AB1437" s="135" t="s">
        <v>35</v>
      </c>
      <c r="AC1437" s="135" t="s">
        <v>35</v>
      </c>
      <c r="AD1437" s="135">
        <v>0.92</v>
      </c>
      <c r="AE1437" s="133">
        <v>1</v>
      </c>
      <c r="AF1437" s="133">
        <v>1</v>
      </c>
      <c r="AG1437" s="133">
        <v>0.998287671232877</v>
      </c>
      <c r="AH1437" s="133">
        <v>0.992241960872498</v>
      </c>
      <c r="AI1437" s="135">
        <v>0.92</v>
      </c>
      <c r="AJ1437" s="133" t="s">
        <v>35</v>
      </c>
      <c r="AK1437" s="133" t="s">
        <v>35</v>
      </c>
      <c r="AL1437" s="133" t="s">
        <v>35</v>
      </c>
      <c r="AM1437" s="133">
        <v>1</v>
      </c>
      <c r="AN1437" s="132">
        <v>0.99</v>
      </c>
      <c r="AO1437" s="137" t="s">
        <v>35</v>
      </c>
      <c r="AP1437" s="137">
        <v>1</v>
      </c>
      <c r="AQ1437" s="137" t="s">
        <v>35</v>
      </c>
      <c r="AR1437" s="137">
        <v>1</v>
      </c>
      <c r="AS1437" s="158">
        <v>0.110069253262963</v>
      </c>
      <c r="AT1437" s="141" t="s">
        <v>35</v>
      </c>
      <c r="AU1437" s="141" t="s">
        <v>35</v>
      </c>
      <c r="AV1437" s="141" t="s">
        <v>35</v>
      </c>
      <c r="AW1437" s="141" t="s">
        <v>35</v>
      </c>
      <c r="AX1437" s="95"/>
      <c r="AY1437" s="93"/>
    </row>
    <row r="1438" ht="14.5" spans="1:51">
      <c r="A1438" s="91"/>
      <c r="B1438" s="95"/>
      <c r="C1438" s="152" t="s">
        <v>1455</v>
      </c>
      <c r="D1438" s="153" t="s">
        <v>125</v>
      </c>
      <c r="E1438" s="130" t="s">
        <v>1456</v>
      </c>
      <c r="F1438" s="201" t="s">
        <v>1470</v>
      </c>
      <c r="G1438" s="201" t="s">
        <v>1470</v>
      </c>
      <c r="H1438" s="201" t="s">
        <v>1470</v>
      </c>
      <c r="I1438" s="201" t="s">
        <v>1470</v>
      </c>
      <c r="J1438" s="132">
        <v>0.9</v>
      </c>
      <c r="K1438" s="133" t="s">
        <v>35</v>
      </c>
      <c r="L1438" s="133" t="s">
        <v>35</v>
      </c>
      <c r="M1438" s="134" t="s">
        <v>35</v>
      </c>
      <c r="N1438" s="133" t="s">
        <v>35</v>
      </c>
      <c r="O1438" s="135">
        <v>0.9</v>
      </c>
      <c r="P1438" s="133" t="s">
        <v>35</v>
      </c>
      <c r="Q1438" s="133" t="s">
        <v>35</v>
      </c>
      <c r="R1438" s="133" t="s">
        <v>35</v>
      </c>
      <c r="S1438" s="133">
        <v>0</v>
      </c>
      <c r="T1438" s="135">
        <v>0.9</v>
      </c>
      <c r="U1438" s="133" t="s">
        <v>35</v>
      </c>
      <c r="V1438" s="133" t="s">
        <v>35</v>
      </c>
      <c r="W1438" s="133" t="s">
        <v>35</v>
      </c>
      <c r="X1438" s="133">
        <v>1</v>
      </c>
      <c r="Y1438" s="135">
        <v>0.92</v>
      </c>
      <c r="Z1438" s="135" t="s">
        <v>35</v>
      </c>
      <c r="AA1438" s="135" t="s">
        <v>35</v>
      </c>
      <c r="AB1438" s="135" t="s">
        <v>35</v>
      </c>
      <c r="AC1438" s="135" t="s">
        <v>35</v>
      </c>
      <c r="AD1438" s="135">
        <v>0.92</v>
      </c>
      <c r="AE1438" s="133">
        <v>0.986301369863014</v>
      </c>
      <c r="AF1438" s="133">
        <v>1</v>
      </c>
      <c r="AG1438" s="133">
        <v>1</v>
      </c>
      <c r="AH1438" s="133">
        <v>0.995720399429387</v>
      </c>
      <c r="AI1438" s="135">
        <v>0.92</v>
      </c>
      <c r="AJ1438" s="133" t="s">
        <v>35</v>
      </c>
      <c r="AK1438" s="133" t="s">
        <v>35</v>
      </c>
      <c r="AL1438" s="133" t="s">
        <v>35</v>
      </c>
      <c r="AM1438" s="133">
        <v>1</v>
      </c>
      <c r="AN1438" s="132">
        <v>0.99</v>
      </c>
      <c r="AO1438" s="137">
        <v>1</v>
      </c>
      <c r="AP1438" s="137" t="s">
        <v>35</v>
      </c>
      <c r="AQ1438" s="137" t="s">
        <v>35</v>
      </c>
      <c r="AR1438" s="137">
        <v>1</v>
      </c>
      <c r="AS1438" s="158">
        <v>0.110069253262963</v>
      </c>
      <c r="AT1438" s="141" t="s">
        <v>35</v>
      </c>
      <c r="AU1438" s="141" t="s">
        <v>35</v>
      </c>
      <c r="AV1438" s="141" t="s">
        <v>35</v>
      </c>
      <c r="AW1438" s="141" t="s">
        <v>35</v>
      </c>
      <c r="AX1438" s="95"/>
      <c r="AY1438" s="93"/>
    </row>
    <row r="1439" ht="14.5" spans="1:51">
      <c r="A1439" s="91"/>
      <c r="B1439" s="95"/>
      <c r="C1439" s="152" t="s">
        <v>1455</v>
      </c>
      <c r="D1439" s="153" t="s">
        <v>125</v>
      </c>
      <c r="E1439" s="130" t="s">
        <v>1456</v>
      </c>
      <c r="F1439" s="201" t="s">
        <v>1471</v>
      </c>
      <c r="G1439" s="201" t="s">
        <v>1471</v>
      </c>
      <c r="H1439" s="201" t="s">
        <v>1471</v>
      </c>
      <c r="I1439" s="201" t="s">
        <v>1471</v>
      </c>
      <c r="J1439" s="132">
        <v>0.9</v>
      </c>
      <c r="K1439" s="133" t="s">
        <v>35</v>
      </c>
      <c r="L1439" s="133" t="s">
        <v>35</v>
      </c>
      <c r="M1439" s="134" t="s">
        <v>35</v>
      </c>
      <c r="N1439" s="133" t="s">
        <v>35</v>
      </c>
      <c r="O1439" s="135">
        <v>0.9</v>
      </c>
      <c r="P1439" s="133" t="s">
        <v>35</v>
      </c>
      <c r="Q1439" s="133" t="s">
        <v>35</v>
      </c>
      <c r="R1439" s="133" t="s">
        <v>35</v>
      </c>
      <c r="S1439" s="133" t="s">
        <v>35</v>
      </c>
      <c r="T1439" s="135">
        <v>0.9</v>
      </c>
      <c r="U1439" s="133" t="s">
        <v>35</v>
      </c>
      <c r="V1439" s="133" t="s">
        <v>35</v>
      </c>
      <c r="W1439" s="133" t="s">
        <v>35</v>
      </c>
      <c r="X1439" s="133" t="s">
        <v>35</v>
      </c>
      <c r="Y1439" s="135">
        <v>0.92</v>
      </c>
      <c r="Z1439" s="135" t="s">
        <v>35</v>
      </c>
      <c r="AA1439" s="135" t="s">
        <v>35</v>
      </c>
      <c r="AB1439" s="135" t="s">
        <v>35</v>
      </c>
      <c r="AC1439" s="135" t="s">
        <v>35</v>
      </c>
      <c r="AD1439" s="135">
        <v>0.92</v>
      </c>
      <c r="AE1439" s="133">
        <v>1</v>
      </c>
      <c r="AF1439" s="133">
        <v>1</v>
      </c>
      <c r="AG1439" s="133">
        <v>1</v>
      </c>
      <c r="AH1439" s="133">
        <v>0.999784296807593</v>
      </c>
      <c r="AI1439" s="135">
        <v>0.92</v>
      </c>
      <c r="AJ1439" s="133" t="s">
        <v>35</v>
      </c>
      <c r="AK1439" s="133" t="s">
        <v>35</v>
      </c>
      <c r="AL1439" s="133" t="s">
        <v>35</v>
      </c>
      <c r="AM1439" s="133" t="s">
        <v>35</v>
      </c>
      <c r="AN1439" s="132">
        <v>0.99</v>
      </c>
      <c r="AO1439" s="137" t="s">
        <v>35</v>
      </c>
      <c r="AP1439" s="137" t="s">
        <v>35</v>
      </c>
      <c r="AQ1439" s="137" t="s">
        <v>35</v>
      </c>
      <c r="AR1439" s="137" t="s">
        <v>35</v>
      </c>
      <c r="AS1439" s="158">
        <v>0.110069253262963</v>
      </c>
      <c r="AT1439" s="141" t="s">
        <v>35</v>
      </c>
      <c r="AU1439" s="141" t="s">
        <v>35</v>
      </c>
      <c r="AV1439" s="141" t="s">
        <v>35</v>
      </c>
      <c r="AW1439" s="141" t="s">
        <v>35</v>
      </c>
      <c r="AX1439" s="95"/>
      <c r="AY1439" s="93"/>
    </row>
    <row r="1440" ht="14.5" spans="1:51">
      <c r="A1440" s="91"/>
      <c r="B1440" s="95"/>
      <c r="C1440" s="152" t="s">
        <v>1455</v>
      </c>
      <c r="D1440" s="153" t="s">
        <v>125</v>
      </c>
      <c r="E1440" s="130" t="s">
        <v>1456</v>
      </c>
      <c r="F1440" s="201" t="s">
        <v>1472</v>
      </c>
      <c r="G1440" s="201" t="s">
        <v>1472</v>
      </c>
      <c r="H1440" s="201" t="s">
        <v>1472</v>
      </c>
      <c r="I1440" s="201" t="s">
        <v>1472</v>
      </c>
      <c r="J1440" s="132">
        <v>0.9</v>
      </c>
      <c r="K1440" s="133" t="s">
        <v>35</v>
      </c>
      <c r="L1440" s="133" t="s">
        <v>35</v>
      </c>
      <c r="M1440" s="134" t="s">
        <v>35</v>
      </c>
      <c r="N1440" s="133" t="s">
        <v>35</v>
      </c>
      <c r="O1440" s="135">
        <v>0.9</v>
      </c>
      <c r="P1440" s="133" t="s">
        <v>35</v>
      </c>
      <c r="Q1440" s="133" t="s">
        <v>35</v>
      </c>
      <c r="R1440" s="133" t="s">
        <v>35</v>
      </c>
      <c r="S1440" s="133" t="s">
        <v>35</v>
      </c>
      <c r="T1440" s="135">
        <v>0.9</v>
      </c>
      <c r="U1440" s="133" t="s">
        <v>35</v>
      </c>
      <c r="V1440" s="133" t="s">
        <v>35</v>
      </c>
      <c r="W1440" s="133" t="s">
        <v>35</v>
      </c>
      <c r="X1440" s="133" t="s">
        <v>35</v>
      </c>
      <c r="Y1440" s="135">
        <v>0.92</v>
      </c>
      <c r="Z1440" s="135" t="s">
        <v>35</v>
      </c>
      <c r="AA1440" s="135" t="s">
        <v>35</v>
      </c>
      <c r="AB1440" s="135" t="s">
        <v>35</v>
      </c>
      <c r="AC1440" s="135" t="s">
        <v>35</v>
      </c>
      <c r="AD1440" s="135">
        <v>0.92</v>
      </c>
      <c r="AE1440" s="133">
        <v>1</v>
      </c>
      <c r="AF1440" s="133">
        <v>1</v>
      </c>
      <c r="AG1440" s="133">
        <v>0.998031496062992</v>
      </c>
      <c r="AH1440" s="133">
        <v>0.990291262135922</v>
      </c>
      <c r="AI1440" s="135">
        <v>0.92</v>
      </c>
      <c r="AJ1440" s="133" t="s">
        <v>35</v>
      </c>
      <c r="AK1440" s="133" t="s">
        <v>35</v>
      </c>
      <c r="AL1440" s="133" t="s">
        <v>35</v>
      </c>
      <c r="AM1440" s="133" t="s">
        <v>35</v>
      </c>
      <c r="AN1440" s="132">
        <v>0.99</v>
      </c>
      <c r="AO1440" s="137" t="s">
        <v>35</v>
      </c>
      <c r="AP1440" s="137" t="s">
        <v>35</v>
      </c>
      <c r="AQ1440" s="137" t="s">
        <v>35</v>
      </c>
      <c r="AR1440" s="137" t="s">
        <v>35</v>
      </c>
      <c r="AS1440" s="158">
        <v>0.110069253262963</v>
      </c>
      <c r="AT1440" s="141" t="s">
        <v>35</v>
      </c>
      <c r="AU1440" s="141" t="s">
        <v>35</v>
      </c>
      <c r="AV1440" s="141" t="s">
        <v>35</v>
      </c>
      <c r="AW1440" s="141" t="s">
        <v>35</v>
      </c>
      <c r="AX1440" s="95"/>
      <c r="AY1440" s="93"/>
    </row>
    <row r="1441" ht="14.5" spans="1:51">
      <c r="A1441" s="91"/>
      <c r="B1441" s="95"/>
      <c r="C1441" s="152" t="s">
        <v>1455</v>
      </c>
      <c r="D1441" s="153" t="s">
        <v>125</v>
      </c>
      <c r="E1441" s="130" t="s">
        <v>1456</v>
      </c>
      <c r="F1441" s="201" t="s">
        <v>1473</v>
      </c>
      <c r="G1441" s="201" t="s">
        <v>1473</v>
      </c>
      <c r="H1441" s="201" t="s">
        <v>1473</v>
      </c>
      <c r="I1441" s="201" t="s">
        <v>1473</v>
      </c>
      <c r="J1441" s="132">
        <v>0.9</v>
      </c>
      <c r="K1441" s="133" t="s">
        <v>35</v>
      </c>
      <c r="L1441" s="133" t="s">
        <v>35</v>
      </c>
      <c r="M1441" s="134" t="s">
        <v>35</v>
      </c>
      <c r="N1441" s="133" t="s">
        <v>35</v>
      </c>
      <c r="O1441" s="135">
        <v>0.9</v>
      </c>
      <c r="P1441" s="133">
        <v>0</v>
      </c>
      <c r="Q1441" s="133" t="s">
        <v>35</v>
      </c>
      <c r="R1441" s="133" t="s">
        <v>35</v>
      </c>
      <c r="S1441" s="133">
        <v>0</v>
      </c>
      <c r="T1441" s="135">
        <v>0.9</v>
      </c>
      <c r="U1441" s="133">
        <v>1</v>
      </c>
      <c r="V1441" s="133" t="s">
        <v>35</v>
      </c>
      <c r="W1441" s="133" t="s">
        <v>35</v>
      </c>
      <c r="X1441" s="133">
        <v>1</v>
      </c>
      <c r="Y1441" s="135">
        <v>0.92</v>
      </c>
      <c r="Z1441" s="135" t="s">
        <v>35</v>
      </c>
      <c r="AA1441" s="135" t="s">
        <v>35</v>
      </c>
      <c r="AB1441" s="135" t="s">
        <v>35</v>
      </c>
      <c r="AC1441" s="135">
        <v>1</v>
      </c>
      <c r="AD1441" s="135">
        <v>0.92</v>
      </c>
      <c r="AE1441" s="133">
        <v>0.984285714285714</v>
      </c>
      <c r="AF1441" s="133">
        <v>0.985714285714286</v>
      </c>
      <c r="AG1441" s="133">
        <v>0.983282674772036</v>
      </c>
      <c r="AH1441" s="133">
        <v>0.995530112923463</v>
      </c>
      <c r="AI1441" s="135">
        <v>0.92</v>
      </c>
      <c r="AJ1441" s="133">
        <v>1</v>
      </c>
      <c r="AK1441" s="133" t="s">
        <v>35</v>
      </c>
      <c r="AL1441" s="133" t="s">
        <v>35</v>
      </c>
      <c r="AM1441" s="133">
        <v>1</v>
      </c>
      <c r="AN1441" s="132">
        <v>0.99</v>
      </c>
      <c r="AO1441" s="137" t="s">
        <v>35</v>
      </c>
      <c r="AP1441" s="137" t="s">
        <v>35</v>
      </c>
      <c r="AQ1441" s="137" t="s">
        <v>35</v>
      </c>
      <c r="AR1441" s="137">
        <v>1</v>
      </c>
      <c r="AS1441" s="158">
        <v>0.110069253262963</v>
      </c>
      <c r="AT1441" s="141" t="s">
        <v>35</v>
      </c>
      <c r="AU1441" s="141" t="s">
        <v>35</v>
      </c>
      <c r="AV1441" s="141" t="s">
        <v>35</v>
      </c>
      <c r="AW1441" s="141" t="s">
        <v>35</v>
      </c>
      <c r="AX1441" s="95"/>
      <c r="AY1441" s="93"/>
    </row>
    <row r="1442" ht="14.5" spans="1:51">
      <c r="A1442" s="91"/>
      <c r="B1442" s="95"/>
      <c r="C1442" s="152" t="s">
        <v>1455</v>
      </c>
      <c r="D1442" s="153" t="s">
        <v>125</v>
      </c>
      <c r="E1442" s="130" t="s">
        <v>1456</v>
      </c>
      <c r="F1442" s="201" t="s">
        <v>1474</v>
      </c>
      <c r="G1442" s="201" t="s">
        <v>1474</v>
      </c>
      <c r="H1442" s="201" t="s">
        <v>1474</v>
      </c>
      <c r="I1442" s="201" t="s">
        <v>1474</v>
      </c>
      <c r="J1442" s="132">
        <v>0.9</v>
      </c>
      <c r="K1442" s="133" t="s">
        <v>35</v>
      </c>
      <c r="L1442" s="133" t="s">
        <v>35</v>
      </c>
      <c r="M1442" s="134" t="s">
        <v>35</v>
      </c>
      <c r="N1442" s="133" t="s">
        <v>35</v>
      </c>
      <c r="O1442" s="135">
        <v>0.9</v>
      </c>
      <c r="P1442" s="133" t="s">
        <v>35</v>
      </c>
      <c r="Q1442" s="133" t="s">
        <v>35</v>
      </c>
      <c r="R1442" s="133" t="s">
        <v>35</v>
      </c>
      <c r="S1442" s="133" t="s">
        <v>35</v>
      </c>
      <c r="T1442" s="135">
        <v>0.9</v>
      </c>
      <c r="U1442" s="133" t="s">
        <v>35</v>
      </c>
      <c r="V1442" s="133" t="s">
        <v>35</v>
      </c>
      <c r="W1442" s="133" t="s">
        <v>35</v>
      </c>
      <c r="X1442" s="133" t="s">
        <v>35</v>
      </c>
      <c r="Y1442" s="135">
        <v>0.92</v>
      </c>
      <c r="Z1442" s="135" t="s">
        <v>35</v>
      </c>
      <c r="AA1442" s="135" t="s">
        <v>35</v>
      </c>
      <c r="AB1442" s="135" t="s">
        <v>35</v>
      </c>
      <c r="AC1442" s="135" t="s">
        <v>35</v>
      </c>
      <c r="AD1442" s="135">
        <v>0.92</v>
      </c>
      <c r="AE1442" s="133">
        <v>0.997892518440464</v>
      </c>
      <c r="AF1442" s="133">
        <v>0.550617283950617</v>
      </c>
      <c r="AG1442" s="133">
        <v>0.849187935034803</v>
      </c>
      <c r="AH1442" s="133">
        <v>0.857442505056559</v>
      </c>
      <c r="AI1442" s="135">
        <v>0.92</v>
      </c>
      <c r="AJ1442" s="133" t="s">
        <v>35</v>
      </c>
      <c r="AK1442" s="133" t="s">
        <v>35</v>
      </c>
      <c r="AL1442" s="133" t="s">
        <v>35</v>
      </c>
      <c r="AM1442" s="133" t="s">
        <v>35</v>
      </c>
      <c r="AN1442" s="132">
        <v>0.99</v>
      </c>
      <c r="AO1442" s="137" t="s">
        <v>35</v>
      </c>
      <c r="AP1442" s="137" t="s">
        <v>35</v>
      </c>
      <c r="AQ1442" s="137" t="s">
        <v>35</v>
      </c>
      <c r="AR1442" s="137">
        <v>1</v>
      </c>
      <c r="AS1442" s="158">
        <v>0.110069253262963</v>
      </c>
      <c r="AT1442" s="141" t="s">
        <v>35</v>
      </c>
      <c r="AU1442" s="141" t="s">
        <v>35</v>
      </c>
      <c r="AV1442" s="141" t="s">
        <v>35</v>
      </c>
      <c r="AW1442" s="141" t="s">
        <v>35</v>
      </c>
      <c r="AX1442" s="95"/>
      <c r="AY1442" s="93"/>
    </row>
    <row r="1443" ht="14.5" spans="1:51">
      <c r="A1443" s="91"/>
      <c r="B1443" s="95"/>
      <c r="C1443" s="152" t="s">
        <v>1455</v>
      </c>
      <c r="D1443" s="153" t="s">
        <v>125</v>
      </c>
      <c r="E1443" s="130" t="s">
        <v>1456</v>
      </c>
      <c r="F1443" s="200" t="s">
        <v>1475</v>
      </c>
      <c r="G1443" s="200" t="s">
        <v>1475</v>
      </c>
      <c r="H1443" s="200" t="s">
        <v>1475</v>
      </c>
      <c r="I1443" s="200" t="s">
        <v>1475</v>
      </c>
      <c r="J1443" s="132">
        <v>0.9</v>
      </c>
      <c r="K1443" s="133" t="s">
        <v>35</v>
      </c>
      <c r="L1443" s="133" t="s">
        <v>35</v>
      </c>
      <c r="M1443" s="134" t="s">
        <v>35</v>
      </c>
      <c r="N1443" s="133" t="s">
        <v>35</v>
      </c>
      <c r="O1443" s="135">
        <v>0.9</v>
      </c>
      <c r="P1443" s="133" t="s">
        <v>35</v>
      </c>
      <c r="Q1443" s="133">
        <v>0</v>
      </c>
      <c r="R1443" s="133" t="s">
        <v>35</v>
      </c>
      <c r="S1443" s="133">
        <v>0</v>
      </c>
      <c r="T1443" s="135">
        <v>0.9</v>
      </c>
      <c r="U1443" s="133" t="s">
        <v>35</v>
      </c>
      <c r="V1443" s="133">
        <v>0</v>
      </c>
      <c r="W1443" s="133" t="s">
        <v>35</v>
      </c>
      <c r="X1443" s="133">
        <v>0.5</v>
      </c>
      <c r="Y1443" s="135">
        <v>0.92</v>
      </c>
      <c r="Z1443" s="135" t="s">
        <v>35</v>
      </c>
      <c r="AA1443" s="135" t="s">
        <v>35</v>
      </c>
      <c r="AB1443" s="135" t="s">
        <v>35</v>
      </c>
      <c r="AC1443" s="135" t="s">
        <v>35</v>
      </c>
      <c r="AD1443" s="135">
        <v>0.92</v>
      </c>
      <c r="AE1443" s="133">
        <v>0.964527027027027</v>
      </c>
      <c r="AF1443" s="133">
        <v>0.928571428571429</v>
      </c>
      <c r="AG1443" s="133">
        <v>1</v>
      </c>
      <c r="AH1443" s="133">
        <v>0.995290900805104</v>
      </c>
      <c r="AI1443" s="135">
        <v>0.92</v>
      </c>
      <c r="AJ1443" s="133">
        <v>1</v>
      </c>
      <c r="AK1443" s="133">
        <v>0</v>
      </c>
      <c r="AL1443" s="133">
        <v>1</v>
      </c>
      <c r="AM1443" s="133">
        <v>0.75</v>
      </c>
      <c r="AN1443" s="132">
        <v>0.99</v>
      </c>
      <c r="AO1443" s="137">
        <v>1</v>
      </c>
      <c r="AP1443" s="137" t="s">
        <v>35</v>
      </c>
      <c r="AQ1443" s="137" t="s">
        <v>35</v>
      </c>
      <c r="AR1443" s="137">
        <v>1</v>
      </c>
      <c r="AS1443" s="158">
        <v>0.110069253262963</v>
      </c>
      <c r="AT1443" s="141" t="s">
        <v>35</v>
      </c>
      <c r="AU1443" s="141" t="s">
        <v>35</v>
      </c>
      <c r="AV1443" s="141" t="s">
        <v>35</v>
      </c>
      <c r="AW1443" s="141" t="s">
        <v>35</v>
      </c>
      <c r="AX1443" s="95"/>
      <c r="AY1443" s="93"/>
    </row>
    <row r="1444" ht="14.5" spans="1:51">
      <c r="A1444" s="91"/>
      <c r="B1444" s="95"/>
      <c r="C1444" s="152" t="s">
        <v>1455</v>
      </c>
      <c r="D1444" s="153" t="s">
        <v>125</v>
      </c>
      <c r="E1444" s="130" t="s">
        <v>1456</v>
      </c>
      <c r="F1444" s="200" t="s">
        <v>1476</v>
      </c>
      <c r="G1444" s="200" t="s">
        <v>1476</v>
      </c>
      <c r="H1444" s="200" t="s">
        <v>1476</v>
      </c>
      <c r="I1444" s="200" t="s">
        <v>1476</v>
      </c>
      <c r="J1444" s="132">
        <v>0.9</v>
      </c>
      <c r="K1444" s="133" t="s">
        <v>35</v>
      </c>
      <c r="L1444" s="133" t="s">
        <v>35</v>
      </c>
      <c r="M1444" s="134" t="s">
        <v>35</v>
      </c>
      <c r="N1444" s="133" t="s">
        <v>35</v>
      </c>
      <c r="O1444" s="135">
        <v>0.9</v>
      </c>
      <c r="P1444" s="133" t="s">
        <v>35</v>
      </c>
      <c r="Q1444" s="133" t="s">
        <v>35</v>
      </c>
      <c r="R1444" s="133" t="s">
        <v>35</v>
      </c>
      <c r="S1444" s="133" t="s">
        <v>35</v>
      </c>
      <c r="T1444" s="135">
        <v>0.9</v>
      </c>
      <c r="U1444" s="133" t="s">
        <v>35</v>
      </c>
      <c r="V1444" s="133" t="s">
        <v>35</v>
      </c>
      <c r="W1444" s="133" t="s">
        <v>35</v>
      </c>
      <c r="X1444" s="133" t="s">
        <v>35</v>
      </c>
      <c r="Y1444" s="135">
        <v>0.92</v>
      </c>
      <c r="Z1444" s="135" t="s">
        <v>35</v>
      </c>
      <c r="AA1444" s="135" t="s">
        <v>35</v>
      </c>
      <c r="AB1444" s="135" t="s">
        <v>35</v>
      </c>
      <c r="AC1444" s="135" t="s">
        <v>35</v>
      </c>
      <c r="AD1444" s="135">
        <v>0.92</v>
      </c>
      <c r="AE1444" s="133">
        <v>0</v>
      </c>
      <c r="AF1444" s="133">
        <v>0.117647058823529</v>
      </c>
      <c r="AG1444" s="133">
        <v>0.25</v>
      </c>
      <c r="AH1444" s="133">
        <v>0.352678571428571</v>
      </c>
      <c r="AI1444" s="135">
        <v>0.92</v>
      </c>
      <c r="AJ1444" s="133" t="s">
        <v>35</v>
      </c>
      <c r="AK1444" s="133" t="s">
        <v>35</v>
      </c>
      <c r="AL1444" s="133" t="s">
        <v>35</v>
      </c>
      <c r="AM1444" s="133" t="s">
        <v>35</v>
      </c>
      <c r="AN1444" s="132">
        <v>0.99</v>
      </c>
      <c r="AO1444" s="137" t="s">
        <v>35</v>
      </c>
      <c r="AP1444" s="137" t="s">
        <v>35</v>
      </c>
      <c r="AQ1444" s="137" t="s">
        <v>35</v>
      </c>
      <c r="AR1444" s="137" t="s">
        <v>35</v>
      </c>
      <c r="AS1444" s="158">
        <v>0.110069253262963</v>
      </c>
      <c r="AT1444" s="141" t="s">
        <v>35</v>
      </c>
      <c r="AU1444" s="141" t="s">
        <v>35</v>
      </c>
      <c r="AV1444" s="141" t="s">
        <v>35</v>
      </c>
      <c r="AW1444" s="141" t="s">
        <v>35</v>
      </c>
      <c r="AX1444" s="95"/>
      <c r="AY1444" s="93"/>
    </row>
    <row r="1445" ht="14.5" spans="1:51">
      <c r="A1445" s="91"/>
      <c r="B1445" s="95"/>
      <c r="C1445" s="152" t="s">
        <v>1455</v>
      </c>
      <c r="D1445" s="153" t="s">
        <v>125</v>
      </c>
      <c r="E1445" s="130" t="s">
        <v>1456</v>
      </c>
      <c r="F1445" s="200" t="s">
        <v>1477</v>
      </c>
      <c r="G1445" s="200" t="s">
        <v>1477</v>
      </c>
      <c r="H1445" s="200" t="s">
        <v>1477</v>
      </c>
      <c r="I1445" s="200" t="s">
        <v>1477</v>
      </c>
      <c r="J1445" s="132">
        <v>0.9</v>
      </c>
      <c r="K1445" s="133" t="s">
        <v>35</v>
      </c>
      <c r="L1445" s="133" t="s">
        <v>35</v>
      </c>
      <c r="M1445" s="134" t="s">
        <v>35</v>
      </c>
      <c r="N1445" s="133" t="s">
        <v>35</v>
      </c>
      <c r="O1445" s="135">
        <v>0.9</v>
      </c>
      <c r="P1445" s="133" t="s">
        <v>35</v>
      </c>
      <c r="Q1445" s="133" t="s">
        <v>35</v>
      </c>
      <c r="R1445" s="133" t="s">
        <v>35</v>
      </c>
      <c r="S1445" s="133" t="s">
        <v>35</v>
      </c>
      <c r="T1445" s="135">
        <v>0.9</v>
      </c>
      <c r="U1445" s="133" t="s">
        <v>35</v>
      </c>
      <c r="V1445" s="133" t="s">
        <v>35</v>
      </c>
      <c r="W1445" s="133" t="s">
        <v>35</v>
      </c>
      <c r="X1445" s="133" t="s">
        <v>35</v>
      </c>
      <c r="Y1445" s="135">
        <v>0.92</v>
      </c>
      <c r="Z1445" s="135" t="s">
        <v>35</v>
      </c>
      <c r="AA1445" s="135" t="s">
        <v>35</v>
      </c>
      <c r="AB1445" s="135" t="s">
        <v>35</v>
      </c>
      <c r="AC1445" s="135" t="s">
        <v>35</v>
      </c>
      <c r="AD1445" s="135">
        <v>0.92</v>
      </c>
      <c r="AE1445" s="133">
        <v>0</v>
      </c>
      <c r="AF1445" s="133">
        <v>1</v>
      </c>
      <c r="AG1445" s="133">
        <v>1</v>
      </c>
      <c r="AH1445" s="133">
        <v>0.842465753424658</v>
      </c>
      <c r="AI1445" s="135">
        <v>0.92</v>
      </c>
      <c r="AJ1445" s="133" t="s">
        <v>35</v>
      </c>
      <c r="AK1445" s="133" t="s">
        <v>35</v>
      </c>
      <c r="AL1445" s="133" t="s">
        <v>35</v>
      </c>
      <c r="AM1445" s="133" t="s">
        <v>35</v>
      </c>
      <c r="AN1445" s="132">
        <v>0.99</v>
      </c>
      <c r="AO1445" s="137" t="s">
        <v>35</v>
      </c>
      <c r="AP1445" s="137" t="s">
        <v>35</v>
      </c>
      <c r="AQ1445" s="137" t="s">
        <v>35</v>
      </c>
      <c r="AR1445" s="137" t="s">
        <v>35</v>
      </c>
      <c r="AS1445" s="158">
        <v>0.110069253262963</v>
      </c>
      <c r="AT1445" s="141" t="s">
        <v>35</v>
      </c>
      <c r="AU1445" s="141" t="s">
        <v>35</v>
      </c>
      <c r="AV1445" s="141" t="s">
        <v>35</v>
      </c>
      <c r="AW1445" s="141" t="s">
        <v>35</v>
      </c>
      <c r="AX1445" s="95"/>
      <c r="AY1445" s="93"/>
    </row>
    <row r="1446" ht="14.5" spans="1:51">
      <c r="A1446" s="91"/>
      <c r="B1446" s="95"/>
      <c r="C1446" s="152" t="s">
        <v>1455</v>
      </c>
      <c r="D1446" s="153" t="s">
        <v>125</v>
      </c>
      <c r="E1446" s="130" t="s">
        <v>1456</v>
      </c>
      <c r="F1446" s="201" t="s">
        <v>1478</v>
      </c>
      <c r="G1446" s="201" t="s">
        <v>1478</v>
      </c>
      <c r="H1446" s="201" t="s">
        <v>1478</v>
      </c>
      <c r="I1446" s="201" t="s">
        <v>1478</v>
      </c>
      <c r="J1446" s="132">
        <v>0.9</v>
      </c>
      <c r="K1446" s="133" t="s">
        <v>35</v>
      </c>
      <c r="L1446" s="133" t="s">
        <v>35</v>
      </c>
      <c r="M1446" s="134" t="s">
        <v>35</v>
      </c>
      <c r="N1446" s="133" t="s">
        <v>35</v>
      </c>
      <c r="O1446" s="135">
        <v>0.9</v>
      </c>
      <c r="P1446" s="133">
        <v>0</v>
      </c>
      <c r="Q1446" s="133">
        <v>0</v>
      </c>
      <c r="R1446" s="133" t="s">
        <v>35</v>
      </c>
      <c r="S1446" s="133">
        <v>0</v>
      </c>
      <c r="T1446" s="135">
        <v>0.9</v>
      </c>
      <c r="U1446" s="133">
        <v>0.666666666666667</v>
      </c>
      <c r="V1446" s="133">
        <v>1</v>
      </c>
      <c r="W1446" s="133" t="s">
        <v>35</v>
      </c>
      <c r="X1446" s="133">
        <v>0.615384615384615</v>
      </c>
      <c r="Y1446" s="135">
        <v>0.92</v>
      </c>
      <c r="Z1446" s="135" t="s">
        <v>35</v>
      </c>
      <c r="AA1446" s="135" t="s">
        <v>35</v>
      </c>
      <c r="AB1446" s="135" t="s">
        <v>35</v>
      </c>
      <c r="AC1446" s="135">
        <v>0.0697674418604651</v>
      </c>
      <c r="AD1446" s="135">
        <v>0.92</v>
      </c>
      <c r="AE1446" s="133">
        <v>0.999748506758881</v>
      </c>
      <c r="AF1446" s="133">
        <v>1</v>
      </c>
      <c r="AG1446" s="133">
        <v>0.999891493055556</v>
      </c>
      <c r="AH1446" s="133">
        <v>0.999740689590872</v>
      </c>
      <c r="AI1446" s="135">
        <v>0.92</v>
      </c>
      <c r="AJ1446" s="133">
        <v>0.666666666666667</v>
      </c>
      <c r="AK1446" s="133">
        <v>1</v>
      </c>
      <c r="AL1446" s="133" t="s">
        <v>35</v>
      </c>
      <c r="AM1446" s="133">
        <v>0.386363636363636</v>
      </c>
      <c r="AN1446" s="132">
        <v>0.99</v>
      </c>
      <c r="AO1446" s="137">
        <v>1</v>
      </c>
      <c r="AP1446" s="137" t="s">
        <v>35</v>
      </c>
      <c r="AQ1446" s="137">
        <v>1</v>
      </c>
      <c r="AR1446" s="137">
        <v>1</v>
      </c>
      <c r="AS1446" s="158">
        <v>0.110069253262963</v>
      </c>
      <c r="AT1446" s="141" t="s">
        <v>35</v>
      </c>
      <c r="AU1446" s="141" t="s">
        <v>35</v>
      </c>
      <c r="AV1446" s="141" t="s">
        <v>35</v>
      </c>
      <c r="AW1446" s="141" t="s">
        <v>35</v>
      </c>
      <c r="AX1446" s="95"/>
      <c r="AY1446" s="93"/>
    </row>
    <row r="1447" ht="14.5" spans="1:51">
      <c r="A1447" s="91"/>
      <c r="B1447" s="95"/>
      <c r="C1447" s="152" t="s">
        <v>1455</v>
      </c>
      <c r="D1447" s="153" t="s">
        <v>125</v>
      </c>
      <c r="E1447" s="130" t="s">
        <v>1456</v>
      </c>
      <c r="F1447" s="201" t="s">
        <v>1479</v>
      </c>
      <c r="G1447" s="201" t="s">
        <v>1479</v>
      </c>
      <c r="H1447" s="201" t="s">
        <v>1479</v>
      </c>
      <c r="I1447" s="201" t="s">
        <v>1479</v>
      </c>
      <c r="J1447" s="132">
        <v>0.9</v>
      </c>
      <c r="K1447" s="133" t="s">
        <v>35</v>
      </c>
      <c r="L1447" s="133" t="s">
        <v>35</v>
      </c>
      <c r="M1447" s="134" t="s">
        <v>35</v>
      </c>
      <c r="N1447" s="133" t="s">
        <v>35</v>
      </c>
      <c r="O1447" s="135">
        <v>0.9</v>
      </c>
      <c r="P1447" s="133" t="s">
        <v>35</v>
      </c>
      <c r="Q1447" s="133" t="s">
        <v>35</v>
      </c>
      <c r="R1447" s="133" t="s">
        <v>35</v>
      </c>
      <c r="S1447" s="133" t="s">
        <v>35</v>
      </c>
      <c r="T1447" s="135">
        <v>0.9</v>
      </c>
      <c r="U1447" s="133" t="s">
        <v>35</v>
      </c>
      <c r="V1447" s="133" t="s">
        <v>35</v>
      </c>
      <c r="W1447" s="133" t="s">
        <v>35</v>
      </c>
      <c r="X1447" s="133" t="s">
        <v>35</v>
      </c>
      <c r="Y1447" s="135">
        <v>0.92</v>
      </c>
      <c r="Z1447" s="135" t="s">
        <v>35</v>
      </c>
      <c r="AA1447" s="135" t="s">
        <v>35</v>
      </c>
      <c r="AB1447" s="135" t="s">
        <v>35</v>
      </c>
      <c r="AC1447" s="135" t="s">
        <v>35</v>
      </c>
      <c r="AD1447" s="135">
        <v>0.92</v>
      </c>
      <c r="AE1447" s="133">
        <v>0.956896551724138</v>
      </c>
      <c r="AF1447" s="133">
        <v>0.971631205673759</v>
      </c>
      <c r="AG1447" s="133">
        <v>0.961538461538462</v>
      </c>
      <c r="AH1447" s="133">
        <v>0.921658986175115</v>
      </c>
      <c r="AI1447" s="135">
        <v>0.92</v>
      </c>
      <c r="AJ1447" s="133" t="s">
        <v>35</v>
      </c>
      <c r="AK1447" s="133" t="s">
        <v>35</v>
      </c>
      <c r="AL1447" s="133" t="s">
        <v>35</v>
      </c>
      <c r="AM1447" s="133" t="s">
        <v>35</v>
      </c>
      <c r="AN1447" s="132">
        <v>0.99</v>
      </c>
      <c r="AO1447" s="137">
        <v>1</v>
      </c>
      <c r="AP1447" s="137">
        <v>1</v>
      </c>
      <c r="AQ1447" s="137">
        <v>1</v>
      </c>
      <c r="AR1447" s="137">
        <v>1</v>
      </c>
      <c r="AS1447" s="158">
        <v>0.110069253262963</v>
      </c>
      <c r="AT1447" s="141" t="s">
        <v>35</v>
      </c>
      <c r="AU1447" s="141" t="s">
        <v>35</v>
      </c>
      <c r="AV1447" s="141" t="s">
        <v>35</v>
      </c>
      <c r="AW1447" s="141" t="s">
        <v>35</v>
      </c>
      <c r="AX1447" s="95"/>
      <c r="AY1447" s="93"/>
    </row>
    <row r="1448" ht="14.5" spans="1:51">
      <c r="A1448" s="91"/>
      <c r="B1448" s="95"/>
      <c r="C1448" s="152" t="s">
        <v>1455</v>
      </c>
      <c r="D1448" s="153" t="s">
        <v>125</v>
      </c>
      <c r="E1448" s="130" t="s">
        <v>1456</v>
      </c>
      <c r="F1448" s="201" t="s">
        <v>1480</v>
      </c>
      <c r="G1448" s="201" t="s">
        <v>1480</v>
      </c>
      <c r="H1448" s="201" t="s">
        <v>1480</v>
      </c>
      <c r="I1448" s="201" t="s">
        <v>1480</v>
      </c>
      <c r="J1448" s="132">
        <v>0.9</v>
      </c>
      <c r="K1448" s="133" t="s">
        <v>35</v>
      </c>
      <c r="L1448" s="133" t="s">
        <v>35</v>
      </c>
      <c r="M1448" s="134" t="s">
        <v>35</v>
      </c>
      <c r="N1448" s="133" t="s">
        <v>35</v>
      </c>
      <c r="O1448" s="135">
        <v>0.9</v>
      </c>
      <c r="P1448" s="133" t="s">
        <v>35</v>
      </c>
      <c r="Q1448" s="133" t="s">
        <v>35</v>
      </c>
      <c r="R1448" s="133" t="s">
        <v>35</v>
      </c>
      <c r="S1448" s="133" t="s">
        <v>35</v>
      </c>
      <c r="T1448" s="135">
        <v>0.9</v>
      </c>
      <c r="U1448" s="133" t="s">
        <v>35</v>
      </c>
      <c r="V1448" s="133" t="s">
        <v>35</v>
      </c>
      <c r="W1448" s="133" t="s">
        <v>35</v>
      </c>
      <c r="X1448" s="133" t="s">
        <v>35</v>
      </c>
      <c r="Y1448" s="135">
        <v>0.92</v>
      </c>
      <c r="Z1448" s="135" t="s">
        <v>35</v>
      </c>
      <c r="AA1448" s="135" t="s">
        <v>35</v>
      </c>
      <c r="AB1448" s="135" t="s">
        <v>35</v>
      </c>
      <c r="AC1448" s="135" t="s">
        <v>35</v>
      </c>
      <c r="AD1448" s="135">
        <v>0.92</v>
      </c>
      <c r="AE1448" s="133">
        <v>1</v>
      </c>
      <c r="AF1448" s="133">
        <v>0.418300653594771</v>
      </c>
      <c r="AG1448" s="133">
        <v>1</v>
      </c>
      <c r="AH1448" s="133">
        <v>0.806080919320086</v>
      </c>
      <c r="AI1448" s="135">
        <v>0.92</v>
      </c>
      <c r="AJ1448" s="133">
        <v>1</v>
      </c>
      <c r="AK1448" s="133" t="s">
        <v>35</v>
      </c>
      <c r="AL1448" s="133" t="s">
        <v>35</v>
      </c>
      <c r="AM1448" s="133">
        <v>1</v>
      </c>
      <c r="AN1448" s="132">
        <v>0.99</v>
      </c>
      <c r="AO1448" s="137">
        <v>1</v>
      </c>
      <c r="AP1448" s="137">
        <v>1</v>
      </c>
      <c r="AQ1448" s="137" t="s">
        <v>35</v>
      </c>
      <c r="AR1448" s="137">
        <v>1</v>
      </c>
      <c r="AS1448" s="158">
        <v>0.110069253262963</v>
      </c>
      <c r="AT1448" s="141" t="s">
        <v>35</v>
      </c>
      <c r="AU1448" s="141" t="s">
        <v>35</v>
      </c>
      <c r="AV1448" s="141" t="s">
        <v>35</v>
      </c>
      <c r="AW1448" s="141" t="s">
        <v>35</v>
      </c>
      <c r="AX1448" s="95"/>
      <c r="AY1448" s="93"/>
    </row>
    <row r="1449" ht="14.5" spans="1:51">
      <c r="A1449" s="91"/>
      <c r="B1449" s="95"/>
      <c r="C1449" s="152" t="s">
        <v>1455</v>
      </c>
      <c r="D1449" s="153" t="s">
        <v>125</v>
      </c>
      <c r="E1449" s="130" t="s">
        <v>1456</v>
      </c>
      <c r="F1449" s="200" t="s">
        <v>1481</v>
      </c>
      <c r="G1449" s="200" t="s">
        <v>1481</v>
      </c>
      <c r="H1449" s="200" t="s">
        <v>1481</v>
      </c>
      <c r="I1449" s="200" t="s">
        <v>1481</v>
      </c>
      <c r="J1449" s="132">
        <v>0.9</v>
      </c>
      <c r="K1449" s="133" t="s">
        <v>35</v>
      </c>
      <c r="L1449" s="133" t="s">
        <v>35</v>
      </c>
      <c r="M1449" s="134" t="s">
        <v>35</v>
      </c>
      <c r="N1449" s="133" t="s">
        <v>35</v>
      </c>
      <c r="O1449" s="135">
        <v>0.9</v>
      </c>
      <c r="P1449" s="133" t="s">
        <v>35</v>
      </c>
      <c r="Q1449" s="133" t="s">
        <v>35</v>
      </c>
      <c r="R1449" s="133" t="s">
        <v>35</v>
      </c>
      <c r="S1449" s="133" t="s">
        <v>35</v>
      </c>
      <c r="T1449" s="135">
        <v>0.9</v>
      </c>
      <c r="U1449" s="133" t="s">
        <v>35</v>
      </c>
      <c r="V1449" s="133" t="s">
        <v>35</v>
      </c>
      <c r="W1449" s="133" t="s">
        <v>35</v>
      </c>
      <c r="X1449" s="133" t="s">
        <v>35</v>
      </c>
      <c r="Y1449" s="135">
        <v>0.92</v>
      </c>
      <c r="Z1449" s="135" t="s">
        <v>35</v>
      </c>
      <c r="AA1449" s="135" t="s">
        <v>35</v>
      </c>
      <c r="AB1449" s="135" t="s">
        <v>35</v>
      </c>
      <c r="AC1449" s="135" t="s">
        <v>35</v>
      </c>
      <c r="AD1449" s="135">
        <v>0.92</v>
      </c>
      <c r="AE1449" s="133">
        <v>0.505882352941176</v>
      </c>
      <c r="AF1449" s="133" t="s">
        <v>35</v>
      </c>
      <c r="AG1449" s="133">
        <v>0.451612903225806</v>
      </c>
      <c r="AH1449" s="133">
        <v>0.510086455331412</v>
      </c>
      <c r="AI1449" s="135">
        <v>0.92</v>
      </c>
      <c r="AJ1449" s="133" t="s">
        <v>35</v>
      </c>
      <c r="AK1449" s="133" t="s">
        <v>35</v>
      </c>
      <c r="AL1449" s="133" t="s">
        <v>35</v>
      </c>
      <c r="AM1449" s="133">
        <v>0</v>
      </c>
      <c r="AN1449" s="132">
        <v>0.99</v>
      </c>
      <c r="AO1449" s="137" t="s">
        <v>35</v>
      </c>
      <c r="AP1449" s="137" t="s">
        <v>35</v>
      </c>
      <c r="AQ1449" s="137" t="s">
        <v>35</v>
      </c>
      <c r="AR1449" s="137">
        <v>1</v>
      </c>
      <c r="AS1449" s="158">
        <v>0.110069253262963</v>
      </c>
      <c r="AT1449" s="141" t="s">
        <v>35</v>
      </c>
      <c r="AU1449" s="141" t="s">
        <v>35</v>
      </c>
      <c r="AV1449" s="141" t="s">
        <v>35</v>
      </c>
      <c r="AW1449" s="141" t="s">
        <v>35</v>
      </c>
      <c r="AX1449" s="95"/>
      <c r="AY1449" s="93"/>
    </row>
    <row r="1450" ht="14.5" spans="1:51">
      <c r="A1450" s="91"/>
      <c r="B1450" s="95"/>
      <c r="C1450" s="152" t="s">
        <v>1455</v>
      </c>
      <c r="D1450" s="153" t="s">
        <v>125</v>
      </c>
      <c r="E1450" s="130" t="s">
        <v>1456</v>
      </c>
      <c r="F1450" s="200" t="s">
        <v>1482</v>
      </c>
      <c r="G1450" s="200" t="s">
        <v>1482</v>
      </c>
      <c r="H1450" s="200" t="s">
        <v>1482</v>
      </c>
      <c r="I1450" s="200" t="s">
        <v>1482</v>
      </c>
      <c r="J1450" s="132">
        <v>0.9</v>
      </c>
      <c r="K1450" s="133" t="s">
        <v>35</v>
      </c>
      <c r="L1450" s="133" t="s">
        <v>35</v>
      </c>
      <c r="M1450" s="134" t="s">
        <v>35</v>
      </c>
      <c r="N1450" s="133" t="s">
        <v>35</v>
      </c>
      <c r="O1450" s="135">
        <v>0.9</v>
      </c>
      <c r="P1450" s="133">
        <v>0</v>
      </c>
      <c r="Q1450" s="133" t="s">
        <v>35</v>
      </c>
      <c r="R1450" s="133">
        <v>0</v>
      </c>
      <c r="S1450" s="133">
        <v>0</v>
      </c>
      <c r="T1450" s="135">
        <v>0.9</v>
      </c>
      <c r="U1450" s="133">
        <v>0</v>
      </c>
      <c r="V1450" s="133" t="s">
        <v>35</v>
      </c>
      <c r="W1450" s="133">
        <v>0</v>
      </c>
      <c r="X1450" s="133">
        <v>0.642857142857143</v>
      </c>
      <c r="Y1450" s="135">
        <v>0.92</v>
      </c>
      <c r="Z1450" s="135" t="s">
        <v>35</v>
      </c>
      <c r="AA1450" s="135" t="s">
        <v>35</v>
      </c>
      <c r="AB1450" s="135" t="s">
        <v>35</v>
      </c>
      <c r="AC1450" s="135" t="s">
        <v>35</v>
      </c>
      <c r="AD1450" s="135">
        <v>0.92</v>
      </c>
      <c r="AE1450" s="133">
        <v>0.915555555555556</v>
      </c>
      <c r="AF1450" s="133">
        <v>0.75023832221163</v>
      </c>
      <c r="AG1450" s="133">
        <v>0.996677740863787</v>
      </c>
      <c r="AH1450" s="133">
        <v>0.731542499720764</v>
      </c>
      <c r="AI1450" s="135">
        <v>0.92</v>
      </c>
      <c r="AJ1450" s="133">
        <v>0</v>
      </c>
      <c r="AK1450" s="133" t="s">
        <v>35</v>
      </c>
      <c r="AL1450" s="133">
        <v>0</v>
      </c>
      <c r="AM1450" s="133">
        <v>0.6</v>
      </c>
      <c r="AN1450" s="132">
        <v>0.99</v>
      </c>
      <c r="AO1450" s="137" t="s">
        <v>35</v>
      </c>
      <c r="AP1450" s="137" t="s">
        <v>35</v>
      </c>
      <c r="AQ1450" s="137">
        <v>1</v>
      </c>
      <c r="AR1450" s="137">
        <v>1</v>
      </c>
      <c r="AS1450" s="158">
        <v>0.110069253262963</v>
      </c>
      <c r="AT1450" s="141" t="s">
        <v>35</v>
      </c>
      <c r="AU1450" s="141" t="s">
        <v>35</v>
      </c>
      <c r="AV1450" s="141" t="s">
        <v>35</v>
      </c>
      <c r="AW1450" s="141" t="s">
        <v>35</v>
      </c>
      <c r="AX1450" s="95"/>
      <c r="AY1450" s="93"/>
    </row>
    <row r="1451" ht="14.5" spans="1:51">
      <c r="A1451" s="91"/>
      <c r="B1451" s="95"/>
      <c r="C1451" s="152" t="s">
        <v>1455</v>
      </c>
      <c r="D1451" s="153" t="s">
        <v>125</v>
      </c>
      <c r="E1451" s="130" t="s">
        <v>1456</v>
      </c>
      <c r="F1451" s="200" t="s">
        <v>1483</v>
      </c>
      <c r="G1451" s="200" t="s">
        <v>1483</v>
      </c>
      <c r="H1451" s="200" t="s">
        <v>1483</v>
      </c>
      <c r="I1451" s="200" t="s">
        <v>1483</v>
      </c>
      <c r="J1451" s="132">
        <v>0.9</v>
      </c>
      <c r="K1451" s="133" t="s">
        <v>35</v>
      </c>
      <c r="L1451" s="133" t="s">
        <v>35</v>
      </c>
      <c r="M1451" s="134" t="s">
        <v>35</v>
      </c>
      <c r="N1451" s="133" t="s">
        <v>35</v>
      </c>
      <c r="O1451" s="135">
        <v>0.9</v>
      </c>
      <c r="P1451" s="133" t="s">
        <v>35</v>
      </c>
      <c r="Q1451" s="133" t="s">
        <v>35</v>
      </c>
      <c r="R1451" s="133" t="s">
        <v>35</v>
      </c>
      <c r="S1451" s="133" t="s">
        <v>35</v>
      </c>
      <c r="T1451" s="135">
        <v>0.9</v>
      </c>
      <c r="U1451" s="133" t="s">
        <v>35</v>
      </c>
      <c r="V1451" s="133" t="s">
        <v>35</v>
      </c>
      <c r="W1451" s="133" t="s">
        <v>35</v>
      </c>
      <c r="X1451" s="133" t="s">
        <v>35</v>
      </c>
      <c r="Y1451" s="135">
        <v>0.92</v>
      </c>
      <c r="Z1451" s="135" t="s">
        <v>35</v>
      </c>
      <c r="AA1451" s="135" t="s">
        <v>35</v>
      </c>
      <c r="AB1451" s="135" t="s">
        <v>35</v>
      </c>
      <c r="AC1451" s="135" t="s">
        <v>35</v>
      </c>
      <c r="AD1451" s="135">
        <v>0.92</v>
      </c>
      <c r="AE1451" s="133">
        <v>1</v>
      </c>
      <c r="AF1451" s="133">
        <v>1</v>
      </c>
      <c r="AG1451" s="133">
        <v>1</v>
      </c>
      <c r="AH1451" s="133">
        <v>0.894187779433681</v>
      </c>
      <c r="AI1451" s="135">
        <v>0.92</v>
      </c>
      <c r="AJ1451" s="133" t="s">
        <v>35</v>
      </c>
      <c r="AK1451" s="133" t="s">
        <v>35</v>
      </c>
      <c r="AL1451" s="133" t="s">
        <v>35</v>
      </c>
      <c r="AM1451" s="133" t="s">
        <v>35</v>
      </c>
      <c r="AN1451" s="132">
        <v>0.99</v>
      </c>
      <c r="AO1451" s="137" t="s">
        <v>35</v>
      </c>
      <c r="AP1451" s="137" t="s">
        <v>35</v>
      </c>
      <c r="AQ1451" s="137" t="s">
        <v>35</v>
      </c>
      <c r="AR1451" s="137">
        <v>1</v>
      </c>
      <c r="AS1451" s="158">
        <v>0.110069253262963</v>
      </c>
      <c r="AT1451" s="141" t="s">
        <v>35</v>
      </c>
      <c r="AU1451" s="141" t="s">
        <v>35</v>
      </c>
      <c r="AV1451" s="141" t="s">
        <v>35</v>
      </c>
      <c r="AW1451" s="141" t="s">
        <v>35</v>
      </c>
      <c r="AX1451" s="95"/>
      <c r="AY1451" s="93"/>
    </row>
    <row r="1452" ht="14.5" spans="1:51">
      <c r="A1452" s="91"/>
      <c r="B1452" s="95"/>
      <c r="C1452" s="152" t="s">
        <v>1455</v>
      </c>
      <c r="D1452" s="153" t="s">
        <v>125</v>
      </c>
      <c r="E1452" s="130" t="s">
        <v>1456</v>
      </c>
      <c r="F1452" s="200" t="s">
        <v>1484</v>
      </c>
      <c r="G1452" s="200" t="s">
        <v>1484</v>
      </c>
      <c r="H1452" s="200" t="s">
        <v>1484</v>
      </c>
      <c r="I1452" s="200" t="s">
        <v>1484</v>
      </c>
      <c r="J1452" s="132">
        <v>0.9</v>
      </c>
      <c r="K1452" s="133" t="s">
        <v>35</v>
      </c>
      <c r="L1452" s="133" t="s">
        <v>35</v>
      </c>
      <c r="M1452" s="134" t="s">
        <v>35</v>
      </c>
      <c r="N1452" s="133" t="s">
        <v>35</v>
      </c>
      <c r="O1452" s="135">
        <v>0.9</v>
      </c>
      <c r="P1452" s="133" t="s">
        <v>35</v>
      </c>
      <c r="Q1452" s="133" t="s">
        <v>35</v>
      </c>
      <c r="R1452" s="133" t="s">
        <v>35</v>
      </c>
      <c r="S1452" s="133" t="s">
        <v>35</v>
      </c>
      <c r="T1452" s="135">
        <v>0.9</v>
      </c>
      <c r="U1452" s="133" t="s">
        <v>35</v>
      </c>
      <c r="V1452" s="133" t="s">
        <v>35</v>
      </c>
      <c r="W1452" s="133" t="s">
        <v>35</v>
      </c>
      <c r="X1452" s="133" t="s">
        <v>35</v>
      </c>
      <c r="Y1452" s="135">
        <v>0.92</v>
      </c>
      <c r="Z1452" s="135" t="s">
        <v>35</v>
      </c>
      <c r="AA1452" s="135" t="s">
        <v>35</v>
      </c>
      <c r="AB1452" s="135" t="s">
        <v>35</v>
      </c>
      <c r="AC1452" s="135" t="s">
        <v>35</v>
      </c>
      <c r="AD1452" s="135">
        <v>0.92</v>
      </c>
      <c r="AE1452" s="133">
        <v>1</v>
      </c>
      <c r="AF1452" s="133">
        <v>0.7</v>
      </c>
      <c r="AG1452" s="133">
        <v>0.661971830985915</v>
      </c>
      <c r="AH1452" s="133">
        <v>0.931982633863965</v>
      </c>
      <c r="AI1452" s="135">
        <v>0.92</v>
      </c>
      <c r="AJ1452" s="133" t="s">
        <v>35</v>
      </c>
      <c r="AK1452" s="133" t="s">
        <v>35</v>
      </c>
      <c r="AL1452" s="133" t="s">
        <v>35</v>
      </c>
      <c r="AM1452" s="133" t="s">
        <v>35</v>
      </c>
      <c r="AN1452" s="132">
        <v>0.99</v>
      </c>
      <c r="AO1452" s="137" t="s">
        <v>35</v>
      </c>
      <c r="AP1452" s="137" t="s">
        <v>35</v>
      </c>
      <c r="AQ1452" s="137" t="s">
        <v>35</v>
      </c>
      <c r="AR1452" s="137">
        <v>1</v>
      </c>
      <c r="AS1452" s="158">
        <v>0.110069253262963</v>
      </c>
      <c r="AT1452" s="141" t="s">
        <v>35</v>
      </c>
      <c r="AU1452" s="141" t="s">
        <v>35</v>
      </c>
      <c r="AV1452" s="141" t="s">
        <v>35</v>
      </c>
      <c r="AW1452" s="141" t="s">
        <v>35</v>
      </c>
      <c r="AX1452" s="95"/>
      <c r="AY1452" s="93"/>
    </row>
    <row r="1453" ht="14.5" spans="1:51">
      <c r="A1453" s="91"/>
      <c r="B1453" s="95"/>
      <c r="C1453" s="152" t="s">
        <v>1455</v>
      </c>
      <c r="D1453" s="153" t="s">
        <v>125</v>
      </c>
      <c r="E1453" s="130" t="s">
        <v>1456</v>
      </c>
      <c r="F1453" s="200" t="s">
        <v>1485</v>
      </c>
      <c r="G1453" s="200" t="s">
        <v>1485</v>
      </c>
      <c r="H1453" s="200" t="s">
        <v>1485</v>
      </c>
      <c r="I1453" s="200" t="s">
        <v>1485</v>
      </c>
      <c r="J1453" s="132">
        <v>0.9</v>
      </c>
      <c r="K1453" s="133" t="s">
        <v>35</v>
      </c>
      <c r="L1453" s="133" t="s">
        <v>35</v>
      </c>
      <c r="M1453" s="134" t="s">
        <v>35</v>
      </c>
      <c r="N1453" s="133" t="s">
        <v>35</v>
      </c>
      <c r="O1453" s="135">
        <v>0.9</v>
      </c>
      <c r="P1453" s="133" t="s">
        <v>35</v>
      </c>
      <c r="Q1453" s="133" t="s">
        <v>35</v>
      </c>
      <c r="R1453" s="133">
        <v>0</v>
      </c>
      <c r="S1453" s="133">
        <v>0</v>
      </c>
      <c r="T1453" s="135">
        <v>0.9</v>
      </c>
      <c r="U1453" s="133" t="s">
        <v>35</v>
      </c>
      <c r="V1453" s="133" t="s">
        <v>35</v>
      </c>
      <c r="W1453" s="133">
        <v>1</v>
      </c>
      <c r="X1453" s="133">
        <v>1</v>
      </c>
      <c r="Y1453" s="135">
        <v>0.92</v>
      </c>
      <c r="Z1453" s="135" t="s">
        <v>35</v>
      </c>
      <c r="AA1453" s="135" t="s">
        <v>35</v>
      </c>
      <c r="AB1453" s="135" t="s">
        <v>35</v>
      </c>
      <c r="AC1453" s="135" t="s">
        <v>35</v>
      </c>
      <c r="AD1453" s="135">
        <v>0.92</v>
      </c>
      <c r="AE1453" s="133">
        <v>1</v>
      </c>
      <c r="AF1453" s="133">
        <v>1</v>
      </c>
      <c r="AG1453" s="133">
        <v>1</v>
      </c>
      <c r="AH1453" s="133">
        <v>0.99929873772791</v>
      </c>
      <c r="AI1453" s="135">
        <v>0.92</v>
      </c>
      <c r="AJ1453" s="133" t="s">
        <v>35</v>
      </c>
      <c r="AK1453" s="133" t="s">
        <v>35</v>
      </c>
      <c r="AL1453" s="133">
        <v>1</v>
      </c>
      <c r="AM1453" s="133">
        <v>1</v>
      </c>
      <c r="AN1453" s="132">
        <v>0.99</v>
      </c>
      <c r="AO1453" s="137" t="s">
        <v>35</v>
      </c>
      <c r="AP1453" s="137" t="s">
        <v>35</v>
      </c>
      <c r="AQ1453" s="137" t="s">
        <v>35</v>
      </c>
      <c r="AR1453" s="137">
        <v>1</v>
      </c>
      <c r="AS1453" s="158">
        <v>0.110069253262963</v>
      </c>
      <c r="AT1453" s="141" t="s">
        <v>35</v>
      </c>
      <c r="AU1453" s="141" t="s">
        <v>35</v>
      </c>
      <c r="AV1453" s="141" t="s">
        <v>35</v>
      </c>
      <c r="AW1453" s="141" t="s">
        <v>35</v>
      </c>
      <c r="AX1453" s="95"/>
      <c r="AY1453" s="93"/>
    </row>
    <row r="1454" ht="14.5" spans="1:51">
      <c r="A1454" s="91"/>
      <c r="B1454" s="95"/>
      <c r="C1454" s="152" t="s">
        <v>1455</v>
      </c>
      <c r="D1454" s="153" t="s">
        <v>125</v>
      </c>
      <c r="E1454" s="130" t="s">
        <v>1456</v>
      </c>
      <c r="F1454" s="200" t="s">
        <v>1486</v>
      </c>
      <c r="G1454" s="200" t="s">
        <v>1486</v>
      </c>
      <c r="H1454" s="200" t="s">
        <v>1486</v>
      </c>
      <c r="I1454" s="200" t="s">
        <v>1486</v>
      </c>
      <c r="J1454" s="132">
        <v>0.9</v>
      </c>
      <c r="K1454" s="133" t="s">
        <v>35</v>
      </c>
      <c r="L1454" s="133" t="s">
        <v>35</v>
      </c>
      <c r="M1454" s="134" t="s">
        <v>35</v>
      </c>
      <c r="N1454" s="133" t="s">
        <v>35</v>
      </c>
      <c r="O1454" s="135">
        <v>0.9</v>
      </c>
      <c r="P1454" s="133">
        <v>0</v>
      </c>
      <c r="Q1454" s="133">
        <v>0</v>
      </c>
      <c r="R1454" s="133">
        <v>0</v>
      </c>
      <c r="S1454" s="133">
        <v>0</v>
      </c>
      <c r="T1454" s="135">
        <v>0.9</v>
      </c>
      <c r="U1454" s="133">
        <v>1</v>
      </c>
      <c r="V1454" s="133">
        <v>1</v>
      </c>
      <c r="W1454" s="133">
        <v>1</v>
      </c>
      <c r="X1454" s="133">
        <v>1</v>
      </c>
      <c r="Y1454" s="135">
        <v>0.92</v>
      </c>
      <c r="Z1454" s="135">
        <v>1</v>
      </c>
      <c r="AA1454" s="135" t="s">
        <v>35</v>
      </c>
      <c r="AB1454" s="135">
        <v>1</v>
      </c>
      <c r="AC1454" s="135">
        <v>0.727272727272727</v>
      </c>
      <c r="AD1454" s="135">
        <v>0.92</v>
      </c>
      <c r="AE1454" s="133">
        <v>0.993956043956044</v>
      </c>
      <c r="AF1454" s="133">
        <v>0.959501557632399</v>
      </c>
      <c r="AG1454" s="133">
        <v>0.999547408916044</v>
      </c>
      <c r="AH1454" s="133">
        <v>0.995456798281844</v>
      </c>
      <c r="AI1454" s="135">
        <v>0.92</v>
      </c>
      <c r="AJ1454" s="133">
        <v>1</v>
      </c>
      <c r="AK1454" s="133">
        <v>1</v>
      </c>
      <c r="AL1454" s="133">
        <v>1</v>
      </c>
      <c r="AM1454" s="133">
        <v>0.988</v>
      </c>
      <c r="AN1454" s="132">
        <v>0.99</v>
      </c>
      <c r="AO1454" s="137">
        <v>1</v>
      </c>
      <c r="AP1454" s="137">
        <v>1</v>
      </c>
      <c r="AQ1454" s="137">
        <v>1</v>
      </c>
      <c r="AR1454" s="137">
        <v>1</v>
      </c>
      <c r="AS1454" s="158">
        <v>0.110069253262963</v>
      </c>
      <c r="AT1454" s="141" t="s">
        <v>35</v>
      </c>
      <c r="AU1454" s="141" t="s">
        <v>35</v>
      </c>
      <c r="AV1454" s="141" t="s">
        <v>35</v>
      </c>
      <c r="AW1454" s="141" t="s">
        <v>35</v>
      </c>
      <c r="AX1454" s="95"/>
      <c r="AY1454" s="93"/>
    </row>
    <row r="1455" ht="14.5" spans="1:51">
      <c r="A1455" s="91"/>
      <c r="B1455" s="95"/>
      <c r="C1455" s="152" t="s">
        <v>1455</v>
      </c>
      <c r="D1455" s="153" t="s">
        <v>125</v>
      </c>
      <c r="E1455" s="130" t="s">
        <v>1456</v>
      </c>
      <c r="F1455" s="200" t="s">
        <v>1487</v>
      </c>
      <c r="G1455" s="200" t="s">
        <v>1487</v>
      </c>
      <c r="H1455" s="200" t="s">
        <v>1487</v>
      </c>
      <c r="I1455" s="200" t="s">
        <v>1487</v>
      </c>
      <c r="J1455" s="132">
        <v>0.9</v>
      </c>
      <c r="K1455" s="133" t="s">
        <v>35</v>
      </c>
      <c r="L1455" s="133" t="s">
        <v>35</v>
      </c>
      <c r="M1455" s="134" t="s">
        <v>35</v>
      </c>
      <c r="N1455" s="133" t="s">
        <v>35</v>
      </c>
      <c r="O1455" s="135">
        <v>0.9</v>
      </c>
      <c r="P1455" s="133" t="s">
        <v>35</v>
      </c>
      <c r="Q1455" s="133">
        <v>0</v>
      </c>
      <c r="R1455" s="133" t="s">
        <v>35</v>
      </c>
      <c r="S1455" s="133">
        <v>0</v>
      </c>
      <c r="T1455" s="135">
        <v>0.9</v>
      </c>
      <c r="U1455" s="133" t="s">
        <v>35</v>
      </c>
      <c r="V1455" s="133">
        <v>1</v>
      </c>
      <c r="W1455" s="133" t="s">
        <v>35</v>
      </c>
      <c r="X1455" s="133">
        <v>1</v>
      </c>
      <c r="Y1455" s="135">
        <v>0.92</v>
      </c>
      <c r="Z1455" s="135" t="s">
        <v>35</v>
      </c>
      <c r="AA1455" s="135" t="s">
        <v>35</v>
      </c>
      <c r="AB1455" s="135" t="s">
        <v>35</v>
      </c>
      <c r="AC1455" s="135" t="s">
        <v>35</v>
      </c>
      <c r="AD1455" s="135">
        <v>0.92</v>
      </c>
      <c r="AE1455" s="133">
        <v>1</v>
      </c>
      <c r="AF1455" s="133">
        <v>1</v>
      </c>
      <c r="AG1455" s="133">
        <v>1</v>
      </c>
      <c r="AH1455" s="133">
        <v>0.999632150082766</v>
      </c>
      <c r="AI1455" s="135">
        <v>0.92</v>
      </c>
      <c r="AJ1455" s="133" t="s">
        <v>35</v>
      </c>
      <c r="AK1455" s="133">
        <v>1</v>
      </c>
      <c r="AL1455" s="133" t="s">
        <v>35</v>
      </c>
      <c r="AM1455" s="133">
        <v>1</v>
      </c>
      <c r="AN1455" s="132">
        <v>0.99</v>
      </c>
      <c r="AO1455" s="137" t="s">
        <v>35</v>
      </c>
      <c r="AP1455" s="137">
        <v>1</v>
      </c>
      <c r="AQ1455" s="137" t="s">
        <v>35</v>
      </c>
      <c r="AR1455" s="137">
        <v>1</v>
      </c>
      <c r="AS1455" s="158">
        <v>0.110069253262963</v>
      </c>
      <c r="AT1455" s="141" t="s">
        <v>35</v>
      </c>
      <c r="AU1455" s="141" t="s">
        <v>35</v>
      </c>
      <c r="AV1455" s="141" t="s">
        <v>35</v>
      </c>
      <c r="AW1455" s="141" t="s">
        <v>35</v>
      </c>
      <c r="AX1455" s="95"/>
      <c r="AY1455" s="93"/>
    </row>
    <row r="1456" ht="14.5" spans="1:51">
      <c r="A1456" s="91"/>
      <c r="B1456" s="95"/>
      <c r="C1456" s="152" t="s">
        <v>1455</v>
      </c>
      <c r="D1456" s="153" t="s">
        <v>125</v>
      </c>
      <c r="E1456" s="130" t="s">
        <v>1456</v>
      </c>
      <c r="F1456" s="200" t="s">
        <v>1488</v>
      </c>
      <c r="G1456" s="200" t="s">
        <v>1488</v>
      </c>
      <c r="H1456" s="200" t="s">
        <v>1488</v>
      </c>
      <c r="I1456" s="200" t="s">
        <v>1488</v>
      </c>
      <c r="J1456" s="132">
        <v>0.9</v>
      </c>
      <c r="K1456" s="133" t="s">
        <v>35</v>
      </c>
      <c r="L1456" s="133" t="s">
        <v>35</v>
      </c>
      <c r="M1456" s="134" t="s">
        <v>35</v>
      </c>
      <c r="N1456" s="133" t="s">
        <v>35</v>
      </c>
      <c r="O1456" s="135">
        <v>0.9</v>
      </c>
      <c r="P1456" s="133" t="s">
        <v>35</v>
      </c>
      <c r="Q1456" s="133" t="s">
        <v>35</v>
      </c>
      <c r="R1456" s="133" t="s">
        <v>35</v>
      </c>
      <c r="S1456" s="133" t="s">
        <v>35</v>
      </c>
      <c r="T1456" s="135">
        <v>0.9</v>
      </c>
      <c r="U1456" s="133" t="s">
        <v>35</v>
      </c>
      <c r="V1456" s="133" t="s">
        <v>35</v>
      </c>
      <c r="W1456" s="133" t="s">
        <v>35</v>
      </c>
      <c r="X1456" s="133" t="s">
        <v>35</v>
      </c>
      <c r="Y1456" s="135">
        <v>0.92</v>
      </c>
      <c r="Z1456" s="135" t="s">
        <v>35</v>
      </c>
      <c r="AA1456" s="135" t="s">
        <v>35</v>
      </c>
      <c r="AB1456" s="135" t="s">
        <v>35</v>
      </c>
      <c r="AC1456" s="135" t="s">
        <v>35</v>
      </c>
      <c r="AD1456" s="135">
        <v>0.92</v>
      </c>
      <c r="AE1456" s="133">
        <v>1</v>
      </c>
      <c r="AF1456" s="133">
        <v>0</v>
      </c>
      <c r="AG1456" s="133">
        <v>1</v>
      </c>
      <c r="AH1456" s="133">
        <v>0.835430296930045</v>
      </c>
      <c r="AI1456" s="135">
        <v>0.92</v>
      </c>
      <c r="AJ1456" s="133" t="s">
        <v>35</v>
      </c>
      <c r="AK1456" s="133" t="s">
        <v>35</v>
      </c>
      <c r="AL1456" s="133" t="s">
        <v>35</v>
      </c>
      <c r="AM1456" s="133" t="s">
        <v>35</v>
      </c>
      <c r="AN1456" s="132">
        <v>0.99</v>
      </c>
      <c r="AO1456" s="137" t="s">
        <v>35</v>
      </c>
      <c r="AP1456" s="137" t="s">
        <v>35</v>
      </c>
      <c r="AQ1456" s="137" t="s">
        <v>35</v>
      </c>
      <c r="AR1456" s="137">
        <v>1</v>
      </c>
      <c r="AS1456" s="158">
        <v>0.110069253262963</v>
      </c>
      <c r="AT1456" s="141" t="s">
        <v>35</v>
      </c>
      <c r="AU1456" s="141" t="s">
        <v>35</v>
      </c>
      <c r="AV1456" s="141" t="s">
        <v>35</v>
      </c>
      <c r="AW1456" s="141" t="s">
        <v>35</v>
      </c>
      <c r="AX1456" s="95"/>
      <c r="AY1456" s="93"/>
    </row>
    <row r="1457" ht="14.5" spans="1:51">
      <c r="A1457" s="91"/>
      <c r="B1457" s="95"/>
      <c r="C1457" s="152" t="s">
        <v>1455</v>
      </c>
      <c r="D1457" s="153" t="s">
        <v>125</v>
      </c>
      <c r="E1457" s="130" t="s">
        <v>1456</v>
      </c>
      <c r="F1457" s="202" t="s">
        <v>1489</v>
      </c>
      <c r="G1457" s="202" t="s">
        <v>1489</v>
      </c>
      <c r="H1457" s="202" t="s">
        <v>1489</v>
      </c>
      <c r="I1457" s="202" t="s">
        <v>1489</v>
      </c>
      <c r="J1457" s="132">
        <v>0.9</v>
      </c>
      <c r="K1457" s="133" t="s">
        <v>35</v>
      </c>
      <c r="L1457" s="133" t="s">
        <v>35</v>
      </c>
      <c r="M1457" s="134" t="s">
        <v>35</v>
      </c>
      <c r="N1457" s="133" t="s">
        <v>35</v>
      </c>
      <c r="O1457" s="135">
        <v>0.9</v>
      </c>
      <c r="P1457" s="133" t="s">
        <v>35</v>
      </c>
      <c r="Q1457" s="133" t="s">
        <v>35</v>
      </c>
      <c r="R1457" s="133" t="s">
        <v>35</v>
      </c>
      <c r="S1457" s="133" t="s">
        <v>35</v>
      </c>
      <c r="T1457" s="135">
        <v>0.9</v>
      </c>
      <c r="U1457" s="133" t="s">
        <v>35</v>
      </c>
      <c r="V1457" s="133" t="s">
        <v>35</v>
      </c>
      <c r="W1457" s="133" t="s">
        <v>35</v>
      </c>
      <c r="X1457" s="133" t="s">
        <v>35</v>
      </c>
      <c r="Y1457" s="135">
        <v>0.92</v>
      </c>
      <c r="Z1457" s="135" t="s">
        <v>35</v>
      </c>
      <c r="AA1457" s="135" t="s">
        <v>35</v>
      </c>
      <c r="AB1457" s="135" t="s">
        <v>35</v>
      </c>
      <c r="AC1457" s="135" t="s">
        <v>35</v>
      </c>
      <c r="AD1457" s="135">
        <v>0.92</v>
      </c>
      <c r="AE1457" s="133">
        <v>0.962790697674419</v>
      </c>
      <c r="AF1457" s="133">
        <v>1</v>
      </c>
      <c r="AG1457" s="133">
        <v>0.979757085020243</v>
      </c>
      <c r="AH1457" s="133">
        <v>0.897853309481216</v>
      </c>
      <c r="AI1457" s="135">
        <v>0.92</v>
      </c>
      <c r="AJ1457" s="133" t="s">
        <v>35</v>
      </c>
      <c r="AK1457" s="133" t="s">
        <v>35</v>
      </c>
      <c r="AL1457" s="133" t="s">
        <v>35</v>
      </c>
      <c r="AM1457" s="133" t="s">
        <v>35</v>
      </c>
      <c r="AN1457" s="132">
        <v>0.99</v>
      </c>
      <c r="AO1457" s="137">
        <v>1</v>
      </c>
      <c r="AP1457" s="137">
        <v>1</v>
      </c>
      <c r="AQ1457" s="137">
        <v>1</v>
      </c>
      <c r="AR1457" s="137">
        <v>1</v>
      </c>
      <c r="AS1457" s="158">
        <v>0.110069253262963</v>
      </c>
      <c r="AT1457" s="141" t="s">
        <v>35</v>
      </c>
      <c r="AU1457" s="141" t="s">
        <v>35</v>
      </c>
      <c r="AV1457" s="141" t="s">
        <v>35</v>
      </c>
      <c r="AW1457" s="141" t="s">
        <v>35</v>
      </c>
      <c r="AX1457" s="95"/>
      <c r="AY1457" s="93"/>
    </row>
    <row r="1458" ht="14.5" spans="1:51">
      <c r="A1458" s="91"/>
      <c r="B1458" s="95"/>
      <c r="C1458" s="152" t="s">
        <v>1455</v>
      </c>
      <c r="D1458" s="153" t="s">
        <v>125</v>
      </c>
      <c r="E1458" s="130" t="s">
        <v>1456</v>
      </c>
      <c r="F1458" s="202" t="s">
        <v>1490</v>
      </c>
      <c r="G1458" s="202" t="s">
        <v>1490</v>
      </c>
      <c r="H1458" s="202" t="s">
        <v>1490</v>
      </c>
      <c r="I1458" s="202" t="s">
        <v>1490</v>
      </c>
      <c r="J1458" s="132">
        <v>0.9</v>
      </c>
      <c r="K1458" s="133" t="s">
        <v>35</v>
      </c>
      <c r="L1458" s="133" t="s">
        <v>35</v>
      </c>
      <c r="M1458" s="134" t="s">
        <v>35</v>
      </c>
      <c r="N1458" s="133" t="s">
        <v>35</v>
      </c>
      <c r="O1458" s="135">
        <v>0.9</v>
      </c>
      <c r="P1458" s="133" t="s">
        <v>35</v>
      </c>
      <c r="Q1458" s="133" t="s">
        <v>35</v>
      </c>
      <c r="R1458" s="133" t="s">
        <v>35</v>
      </c>
      <c r="S1458" s="133" t="s">
        <v>35</v>
      </c>
      <c r="T1458" s="135">
        <v>0.9</v>
      </c>
      <c r="U1458" s="133" t="s">
        <v>35</v>
      </c>
      <c r="V1458" s="133" t="s">
        <v>35</v>
      </c>
      <c r="W1458" s="133" t="s">
        <v>35</v>
      </c>
      <c r="X1458" s="133" t="s">
        <v>35</v>
      </c>
      <c r="Y1458" s="135">
        <v>0.92</v>
      </c>
      <c r="Z1458" s="135" t="s">
        <v>35</v>
      </c>
      <c r="AA1458" s="135" t="s">
        <v>35</v>
      </c>
      <c r="AB1458" s="135" t="s">
        <v>35</v>
      </c>
      <c r="AC1458" s="135" t="s">
        <v>35</v>
      </c>
      <c r="AD1458" s="135">
        <v>0.92</v>
      </c>
      <c r="AE1458" s="133">
        <v>1</v>
      </c>
      <c r="AF1458" s="133">
        <v>1</v>
      </c>
      <c r="AG1458" s="133">
        <v>1</v>
      </c>
      <c r="AH1458" s="133">
        <v>0.99846196868009</v>
      </c>
      <c r="AI1458" s="135">
        <v>0.92</v>
      </c>
      <c r="AJ1458" s="133" t="s">
        <v>35</v>
      </c>
      <c r="AK1458" s="133" t="s">
        <v>35</v>
      </c>
      <c r="AL1458" s="133" t="s">
        <v>35</v>
      </c>
      <c r="AM1458" s="133" t="s">
        <v>35</v>
      </c>
      <c r="AN1458" s="132">
        <v>0.99</v>
      </c>
      <c r="AO1458" s="137">
        <v>1</v>
      </c>
      <c r="AP1458" s="137">
        <v>1</v>
      </c>
      <c r="AQ1458" s="137" t="s">
        <v>35</v>
      </c>
      <c r="AR1458" s="137">
        <v>1</v>
      </c>
      <c r="AS1458" s="158">
        <v>0.110069253262963</v>
      </c>
      <c r="AT1458" s="141" t="s">
        <v>35</v>
      </c>
      <c r="AU1458" s="141" t="s">
        <v>35</v>
      </c>
      <c r="AV1458" s="141" t="s">
        <v>35</v>
      </c>
      <c r="AW1458" s="141" t="s">
        <v>35</v>
      </c>
      <c r="AX1458" s="95"/>
      <c r="AY1458" s="93"/>
    </row>
    <row r="1459" ht="14.5" spans="1:51">
      <c r="A1459" s="91"/>
      <c r="B1459" s="95"/>
      <c r="C1459" s="152" t="s">
        <v>1455</v>
      </c>
      <c r="D1459" s="153" t="s">
        <v>125</v>
      </c>
      <c r="E1459" s="130" t="s">
        <v>1456</v>
      </c>
      <c r="F1459" s="200" t="s">
        <v>1491</v>
      </c>
      <c r="G1459" s="200" t="s">
        <v>1491</v>
      </c>
      <c r="H1459" s="200" t="s">
        <v>1491</v>
      </c>
      <c r="I1459" s="200" t="s">
        <v>1491</v>
      </c>
      <c r="J1459" s="132">
        <v>0.9</v>
      </c>
      <c r="K1459" s="133" t="s">
        <v>35</v>
      </c>
      <c r="L1459" s="133" t="s">
        <v>35</v>
      </c>
      <c r="M1459" s="134" t="s">
        <v>35</v>
      </c>
      <c r="N1459" s="133" t="s">
        <v>35</v>
      </c>
      <c r="O1459" s="135">
        <v>0.9</v>
      </c>
      <c r="P1459" s="133" t="s">
        <v>35</v>
      </c>
      <c r="Q1459" s="133" t="s">
        <v>35</v>
      </c>
      <c r="R1459" s="133">
        <v>0</v>
      </c>
      <c r="S1459" s="133">
        <v>0</v>
      </c>
      <c r="T1459" s="135">
        <v>0.9</v>
      </c>
      <c r="U1459" s="133" t="s">
        <v>35</v>
      </c>
      <c r="V1459" s="133" t="s">
        <v>35</v>
      </c>
      <c r="W1459" s="133">
        <v>1</v>
      </c>
      <c r="X1459" s="133">
        <v>1</v>
      </c>
      <c r="Y1459" s="135">
        <v>0.92</v>
      </c>
      <c r="Z1459" s="135" t="s">
        <v>35</v>
      </c>
      <c r="AA1459" s="135" t="s">
        <v>35</v>
      </c>
      <c r="AB1459" s="135" t="s">
        <v>35</v>
      </c>
      <c r="AC1459" s="135">
        <v>1</v>
      </c>
      <c r="AD1459" s="135">
        <v>0.92</v>
      </c>
      <c r="AE1459" s="133">
        <v>0.998293515358362</v>
      </c>
      <c r="AF1459" s="133">
        <v>0.992647058823529</v>
      </c>
      <c r="AG1459" s="133">
        <v>1</v>
      </c>
      <c r="AH1459" s="133">
        <v>0.991166077738516</v>
      </c>
      <c r="AI1459" s="135">
        <v>0.92</v>
      </c>
      <c r="AJ1459" s="133" t="s">
        <v>35</v>
      </c>
      <c r="AK1459" s="133" t="s">
        <v>35</v>
      </c>
      <c r="AL1459" s="133">
        <v>1</v>
      </c>
      <c r="AM1459" s="133">
        <v>1</v>
      </c>
      <c r="AN1459" s="132">
        <v>0.99</v>
      </c>
      <c r="AO1459" s="137">
        <v>1</v>
      </c>
      <c r="AP1459" s="137">
        <v>1</v>
      </c>
      <c r="AQ1459" s="137">
        <v>1</v>
      </c>
      <c r="AR1459" s="137">
        <v>1</v>
      </c>
      <c r="AS1459" s="158">
        <v>0.110069253262963</v>
      </c>
      <c r="AT1459" s="141" t="s">
        <v>35</v>
      </c>
      <c r="AU1459" s="141" t="s">
        <v>35</v>
      </c>
      <c r="AV1459" s="141" t="s">
        <v>35</v>
      </c>
      <c r="AW1459" s="141" t="s">
        <v>35</v>
      </c>
      <c r="AX1459" s="95"/>
      <c r="AY1459" s="93"/>
    </row>
    <row r="1460" ht="14.5" spans="1:51">
      <c r="A1460" s="91"/>
      <c r="B1460" s="95"/>
      <c r="C1460" s="152" t="s">
        <v>1455</v>
      </c>
      <c r="D1460" s="153" t="s">
        <v>25</v>
      </c>
      <c r="E1460" s="130" t="s">
        <v>1456</v>
      </c>
      <c r="F1460" s="171" t="s">
        <v>1492</v>
      </c>
      <c r="G1460" s="171" t="s">
        <v>1492</v>
      </c>
      <c r="H1460" s="171" t="s">
        <v>1492</v>
      </c>
      <c r="I1460" s="171" t="s">
        <v>1492</v>
      </c>
      <c r="J1460" s="132">
        <v>0.9</v>
      </c>
      <c r="K1460" s="133">
        <v>1</v>
      </c>
      <c r="L1460" s="133">
        <v>1</v>
      </c>
      <c r="M1460" s="134">
        <v>1</v>
      </c>
      <c r="N1460" s="133">
        <v>0.995983935742972</v>
      </c>
      <c r="O1460" s="135">
        <v>0.9</v>
      </c>
      <c r="P1460" s="133">
        <v>0.777606177606178</v>
      </c>
      <c r="Q1460" s="133">
        <v>0.676146788990826</v>
      </c>
      <c r="R1460" s="133">
        <v>0.735472679965308</v>
      </c>
      <c r="S1460" s="133">
        <v>0.946000280518023</v>
      </c>
      <c r="T1460" s="135">
        <v>0.9</v>
      </c>
      <c r="U1460" s="133">
        <v>0.922779922779923</v>
      </c>
      <c r="V1460" s="133">
        <v>0.953211009174312</v>
      </c>
      <c r="W1460" s="133">
        <v>0.971379011274935</v>
      </c>
      <c r="X1460" s="133">
        <v>0.931226331291785</v>
      </c>
      <c r="Y1460" s="135">
        <v>0.92</v>
      </c>
      <c r="Z1460" s="135" t="s">
        <v>35</v>
      </c>
      <c r="AA1460" s="135" t="s">
        <v>35</v>
      </c>
      <c r="AB1460" s="135" t="s">
        <v>35</v>
      </c>
      <c r="AC1460" s="135" t="s">
        <v>35</v>
      </c>
      <c r="AD1460" s="135">
        <v>0.92</v>
      </c>
      <c r="AE1460" s="133">
        <v>1</v>
      </c>
      <c r="AF1460" s="133">
        <v>1</v>
      </c>
      <c r="AG1460" s="133">
        <v>1</v>
      </c>
      <c r="AH1460" s="133">
        <v>0.97</v>
      </c>
      <c r="AI1460" s="135">
        <v>0.92</v>
      </c>
      <c r="AJ1460" s="133">
        <v>0.960617760617761</v>
      </c>
      <c r="AK1460" s="133">
        <v>0.988990825688073</v>
      </c>
      <c r="AL1460" s="133">
        <v>0.996530789245447</v>
      </c>
      <c r="AM1460" s="133">
        <v>0.987984478002712</v>
      </c>
      <c r="AN1460" s="132">
        <v>0.99</v>
      </c>
      <c r="AO1460" s="137">
        <v>1</v>
      </c>
      <c r="AP1460" s="137">
        <v>1</v>
      </c>
      <c r="AQ1460" s="137">
        <v>1</v>
      </c>
      <c r="AR1460" s="137">
        <v>1</v>
      </c>
      <c r="AS1460" s="158">
        <v>0.110069253262963</v>
      </c>
      <c r="AT1460" s="141">
        <v>0.2</v>
      </c>
      <c r="AU1460" s="141">
        <v>0.0833333333333333</v>
      </c>
      <c r="AV1460" s="141">
        <v>0.2</v>
      </c>
      <c r="AW1460" s="141">
        <v>0.103174603174603</v>
      </c>
      <c r="AX1460" s="95"/>
      <c r="AY1460" s="93"/>
    </row>
    <row r="1461" ht="14.5" spans="1:51">
      <c r="A1461" s="91"/>
      <c r="B1461" s="95"/>
      <c r="C1461" s="152" t="s">
        <v>1455</v>
      </c>
      <c r="D1461" s="153" t="s">
        <v>25</v>
      </c>
      <c r="E1461" s="130" t="s">
        <v>1456</v>
      </c>
      <c r="F1461" s="171" t="s">
        <v>1493</v>
      </c>
      <c r="G1461" s="171" t="s">
        <v>1493</v>
      </c>
      <c r="H1461" s="171" t="s">
        <v>1493</v>
      </c>
      <c r="I1461" s="171" t="s">
        <v>1493</v>
      </c>
      <c r="J1461" s="132">
        <v>0.9</v>
      </c>
      <c r="K1461" s="133">
        <v>1</v>
      </c>
      <c r="L1461" s="133">
        <v>0.941176470588235</v>
      </c>
      <c r="M1461" s="134">
        <v>0.96969696969697</v>
      </c>
      <c r="N1461" s="133">
        <v>0.986644407345576</v>
      </c>
      <c r="O1461" s="135">
        <v>0.9</v>
      </c>
      <c r="P1461" s="133">
        <v>0.998821102269378</v>
      </c>
      <c r="Q1461" s="133">
        <v>0.99771986970684</v>
      </c>
      <c r="R1461" s="133">
        <v>0.998390989541432</v>
      </c>
      <c r="S1461" s="133">
        <v>0.998531728978656</v>
      </c>
      <c r="T1461" s="135">
        <v>0.9</v>
      </c>
      <c r="U1461" s="133">
        <v>0.944886531093428</v>
      </c>
      <c r="V1461" s="133">
        <v>0.947882736156352</v>
      </c>
      <c r="W1461" s="133">
        <v>0.957763475462591</v>
      </c>
      <c r="X1461" s="133">
        <v>0.963275318722246</v>
      </c>
      <c r="Y1461" s="135">
        <v>0.92</v>
      </c>
      <c r="Z1461" s="135" t="s">
        <v>35</v>
      </c>
      <c r="AA1461" s="135" t="s">
        <v>35</v>
      </c>
      <c r="AB1461" s="135">
        <v>0</v>
      </c>
      <c r="AC1461" s="135">
        <v>0</v>
      </c>
      <c r="AD1461" s="135">
        <v>0.92</v>
      </c>
      <c r="AE1461" s="133">
        <v>0.9375</v>
      </c>
      <c r="AF1461" s="133">
        <v>1</v>
      </c>
      <c r="AG1461" s="133">
        <v>0.833333333333333</v>
      </c>
      <c r="AH1461" s="133">
        <v>0.788273615635179</v>
      </c>
      <c r="AI1461" s="135">
        <v>0.92</v>
      </c>
      <c r="AJ1461" s="133">
        <v>0.974064249926319</v>
      </c>
      <c r="AK1461" s="133">
        <v>0.98371335504886</v>
      </c>
      <c r="AL1461" s="133">
        <v>0.989545637314033</v>
      </c>
      <c r="AM1461" s="133">
        <v>0.98904188078569</v>
      </c>
      <c r="AN1461" s="132">
        <v>0.99</v>
      </c>
      <c r="AO1461" s="137">
        <v>1</v>
      </c>
      <c r="AP1461" s="137">
        <v>1</v>
      </c>
      <c r="AQ1461" s="137">
        <v>1</v>
      </c>
      <c r="AR1461" s="137">
        <v>1</v>
      </c>
      <c r="AS1461" s="158">
        <v>0.110069253262963</v>
      </c>
      <c r="AT1461" s="141">
        <v>0.111111111111111</v>
      </c>
      <c r="AU1461" s="141">
        <v>0.0909090909090909</v>
      </c>
      <c r="AV1461" s="141">
        <v>0</v>
      </c>
      <c r="AW1461" s="141">
        <v>0.0382978723404255</v>
      </c>
      <c r="AX1461" s="95"/>
      <c r="AY1461" s="93"/>
    </row>
    <row r="1462" ht="14.5" spans="1:51">
      <c r="A1462" s="91"/>
      <c r="B1462" s="95"/>
      <c r="C1462" s="152" t="s">
        <v>1455</v>
      </c>
      <c r="D1462" s="153" t="s">
        <v>25</v>
      </c>
      <c r="E1462" s="130" t="s">
        <v>1456</v>
      </c>
      <c r="F1462" s="171" t="s">
        <v>1494</v>
      </c>
      <c r="G1462" s="171" t="s">
        <v>1494</v>
      </c>
      <c r="H1462" s="171" t="s">
        <v>1494</v>
      </c>
      <c r="I1462" s="171" t="s">
        <v>1494</v>
      </c>
      <c r="J1462" s="132">
        <v>0.9</v>
      </c>
      <c r="K1462" s="133" t="s">
        <v>35</v>
      </c>
      <c r="L1462" s="133" t="s">
        <v>35</v>
      </c>
      <c r="M1462" s="134" t="s">
        <v>35</v>
      </c>
      <c r="N1462" s="133" t="s">
        <v>35</v>
      </c>
      <c r="O1462" s="135">
        <v>0.9</v>
      </c>
      <c r="P1462" s="133" t="s">
        <v>35</v>
      </c>
      <c r="Q1462" s="133" t="s">
        <v>35</v>
      </c>
      <c r="R1462" s="133" t="s">
        <v>35</v>
      </c>
      <c r="S1462" s="133" t="s">
        <v>35</v>
      </c>
      <c r="T1462" s="135">
        <v>0.9</v>
      </c>
      <c r="U1462" s="133" t="s">
        <v>35</v>
      </c>
      <c r="V1462" s="133" t="s">
        <v>35</v>
      </c>
      <c r="W1462" s="133" t="s">
        <v>35</v>
      </c>
      <c r="X1462" s="133" t="s">
        <v>35</v>
      </c>
      <c r="Y1462" s="135">
        <v>0.92</v>
      </c>
      <c r="Z1462" s="135" t="s">
        <v>35</v>
      </c>
      <c r="AA1462" s="135" t="s">
        <v>35</v>
      </c>
      <c r="AB1462" s="135" t="s">
        <v>35</v>
      </c>
      <c r="AC1462" s="135" t="s">
        <v>35</v>
      </c>
      <c r="AD1462" s="135">
        <v>0.92</v>
      </c>
      <c r="AE1462" s="133" t="s">
        <v>35</v>
      </c>
      <c r="AF1462" s="133" t="s">
        <v>35</v>
      </c>
      <c r="AG1462" s="133" t="s">
        <v>35</v>
      </c>
      <c r="AH1462" s="133" t="s">
        <v>35</v>
      </c>
      <c r="AI1462" s="135">
        <v>0.92</v>
      </c>
      <c r="AJ1462" s="133" t="s">
        <v>35</v>
      </c>
      <c r="AK1462" s="133" t="s">
        <v>35</v>
      </c>
      <c r="AL1462" s="133" t="s">
        <v>35</v>
      </c>
      <c r="AM1462" s="133" t="s">
        <v>35</v>
      </c>
      <c r="AN1462" s="132">
        <v>0.99</v>
      </c>
      <c r="AO1462" s="137" t="s">
        <v>35</v>
      </c>
      <c r="AP1462" s="137" t="s">
        <v>35</v>
      </c>
      <c r="AQ1462" s="137" t="s">
        <v>35</v>
      </c>
      <c r="AR1462" s="137" t="s">
        <v>35</v>
      </c>
      <c r="AS1462" s="158">
        <v>0.110069253262963</v>
      </c>
      <c r="AT1462" s="141" t="s">
        <v>35</v>
      </c>
      <c r="AU1462" s="141" t="s">
        <v>35</v>
      </c>
      <c r="AV1462" s="141" t="s">
        <v>35</v>
      </c>
      <c r="AW1462" s="141" t="s">
        <v>35</v>
      </c>
      <c r="AX1462" s="95"/>
      <c r="AY1462" s="93"/>
    </row>
    <row r="1463" ht="14.5" spans="1:51">
      <c r="A1463" s="91"/>
      <c r="B1463" s="95"/>
      <c r="C1463" s="152" t="s">
        <v>1455</v>
      </c>
      <c r="D1463" s="153" t="s">
        <v>25</v>
      </c>
      <c r="E1463" s="130" t="s">
        <v>1456</v>
      </c>
      <c r="F1463" s="171" t="s">
        <v>1495</v>
      </c>
      <c r="G1463" s="171" t="s">
        <v>1495</v>
      </c>
      <c r="H1463" s="171" t="s">
        <v>1495</v>
      </c>
      <c r="I1463" s="171" t="s">
        <v>1495</v>
      </c>
      <c r="J1463" s="132">
        <v>0.9</v>
      </c>
      <c r="K1463" s="133">
        <v>0.777777777777778</v>
      </c>
      <c r="L1463" s="133">
        <v>0.666666666666667</v>
      </c>
      <c r="M1463" s="134">
        <v>0.75</v>
      </c>
      <c r="N1463" s="133">
        <v>0.72</v>
      </c>
      <c r="O1463" s="135">
        <v>0.9</v>
      </c>
      <c r="P1463" s="133">
        <v>1</v>
      </c>
      <c r="Q1463" s="133">
        <v>0.977993527508091</v>
      </c>
      <c r="R1463" s="133">
        <v>0.371428571428571</v>
      </c>
      <c r="S1463" s="133">
        <v>0.710112359550562</v>
      </c>
      <c r="T1463" s="135">
        <v>0.9</v>
      </c>
      <c r="U1463" s="133">
        <v>0.962962962962963</v>
      </c>
      <c r="V1463" s="133">
        <v>0.636245954692557</v>
      </c>
      <c r="W1463" s="133">
        <v>0.342857142857143</v>
      </c>
      <c r="X1463" s="133">
        <v>0.540449438202247</v>
      </c>
      <c r="Y1463" s="135">
        <v>0.92</v>
      </c>
      <c r="Z1463" s="135" t="s">
        <v>35</v>
      </c>
      <c r="AA1463" s="135" t="s">
        <v>35</v>
      </c>
      <c r="AB1463" s="135" t="s">
        <v>35</v>
      </c>
      <c r="AC1463" s="135" t="s">
        <v>35</v>
      </c>
      <c r="AD1463" s="135">
        <v>0.92</v>
      </c>
      <c r="AE1463" s="133">
        <v>1</v>
      </c>
      <c r="AF1463" s="133">
        <v>0</v>
      </c>
      <c r="AG1463" s="133" t="s">
        <v>35</v>
      </c>
      <c r="AH1463" s="133">
        <v>0.985714285714286</v>
      </c>
      <c r="AI1463" s="135">
        <v>0.92</v>
      </c>
      <c r="AJ1463" s="133">
        <v>1</v>
      </c>
      <c r="AK1463" s="133">
        <v>0.683257918552036</v>
      </c>
      <c r="AL1463" s="133">
        <v>0.408450704225352</v>
      </c>
      <c r="AM1463" s="133">
        <v>0.594001666203832</v>
      </c>
      <c r="AN1463" s="132">
        <v>0.99</v>
      </c>
      <c r="AO1463" s="137">
        <v>1</v>
      </c>
      <c r="AP1463" s="137">
        <v>1</v>
      </c>
      <c r="AQ1463" s="137" t="s">
        <v>35</v>
      </c>
      <c r="AR1463" s="137">
        <v>1</v>
      </c>
      <c r="AS1463" s="158">
        <v>0.110069253262963</v>
      </c>
      <c r="AT1463" s="141">
        <v>0.0769230769230769</v>
      </c>
      <c r="AU1463" s="141">
        <v>0.0681818181818182</v>
      </c>
      <c r="AV1463" s="141">
        <v>0.0555555555555556</v>
      </c>
      <c r="AW1463" s="141">
        <v>0.103202846975089</v>
      </c>
      <c r="AX1463" s="95"/>
      <c r="AY1463" s="93"/>
    </row>
    <row r="1464" ht="14.5" spans="1:51">
      <c r="A1464" s="91"/>
      <c r="B1464" s="95"/>
      <c r="C1464" s="152" t="s">
        <v>1455</v>
      </c>
      <c r="D1464" s="153" t="s">
        <v>25</v>
      </c>
      <c r="E1464" s="130" t="s">
        <v>1456</v>
      </c>
      <c r="F1464" s="171" t="s">
        <v>1496</v>
      </c>
      <c r="G1464" s="171" t="s">
        <v>1496</v>
      </c>
      <c r="H1464" s="171" t="s">
        <v>1496</v>
      </c>
      <c r="I1464" s="171" t="s">
        <v>1496</v>
      </c>
      <c r="J1464" s="132">
        <v>0.9</v>
      </c>
      <c r="K1464" s="133">
        <v>1</v>
      </c>
      <c r="L1464" s="133">
        <v>1</v>
      </c>
      <c r="M1464" s="134">
        <v>0.875</v>
      </c>
      <c r="N1464" s="133">
        <v>0.915966386554622</v>
      </c>
      <c r="O1464" s="135">
        <v>0.9</v>
      </c>
      <c r="P1464" s="133" t="s">
        <v>35</v>
      </c>
      <c r="Q1464" s="133" t="s">
        <v>35</v>
      </c>
      <c r="R1464" s="133" t="s">
        <v>35</v>
      </c>
      <c r="S1464" s="133">
        <v>0.333333333333333</v>
      </c>
      <c r="T1464" s="135">
        <v>0.9</v>
      </c>
      <c r="U1464" s="133" t="s">
        <v>35</v>
      </c>
      <c r="V1464" s="133" t="s">
        <v>35</v>
      </c>
      <c r="W1464" s="133" t="s">
        <v>35</v>
      </c>
      <c r="X1464" s="133">
        <v>0</v>
      </c>
      <c r="Y1464" s="135">
        <v>0.92</v>
      </c>
      <c r="Z1464" s="135" t="s">
        <v>35</v>
      </c>
      <c r="AA1464" s="135" t="s">
        <v>35</v>
      </c>
      <c r="AB1464" s="135" t="s">
        <v>35</v>
      </c>
      <c r="AC1464" s="135" t="s">
        <v>35</v>
      </c>
      <c r="AD1464" s="135">
        <v>0.92</v>
      </c>
      <c r="AE1464" s="133">
        <v>0</v>
      </c>
      <c r="AF1464" s="133">
        <v>0</v>
      </c>
      <c r="AG1464" s="133">
        <v>0</v>
      </c>
      <c r="AH1464" s="133">
        <v>0.075</v>
      </c>
      <c r="AI1464" s="135">
        <v>0.92</v>
      </c>
      <c r="AJ1464" s="133">
        <v>0.796577946768061</v>
      </c>
      <c r="AK1464" s="133">
        <v>0.875706214689266</v>
      </c>
      <c r="AL1464" s="133">
        <v>0.910973084886128</v>
      </c>
      <c r="AM1464" s="133">
        <v>0.881456746321611</v>
      </c>
      <c r="AN1464" s="132">
        <v>0.99</v>
      </c>
      <c r="AO1464" s="137" t="s">
        <v>35</v>
      </c>
      <c r="AP1464" s="137" t="s">
        <v>35</v>
      </c>
      <c r="AQ1464" s="137" t="s">
        <v>35</v>
      </c>
      <c r="AR1464" s="137" t="s">
        <v>35</v>
      </c>
      <c r="AS1464" s="158">
        <v>0.110069253262963</v>
      </c>
      <c r="AT1464" s="141">
        <v>0.111111111111111</v>
      </c>
      <c r="AU1464" s="141">
        <v>0.1</v>
      </c>
      <c r="AV1464" s="141">
        <v>0.133333333333333</v>
      </c>
      <c r="AW1464" s="141">
        <v>0.0919540229885057</v>
      </c>
      <c r="AX1464" s="95"/>
      <c r="AY1464" s="93"/>
    </row>
    <row r="1465" ht="14.5" spans="1:51">
      <c r="A1465" s="91"/>
      <c r="B1465" s="95"/>
      <c r="C1465" s="152" t="s">
        <v>1455</v>
      </c>
      <c r="D1465" s="153" t="s">
        <v>25</v>
      </c>
      <c r="E1465" s="130" t="s">
        <v>1456</v>
      </c>
      <c r="F1465" s="171" t="s">
        <v>1497</v>
      </c>
      <c r="G1465" s="171" t="s">
        <v>1497</v>
      </c>
      <c r="H1465" s="171" t="s">
        <v>1497</v>
      </c>
      <c r="I1465" s="171" t="s">
        <v>1497</v>
      </c>
      <c r="J1465" s="132">
        <v>0.9</v>
      </c>
      <c r="K1465" s="133">
        <v>0.48</v>
      </c>
      <c r="L1465" s="133">
        <v>0.423076923076923</v>
      </c>
      <c r="M1465" s="134">
        <v>0.476190476190476</v>
      </c>
      <c r="N1465" s="133">
        <v>0.541950113378685</v>
      </c>
      <c r="O1465" s="135">
        <v>0.9</v>
      </c>
      <c r="P1465" s="133">
        <v>0.748671843073151</v>
      </c>
      <c r="Q1465" s="133">
        <v>0.646483465300419</v>
      </c>
      <c r="R1465" s="133">
        <v>0.792146596858639</v>
      </c>
      <c r="S1465" s="133">
        <v>0.77763916611222</v>
      </c>
      <c r="T1465" s="135">
        <v>0.9</v>
      </c>
      <c r="U1465" s="133">
        <v>0.505925623212096</v>
      </c>
      <c r="V1465" s="133">
        <v>0.380996739636702</v>
      </c>
      <c r="W1465" s="133">
        <v>0.572251308900524</v>
      </c>
      <c r="X1465" s="133">
        <v>0.533599467731204</v>
      </c>
      <c r="Y1465" s="135">
        <v>0.92</v>
      </c>
      <c r="Z1465" s="135" t="s">
        <v>35</v>
      </c>
      <c r="AA1465" s="135" t="s">
        <v>35</v>
      </c>
      <c r="AB1465" s="135" t="s">
        <v>35</v>
      </c>
      <c r="AC1465" s="135" t="s">
        <v>35</v>
      </c>
      <c r="AD1465" s="135">
        <v>0.92</v>
      </c>
      <c r="AE1465" s="133">
        <v>0.461538461538462</v>
      </c>
      <c r="AF1465" s="133">
        <v>1</v>
      </c>
      <c r="AG1465" s="133">
        <v>1</v>
      </c>
      <c r="AH1465" s="133">
        <v>0.96484375</v>
      </c>
      <c r="AI1465" s="135">
        <v>0.92</v>
      </c>
      <c r="AJ1465" s="133">
        <v>0.735185941969759</v>
      </c>
      <c r="AK1465" s="133">
        <v>0.769911504424779</v>
      </c>
      <c r="AL1465" s="133">
        <v>0.829842931937173</v>
      </c>
      <c r="AM1465" s="133">
        <v>0.837962962962963</v>
      </c>
      <c r="AN1465" s="132">
        <v>0.99</v>
      </c>
      <c r="AO1465" s="137">
        <v>1</v>
      </c>
      <c r="AP1465" s="137">
        <v>1</v>
      </c>
      <c r="AQ1465" s="137">
        <v>1</v>
      </c>
      <c r="AR1465" s="137">
        <v>1</v>
      </c>
      <c r="AS1465" s="158">
        <v>0.110069253262963</v>
      </c>
      <c r="AT1465" s="141">
        <v>0.304347826086957</v>
      </c>
      <c r="AU1465" s="141">
        <v>0.192307692307692</v>
      </c>
      <c r="AV1465" s="141">
        <v>0.142857142857143</v>
      </c>
      <c r="AW1465" s="141">
        <v>0.152173913043478</v>
      </c>
      <c r="AX1465" s="95"/>
      <c r="AY1465" s="93"/>
    </row>
    <row r="1466" ht="14.5" spans="1:51">
      <c r="A1466" s="91"/>
      <c r="B1466" s="95"/>
      <c r="C1466" s="152" t="s">
        <v>1455</v>
      </c>
      <c r="D1466" s="153" t="s">
        <v>25</v>
      </c>
      <c r="E1466" s="130" t="s">
        <v>1456</v>
      </c>
      <c r="F1466" s="171" t="s">
        <v>1498</v>
      </c>
      <c r="G1466" s="171" t="s">
        <v>1498</v>
      </c>
      <c r="H1466" s="171" t="s">
        <v>1498</v>
      </c>
      <c r="I1466" s="171" t="s">
        <v>1498</v>
      </c>
      <c r="J1466" s="132">
        <v>0.9</v>
      </c>
      <c r="K1466" s="133">
        <v>0.733333333333333</v>
      </c>
      <c r="L1466" s="133">
        <v>0.933333333333333</v>
      </c>
      <c r="M1466" s="134">
        <v>0.923076923076923</v>
      </c>
      <c r="N1466" s="133">
        <v>0.795918367346939</v>
      </c>
      <c r="O1466" s="135">
        <v>0.9</v>
      </c>
      <c r="P1466" s="133">
        <v>0.997300944669366</v>
      </c>
      <c r="Q1466" s="133">
        <v>0.951590594744122</v>
      </c>
      <c r="R1466" s="133">
        <v>0.9313824419778</v>
      </c>
      <c r="S1466" s="133">
        <v>0.987489300059261</v>
      </c>
      <c r="T1466" s="135">
        <v>0.9</v>
      </c>
      <c r="U1466" s="133">
        <v>0.824561403508772</v>
      </c>
      <c r="V1466" s="133">
        <v>0.73582295988935</v>
      </c>
      <c r="W1466" s="133">
        <v>0.835519677093845</v>
      </c>
      <c r="X1466" s="133">
        <v>0.905774675709488</v>
      </c>
      <c r="Y1466" s="135">
        <v>0.92</v>
      </c>
      <c r="Z1466" s="135" t="s">
        <v>35</v>
      </c>
      <c r="AA1466" s="135" t="s">
        <v>35</v>
      </c>
      <c r="AB1466" s="135" t="s">
        <v>35</v>
      </c>
      <c r="AC1466" s="135" t="s">
        <v>35</v>
      </c>
      <c r="AD1466" s="135">
        <v>0.92</v>
      </c>
      <c r="AE1466" s="133">
        <v>0</v>
      </c>
      <c r="AF1466" s="133">
        <v>0</v>
      </c>
      <c r="AG1466" s="133">
        <v>0</v>
      </c>
      <c r="AH1466" s="133">
        <v>0.32258064516129</v>
      </c>
      <c r="AI1466" s="135">
        <v>0.92</v>
      </c>
      <c r="AJ1466" s="133">
        <v>0.873315363881402</v>
      </c>
      <c r="AK1466" s="133">
        <v>0.847856154910097</v>
      </c>
      <c r="AL1466" s="133">
        <v>0.895665322580645</v>
      </c>
      <c r="AM1466" s="133">
        <v>0.943264742620472</v>
      </c>
      <c r="AN1466" s="132">
        <v>0.99</v>
      </c>
      <c r="AO1466" s="137">
        <v>1</v>
      </c>
      <c r="AP1466" s="137" t="s">
        <v>35</v>
      </c>
      <c r="AQ1466" s="137">
        <v>1</v>
      </c>
      <c r="AR1466" s="137">
        <v>1</v>
      </c>
      <c r="AS1466" s="158">
        <v>0.110069253262963</v>
      </c>
      <c r="AT1466" s="141">
        <v>0.107142857142857</v>
      </c>
      <c r="AU1466" s="141">
        <v>0.04</v>
      </c>
      <c r="AV1466" s="141">
        <v>0.125</v>
      </c>
      <c r="AW1466" s="141">
        <v>0.100200400801603</v>
      </c>
      <c r="AX1466" s="95"/>
      <c r="AY1466" s="93"/>
    </row>
    <row r="1467" ht="14.5" spans="1:51">
      <c r="A1467" s="91"/>
      <c r="B1467" s="95"/>
      <c r="C1467" s="152" t="s">
        <v>1455</v>
      </c>
      <c r="D1467" s="153" t="s">
        <v>25</v>
      </c>
      <c r="E1467" s="130" t="s">
        <v>1456</v>
      </c>
      <c r="F1467" s="171" t="s">
        <v>1499</v>
      </c>
      <c r="G1467" s="171" t="s">
        <v>1499</v>
      </c>
      <c r="H1467" s="171" t="s">
        <v>1499</v>
      </c>
      <c r="I1467" s="171" t="s">
        <v>1499</v>
      </c>
      <c r="J1467" s="132">
        <v>0.9</v>
      </c>
      <c r="K1467" s="133">
        <v>1</v>
      </c>
      <c r="L1467" s="133">
        <v>1</v>
      </c>
      <c r="M1467" s="134">
        <v>0.9375</v>
      </c>
      <c r="N1467" s="133">
        <v>0.971731448763251</v>
      </c>
      <c r="O1467" s="135">
        <v>0.9</v>
      </c>
      <c r="P1467" s="133">
        <v>0.990062111801242</v>
      </c>
      <c r="Q1467" s="133">
        <v>0.966515323496027</v>
      </c>
      <c r="R1467" s="133">
        <v>0.987367021276596</v>
      </c>
      <c r="S1467" s="133">
        <v>0.964978687127025</v>
      </c>
      <c r="T1467" s="135">
        <v>0.9</v>
      </c>
      <c r="U1467" s="133">
        <v>0.536645962732919</v>
      </c>
      <c r="V1467" s="133">
        <v>0.532917139614075</v>
      </c>
      <c r="W1467" s="133">
        <v>0.57313829787234</v>
      </c>
      <c r="X1467" s="133">
        <v>0.403785166240409</v>
      </c>
      <c r="Y1467" s="135">
        <v>0.92</v>
      </c>
      <c r="Z1467" s="135" t="s">
        <v>35</v>
      </c>
      <c r="AA1467" s="135" t="s">
        <v>35</v>
      </c>
      <c r="AB1467" s="135" t="s">
        <v>35</v>
      </c>
      <c r="AC1467" s="135" t="s">
        <v>35</v>
      </c>
      <c r="AD1467" s="135">
        <v>0.92</v>
      </c>
      <c r="AE1467" s="133">
        <v>1</v>
      </c>
      <c r="AF1467" s="133">
        <v>1</v>
      </c>
      <c r="AG1467" s="133">
        <v>1</v>
      </c>
      <c r="AH1467" s="133">
        <v>0.941747572815534</v>
      </c>
      <c r="AI1467" s="135">
        <v>0.92</v>
      </c>
      <c r="AJ1467" s="133">
        <v>0.896894409937888</v>
      </c>
      <c r="AK1467" s="133">
        <v>0.959704880817253</v>
      </c>
      <c r="AL1467" s="133">
        <v>0.91688829787234</v>
      </c>
      <c r="AM1467" s="133">
        <v>0.913623188405797</v>
      </c>
      <c r="AN1467" s="132">
        <v>0.99</v>
      </c>
      <c r="AO1467" s="137">
        <v>1</v>
      </c>
      <c r="AP1467" s="137">
        <v>1</v>
      </c>
      <c r="AQ1467" s="137">
        <v>1</v>
      </c>
      <c r="AR1467" s="137">
        <v>1</v>
      </c>
      <c r="AS1467" s="158">
        <v>0.110069253262963</v>
      </c>
      <c r="AT1467" s="141">
        <v>0.75</v>
      </c>
      <c r="AU1467" s="141">
        <v>0.0909090909090909</v>
      </c>
      <c r="AV1467" s="141">
        <v>0.142857142857143</v>
      </c>
      <c r="AW1467" s="141">
        <v>0.104166666666667</v>
      </c>
      <c r="AX1467" s="95"/>
      <c r="AY1467" s="93"/>
    </row>
    <row r="1468" ht="14.5" spans="1:51">
      <c r="A1468" s="91"/>
      <c r="B1468" s="95"/>
      <c r="C1468" s="152" t="s">
        <v>1455</v>
      </c>
      <c r="D1468" s="153" t="s">
        <v>25</v>
      </c>
      <c r="E1468" s="130" t="s">
        <v>1456</v>
      </c>
      <c r="F1468" s="171" t="s">
        <v>1500</v>
      </c>
      <c r="G1468" s="171" t="s">
        <v>1500</v>
      </c>
      <c r="H1468" s="171" t="s">
        <v>1500</v>
      </c>
      <c r="I1468" s="171" t="s">
        <v>1500</v>
      </c>
      <c r="J1468" s="132">
        <v>0.9</v>
      </c>
      <c r="K1468" s="133">
        <v>1</v>
      </c>
      <c r="L1468" s="133">
        <v>1</v>
      </c>
      <c r="M1468" s="134">
        <v>0.666666666666667</v>
      </c>
      <c r="N1468" s="133">
        <v>0.858585858585859</v>
      </c>
      <c r="O1468" s="135">
        <v>0.9</v>
      </c>
      <c r="P1468" s="133" t="s">
        <v>35</v>
      </c>
      <c r="Q1468" s="133" t="s">
        <v>35</v>
      </c>
      <c r="R1468" s="133" t="s">
        <v>35</v>
      </c>
      <c r="S1468" s="133">
        <v>1</v>
      </c>
      <c r="T1468" s="135">
        <v>0.9</v>
      </c>
      <c r="U1468" s="133" t="s">
        <v>35</v>
      </c>
      <c r="V1468" s="133" t="s">
        <v>35</v>
      </c>
      <c r="W1468" s="133" t="s">
        <v>35</v>
      </c>
      <c r="X1468" s="133">
        <v>0</v>
      </c>
      <c r="Y1468" s="135">
        <v>0.92</v>
      </c>
      <c r="Z1468" s="135" t="s">
        <v>35</v>
      </c>
      <c r="AA1468" s="135" t="s">
        <v>35</v>
      </c>
      <c r="AB1468" s="135" t="s">
        <v>35</v>
      </c>
      <c r="AC1468" s="135" t="s">
        <v>35</v>
      </c>
      <c r="AD1468" s="135">
        <v>0.92</v>
      </c>
      <c r="AE1468" s="133" t="s">
        <v>35</v>
      </c>
      <c r="AF1468" s="133">
        <v>0</v>
      </c>
      <c r="AG1468" s="133">
        <v>0</v>
      </c>
      <c r="AH1468" s="133">
        <v>0.175438596491228</v>
      </c>
      <c r="AI1468" s="135">
        <v>0.92</v>
      </c>
      <c r="AJ1468" s="133">
        <v>0.900990099009901</v>
      </c>
      <c r="AK1468" s="133">
        <v>0.991208791208791</v>
      </c>
      <c r="AL1468" s="133">
        <v>0.980440097799511</v>
      </c>
      <c r="AM1468" s="133">
        <v>0.953806983511154</v>
      </c>
      <c r="AN1468" s="132">
        <v>0.99</v>
      </c>
      <c r="AO1468" s="137">
        <v>1</v>
      </c>
      <c r="AP1468" s="137" t="s">
        <v>35</v>
      </c>
      <c r="AQ1468" s="137">
        <v>1</v>
      </c>
      <c r="AR1468" s="137">
        <v>1</v>
      </c>
      <c r="AS1468" s="158">
        <v>0.110069253262963</v>
      </c>
      <c r="AT1468" s="141">
        <v>0.5</v>
      </c>
      <c r="AU1468" s="141">
        <v>0</v>
      </c>
      <c r="AV1468" s="141">
        <v>0</v>
      </c>
      <c r="AW1468" s="141">
        <v>0.0740740740740741</v>
      </c>
      <c r="AX1468" s="95"/>
      <c r="AY1468" s="93"/>
    </row>
    <row r="1469" ht="14.5" spans="1:51">
      <c r="A1469" s="91"/>
      <c r="B1469" s="95"/>
      <c r="C1469" s="152" t="s">
        <v>1455</v>
      </c>
      <c r="D1469" s="153" t="s">
        <v>25</v>
      </c>
      <c r="E1469" s="130" t="s">
        <v>1456</v>
      </c>
      <c r="F1469" s="171" t="s">
        <v>1501</v>
      </c>
      <c r="G1469" s="171" t="s">
        <v>1501</v>
      </c>
      <c r="H1469" s="171" t="s">
        <v>1501</v>
      </c>
      <c r="I1469" s="171" t="s">
        <v>1501</v>
      </c>
      <c r="J1469" s="132">
        <v>0.9</v>
      </c>
      <c r="K1469" s="133">
        <v>1</v>
      </c>
      <c r="L1469" s="133">
        <v>1</v>
      </c>
      <c r="M1469" s="134">
        <v>0.916666666666667</v>
      </c>
      <c r="N1469" s="133">
        <v>0.924170616113744</v>
      </c>
      <c r="O1469" s="135">
        <v>0.9</v>
      </c>
      <c r="P1469" s="133" t="s">
        <v>35</v>
      </c>
      <c r="Q1469" s="133" t="s">
        <v>35</v>
      </c>
      <c r="R1469" s="133" t="s">
        <v>35</v>
      </c>
      <c r="S1469" s="133">
        <v>1</v>
      </c>
      <c r="T1469" s="135">
        <v>0.9</v>
      </c>
      <c r="U1469" s="133" t="s">
        <v>35</v>
      </c>
      <c r="V1469" s="133" t="s">
        <v>35</v>
      </c>
      <c r="W1469" s="133" t="s">
        <v>35</v>
      </c>
      <c r="X1469" s="133">
        <v>0</v>
      </c>
      <c r="Y1469" s="135">
        <v>0.92</v>
      </c>
      <c r="Z1469" s="135" t="s">
        <v>35</v>
      </c>
      <c r="AA1469" s="135" t="s">
        <v>35</v>
      </c>
      <c r="AB1469" s="135" t="s">
        <v>35</v>
      </c>
      <c r="AC1469" s="135" t="s">
        <v>35</v>
      </c>
      <c r="AD1469" s="135">
        <v>0.92</v>
      </c>
      <c r="AE1469" s="133">
        <v>0</v>
      </c>
      <c r="AF1469" s="133">
        <v>0.166666666666667</v>
      </c>
      <c r="AG1469" s="133">
        <v>0</v>
      </c>
      <c r="AH1469" s="133">
        <v>0.0943396226415094</v>
      </c>
      <c r="AI1469" s="135">
        <v>0.92</v>
      </c>
      <c r="AJ1469" s="133">
        <v>0.907427341227126</v>
      </c>
      <c r="AK1469" s="133">
        <v>0.945348837209302</v>
      </c>
      <c r="AL1469" s="133">
        <v>0.963585434173669</v>
      </c>
      <c r="AM1469" s="133">
        <v>0.958082404150021</v>
      </c>
      <c r="AN1469" s="132">
        <v>0.99</v>
      </c>
      <c r="AO1469" s="137" t="s">
        <v>35</v>
      </c>
      <c r="AP1469" s="137" t="s">
        <v>35</v>
      </c>
      <c r="AQ1469" s="137" t="s">
        <v>35</v>
      </c>
      <c r="AR1469" s="137">
        <v>1</v>
      </c>
      <c r="AS1469" s="158">
        <v>0.110069253262963</v>
      </c>
      <c r="AT1469" s="141">
        <v>0.181818181818182</v>
      </c>
      <c r="AU1469" s="141">
        <v>0.333333333333333</v>
      </c>
      <c r="AV1469" s="141">
        <v>0.25</v>
      </c>
      <c r="AW1469" s="141">
        <v>0.130630630630631</v>
      </c>
      <c r="AX1469" s="95"/>
      <c r="AY1469" s="93"/>
    </row>
    <row r="1470" ht="14.5" spans="1:51">
      <c r="A1470" s="91"/>
      <c r="B1470" s="95"/>
      <c r="C1470" s="152" t="s">
        <v>1455</v>
      </c>
      <c r="D1470" s="153" t="s">
        <v>25</v>
      </c>
      <c r="E1470" s="130" t="s">
        <v>1456</v>
      </c>
      <c r="F1470" s="171" t="s">
        <v>1502</v>
      </c>
      <c r="G1470" s="171" t="s">
        <v>1502</v>
      </c>
      <c r="H1470" s="171" t="s">
        <v>1502</v>
      </c>
      <c r="I1470" s="171" t="s">
        <v>1502</v>
      </c>
      <c r="J1470" s="132">
        <v>0.9</v>
      </c>
      <c r="K1470" s="133">
        <v>0.380952380952381</v>
      </c>
      <c r="L1470" s="133">
        <v>0.263157894736842</v>
      </c>
      <c r="M1470" s="134">
        <v>0.263157894736842</v>
      </c>
      <c r="N1470" s="133">
        <v>0.342318059299191</v>
      </c>
      <c r="O1470" s="135">
        <v>0.9</v>
      </c>
      <c r="P1470" s="133">
        <v>0.964042392127176</v>
      </c>
      <c r="Q1470" s="133">
        <v>0.94951366373321</v>
      </c>
      <c r="R1470" s="133">
        <v>0.9837775202781</v>
      </c>
      <c r="S1470" s="133">
        <v>0.97938639755166</v>
      </c>
      <c r="T1470" s="135">
        <v>0.9</v>
      </c>
      <c r="U1470" s="133">
        <v>0.6888720666162</v>
      </c>
      <c r="V1470" s="133">
        <v>0.715145900880037</v>
      </c>
      <c r="W1470" s="133">
        <v>0.810544611819235</v>
      </c>
      <c r="X1470" s="133">
        <v>0.7538761160432</v>
      </c>
      <c r="Y1470" s="135">
        <v>0.92</v>
      </c>
      <c r="Z1470" s="135" t="s">
        <v>35</v>
      </c>
      <c r="AA1470" s="135" t="s">
        <v>35</v>
      </c>
      <c r="AB1470" s="135" t="s">
        <v>35</v>
      </c>
      <c r="AC1470" s="135" t="s">
        <v>35</v>
      </c>
      <c r="AD1470" s="135">
        <v>0.92</v>
      </c>
      <c r="AE1470" s="133">
        <v>0.888888888888889</v>
      </c>
      <c r="AF1470" s="133">
        <v>0.583333333333333</v>
      </c>
      <c r="AG1470" s="133">
        <v>0.904761904761905</v>
      </c>
      <c r="AH1470" s="133">
        <v>0.881889763779528</v>
      </c>
      <c r="AI1470" s="135">
        <v>0.92</v>
      </c>
      <c r="AJ1470" s="133">
        <v>0.816426949280848</v>
      </c>
      <c r="AK1470" s="133">
        <v>0.890690134321445</v>
      </c>
      <c r="AL1470" s="133">
        <v>0.902665121668598</v>
      </c>
      <c r="AM1470" s="133">
        <v>0.897690770670511</v>
      </c>
      <c r="AN1470" s="132">
        <v>0.99</v>
      </c>
      <c r="AO1470" s="137">
        <v>1</v>
      </c>
      <c r="AP1470" s="137">
        <v>1</v>
      </c>
      <c r="AQ1470" s="137">
        <v>1</v>
      </c>
      <c r="AR1470" s="137">
        <v>1</v>
      </c>
      <c r="AS1470" s="158">
        <v>0.110069253262963</v>
      </c>
      <c r="AT1470" s="141">
        <v>0.157894736842105</v>
      </c>
      <c r="AU1470" s="141">
        <v>0.0833333333333333</v>
      </c>
      <c r="AV1470" s="141">
        <v>0.333333333333333</v>
      </c>
      <c r="AW1470" s="141">
        <v>0.0987654320987654</v>
      </c>
      <c r="AX1470" s="95"/>
      <c r="AY1470" s="93"/>
    </row>
    <row r="1471" ht="14.5" spans="1:51">
      <c r="A1471" s="91"/>
      <c r="B1471" s="95"/>
      <c r="C1471" s="152" t="s">
        <v>1455</v>
      </c>
      <c r="D1471" s="153" t="s">
        <v>25</v>
      </c>
      <c r="E1471" s="130" t="s">
        <v>1456</v>
      </c>
      <c r="F1471" s="171" t="s">
        <v>1503</v>
      </c>
      <c r="G1471" s="171" t="s">
        <v>1503</v>
      </c>
      <c r="H1471" s="171" t="s">
        <v>1503</v>
      </c>
      <c r="I1471" s="171" t="s">
        <v>1503</v>
      </c>
      <c r="J1471" s="132">
        <v>0.9</v>
      </c>
      <c r="K1471" s="133">
        <v>1</v>
      </c>
      <c r="L1471" s="133">
        <v>1</v>
      </c>
      <c r="M1471" s="134">
        <v>1</v>
      </c>
      <c r="N1471" s="133">
        <v>1</v>
      </c>
      <c r="O1471" s="135">
        <v>0.9</v>
      </c>
      <c r="P1471" s="133">
        <v>0.952620244077531</v>
      </c>
      <c r="Q1471" s="133">
        <v>0.956989247311828</v>
      </c>
      <c r="R1471" s="133">
        <v>0.976088812980359</v>
      </c>
      <c r="S1471" s="133">
        <v>0.966451161977984</v>
      </c>
      <c r="T1471" s="135">
        <v>0.9</v>
      </c>
      <c r="U1471" s="133">
        <v>0.779612347451543</v>
      </c>
      <c r="V1471" s="133">
        <v>0.82078853046595</v>
      </c>
      <c r="W1471" s="133">
        <v>0.758326216908625</v>
      </c>
      <c r="X1471" s="133">
        <v>0.796697536257208</v>
      </c>
      <c r="Y1471" s="135">
        <v>0.92</v>
      </c>
      <c r="Z1471" s="135">
        <v>0.864197530864197</v>
      </c>
      <c r="AA1471" s="135">
        <v>0.855299539170507</v>
      </c>
      <c r="AB1471" s="135">
        <v>0.835955056179775</v>
      </c>
      <c r="AC1471" s="135">
        <v>0.895211775985562</v>
      </c>
      <c r="AD1471" s="135">
        <v>0.92</v>
      </c>
      <c r="AE1471" s="133">
        <v>0.951219512195122</v>
      </c>
      <c r="AF1471" s="133">
        <v>1</v>
      </c>
      <c r="AG1471" s="133">
        <v>0.954545454545455</v>
      </c>
      <c r="AH1471" s="133">
        <v>0.895981087470449</v>
      </c>
      <c r="AI1471" s="135">
        <v>0.92</v>
      </c>
      <c r="AJ1471" s="133">
        <v>0.893967954759661</v>
      </c>
      <c r="AK1471" s="133">
        <v>0.897983870967742</v>
      </c>
      <c r="AL1471" s="133">
        <v>0.885492479378942</v>
      </c>
      <c r="AM1471" s="133">
        <v>0.923639317627945</v>
      </c>
      <c r="AN1471" s="132">
        <v>0.99</v>
      </c>
      <c r="AO1471" s="137">
        <v>1</v>
      </c>
      <c r="AP1471" s="137">
        <v>1</v>
      </c>
      <c r="AQ1471" s="137">
        <v>1</v>
      </c>
      <c r="AR1471" s="137">
        <v>1</v>
      </c>
      <c r="AS1471" s="158">
        <v>0.110069253262963</v>
      </c>
      <c r="AT1471" s="141">
        <v>0</v>
      </c>
      <c r="AU1471" s="141">
        <v>0.25</v>
      </c>
      <c r="AV1471" s="141">
        <v>0</v>
      </c>
      <c r="AW1471" s="141">
        <v>0.108974358974359</v>
      </c>
      <c r="AX1471" s="95"/>
      <c r="AY1471" s="93"/>
    </row>
    <row r="1472" ht="14.5" spans="1:51">
      <c r="A1472" s="91"/>
      <c r="B1472" s="95"/>
      <c r="C1472" s="152" t="s">
        <v>1455</v>
      </c>
      <c r="D1472" s="153" t="s">
        <v>25</v>
      </c>
      <c r="E1472" s="130" t="s">
        <v>1456</v>
      </c>
      <c r="F1472" s="171" t="s">
        <v>1504</v>
      </c>
      <c r="G1472" s="171" t="s">
        <v>1504</v>
      </c>
      <c r="H1472" s="171" t="s">
        <v>1504</v>
      </c>
      <c r="I1472" s="171" t="s">
        <v>1504</v>
      </c>
      <c r="J1472" s="132">
        <v>0.9</v>
      </c>
      <c r="K1472" s="133">
        <v>0.655172413793103</v>
      </c>
      <c r="L1472" s="133">
        <v>0.870967741935484</v>
      </c>
      <c r="M1472" s="134">
        <v>0.846153846153846</v>
      </c>
      <c r="N1472" s="133">
        <v>0.78876404494382</v>
      </c>
      <c r="O1472" s="135">
        <v>0.9</v>
      </c>
      <c r="P1472" s="133">
        <v>0.69893899204244</v>
      </c>
      <c r="Q1472" s="133">
        <v>0.528783835303088</v>
      </c>
      <c r="R1472" s="133">
        <v>0.738389328063241</v>
      </c>
      <c r="S1472" s="133">
        <v>0.69278159295162</v>
      </c>
      <c r="T1472" s="135">
        <v>0.9</v>
      </c>
      <c r="U1472" s="133">
        <v>0.479442970822281</v>
      </c>
      <c r="V1472" s="133">
        <v>0.392489515821578</v>
      </c>
      <c r="W1472" s="133">
        <v>0.615859683794466</v>
      </c>
      <c r="X1472" s="133">
        <v>0.526817850597302</v>
      </c>
      <c r="Y1472" s="135">
        <v>0.92</v>
      </c>
      <c r="Z1472" s="135" t="s">
        <v>35</v>
      </c>
      <c r="AA1472" s="135" t="s">
        <v>35</v>
      </c>
      <c r="AB1472" s="135" t="s">
        <v>35</v>
      </c>
      <c r="AC1472" s="135" t="s">
        <v>35</v>
      </c>
      <c r="AD1472" s="135">
        <v>0.92</v>
      </c>
      <c r="AE1472" s="133">
        <v>1</v>
      </c>
      <c r="AF1472" s="133">
        <v>0.894736842105263</v>
      </c>
      <c r="AG1472" s="133">
        <v>1</v>
      </c>
      <c r="AH1472" s="133">
        <v>0.945945945945946</v>
      </c>
      <c r="AI1472" s="135">
        <v>0.92</v>
      </c>
      <c r="AJ1472" s="133">
        <v>0.675066312997347</v>
      </c>
      <c r="AK1472" s="133">
        <v>0.599313762866946</v>
      </c>
      <c r="AL1472" s="133">
        <v>0.750494071146245</v>
      </c>
      <c r="AM1472" s="133">
        <v>0.728752180537461</v>
      </c>
      <c r="AN1472" s="132">
        <v>0.99</v>
      </c>
      <c r="AO1472" s="137">
        <v>1</v>
      </c>
      <c r="AP1472" s="137">
        <v>1</v>
      </c>
      <c r="AQ1472" s="137" t="s">
        <v>35</v>
      </c>
      <c r="AR1472" s="137">
        <v>1</v>
      </c>
      <c r="AS1472" s="158">
        <v>0.110069253262963</v>
      </c>
      <c r="AT1472" s="141">
        <v>0.2</v>
      </c>
      <c r="AU1472" s="141">
        <v>0.121212121212121</v>
      </c>
      <c r="AV1472" s="141">
        <v>0.214285714285714</v>
      </c>
      <c r="AW1472" s="141">
        <v>0.174537987679671</v>
      </c>
      <c r="AX1472" s="95"/>
      <c r="AY1472" s="93"/>
    </row>
    <row r="1473" ht="14.5" spans="1:51">
      <c r="A1473" s="91"/>
      <c r="B1473" s="95"/>
      <c r="C1473" s="152" t="s">
        <v>1455</v>
      </c>
      <c r="D1473" s="153" t="s">
        <v>25</v>
      </c>
      <c r="E1473" s="130" t="s">
        <v>1456</v>
      </c>
      <c r="F1473" s="171" t="s">
        <v>1505</v>
      </c>
      <c r="G1473" s="171" t="s">
        <v>1505</v>
      </c>
      <c r="H1473" s="171" t="s">
        <v>1505</v>
      </c>
      <c r="I1473" s="171" t="s">
        <v>1505</v>
      </c>
      <c r="J1473" s="132">
        <v>0.9</v>
      </c>
      <c r="K1473" s="133">
        <v>0.888888888888889</v>
      </c>
      <c r="L1473" s="133">
        <v>0.833333333333333</v>
      </c>
      <c r="M1473" s="134">
        <v>0.785714285714286</v>
      </c>
      <c r="N1473" s="133">
        <v>0.86013986013986</v>
      </c>
      <c r="O1473" s="135">
        <v>0.9</v>
      </c>
      <c r="P1473" s="133">
        <v>0.993788819875776</v>
      </c>
      <c r="Q1473" s="133">
        <v>1</v>
      </c>
      <c r="R1473" s="133">
        <v>0.997959183673469</v>
      </c>
      <c r="S1473" s="133">
        <v>0.389383343928798</v>
      </c>
      <c r="T1473" s="135">
        <v>0.9</v>
      </c>
      <c r="U1473" s="133">
        <v>0.614906832298137</v>
      </c>
      <c r="V1473" s="133">
        <v>0.0690476190476191</v>
      </c>
      <c r="W1473" s="133">
        <v>0.036734693877551</v>
      </c>
      <c r="X1473" s="133">
        <v>0.210823267641449</v>
      </c>
      <c r="Y1473" s="135">
        <v>0.92</v>
      </c>
      <c r="Z1473" s="135" t="s">
        <v>35</v>
      </c>
      <c r="AA1473" s="135">
        <v>0</v>
      </c>
      <c r="AB1473" s="135" t="s">
        <v>35</v>
      </c>
      <c r="AC1473" s="135">
        <v>0</v>
      </c>
      <c r="AD1473" s="135">
        <v>0.92</v>
      </c>
      <c r="AE1473" s="133">
        <v>1</v>
      </c>
      <c r="AF1473" s="133">
        <v>1</v>
      </c>
      <c r="AG1473" s="133">
        <v>1</v>
      </c>
      <c r="AH1473" s="133">
        <v>0.758064516129032</v>
      </c>
      <c r="AI1473" s="135">
        <v>0.92</v>
      </c>
      <c r="AJ1473" s="133">
        <v>0.816037735849057</v>
      </c>
      <c r="AK1473" s="133">
        <v>0.18566493955095</v>
      </c>
      <c r="AL1473" s="133">
        <v>0.0183847669074196</v>
      </c>
      <c r="AM1473" s="133">
        <v>0.252995273513355</v>
      </c>
      <c r="AN1473" s="132">
        <v>0.99</v>
      </c>
      <c r="AO1473" s="137">
        <v>1</v>
      </c>
      <c r="AP1473" s="137">
        <v>1</v>
      </c>
      <c r="AQ1473" s="137">
        <v>1</v>
      </c>
      <c r="AR1473" s="137">
        <v>1</v>
      </c>
      <c r="AS1473" s="158">
        <v>0.110069253262963</v>
      </c>
      <c r="AT1473" s="141">
        <v>0.333333333333333</v>
      </c>
      <c r="AU1473" s="141">
        <v>0.377777777777778</v>
      </c>
      <c r="AV1473" s="141">
        <v>0.025974025974026</v>
      </c>
      <c r="AW1473" s="141">
        <v>0.104707792207792</v>
      </c>
      <c r="AX1473" s="95"/>
      <c r="AY1473" s="93"/>
    </row>
    <row r="1474" ht="14.5" spans="1:51">
      <c r="A1474" s="91"/>
      <c r="B1474" s="95"/>
      <c r="C1474" s="152" t="s">
        <v>1455</v>
      </c>
      <c r="D1474" s="153" t="s">
        <v>25</v>
      </c>
      <c r="E1474" s="130" t="s">
        <v>1456</v>
      </c>
      <c r="F1474" s="171" t="s">
        <v>1506</v>
      </c>
      <c r="G1474" s="171" t="s">
        <v>1506</v>
      </c>
      <c r="H1474" s="171" t="s">
        <v>1506</v>
      </c>
      <c r="I1474" s="171" t="s">
        <v>1506</v>
      </c>
      <c r="J1474" s="132">
        <v>0.9</v>
      </c>
      <c r="K1474" s="133">
        <v>1</v>
      </c>
      <c r="L1474" s="133">
        <v>0.8</v>
      </c>
      <c r="M1474" s="134">
        <v>1</v>
      </c>
      <c r="N1474" s="133">
        <v>0.880733944954128</v>
      </c>
      <c r="O1474" s="135">
        <v>0.9</v>
      </c>
      <c r="P1474" s="133">
        <v>0.723684210526316</v>
      </c>
      <c r="Q1474" s="133">
        <v>0.955882352941177</v>
      </c>
      <c r="R1474" s="133">
        <v>0.404444444444444</v>
      </c>
      <c r="S1474" s="133">
        <v>0.538671812188455</v>
      </c>
      <c r="T1474" s="135">
        <v>0.9</v>
      </c>
      <c r="U1474" s="133">
        <v>0.644736842105263</v>
      </c>
      <c r="V1474" s="133">
        <v>0.794117647058823</v>
      </c>
      <c r="W1474" s="133">
        <v>0.373333333333333</v>
      </c>
      <c r="X1474" s="133">
        <v>0.369995176073324</v>
      </c>
      <c r="Y1474" s="135">
        <v>0.92</v>
      </c>
      <c r="Z1474" s="135" t="s">
        <v>35</v>
      </c>
      <c r="AA1474" s="135" t="s">
        <v>35</v>
      </c>
      <c r="AB1474" s="135" t="s">
        <v>35</v>
      </c>
      <c r="AC1474" s="135" t="s">
        <v>35</v>
      </c>
      <c r="AD1474" s="135">
        <v>0.92</v>
      </c>
      <c r="AE1474" s="133" t="s">
        <v>35</v>
      </c>
      <c r="AF1474" s="133" t="s">
        <v>35</v>
      </c>
      <c r="AG1474" s="133" t="s">
        <v>35</v>
      </c>
      <c r="AH1474" s="133">
        <v>0.672413793103448</v>
      </c>
      <c r="AI1474" s="135">
        <v>0.92</v>
      </c>
      <c r="AJ1474" s="133">
        <v>0.717948717948718</v>
      </c>
      <c r="AK1474" s="133">
        <v>0.398809523809524</v>
      </c>
      <c r="AL1474" s="133">
        <v>0.382872928176796</v>
      </c>
      <c r="AM1474" s="133">
        <v>0.402884464649632</v>
      </c>
      <c r="AN1474" s="132">
        <v>0.99</v>
      </c>
      <c r="AO1474" s="137" t="s">
        <v>35</v>
      </c>
      <c r="AP1474" s="137" t="s">
        <v>35</v>
      </c>
      <c r="AQ1474" s="137" t="s">
        <v>35</v>
      </c>
      <c r="AR1474" s="137">
        <v>1</v>
      </c>
      <c r="AS1474" s="158">
        <v>0.110069253262963</v>
      </c>
      <c r="AT1474" s="141">
        <v>0.470588235294118</v>
      </c>
      <c r="AU1474" s="141">
        <v>0.739130434782609</v>
      </c>
      <c r="AV1474" s="141">
        <v>0.0888888888888889</v>
      </c>
      <c r="AW1474" s="141">
        <v>0.134078212290503</v>
      </c>
      <c r="AX1474" s="95"/>
      <c r="AY1474" s="93"/>
    </row>
    <row r="1475" ht="14.5" spans="1:51">
      <c r="A1475" s="91"/>
      <c r="B1475" s="95"/>
      <c r="C1475" s="152" t="s">
        <v>1455</v>
      </c>
      <c r="D1475" s="153" t="s">
        <v>25</v>
      </c>
      <c r="E1475" s="130" t="s">
        <v>1456</v>
      </c>
      <c r="F1475" s="171" t="s">
        <v>1507</v>
      </c>
      <c r="G1475" s="171" t="s">
        <v>1507</v>
      </c>
      <c r="H1475" s="171" t="s">
        <v>1507</v>
      </c>
      <c r="I1475" s="171" t="s">
        <v>1507</v>
      </c>
      <c r="J1475" s="132">
        <v>0.9</v>
      </c>
      <c r="K1475" s="133">
        <v>0.666666666666667</v>
      </c>
      <c r="L1475" s="133">
        <v>0.789473684210526</v>
      </c>
      <c r="M1475" s="134">
        <v>0.9</v>
      </c>
      <c r="N1475" s="133">
        <v>0.812834224598931</v>
      </c>
      <c r="O1475" s="135">
        <v>0.9</v>
      </c>
      <c r="P1475" s="133">
        <v>0</v>
      </c>
      <c r="Q1475" s="133" t="s">
        <v>35</v>
      </c>
      <c r="R1475" s="133" t="s">
        <v>35</v>
      </c>
      <c r="S1475" s="133">
        <v>0</v>
      </c>
      <c r="T1475" s="135">
        <v>0.9</v>
      </c>
      <c r="U1475" s="133">
        <v>0</v>
      </c>
      <c r="V1475" s="133" t="s">
        <v>35</v>
      </c>
      <c r="W1475" s="133" t="s">
        <v>35</v>
      </c>
      <c r="X1475" s="133">
        <v>0</v>
      </c>
      <c r="Y1475" s="135">
        <v>0.92</v>
      </c>
      <c r="Z1475" s="135" t="s">
        <v>35</v>
      </c>
      <c r="AA1475" s="135" t="s">
        <v>35</v>
      </c>
      <c r="AB1475" s="135" t="s">
        <v>35</v>
      </c>
      <c r="AC1475" s="135" t="s">
        <v>35</v>
      </c>
      <c r="AD1475" s="135">
        <v>0.92</v>
      </c>
      <c r="AE1475" s="133">
        <v>0</v>
      </c>
      <c r="AF1475" s="133">
        <v>0.333333333333333</v>
      </c>
      <c r="AG1475" s="133">
        <v>0</v>
      </c>
      <c r="AH1475" s="133">
        <v>0.19047619047619</v>
      </c>
      <c r="AI1475" s="135">
        <v>0.92</v>
      </c>
      <c r="AJ1475" s="133">
        <v>0.836371168185584</v>
      </c>
      <c r="AK1475" s="133">
        <v>0.862745098039216</v>
      </c>
      <c r="AL1475" s="133">
        <v>0.89172281039461</v>
      </c>
      <c r="AM1475" s="133">
        <v>0.926635472764192</v>
      </c>
      <c r="AN1475" s="132">
        <v>0.99</v>
      </c>
      <c r="AO1475" s="137">
        <v>1</v>
      </c>
      <c r="AP1475" s="137">
        <v>1</v>
      </c>
      <c r="AQ1475" s="137">
        <v>1</v>
      </c>
      <c r="AR1475" s="137">
        <v>1</v>
      </c>
      <c r="AS1475" s="158">
        <v>0.110069253262963</v>
      </c>
      <c r="AT1475" s="141">
        <v>0.285714285714286</v>
      </c>
      <c r="AU1475" s="141">
        <v>0.0277777777777778</v>
      </c>
      <c r="AV1475" s="141">
        <v>0.0909090909090909</v>
      </c>
      <c r="AW1475" s="141">
        <v>0.0978043912175649</v>
      </c>
      <c r="AX1475" s="95"/>
      <c r="AY1475" s="93"/>
    </row>
    <row r="1476" ht="14.5" spans="1:51">
      <c r="A1476" s="91"/>
      <c r="B1476" s="95"/>
      <c r="C1476" s="152" t="s">
        <v>1455</v>
      </c>
      <c r="D1476" s="153" t="s">
        <v>25</v>
      </c>
      <c r="E1476" s="130" t="s">
        <v>1456</v>
      </c>
      <c r="F1476" s="171" t="s">
        <v>1508</v>
      </c>
      <c r="G1476" s="171" t="s">
        <v>1508</v>
      </c>
      <c r="H1476" s="171" t="s">
        <v>1508</v>
      </c>
      <c r="I1476" s="171" t="s">
        <v>1508</v>
      </c>
      <c r="J1476" s="132">
        <v>0.9</v>
      </c>
      <c r="K1476" s="133">
        <v>0.857142857142857</v>
      </c>
      <c r="L1476" s="133">
        <v>0.789473684210526</v>
      </c>
      <c r="M1476" s="134">
        <v>0.733333333333333</v>
      </c>
      <c r="N1476" s="133">
        <v>0.883895131086142</v>
      </c>
      <c r="O1476" s="135">
        <v>0.9</v>
      </c>
      <c r="P1476" s="133">
        <v>0.999024390243902</v>
      </c>
      <c r="Q1476" s="133">
        <v>1</v>
      </c>
      <c r="R1476" s="133">
        <v>1</v>
      </c>
      <c r="S1476" s="133">
        <v>0.483879959119205</v>
      </c>
      <c r="T1476" s="135">
        <v>0.9</v>
      </c>
      <c r="U1476" s="133">
        <v>0.856585365853659</v>
      </c>
      <c r="V1476" s="133">
        <v>0.644567219152855</v>
      </c>
      <c r="W1476" s="133">
        <v>0.530172413793103</v>
      </c>
      <c r="X1476" s="133">
        <v>0.367648425160271</v>
      </c>
      <c r="Y1476" s="135">
        <v>0.92</v>
      </c>
      <c r="Z1476" s="135" t="s">
        <v>35</v>
      </c>
      <c r="AA1476" s="135" t="s">
        <v>35</v>
      </c>
      <c r="AB1476" s="135" t="s">
        <v>35</v>
      </c>
      <c r="AC1476" s="135">
        <v>0</v>
      </c>
      <c r="AD1476" s="135">
        <v>0.92</v>
      </c>
      <c r="AE1476" s="133">
        <v>0</v>
      </c>
      <c r="AF1476" s="133">
        <v>0.545454545454545</v>
      </c>
      <c r="AG1476" s="133">
        <v>0.222222222222222</v>
      </c>
      <c r="AH1476" s="133">
        <v>0.283018867924528</v>
      </c>
      <c r="AI1476" s="135">
        <v>0.92</v>
      </c>
      <c r="AJ1476" s="133">
        <v>0.456352299298519</v>
      </c>
      <c r="AK1476" s="133">
        <v>0.276748104465038</v>
      </c>
      <c r="AL1476" s="133">
        <v>0.120019675356616</v>
      </c>
      <c r="AM1476" s="133">
        <v>0.380680993175548</v>
      </c>
      <c r="AN1476" s="132">
        <v>0.99</v>
      </c>
      <c r="AO1476" s="137" t="s">
        <v>35</v>
      </c>
      <c r="AP1476" s="137" t="s">
        <v>35</v>
      </c>
      <c r="AQ1476" s="137" t="s">
        <v>35</v>
      </c>
      <c r="AR1476" s="137">
        <v>1</v>
      </c>
      <c r="AS1476" s="158">
        <v>0.110069253262963</v>
      </c>
      <c r="AT1476" s="141">
        <v>0.377049180327869</v>
      </c>
      <c r="AU1476" s="141">
        <v>0.209090909090909</v>
      </c>
      <c r="AV1476" s="141">
        <v>0.0434782608695652</v>
      </c>
      <c r="AW1476" s="141">
        <v>0.129513343799058</v>
      </c>
      <c r="AX1476" s="95"/>
      <c r="AY1476" s="93"/>
    </row>
    <row r="1477" ht="14.5" spans="1:51">
      <c r="A1477" s="91"/>
      <c r="B1477" s="95"/>
      <c r="C1477" s="152" t="s">
        <v>1455</v>
      </c>
      <c r="D1477" s="153" t="s">
        <v>25</v>
      </c>
      <c r="E1477" s="130" t="s">
        <v>1456</v>
      </c>
      <c r="F1477" s="171" t="s">
        <v>1509</v>
      </c>
      <c r="G1477" s="171" t="s">
        <v>1509</v>
      </c>
      <c r="H1477" s="171" t="s">
        <v>1509</v>
      </c>
      <c r="I1477" s="171" t="s">
        <v>1509</v>
      </c>
      <c r="J1477" s="132">
        <v>0.9</v>
      </c>
      <c r="K1477" s="133">
        <v>1</v>
      </c>
      <c r="L1477" s="133">
        <v>0.909090909090909</v>
      </c>
      <c r="M1477" s="134">
        <v>1</v>
      </c>
      <c r="N1477" s="133">
        <v>0.974093264248705</v>
      </c>
      <c r="O1477" s="135">
        <v>0.9</v>
      </c>
      <c r="P1477" s="133">
        <v>1</v>
      </c>
      <c r="Q1477" s="133">
        <v>0.989556135770235</v>
      </c>
      <c r="R1477" s="133">
        <v>0.969325153374233</v>
      </c>
      <c r="S1477" s="133">
        <v>0.548332223947933</v>
      </c>
      <c r="T1477" s="135">
        <v>0.9</v>
      </c>
      <c r="U1477" s="133">
        <v>0.878234398782344</v>
      </c>
      <c r="V1477" s="133">
        <v>0.723237597911227</v>
      </c>
      <c r="W1477" s="133">
        <v>0.625766871165644</v>
      </c>
      <c r="X1477" s="133">
        <v>0.431920715923378</v>
      </c>
      <c r="Y1477" s="135">
        <v>0.92</v>
      </c>
      <c r="Z1477" s="135" t="s">
        <v>35</v>
      </c>
      <c r="AA1477" s="135" t="s">
        <v>35</v>
      </c>
      <c r="AB1477" s="135" t="s">
        <v>35</v>
      </c>
      <c r="AC1477" s="135">
        <v>0</v>
      </c>
      <c r="AD1477" s="135">
        <v>0.92</v>
      </c>
      <c r="AE1477" s="133">
        <v>0.6</v>
      </c>
      <c r="AF1477" s="133">
        <v>1</v>
      </c>
      <c r="AG1477" s="133">
        <v>1</v>
      </c>
      <c r="AH1477" s="133">
        <v>0.693877551020408</v>
      </c>
      <c r="AI1477" s="135">
        <v>0.92</v>
      </c>
      <c r="AJ1477" s="133">
        <v>0.674978503869303</v>
      </c>
      <c r="AK1477" s="133">
        <v>0.467579908675799</v>
      </c>
      <c r="AL1477" s="133">
        <v>0.19449081803005</v>
      </c>
      <c r="AM1477" s="133">
        <v>0.458089548561926</v>
      </c>
      <c r="AN1477" s="132">
        <v>0.99</v>
      </c>
      <c r="AO1477" s="137">
        <v>1</v>
      </c>
      <c r="AP1477" s="137">
        <v>1</v>
      </c>
      <c r="AQ1477" s="137">
        <v>1</v>
      </c>
      <c r="AR1477" s="137">
        <v>1</v>
      </c>
      <c r="AS1477" s="158">
        <v>0.110069253262963</v>
      </c>
      <c r="AT1477" s="141">
        <v>0.0759493670886076</v>
      </c>
      <c r="AU1477" s="141">
        <v>0.2625</v>
      </c>
      <c r="AV1477" s="141">
        <v>0.164383561643836</v>
      </c>
      <c r="AW1477" s="141">
        <v>0.111854684512428</v>
      </c>
      <c r="AX1477" s="95"/>
      <c r="AY1477" s="93"/>
    </row>
    <row r="1478" ht="14.5" spans="1:51">
      <c r="A1478" s="91"/>
      <c r="B1478" s="95"/>
      <c r="C1478" s="152" t="s">
        <v>1455</v>
      </c>
      <c r="D1478" s="153" t="s">
        <v>25</v>
      </c>
      <c r="E1478" s="130" t="s">
        <v>1456</v>
      </c>
      <c r="F1478" s="171" t="s">
        <v>1510</v>
      </c>
      <c r="G1478" s="171" t="s">
        <v>1510</v>
      </c>
      <c r="H1478" s="171" t="s">
        <v>1510</v>
      </c>
      <c r="I1478" s="171" t="s">
        <v>1510</v>
      </c>
      <c r="J1478" s="132">
        <v>0.9</v>
      </c>
      <c r="K1478" s="133">
        <v>0.916666666666667</v>
      </c>
      <c r="L1478" s="133">
        <v>1</v>
      </c>
      <c r="M1478" s="134">
        <v>1</v>
      </c>
      <c r="N1478" s="133">
        <v>0.968181818181818</v>
      </c>
      <c r="O1478" s="135">
        <v>0.9</v>
      </c>
      <c r="P1478" s="133">
        <v>0.973544973544973</v>
      </c>
      <c r="Q1478" s="133">
        <v>0.997097242380261</v>
      </c>
      <c r="R1478" s="133">
        <v>0.998188405797101</v>
      </c>
      <c r="S1478" s="133">
        <v>0.997298249735698</v>
      </c>
      <c r="T1478" s="135">
        <v>0.9</v>
      </c>
      <c r="U1478" s="133">
        <v>0.693121693121693</v>
      </c>
      <c r="V1478" s="133">
        <v>0.867924528301887</v>
      </c>
      <c r="W1478" s="133">
        <v>0.816425120772947</v>
      </c>
      <c r="X1478" s="133">
        <v>0.85246094208857</v>
      </c>
      <c r="Y1478" s="135">
        <v>0.92</v>
      </c>
      <c r="Z1478" s="135" t="s">
        <v>35</v>
      </c>
      <c r="AA1478" s="135" t="s">
        <v>35</v>
      </c>
      <c r="AB1478" s="135" t="s">
        <v>35</v>
      </c>
      <c r="AC1478" s="135" t="s">
        <v>35</v>
      </c>
      <c r="AD1478" s="135">
        <v>0.92</v>
      </c>
      <c r="AE1478" s="133">
        <v>1</v>
      </c>
      <c r="AF1478" s="133">
        <v>0.96078431372549</v>
      </c>
      <c r="AG1478" s="133" t="s">
        <v>35</v>
      </c>
      <c r="AH1478" s="133">
        <v>0.808362369337979</v>
      </c>
      <c r="AI1478" s="135">
        <v>0.92</v>
      </c>
      <c r="AJ1478" s="133">
        <v>0.698412698412698</v>
      </c>
      <c r="AK1478" s="133">
        <v>0.881470730527334</v>
      </c>
      <c r="AL1478" s="133">
        <v>0.839975845410628</v>
      </c>
      <c r="AM1478" s="133">
        <v>0.877782345686263</v>
      </c>
      <c r="AN1478" s="132">
        <v>0.99</v>
      </c>
      <c r="AO1478" s="137">
        <v>1</v>
      </c>
      <c r="AP1478" s="137">
        <v>1</v>
      </c>
      <c r="AQ1478" s="137">
        <v>1</v>
      </c>
      <c r="AR1478" s="137">
        <v>1</v>
      </c>
      <c r="AS1478" s="158">
        <v>0.110069253262963</v>
      </c>
      <c r="AT1478" s="141">
        <v>0.68</v>
      </c>
      <c r="AU1478" s="141">
        <v>0.105263157894737</v>
      </c>
      <c r="AV1478" s="141">
        <v>0.0408163265306122</v>
      </c>
      <c r="AW1478" s="141">
        <v>0.133796698523023</v>
      </c>
      <c r="AX1478" s="95"/>
      <c r="AY1478" s="93"/>
    </row>
    <row r="1479" ht="14.5" spans="1:51">
      <c r="A1479" s="91"/>
      <c r="B1479" s="95"/>
      <c r="C1479" s="152" t="s">
        <v>1455</v>
      </c>
      <c r="D1479" s="153" t="s">
        <v>25</v>
      </c>
      <c r="E1479" s="130" t="s">
        <v>1456</v>
      </c>
      <c r="F1479" s="171" t="s">
        <v>1511</v>
      </c>
      <c r="G1479" s="171" t="s">
        <v>1511</v>
      </c>
      <c r="H1479" s="171" t="s">
        <v>1511</v>
      </c>
      <c r="I1479" s="171" t="s">
        <v>1511</v>
      </c>
      <c r="J1479" s="132">
        <v>0.9</v>
      </c>
      <c r="K1479" s="133">
        <v>1</v>
      </c>
      <c r="L1479" s="133">
        <v>0.967741935483871</v>
      </c>
      <c r="M1479" s="134">
        <v>0.96875</v>
      </c>
      <c r="N1479" s="133">
        <v>0.971014492753623</v>
      </c>
      <c r="O1479" s="135">
        <v>0.9</v>
      </c>
      <c r="P1479" s="133">
        <v>0.996608253250424</v>
      </c>
      <c r="Q1479" s="133">
        <v>0.993000318167356</v>
      </c>
      <c r="R1479" s="133">
        <v>0.993646311330745</v>
      </c>
      <c r="S1479" s="133">
        <v>0.993588462563283</v>
      </c>
      <c r="T1479" s="135">
        <v>0.9</v>
      </c>
      <c r="U1479" s="133">
        <v>0.874505370265687</v>
      </c>
      <c r="V1479" s="133">
        <v>0.895641107222399</v>
      </c>
      <c r="W1479" s="133">
        <v>0.919519943522767</v>
      </c>
      <c r="X1479" s="133">
        <v>0.917565947242206</v>
      </c>
      <c r="Y1479" s="135">
        <v>0.92</v>
      </c>
      <c r="Z1479" s="135" t="s">
        <v>35</v>
      </c>
      <c r="AA1479" s="135" t="s">
        <v>35</v>
      </c>
      <c r="AB1479" s="135" t="s">
        <v>35</v>
      </c>
      <c r="AC1479" s="135" t="s">
        <v>35</v>
      </c>
      <c r="AD1479" s="135">
        <v>0.92</v>
      </c>
      <c r="AE1479" s="133">
        <v>0.973684210526316</v>
      </c>
      <c r="AF1479" s="133">
        <v>1</v>
      </c>
      <c r="AG1479" s="133">
        <v>1</v>
      </c>
      <c r="AH1479" s="133">
        <v>0.96405648267009</v>
      </c>
      <c r="AI1479" s="135">
        <v>0.92</v>
      </c>
      <c r="AJ1479" s="133">
        <v>0.968626342566422</v>
      </c>
      <c r="AK1479" s="133">
        <v>0.957379134860051</v>
      </c>
      <c r="AL1479" s="133">
        <v>0.974232262619132</v>
      </c>
      <c r="AM1479" s="133">
        <v>0.97979983013872</v>
      </c>
      <c r="AN1479" s="132">
        <v>0.99</v>
      </c>
      <c r="AO1479" s="137">
        <v>1</v>
      </c>
      <c r="AP1479" s="137">
        <v>1</v>
      </c>
      <c r="AQ1479" s="137">
        <v>1</v>
      </c>
      <c r="AR1479" s="137">
        <v>1</v>
      </c>
      <c r="AS1479" s="158">
        <v>0.110069253262963</v>
      </c>
      <c r="AT1479" s="141">
        <v>0.0588235294117647</v>
      </c>
      <c r="AU1479" s="141">
        <v>0</v>
      </c>
      <c r="AV1479" s="141">
        <v>0.117647058823529</v>
      </c>
      <c r="AW1479" s="141">
        <v>0.0747330960854092</v>
      </c>
      <c r="AX1479" s="95"/>
      <c r="AY1479" s="93"/>
    </row>
    <row r="1480" ht="14.5" spans="1:51">
      <c r="A1480" s="91"/>
      <c r="B1480" s="95"/>
      <c r="C1480" s="152" t="s">
        <v>1455</v>
      </c>
      <c r="D1480" s="153" t="s">
        <v>25</v>
      </c>
      <c r="E1480" s="130" t="s">
        <v>1456</v>
      </c>
      <c r="F1480" s="171" t="s">
        <v>1512</v>
      </c>
      <c r="G1480" s="171" t="s">
        <v>1512</v>
      </c>
      <c r="H1480" s="171" t="s">
        <v>1512</v>
      </c>
      <c r="I1480" s="171" t="s">
        <v>1512</v>
      </c>
      <c r="J1480" s="132">
        <v>0.9</v>
      </c>
      <c r="K1480" s="133">
        <v>0.272727272727273</v>
      </c>
      <c r="L1480" s="133">
        <v>0.227272727272727</v>
      </c>
      <c r="M1480" s="134">
        <v>0.166666666666667</v>
      </c>
      <c r="N1480" s="133">
        <v>0.25705329153605</v>
      </c>
      <c r="O1480" s="135">
        <v>0.9</v>
      </c>
      <c r="P1480" s="133">
        <v>0.685205784204672</v>
      </c>
      <c r="Q1480" s="133">
        <v>0.567553992968358</v>
      </c>
      <c r="R1480" s="133">
        <v>0.582781456953642</v>
      </c>
      <c r="S1480" s="133">
        <v>0.726784649035594</v>
      </c>
      <c r="T1480" s="135">
        <v>0.9</v>
      </c>
      <c r="U1480" s="133">
        <v>0.771968854282536</v>
      </c>
      <c r="V1480" s="133">
        <v>0.756403817177298</v>
      </c>
      <c r="W1480" s="133">
        <v>0.802528597230584</v>
      </c>
      <c r="X1480" s="133">
        <v>0.749088619341155</v>
      </c>
      <c r="Y1480" s="135">
        <v>0.92</v>
      </c>
      <c r="Z1480" s="135" t="s">
        <v>35</v>
      </c>
      <c r="AA1480" s="135" t="s">
        <v>35</v>
      </c>
      <c r="AB1480" s="135" t="s">
        <v>35</v>
      </c>
      <c r="AC1480" s="135" t="s">
        <v>35</v>
      </c>
      <c r="AD1480" s="135">
        <v>0.92</v>
      </c>
      <c r="AE1480" s="133" t="s">
        <v>35</v>
      </c>
      <c r="AF1480" s="133">
        <v>0</v>
      </c>
      <c r="AG1480" s="133">
        <v>1</v>
      </c>
      <c r="AH1480" s="133">
        <v>0.25</v>
      </c>
      <c r="AI1480" s="135">
        <v>0.92</v>
      </c>
      <c r="AJ1480" s="133">
        <v>0.79639175257732</v>
      </c>
      <c r="AK1480" s="133">
        <v>0.77850326469111</v>
      </c>
      <c r="AL1480" s="133">
        <v>0.821192052980132</v>
      </c>
      <c r="AM1480" s="133">
        <v>0.808140690203352</v>
      </c>
      <c r="AN1480" s="132">
        <v>0.99</v>
      </c>
      <c r="AO1480" s="137">
        <v>1</v>
      </c>
      <c r="AP1480" s="137">
        <v>1</v>
      </c>
      <c r="AQ1480" s="137">
        <v>1</v>
      </c>
      <c r="AR1480" s="137">
        <v>1</v>
      </c>
      <c r="AS1480" s="158">
        <v>0.110069253262963</v>
      </c>
      <c r="AT1480" s="141">
        <v>0.115384615384615</v>
      </c>
      <c r="AU1480" s="141">
        <v>0.774193548387097</v>
      </c>
      <c r="AV1480" s="141">
        <v>0.0606060606060606</v>
      </c>
      <c r="AW1480" s="141">
        <v>0.257078142695357</v>
      </c>
      <c r="AX1480" s="95"/>
      <c r="AY1480" s="93"/>
    </row>
    <row r="1481" ht="14.5" spans="1:51">
      <c r="A1481" s="91"/>
      <c r="B1481" s="95"/>
      <c r="C1481" s="152" t="s">
        <v>1455</v>
      </c>
      <c r="D1481" s="153" t="s">
        <v>25</v>
      </c>
      <c r="E1481" s="130" t="s">
        <v>1456</v>
      </c>
      <c r="F1481" s="171" t="s">
        <v>1513</v>
      </c>
      <c r="G1481" s="171" t="s">
        <v>1513</v>
      </c>
      <c r="H1481" s="171" t="s">
        <v>1513</v>
      </c>
      <c r="I1481" s="171" t="s">
        <v>1513</v>
      </c>
      <c r="J1481" s="132">
        <v>0.9</v>
      </c>
      <c r="K1481" s="133">
        <v>0.566666666666667</v>
      </c>
      <c r="L1481" s="133">
        <v>0.666666666666667</v>
      </c>
      <c r="M1481" s="134">
        <v>0.448275862068966</v>
      </c>
      <c r="N1481" s="133">
        <v>0.541284403669725</v>
      </c>
      <c r="O1481" s="135">
        <v>0.9</v>
      </c>
      <c r="P1481" s="133">
        <v>0.835443037974684</v>
      </c>
      <c r="Q1481" s="133">
        <v>0.686531841652324</v>
      </c>
      <c r="R1481" s="133">
        <v>0.756336528221512</v>
      </c>
      <c r="S1481" s="133">
        <v>0.687667135022436</v>
      </c>
      <c r="T1481" s="135">
        <v>0.9</v>
      </c>
      <c r="U1481" s="133">
        <v>0.603871928518243</v>
      </c>
      <c r="V1481" s="133">
        <v>0.522805507745267</v>
      </c>
      <c r="W1481" s="133">
        <v>0.612566560170394</v>
      </c>
      <c r="X1481" s="133">
        <v>0.545483388478448</v>
      </c>
      <c r="Y1481" s="135">
        <v>0.92</v>
      </c>
      <c r="Z1481" s="135" t="s">
        <v>35</v>
      </c>
      <c r="AA1481" s="135" t="s">
        <v>35</v>
      </c>
      <c r="AB1481" s="135" t="s">
        <v>35</v>
      </c>
      <c r="AC1481" s="135">
        <v>0</v>
      </c>
      <c r="AD1481" s="135">
        <v>0.92</v>
      </c>
      <c r="AE1481" s="133">
        <v>1</v>
      </c>
      <c r="AF1481" s="133">
        <v>0.9</v>
      </c>
      <c r="AG1481" s="133">
        <v>0.909090909090909</v>
      </c>
      <c r="AH1481" s="133">
        <v>0.895705521472393</v>
      </c>
      <c r="AI1481" s="135">
        <v>0.92</v>
      </c>
      <c r="AJ1481" s="133">
        <v>0.703648548026806</v>
      </c>
      <c r="AK1481" s="133">
        <v>0.694707401032702</v>
      </c>
      <c r="AL1481" s="133">
        <v>0.730777422790202</v>
      </c>
      <c r="AM1481" s="133">
        <v>0.708189811457578</v>
      </c>
      <c r="AN1481" s="132">
        <v>0.99</v>
      </c>
      <c r="AO1481" s="137" t="s">
        <v>35</v>
      </c>
      <c r="AP1481" s="137">
        <v>1</v>
      </c>
      <c r="AQ1481" s="137" t="s">
        <v>35</v>
      </c>
      <c r="AR1481" s="137">
        <v>1</v>
      </c>
      <c r="AS1481" s="158">
        <v>0.110069253262963</v>
      </c>
      <c r="AT1481" s="141">
        <v>0.461538461538462</v>
      </c>
      <c r="AU1481" s="141">
        <v>0.0769230769230769</v>
      </c>
      <c r="AV1481" s="141">
        <v>0.130434782608696</v>
      </c>
      <c r="AW1481" s="141">
        <v>0.172489082969432</v>
      </c>
      <c r="AX1481" s="95"/>
      <c r="AY1481" s="93"/>
    </row>
    <row r="1482" ht="14.5" spans="1:51">
      <c r="A1482" s="91"/>
      <c r="B1482" s="95"/>
      <c r="C1482" s="152" t="s">
        <v>1455</v>
      </c>
      <c r="D1482" s="153" t="s">
        <v>25</v>
      </c>
      <c r="E1482" s="130" t="s">
        <v>1456</v>
      </c>
      <c r="F1482" s="171" t="s">
        <v>1514</v>
      </c>
      <c r="G1482" s="171" t="s">
        <v>1514</v>
      </c>
      <c r="H1482" s="171" t="s">
        <v>1514</v>
      </c>
      <c r="I1482" s="171" t="s">
        <v>1514</v>
      </c>
      <c r="J1482" s="132">
        <v>0.9</v>
      </c>
      <c r="K1482" s="133">
        <v>0.740740740740741</v>
      </c>
      <c r="L1482" s="133">
        <v>0.857142857142857</v>
      </c>
      <c r="M1482" s="134">
        <v>0.64</v>
      </c>
      <c r="N1482" s="133">
        <v>0.773987206823028</v>
      </c>
      <c r="O1482" s="135">
        <v>0.9</v>
      </c>
      <c r="P1482" s="133">
        <v>0.920582395764394</v>
      </c>
      <c r="Q1482" s="133">
        <v>0.728624535315985</v>
      </c>
      <c r="R1482" s="133">
        <v>0.846755442823927</v>
      </c>
      <c r="S1482" s="133">
        <v>0.831674285470159</v>
      </c>
      <c r="T1482" s="135">
        <v>0.9</v>
      </c>
      <c r="U1482" s="133">
        <v>0.688285903375248</v>
      </c>
      <c r="V1482" s="133">
        <v>0.546468401486989</v>
      </c>
      <c r="W1482" s="133">
        <v>0.720355104629043</v>
      </c>
      <c r="X1482" s="133">
        <v>0.669457854487974</v>
      </c>
      <c r="Y1482" s="135">
        <v>0.92</v>
      </c>
      <c r="Z1482" s="135" t="s">
        <v>35</v>
      </c>
      <c r="AA1482" s="135" t="s">
        <v>35</v>
      </c>
      <c r="AB1482" s="135" t="s">
        <v>35</v>
      </c>
      <c r="AC1482" s="135" t="s">
        <v>35</v>
      </c>
      <c r="AD1482" s="135">
        <v>0.92</v>
      </c>
      <c r="AE1482" s="133">
        <v>0.727272727272727</v>
      </c>
      <c r="AF1482" s="133">
        <v>0.333333333333333</v>
      </c>
      <c r="AG1482" s="133">
        <v>0.222222222222222</v>
      </c>
      <c r="AH1482" s="133">
        <v>0.809352517985611</v>
      </c>
      <c r="AI1482" s="135">
        <v>0.92</v>
      </c>
      <c r="AJ1482" s="133">
        <v>0.808074123097287</v>
      </c>
      <c r="AK1482" s="133">
        <v>0.717059066501446</v>
      </c>
      <c r="AL1482" s="133">
        <v>0.80849714648066</v>
      </c>
      <c r="AM1482" s="133">
        <v>0.831909257914299</v>
      </c>
      <c r="AN1482" s="132">
        <v>0.99</v>
      </c>
      <c r="AO1482" s="137">
        <v>1</v>
      </c>
      <c r="AP1482" s="137">
        <v>1</v>
      </c>
      <c r="AQ1482" s="137">
        <v>1</v>
      </c>
      <c r="AR1482" s="137">
        <v>1</v>
      </c>
      <c r="AS1482" s="158">
        <v>0.110069253262963</v>
      </c>
      <c r="AT1482" s="141">
        <v>0</v>
      </c>
      <c r="AU1482" s="141">
        <v>0.0434782608695652</v>
      </c>
      <c r="AV1482" s="141">
        <v>0.117647058823529</v>
      </c>
      <c r="AW1482" s="141">
        <v>0.0947368421052632</v>
      </c>
      <c r="AX1482" s="95"/>
      <c r="AY1482" s="93"/>
    </row>
    <row r="1483" ht="14.5" spans="1:51">
      <c r="A1483" s="91"/>
      <c r="B1483" s="95"/>
      <c r="C1483" s="152" t="s">
        <v>1455</v>
      </c>
      <c r="D1483" s="153" t="s">
        <v>125</v>
      </c>
      <c r="E1483" s="130" t="s">
        <v>1456</v>
      </c>
      <c r="F1483" s="171" t="s">
        <v>1515</v>
      </c>
      <c r="G1483" s="171" t="s">
        <v>1515</v>
      </c>
      <c r="H1483" s="171" t="s">
        <v>1515</v>
      </c>
      <c r="I1483" s="171" t="s">
        <v>1515</v>
      </c>
      <c r="J1483" s="132">
        <v>0.9</v>
      </c>
      <c r="K1483" s="133" t="s">
        <v>35</v>
      </c>
      <c r="L1483" s="133" t="s">
        <v>35</v>
      </c>
      <c r="M1483" s="134" t="s">
        <v>35</v>
      </c>
      <c r="N1483" s="133" t="s">
        <v>35</v>
      </c>
      <c r="O1483" s="135">
        <v>0.9</v>
      </c>
      <c r="P1483" s="133">
        <v>0</v>
      </c>
      <c r="Q1483" s="133">
        <v>0</v>
      </c>
      <c r="R1483" s="133" t="s">
        <v>35</v>
      </c>
      <c r="S1483" s="133">
        <v>0</v>
      </c>
      <c r="T1483" s="135">
        <v>0.9</v>
      </c>
      <c r="U1483" s="133">
        <v>1</v>
      </c>
      <c r="V1483" s="133">
        <v>1</v>
      </c>
      <c r="W1483" s="133" t="s">
        <v>35</v>
      </c>
      <c r="X1483" s="133">
        <v>1</v>
      </c>
      <c r="Y1483" s="135">
        <v>0.92</v>
      </c>
      <c r="Z1483" s="135" t="s">
        <v>35</v>
      </c>
      <c r="AA1483" s="135" t="s">
        <v>35</v>
      </c>
      <c r="AB1483" s="135" t="s">
        <v>35</v>
      </c>
      <c r="AC1483" s="135" t="s">
        <v>35</v>
      </c>
      <c r="AD1483" s="135">
        <v>0.92</v>
      </c>
      <c r="AE1483" s="133">
        <v>0.466898954703833</v>
      </c>
      <c r="AF1483" s="133">
        <v>0.666666666666667</v>
      </c>
      <c r="AG1483" s="133">
        <v>0.646634615384615</v>
      </c>
      <c r="AH1483" s="133">
        <v>0.795742753623188</v>
      </c>
      <c r="AI1483" s="135">
        <v>0.92</v>
      </c>
      <c r="AJ1483" s="133">
        <v>1</v>
      </c>
      <c r="AK1483" s="133">
        <v>1</v>
      </c>
      <c r="AL1483" s="133" t="s">
        <v>35</v>
      </c>
      <c r="AM1483" s="133">
        <v>1</v>
      </c>
      <c r="AN1483" s="132">
        <v>0.99</v>
      </c>
      <c r="AO1483" s="137">
        <v>1</v>
      </c>
      <c r="AP1483" s="137">
        <v>1</v>
      </c>
      <c r="AQ1483" s="137">
        <v>1</v>
      </c>
      <c r="AR1483" s="137">
        <v>1</v>
      </c>
      <c r="AS1483" s="158">
        <v>0.110069253262963</v>
      </c>
      <c r="AT1483" s="141" t="s">
        <v>35</v>
      </c>
      <c r="AU1483" s="141" t="s">
        <v>35</v>
      </c>
      <c r="AV1483" s="141" t="s">
        <v>35</v>
      </c>
      <c r="AW1483" s="141" t="s">
        <v>35</v>
      </c>
      <c r="AX1483" s="95"/>
      <c r="AY1483" s="93"/>
    </row>
    <row r="1484" ht="14.5" spans="1:51">
      <c r="A1484" s="91"/>
      <c r="B1484" s="95"/>
      <c r="C1484" s="152" t="s">
        <v>1455</v>
      </c>
      <c r="D1484" s="153" t="s">
        <v>25</v>
      </c>
      <c r="E1484" s="130" t="s">
        <v>1456</v>
      </c>
      <c r="F1484" s="171" t="s">
        <v>1516</v>
      </c>
      <c r="G1484" s="171" t="s">
        <v>1516</v>
      </c>
      <c r="H1484" s="171" t="s">
        <v>1516</v>
      </c>
      <c r="I1484" s="171" t="s">
        <v>1516</v>
      </c>
      <c r="J1484" s="132">
        <v>0.9</v>
      </c>
      <c r="K1484" s="133">
        <v>1</v>
      </c>
      <c r="L1484" s="133">
        <v>1</v>
      </c>
      <c r="M1484" s="134">
        <v>1</v>
      </c>
      <c r="N1484" s="133">
        <v>0.995294117647059</v>
      </c>
      <c r="O1484" s="135">
        <v>0.9</v>
      </c>
      <c r="P1484" s="133">
        <v>0.947877885331348</v>
      </c>
      <c r="Q1484" s="133">
        <v>0.971268395234758</v>
      </c>
      <c r="R1484" s="133">
        <v>0.951854775059195</v>
      </c>
      <c r="S1484" s="133">
        <v>0.960768648557733</v>
      </c>
      <c r="T1484" s="135">
        <v>0.9</v>
      </c>
      <c r="U1484" s="133">
        <v>0.793000744601638</v>
      </c>
      <c r="V1484" s="133">
        <v>0.8072880168185</v>
      </c>
      <c r="W1484" s="133">
        <v>0.782951854775059</v>
      </c>
      <c r="X1484" s="133">
        <v>0.806282062063746</v>
      </c>
      <c r="Y1484" s="135">
        <v>0.92</v>
      </c>
      <c r="Z1484" s="135">
        <v>0.79305740987984</v>
      </c>
      <c r="AA1484" s="135">
        <v>0.835874439461883</v>
      </c>
      <c r="AB1484" s="135">
        <v>0.802401746724891</v>
      </c>
      <c r="AC1484" s="135">
        <v>0.850726552179657</v>
      </c>
      <c r="AD1484" s="135">
        <v>0.92</v>
      </c>
      <c r="AE1484" s="133">
        <v>1</v>
      </c>
      <c r="AF1484" s="133">
        <v>0.404761904761905</v>
      </c>
      <c r="AG1484" s="133">
        <v>0.818181818181818</v>
      </c>
      <c r="AH1484" s="133">
        <v>0.845697329376855</v>
      </c>
      <c r="AI1484" s="135">
        <v>0.92</v>
      </c>
      <c r="AJ1484" s="133">
        <v>0.868068833652008</v>
      </c>
      <c r="AK1484" s="133">
        <v>0.882376081825334</v>
      </c>
      <c r="AL1484" s="133">
        <v>0.86492673992674</v>
      </c>
      <c r="AM1484" s="133">
        <v>0.896312540223584</v>
      </c>
      <c r="AN1484" s="132">
        <v>0.99</v>
      </c>
      <c r="AO1484" s="137">
        <v>1</v>
      </c>
      <c r="AP1484" s="137">
        <v>1</v>
      </c>
      <c r="AQ1484" s="137">
        <v>1</v>
      </c>
      <c r="AR1484" s="137">
        <v>1</v>
      </c>
      <c r="AS1484" s="158">
        <v>0.110069253262963</v>
      </c>
      <c r="AT1484" s="141">
        <v>0</v>
      </c>
      <c r="AU1484" s="141">
        <v>0.166666666666667</v>
      </c>
      <c r="AV1484" s="141">
        <v>0.125</v>
      </c>
      <c r="AW1484" s="141">
        <v>0.10958904109589</v>
      </c>
      <c r="AX1484" s="95"/>
      <c r="AY1484" s="93"/>
    </row>
    <row r="1485" ht="14.5" spans="1:51">
      <c r="A1485" s="91"/>
      <c r="B1485" s="95"/>
      <c r="C1485" s="152" t="s">
        <v>1455</v>
      </c>
      <c r="D1485" s="153" t="s">
        <v>25</v>
      </c>
      <c r="E1485" s="130" t="s">
        <v>1456</v>
      </c>
      <c r="F1485" s="171" t="s">
        <v>1517</v>
      </c>
      <c r="G1485" s="171" t="s">
        <v>1517</v>
      </c>
      <c r="H1485" s="171" t="s">
        <v>1517</v>
      </c>
      <c r="I1485" s="171" t="s">
        <v>1517</v>
      </c>
      <c r="J1485" s="132">
        <v>0.9</v>
      </c>
      <c r="K1485" s="133">
        <v>1</v>
      </c>
      <c r="L1485" s="133">
        <v>1</v>
      </c>
      <c r="M1485" s="134">
        <v>1</v>
      </c>
      <c r="N1485" s="133">
        <v>0.992924528301887</v>
      </c>
      <c r="O1485" s="135">
        <v>0.9</v>
      </c>
      <c r="P1485" s="133">
        <v>0.976816074188563</v>
      </c>
      <c r="Q1485" s="133">
        <v>0.981314878892734</v>
      </c>
      <c r="R1485" s="133">
        <v>0.986486486486487</v>
      </c>
      <c r="S1485" s="133">
        <v>0.971360181413514</v>
      </c>
      <c r="T1485" s="135">
        <v>0.9</v>
      </c>
      <c r="U1485" s="133">
        <v>0.870170015455951</v>
      </c>
      <c r="V1485" s="133">
        <v>0.877508650519031</v>
      </c>
      <c r="W1485" s="133">
        <v>0.86402027027027</v>
      </c>
      <c r="X1485" s="133">
        <v>0.816318817452652</v>
      </c>
      <c r="Y1485" s="135">
        <v>0.92</v>
      </c>
      <c r="Z1485" s="135">
        <v>0.924686192468619</v>
      </c>
      <c r="AA1485" s="135">
        <v>0.940453686200378</v>
      </c>
      <c r="AB1485" s="135">
        <v>0.930526315789474</v>
      </c>
      <c r="AC1485" s="135">
        <v>0.923444206008584</v>
      </c>
      <c r="AD1485" s="135">
        <v>0.92</v>
      </c>
      <c r="AE1485" s="133">
        <v>1</v>
      </c>
      <c r="AF1485" s="133">
        <v>1</v>
      </c>
      <c r="AG1485" s="133">
        <v>1</v>
      </c>
      <c r="AH1485" s="133">
        <v>0.942622950819672</v>
      </c>
      <c r="AI1485" s="135">
        <v>0.92</v>
      </c>
      <c r="AJ1485" s="133">
        <v>0.946792640477374</v>
      </c>
      <c r="AK1485" s="133">
        <v>0.95645225729125</v>
      </c>
      <c r="AL1485" s="133">
        <v>0.954566744730679</v>
      </c>
      <c r="AM1485" s="133">
        <v>0.948629169022046</v>
      </c>
      <c r="AN1485" s="132">
        <v>0.99</v>
      </c>
      <c r="AO1485" s="137">
        <v>1</v>
      </c>
      <c r="AP1485" s="137">
        <v>1</v>
      </c>
      <c r="AQ1485" s="137">
        <v>1</v>
      </c>
      <c r="AR1485" s="137">
        <v>1</v>
      </c>
      <c r="AS1485" s="158">
        <v>0.110069253262963</v>
      </c>
      <c r="AT1485" s="141">
        <v>0.2</v>
      </c>
      <c r="AU1485" s="141">
        <v>0</v>
      </c>
      <c r="AV1485" s="141">
        <v>0.0909090909090909</v>
      </c>
      <c r="AW1485" s="141">
        <v>0.0987654320987654</v>
      </c>
      <c r="AX1485" s="95"/>
      <c r="AY1485" s="93"/>
    </row>
    <row r="1486" ht="14.5" spans="1:51">
      <c r="A1486" s="91"/>
      <c r="B1486" s="95"/>
      <c r="C1486" s="152" t="s">
        <v>1455</v>
      </c>
      <c r="D1486" s="153" t="s">
        <v>25</v>
      </c>
      <c r="E1486" s="130" t="s">
        <v>1456</v>
      </c>
      <c r="F1486" s="171" t="s">
        <v>1518</v>
      </c>
      <c r="G1486" s="171" t="s">
        <v>1518</v>
      </c>
      <c r="H1486" s="171" t="s">
        <v>1518</v>
      </c>
      <c r="I1486" s="171" t="s">
        <v>1518</v>
      </c>
      <c r="J1486" s="132">
        <v>0.9</v>
      </c>
      <c r="K1486" s="133">
        <v>0.111111111111111</v>
      </c>
      <c r="L1486" s="133">
        <v>0.333333333333333</v>
      </c>
      <c r="M1486" s="134">
        <v>0</v>
      </c>
      <c r="N1486" s="133">
        <v>0.195652173913043</v>
      </c>
      <c r="O1486" s="135">
        <v>0.9</v>
      </c>
      <c r="P1486" s="133">
        <v>0.155555555555556</v>
      </c>
      <c r="Q1486" s="133">
        <v>0.538461538461538</v>
      </c>
      <c r="R1486" s="133">
        <v>1</v>
      </c>
      <c r="S1486" s="133">
        <v>0.078258221680877</v>
      </c>
      <c r="T1486" s="135">
        <v>0.9</v>
      </c>
      <c r="U1486" s="133">
        <v>0.0666666666666667</v>
      </c>
      <c r="V1486" s="133">
        <v>0.538461538461538</v>
      </c>
      <c r="W1486" s="133">
        <v>0.2</v>
      </c>
      <c r="X1486" s="133">
        <v>0.0341047503045067</v>
      </c>
      <c r="Y1486" s="135">
        <v>0.92</v>
      </c>
      <c r="Z1486" s="135" t="s">
        <v>35</v>
      </c>
      <c r="AA1486" s="135" t="s">
        <v>35</v>
      </c>
      <c r="AB1486" s="135" t="s">
        <v>35</v>
      </c>
      <c r="AC1486" s="135" t="s">
        <v>35</v>
      </c>
      <c r="AD1486" s="135">
        <v>0.92</v>
      </c>
      <c r="AE1486" s="133">
        <v>0</v>
      </c>
      <c r="AF1486" s="133">
        <v>0</v>
      </c>
      <c r="AG1486" s="133" t="s">
        <v>35</v>
      </c>
      <c r="AH1486" s="133">
        <v>0.777777777777778</v>
      </c>
      <c r="AI1486" s="135">
        <v>0.92</v>
      </c>
      <c r="AJ1486" s="133">
        <v>0.155555555555556</v>
      </c>
      <c r="AK1486" s="133">
        <v>0.538461538461538</v>
      </c>
      <c r="AL1486" s="133">
        <v>0.2</v>
      </c>
      <c r="AM1486" s="133">
        <v>0.042326431181486</v>
      </c>
      <c r="AN1486" s="132">
        <v>0.99</v>
      </c>
      <c r="AO1486" s="137" t="s">
        <v>35</v>
      </c>
      <c r="AP1486" s="137" t="s">
        <v>35</v>
      </c>
      <c r="AQ1486" s="137" t="s">
        <v>35</v>
      </c>
      <c r="AR1486" s="137" t="s">
        <v>35</v>
      </c>
      <c r="AS1486" s="158">
        <v>0.110069253262963</v>
      </c>
      <c r="AT1486" s="141">
        <v>0.6</v>
      </c>
      <c r="AU1486" s="141">
        <v>1.5</v>
      </c>
      <c r="AV1486" s="141">
        <v>0</v>
      </c>
      <c r="AW1486" s="141">
        <v>0.116368286445013</v>
      </c>
      <c r="AX1486" s="95"/>
      <c r="AY1486" s="93"/>
    </row>
    <row r="1487" ht="14.5" spans="1:51">
      <c r="A1487" s="91"/>
      <c r="B1487" s="95"/>
      <c r="C1487" s="152" t="s">
        <v>1455</v>
      </c>
      <c r="D1487" s="153" t="s">
        <v>125</v>
      </c>
      <c r="E1487" s="130" t="s">
        <v>1456</v>
      </c>
      <c r="F1487" s="171" t="s">
        <v>1519</v>
      </c>
      <c r="G1487" s="171" t="s">
        <v>1519</v>
      </c>
      <c r="H1487" s="171" t="s">
        <v>1519</v>
      </c>
      <c r="I1487" s="171" t="s">
        <v>1519</v>
      </c>
      <c r="J1487" s="132">
        <v>0.9</v>
      </c>
      <c r="K1487" s="133" t="s">
        <v>35</v>
      </c>
      <c r="L1487" s="133" t="s">
        <v>35</v>
      </c>
      <c r="M1487" s="134" t="s">
        <v>35</v>
      </c>
      <c r="N1487" s="133" t="s">
        <v>35</v>
      </c>
      <c r="O1487" s="135">
        <v>0.9</v>
      </c>
      <c r="P1487" s="133" t="s">
        <v>35</v>
      </c>
      <c r="Q1487" s="133" t="s">
        <v>35</v>
      </c>
      <c r="R1487" s="133" t="s">
        <v>35</v>
      </c>
      <c r="S1487" s="133" t="s">
        <v>35</v>
      </c>
      <c r="T1487" s="135">
        <v>0.9</v>
      </c>
      <c r="U1487" s="133" t="s">
        <v>35</v>
      </c>
      <c r="V1487" s="133" t="s">
        <v>35</v>
      </c>
      <c r="W1487" s="133" t="s">
        <v>35</v>
      </c>
      <c r="X1487" s="133" t="s">
        <v>35</v>
      </c>
      <c r="Y1487" s="135">
        <v>0.92</v>
      </c>
      <c r="Z1487" s="135" t="s">
        <v>35</v>
      </c>
      <c r="AA1487" s="135" t="s">
        <v>35</v>
      </c>
      <c r="AB1487" s="135" t="s">
        <v>35</v>
      </c>
      <c r="AC1487" s="135" t="s">
        <v>35</v>
      </c>
      <c r="AD1487" s="135">
        <v>0.92</v>
      </c>
      <c r="AE1487" s="133">
        <v>0.932773109243697</v>
      </c>
      <c r="AF1487" s="133">
        <v>0.785714285714286</v>
      </c>
      <c r="AG1487" s="133">
        <v>0.962962962962963</v>
      </c>
      <c r="AH1487" s="133">
        <v>0.945963975983989</v>
      </c>
      <c r="AI1487" s="135">
        <v>0.92</v>
      </c>
      <c r="AJ1487" s="133" t="s">
        <v>35</v>
      </c>
      <c r="AK1487" s="133" t="s">
        <v>35</v>
      </c>
      <c r="AL1487" s="133" t="s">
        <v>35</v>
      </c>
      <c r="AM1487" s="133" t="s">
        <v>35</v>
      </c>
      <c r="AN1487" s="132">
        <v>0.99</v>
      </c>
      <c r="AO1487" s="137">
        <v>1</v>
      </c>
      <c r="AP1487" s="137">
        <v>1</v>
      </c>
      <c r="AQ1487" s="137">
        <v>1</v>
      </c>
      <c r="AR1487" s="137">
        <v>1</v>
      </c>
      <c r="AS1487" s="158">
        <v>0.110069253262963</v>
      </c>
      <c r="AT1487" s="141" t="s">
        <v>35</v>
      </c>
      <c r="AU1487" s="141" t="s">
        <v>35</v>
      </c>
      <c r="AV1487" s="141" t="s">
        <v>35</v>
      </c>
      <c r="AW1487" s="141" t="s">
        <v>35</v>
      </c>
      <c r="AX1487" s="95"/>
      <c r="AY1487" s="93"/>
    </row>
    <row r="1488" ht="14.5" spans="1:51">
      <c r="A1488" s="91"/>
      <c r="B1488" s="95"/>
      <c r="C1488" s="152" t="s">
        <v>1455</v>
      </c>
      <c r="D1488" s="153" t="s">
        <v>25</v>
      </c>
      <c r="E1488" s="130" t="s">
        <v>1456</v>
      </c>
      <c r="F1488" s="171" t="s">
        <v>1520</v>
      </c>
      <c r="G1488" s="171" t="s">
        <v>1520</v>
      </c>
      <c r="H1488" s="171" t="s">
        <v>1520</v>
      </c>
      <c r="I1488" s="171" t="s">
        <v>1520</v>
      </c>
      <c r="J1488" s="132">
        <v>0.9</v>
      </c>
      <c r="K1488" s="133">
        <v>0.642857142857143</v>
      </c>
      <c r="L1488" s="133">
        <v>0.7</v>
      </c>
      <c r="M1488" s="134">
        <v>0.678571428571429</v>
      </c>
      <c r="N1488" s="133">
        <v>0.699410609037328</v>
      </c>
      <c r="O1488" s="135">
        <v>0.9</v>
      </c>
      <c r="P1488" s="133">
        <v>0.85390796201607</v>
      </c>
      <c r="Q1488" s="133">
        <v>0.775</v>
      </c>
      <c r="R1488" s="133">
        <v>0.895123744180348</v>
      </c>
      <c r="S1488" s="133">
        <v>0.858716114457831</v>
      </c>
      <c r="T1488" s="135">
        <v>0.9</v>
      </c>
      <c r="U1488" s="133">
        <v>0.634769905040175</v>
      </c>
      <c r="V1488" s="133">
        <v>0.60484693877551</v>
      </c>
      <c r="W1488" s="133">
        <v>0.749081107571674</v>
      </c>
      <c r="X1488" s="133">
        <v>0.710984563253012</v>
      </c>
      <c r="Y1488" s="135">
        <v>0.92</v>
      </c>
      <c r="Z1488" s="135" t="s">
        <v>35</v>
      </c>
      <c r="AA1488" s="135" t="s">
        <v>35</v>
      </c>
      <c r="AB1488" s="135" t="s">
        <v>35</v>
      </c>
      <c r="AC1488" s="135" t="s">
        <v>35</v>
      </c>
      <c r="AD1488" s="135">
        <v>0.92</v>
      </c>
      <c r="AE1488" s="133">
        <v>0.88</v>
      </c>
      <c r="AF1488" s="133">
        <v>0.928571428571429</v>
      </c>
      <c r="AG1488" s="133">
        <v>0.666666666666667</v>
      </c>
      <c r="AH1488" s="133">
        <v>0.835164835164835</v>
      </c>
      <c r="AI1488" s="135">
        <v>0.92</v>
      </c>
      <c r="AJ1488" s="133">
        <v>0.764061358655953</v>
      </c>
      <c r="AK1488" s="133">
        <v>0.729915837796481</v>
      </c>
      <c r="AL1488" s="133">
        <v>0.834844400882137</v>
      </c>
      <c r="AM1488" s="133">
        <v>0.8524871758671</v>
      </c>
      <c r="AN1488" s="132">
        <v>0.99</v>
      </c>
      <c r="AO1488" s="137">
        <v>1</v>
      </c>
      <c r="AP1488" s="137">
        <v>1</v>
      </c>
      <c r="AQ1488" s="137">
        <v>1</v>
      </c>
      <c r="AR1488" s="137">
        <v>1</v>
      </c>
      <c r="AS1488" s="158">
        <v>0.110069253262963</v>
      </c>
      <c r="AT1488" s="141">
        <v>0.0588235294117647</v>
      </c>
      <c r="AU1488" s="141">
        <v>0.0526315789473684</v>
      </c>
      <c r="AV1488" s="141">
        <v>0.0833333333333333</v>
      </c>
      <c r="AW1488" s="141">
        <v>0.0904522613065327</v>
      </c>
      <c r="AX1488" s="95"/>
      <c r="AY1488" s="93"/>
    </row>
    <row r="1489" ht="14.5" spans="1:51">
      <c r="A1489" s="91"/>
      <c r="B1489" s="95"/>
      <c r="C1489" s="152" t="s">
        <v>1455</v>
      </c>
      <c r="D1489" s="153" t="s">
        <v>25</v>
      </c>
      <c r="E1489" s="130" t="s">
        <v>1456</v>
      </c>
      <c r="F1489" s="171" t="s">
        <v>1521</v>
      </c>
      <c r="G1489" s="171" t="s">
        <v>1521</v>
      </c>
      <c r="H1489" s="171" t="s">
        <v>1521</v>
      </c>
      <c r="I1489" s="171" t="s">
        <v>1521</v>
      </c>
      <c r="J1489" s="132">
        <v>0.9</v>
      </c>
      <c r="K1489" s="133">
        <v>0.958333333333333</v>
      </c>
      <c r="L1489" s="133">
        <v>0.958333333333333</v>
      </c>
      <c r="M1489" s="134">
        <v>1</v>
      </c>
      <c r="N1489" s="133">
        <v>0.989010989010989</v>
      </c>
      <c r="O1489" s="135">
        <v>0.9</v>
      </c>
      <c r="P1489" s="133">
        <v>0.958904109589041</v>
      </c>
      <c r="Q1489" s="133">
        <v>0.95</v>
      </c>
      <c r="R1489" s="133">
        <v>0.972057578323455</v>
      </c>
      <c r="S1489" s="133">
        <v>0.960076839555667</v>
      </c>
      <c r="T1489" s="135">
        <v>0.9</v>
      </c>
      <c r="U1489" s="133">
        <v>0.802891933028919</v>
      </c>
      <c r="V1489" s="133">
        <v>0.774242424242424</v>
      </c>
      <c r="W1489" s="133">
        <v>0.784081287044877</v>
      </c>
      <c r="X1489" s="133">
        <v>0.759249979119686</v>
      </c>
      <c r="Y1489" s="135">
        <v>0.92</v>
      </c>
      <c r="Z1489" s="135">
        <v>0.86056338028169</v>
      </c>
      <c r="AA1489" s="135">
        <v>0.764915405164737</v>
      </c>
      <c r="AB1489" s="135">
        <v>0.793354101765317</v>
      </c>
      <c r="AC1489" s="135">
        <v>0.862123183691173</v>
      </c>
      <c r="AD1489" s="135">
        <v>0.92</v>
      </c>
      <c r="AE1489" s="133">
        <v>0.857142857142857</v>
      </c>
      <c r="AF1489" s="133">
        <v>0.140845070422535</v>
      </c>
      <c r="AG1489" s="133">
        <v>0.238095238095238</v>
      </c>
      <c r="AH1489" s="133">
        <v>0.265452538631347</v>
      </c>
      <c r="AI1489" s="135">
        <v>0.92</v>
      </c>
      <c r="AJ1489" s="133">
        <v>0.905138339920949</v>
      </c>
      <c r="AK1489" s="133">
        <v>0.833401555464593</v>
      </c>
      <c r="AL1489" s="133">
        <v>0.860541044776119</v>
      </c>
      <c r="AM1489" s="133">
        <v>0.901019060200038</v>
      </c>
      <c r="AN1489" s="132">
        <v>0.99</v>
      </c>
      <c r="AO1489" s="137">
        <v>1</v>
      </c>
      <c r="AP1489" s="137">
        <v>1</v>
      </c>
      <c r="AQ1489" s="137">
        <v>1</v>
      </c>
      <c r="AR1489" s="137">
        <v>1</v>
      </c>
      <c r="AS1489" s="158">
        <v>0.110069253262963</v>
      </c>
      <c r="AT1489" s="141">
        <v>0.1</v>
      </c>
      <c r="AU1489" s="141">
        <v>0</v>
      </c>
      <c r="AV1489" s="141">
        <v>0.25</v>
      </c>
      <c r="AW1489" s="141">
        <v>0.0890052356020942</v>
      </c>
      <c r="AX1489" s="95"/>
      <c r="AY1489" s="93"/>
    </row>
    <row r="1490" ht="14.5" spans="1:51">
      <c r="A1490" s="91"/>
      <c r="B1490" s="95"/>
      <c r="C1490" s="152" t="s">
        <v>1455</v>
      </c>
      <c r="D1490" s="153" t="s">
        <v>25</v>
      </c>
      <c r="E1490" s="130" t="s">
        <v>1456</v>
      </c>
      <c r="F1490" s="171" t="s">
        <v>1522</v>
      </c>
      <c r="G1490" s="171" t="s">
        <v>1522</v>
      </c>
      <c r="H1490" s="171" t="s">
        <v>1522</v>
      </c>
      <c r="I1490" s="171" t="s">
        <v>1522</v>
      </c>
      <c r="J1490" s="132">
        <v>0.9</v>
      </c>
      <c r="K1490" s="133">
        <v>1</v>
      </c>
      <c r="L1490" s="133">
        <v>1</v>
      </c>
      <c r="M1490" s="134">
        <v>0.923076923076923</v>
      </c>
      <c r="N1490" s="133">
        <v>0.927272727272727</v>
      </c>
      <c r="O1490" s="135">
        <v>0.9</v>
      </c>
      <c r="P1490" s="133">
        <v>0</v>
      </c>
      <c r="Q1490" s="133">
        <v>0</v>
      </c>
      <c r="R1490" s="133">
        <v>1</v>
      </c>
      <c r="S1490" s="133">
        <v>0.163934426229508</v>
      </c>
      <c r="T1490" s="135">
        <v>0.9</v>
      </c>
      <c r="U1490" s="133">
        <v>0</v>
      </c>
      <c r="V1490" s="133">
        <v>1</v>
      </c>
      <c r="W1490" s="133">
        <v>0</v>
      </c>
      <c r="X1490" s="133">
        <v>0.114754098360656</v>
      </c>
      <c r="Y1490" s="135">
        <v>0.92</v>
      </c>
      <c r="Z1490" s="135" t="s">
        <v>35</v>
      </c>
      <c r="AA1490" s="135" t="s">
        <v>35</v>
      </c>
      <c r="AB1490" s="135" t="s">
        <v>35</v>
      </c>
      <c r="AC1490" s="135">
        <v>0</v>
      </c>
      <c r="AD1490" s="135">
        <v>0.92</v>
      </c>
      <c r="AE1490" s="133" t="s">
        <v>35</v>
      </c>
      <c r="AF1490" s="133" t="s">
        <v>35</v>
      </c>
      <c r="AG1490" s="133">
        <v>1</v>
      </c>
      <c r="AH1490" s="133">
        <v>1</v>
      </c>
      <c r="AI1490" s="135">
        <v>0.92</v>
      </c>
      <c r="AJ1490" s="133">
        <v>0.63155737704918</v>
      </c>
      <c r="AK1490" s="133">
        <v>0.0212765957446809</v>
      </c>
      <c r="AL1490" s="133">
        <v>0.5</v>
      </c>
      <c r="AM1490" s="133">
        <v>0.742539253405428</v>
      </c>
      <c r="AN1490" s="132">
        <v>0.99</v>
      </c>
      <c r="AO1490" s="137" t="s">
        <v>35</v>
      </c>
      <c r="AP1490" s="137" t="s">
        <v>35</v>
      </c>
      <c r="AQ1490" s="137" t="s">
        <v>35</v>
      </c>
      <c r="AR1490" s="137">
        <v>1</v>
      </c>
      <c r="AS1490" s="158">
        <v>0.110069253262963</v>
      </c>
      <c r="AT1490" s="141">
        <v>0.2</v>
      </c>
      <c r="AU1490" s="141">
        <v>0.0833333333333333</v>
      </c>
      <c r="AV1490" s="141">
        <v>0</v>
      </c>
      <c r="AW1490" s="141">
        <v>0.107731305449937</v>
      </c>
      <c r="AX1490" s="95"/>
      <c r="AY1490" s="93"/>
    </row>
    <row r="1491" ht="14.5" spans="1:51">
      <c r="A1491" s="91"/>
      <c r="B1491" s="95"/>
      <c r="C1491" s="152" t="s">
        <v>1455</v>
      </c>
      <c r="D1491" s="153" t="s">
        <v>25</v>
      </c>
      <c r="E1491" s="130" t="s">
        <v>1456</v>
      </c>
      <c r="F1491" s="171" t="s">
        <v>1523</v>
      </c>
      <c r="G1491" s="171" t="s">
        <v>1523</v>
      </c>
      <c r="H1491" s="171" t="s">
        <v>1523</v>
      </c>
      <c r="I1491" s="171" t="s">
        <v>1523</v>
      </c>
      <c r="J1491" s="132">
        <v>0.9</v>
      </c>
      <c r="K1491" s="133">
        <v>1</v>
      </c>
      <c r="L1491" s="133">
        <v>0.777777777777778</v>
      </c>
      <c r="M1491" s="134" t="s">
        <v>35</v>
      </c>
      <c r="N1491" s="133">
        <v>0.919540229885057</v>
      </c>
      <c r="O1491" s="135">
        <v>0.9</v>
      </c>
      <c r="P1491" s="133">
        <v>0</v>
      </c>
      <c r="Q1491" s="133">
        <v>0</v>
      </c>
      <c r="R1491" s="133" t="s">
        <v>35</v>
      </c>
      <c r="S1491" s="133">
        <v>0</v>
      </c>
      <c r="T1491" s="135">
        <v>0.9</v>
      </c>
      <c r="U1491" s="133">
        <v>0</v>
      </c>
      <c r="V1491" s="133">
        <v>0</v>
      </c>
      <c r="W1491" s="133" t="s">
        <v>35</v>
      </c>
      <c r="X1491" s="133">
        <v>0</v>
      </c>
      <c r="Y1491" s="135">
        <v>0.92</v>
      </c>
      <c r="Z1491" s="135" t="s">
        <v>35</v>
      </c>
      <c r="AA1491" s="135" t="s">
        <v>35</v>
      </c>
      <c r="AB1491" s="135" t="s">
        <v>35</v>
      </c>
      <c r="AC1491" s="135" t="s">
        <v>35</v>
      </c>
      <c r="AD1491" s="135">
        <v>0.92</v>
      </c>
      <c r="AE1491" s="133">
        <v>0</v>
      </c>
      <c r="AF1491" s="133">
        <v>0</v>
      </c>
      <c r="AG1491" s="133" t="s">
        <v>35</v>
      </c>
      <c r="AH1491" s="133">
        <v>0.8</v>
      </c>
      <c r="AI1491" s="135">
        <v>0.92</v>
      </c>
      <c r="AJ1491" s="133">
        <v>0.72</v>
      </c>
      <c r="AK1491" s="133">
        <v>0.571256764882742</v>
      </c>
      <c r="AL1491" s="133">
        <v>0.748946135831382</v>
      </c>
      <c r="AM1491" s="133">
        <v>0.836154659998076</v>
      </c>
      <c r="AN1491" s="132">
        <v>0.99</v>
      </c>
      <c r="AO1491" s="137">
        <v>1</v>
      </c>
      <c r="AP1491" s="137">
        <v>1</v>
      </c>
      <c r="AQ1491" s="137" t="s">
        <v>35</v>
      </c>
      <c r="AR1491" s="137">
        <v>1</v>
      </c>
      <c r="AS1491" s="158">
        <v>0.110069253262963</v>
      </c>
      <c r="AT1491" s="141">
        <v>0.11377245508982</v>
      </c>
      <c r="AU1491" s="141">
        <v>0.0351758793969849</v>
      </c>
      <c r="AV1491" s="141">
        <v>0</v>
      </c>
      <c r="AW1491" s="141">
        <v>0.0798212005108557</v>
      </c>
      <c r="AX1491" s="95"/>
      <c r="AY1491" s="93"/>
    </row>
    <row r="1492" ht="14.5" spans="1:51">
      <c r="A1492" s="91"/>
      <c r="B1492" s="95"/>
      <c r="C1492" s="152" t="s">
        <v>1455</v>
      </c>
      <c r="D1492" s="153" t="s">
        <v>25</v>
      </c>
      <c r="E1492" s="130" t="s">
        <v>1456</v>
      </c>
      <c r="F1492" s="171" t="s">
        <v>1524</v>
      </c>
      <c r="G1492" s="171" t="s">
        <v>1524</v>
      </c>
      <c r="H1492" s="171" t="s">
        <v>1524</v>
      </c>
      <c r="I1492" s="171" t="s">
        <v>1524</v>
      </c>
      <c r="J1492" s="132">
        <v>0.9</v>
      </c>
      <c r="K1492" s="133">
        <v>0.916666666666667</v>
      </c>
      <c r="L1492" s="133">
        <v>0.846153846153846</v>
      </c>
      <c r="M1492" s="134">
        <v>0.636363636363636</v>
      </c>
      <c r="N1492" s="133">
        <v>0.837837837837838</v>
      </c>
      <c r="O1492" s="135">
        <v>0.9</v>
      </c>
      <c r="P1492" s="133">
        <v>1</v>
      </c>
      <c r="Q1492" s="133">
        <v>0.993827160493827</v>
      </c>
      <c r="R1492" s="133">
        <v>0.993103448275862</v>
      </c>
      <c r="S1492" s="133">
        <v>0.520793388429752</v>
      </c>
      <c r="T1492" s="135">
        <v>0.9</v>
      </c>
      <c r="U1492" s="133">
        <v>1</v>
      </c>
      <c r="V1492" s="133">
        <v>0.995884773662551</v>
      </c>
      <c r="W1492" s="133">
        <v>0.986206896551724</v>
      </c>
      <c r="X1492" s="133">
        <v>0.445355371900826</v>
      </c>
      <c r="Y1492" s="135">
        <v>0.92</v>
      </c>
      <c r="Z1492" s="135" t="s">
        <v>35</v>
      </c>
      <c r="AA1492" s="135" t="s">
        <v>35</v>
      </c>
      <c r="AB1492" s="135" t="s">
        <v>35</v>
      </c>
      <c r="AC1492" s="135" t="s">
        <v>35</v>
      </c>
      <c r="AD1492" s="135">
        <v>0.92</v>
      </c>
      <c r="AE1492" s="133">
        <v>1</v>
      </c>
      <c r="AF1492" s="133">
        <v>0</v>
      </c>
      <c r="AG1492" s="133" t="s">
        <v>35</v>
      </c>
      <c r="AH1492" s="133">
        <v>0.338709677419355</v>
      </c>
      <c r="AI1492" s="135">
        <v>0.92</v>
      </c>
      <c r="AJ1492" s="133">
        <v>0.655025812329183</v>
      </c>
      <c r="AK1492" s="133">
        <v>0.62046783625731</v>
      </c>
      <c r="AL1492" s="133">
        <v>0.479483282674772</v>
      </c>
      <c r="AM1492" s="133">
        <v>0.591502791939791</v>
      </c>
      <c r="AN1492" s="132">
        <v>0.99</v>
      </c>
      <c r="AO1492" s="137">
        <v>1</v>
      </c>
      <c r="AP1492" s="137" t="s">
        <v>35</v>
      </c>
      <c r="AQ1492" s="137">
        <v>1</v>
      </c>
      <c r="AR1492" s="137">
        <v>1</v>
      </c>
      <c r="AS1492" s="158">
        <v>0.110069253262963</v>
      </c>
      <c r="AT1492" s="141">
        <v>0.0864197530864197</v>
      </c>
      <c r="AU1492" s="141">
        <v>0.170731707317073</v>
      </c>
      <c r="AV1492" s="141">
        <v>0.204545454545455</v>
      </c>
      <c r="AW1492" s="141">
        <v>0.130047194546408</v>
      </c>
      <c r="AX1492" s="95"/>
      <c r="AY1492" s="93"/>
    </row>
    <row r="1493" ht="14.5" spans="1:51">
      <c r="A1493" s="91"/>
      <c r="B1493" s="95"/>
      <c r="C1493" s="152" t="s">
        <v>1455</v>
      </c>
      <c r="D1493" s="153" t="s">
        <v>25</v>
      </c>
      <c r="E1493" s="130" t="s">
        <v>1456</v>
      </c>
      <c r="F1493" s="171" t="s">
        <v>1525</v>
      </c>
      <c r="G1493" s="171" t="s">
        <v>1525</v>
      </c>
      <c r="H1493" s="171" t="s">
        <v>1525</v>
      </c>
      <c r="I1493" s="171" t="s">
        <v>1525</v>
      </c>
      <c r="J1493" s="132">
        <v>0.9</v>
      </c>
      <c r="K1493" s="133" t="s">
        <v>35</v>
      </c>
      <c r="L1493" s="133" t="s">
        <v>35</v>
      </c>
      <c r="M1493" s="134" t="s">
        <v>35</v>
      </c>
      <c r="N1493" s="133" t="s">
        <v>35</v>
      </c>
      <c r="O1493" s="135">
        <v>0.9</v>
      </c>
      <c r="P1493" s="133" t="s">
        <v>35</v>
      </c>
      <c r="Q1493" s="133" t="s">
        <v>35</v>
      </c>
      <c r="R1493" s="133" t="s">
        <v>35</v>
      </c>
      <c r="S1493" s="133" t="s">
        <v>35</v>
      </c>
      <c r="T1493" s="135">
        <v>0.9</v>
      </c>
      <c r="U1493" s="133" t="s">
        <v>35</v>
      </c>
      <c r="V1493" s="133" t="s">
        <v>35</v>
      </c>
      <c r="W1493" s="133" t="s">
        <v>35</v>
      </c>
      <c r="X1493" s="133" t="s">
        <v>35</v>
      </c>
      <c r="Y1493" s="135">
        <v>0.92</v>
      </c>
      <c r="Z1493" s="135" t="s">
        <v>35</v>
      </c>
      <c r="AA1493" s="135" t="s">
        <v>35</v>
      </c>
      <c r="AB1493" s="135" t="s">
        <v>35</v>
      </c>
      <c r="AC1493" s="135" t="s">
        <v>35</v>
      </c>
      <c r="AD1493" s="135">
        <v>0.92</v>
      </c>
      <c r="AE1493" s="133">
        <v>0.10958904109589</v>
      </c>
      <c r="AF1493" s="133">
        <v>0.0172413793103448</v>
      </c>
      <c r="AG1493" s="133">
        <v>0.272222222222222</v>
      </c>
      <c r="AH1493" s="133">
        <v>0.720397036208584</v>
      </c>
      <c r="AI1493" s="135">
        <v>0.92</v>
      </c>
      <c r="AJ1493" s="133" t="s">
        <v>35</v>
      </c>
      <c r="AK1493" s="133">
        <v>1</v>
      </c>
      <c r="AL1493" s="133" t="s">
        <v>35</v>
      </c>
      <c r="AM1493" s="133">
        <v>1</v>
      </c>
      <c r="AN1493" s="132">
        <v>0.99</v>
      </c>
      <c r="AO1493" s="137">
        <v>1</v>
      </c>
      <c r="AP1493" s="137">
        <v>1</v>
      </c>
      <c r="AQ1493" s="137">
        <v>1</v>
      </c>
      <c r="AR1493" s="137">
        <v>1</v>
      </c>
      <c r="AS1493" s="158">
        <v>0.110069253262963</v>
      </c>
      <c r="AT1493" s="141" t="s">
        <v>35</v>
      </c>
      <c r="AU1493" s="141" t="s">
        <v>35</v>
      </c>
      <c r="AV1493" s="141" t="s">
        <v>35</v>
      </c>
      <c r="AW1493" s="141" t="s">
        <v>35</v>
      </c>
      <c r="AX1493" s="95"/>
      <c r="AY1493" s="93"/>
    </row>
    <row r="1494" ht="14.5" spans="1:51">
      <c r="A1494" s="91"/>
      <c r="B1494" s="95"/>
      <c r="C1494" s="152" t="s">
        <v>1455</v>
      </c>
      <c r="D1494" s="153" t="s">
        <v>25</v>
      </c>
      <c r="E1494" s="130" t="s">
        <v>1456</v>
      </c>
      <c r="F1494" s="171" t="s">
        <v>1526</v>
      </c>
      <c r="G1494" s="171" t="s">
        <v>1526</v>
      </c>
      <c r="H1494" s="171" t="s">
        <v>1526</v>
      </c>
      <c r="I1494" s="171" t="s">
        <v>1526</v>
      </c>
      <c r="J1494" s="132">
        <v>0.9</v>
      </c>
      <c r="K1494" s="133">
        <v>0.470588235294118</v>
      </c>
      <c r="L1494" s="133">
        <v>0.59375</v>
      </c>
      <c r="M1494" s="134">
        <v>0.387096774193548</v>
      </c>
      <c r="N1494" s="133">
        <v>0.473180076628352</v>
      </c>
      <c r="O1494" s="135">
        <v>0.9</v>
      </c>
      <c r="P1494" s="133">
        <v>0.982825917252147</v>
      </c>
      <c r="Q1494" s="133">
        <v>0.993108201240524</v>
      </c>
      <c r="R1494" s="133">
        <v>0.981738173817382</v>
      </c>
      <c r="S1494" s="133">
        <v>0.927405447544353</v>
      </c>
      <c r="T1494" s="135">
        <v>0.9</v>
      </c>
      <c r="U1494" s="133">
        <v>0.613583138173302</v>
      </c>
      <c r="V1494" s="133">
        <v>0.545830461750517</v>
      </c>
      <c r="W1494" s="133">
        <v>0.732453245324532</v>
      </c>
      <c r="X1494" s="133">
        <v>0.594032741962155</v>
      </c>
      <c r="Y1494" s="135">
        <v>0.92</v>
      </c>
      <c r="Z1494" s="135">
        <v>0</v>
      </c>
      <c r="AA1494" s="135" t="s">
        <v>35</v>
      </c>
      <c r="AB1494" s="135" t="s">
        <v>35</v>
      </c>
      <c r="AC1494" s="135">
        <v>0.5</v>
      </c>
      <c r="AD1494" s="135">
        <v>0.92</v>
      </c>
      <c r="AE1494" s="133">
        <v>1</v>
      </c>
      <c r="AF1494" s="133">
        <v>1</v>
      </c>
      <c r="AG1494" s="133">
        <v>0.823529411764706</v>
      </c>
      <c r="AH1494" s="133">
        <v>0.889795918367347</v>
      </c>
      <c r="AI1494" s="135">
        <v>0.92</v>
      </c>
      <c r="AJ1494" s="133">
        <v>0.776911076443058</v>
      </c>
      <c r="AK1494" s="133">
        <v>0.742476453020905</v>
      </c>
      <c r="AL1494" s="133">
        <v>0.825962596259626</v>
      </c>
      <c r="AM1494" s="133">
        <v>0.798511869611433</v>
      </c>
      <c r="AN1494" s="132">
        <v>0.99</v>
      </c>
      <c r="AO1494" s="137">
        <v>1</v>
      </c>
      <c r="AP1494" s="137">
        <v>1</v>
      </c>
      <c r="AQ1494" s="137">
        <v>1</v>
      </c>
      <c r="AR1494" s="137">
        <v>1</v>
      </c>
      <c r="AS1494" s="158">
        <v>0.110069253262963</v>
      </c>
      <c r="AT1494" s="141">
        <v>0.107142857142857</v>
      </c>
      <c r="AU1494" s="141">
        <v>0.0833333333333333</v>
      </c>
      <c r="AV1494" s="141">
        <v>0.131578947368421</v>
      </c>
      <c r="AW1494" s="141">
        <v>0.137982195845697</v>
      </c>
      <c r="AX1494" s="95"/>
      <c r="AY1494" s="93"/>
    </row>
    <row r="1495" ht="14.5" spans="1:51">
      <c r="A1495" s="91"/>
      <c r="B1495" s="95"/>
      <c r="C1495" s="152" t="s">
        <v>1455</v>
      </c>
      <c r="D1495" s="153" t="s">
        <v>25</v>
      </c>
      <c r="E1495" s="130" t="s">
        <v>1456</v>
      </c>
      <c r="F1495" s="171" t="s">
        <v>1527</v>
      </c>
      <c r="G1495" s="171" t="s">
        <v>1527</v>
      </c>
      <c r="H1495" s="171" t="s">
        <v>1527</v>
      </c>
      <c r="I1495" s="171" t="s">
        <v>1527</v>
      </c>
      <c r="J1495" s="132">
        <v>0.9</v>
      </c>
      <c r="K1495" s="133">
        <v>0.846153846153846</v>
      </c>
      <c r="L1495" s="133">
        <v>0.807692307692308</v>
      </c>
      <c r="M1495" s="134">
        <v>0.857142857142857</v>
      </c>
      <c r="N1495" s="133">
        <v>0.84375</v>
      </c>
      <c r="O1495" s="135">
        <v>0.9</v>
      </c>
      <c r="P1495" s="133" t="s">
        <v>35</v>
      </c>
      <c r="Q1495" s="133" t="s">
        <v>35</v>
      </c>
      <c r="R1495" s="133">
        <v>0</v>
      </c>
      <c r="S1495" s="133">
        <v>0.5</v>
      </c>
      <c r="T1495" s="135">
        <v>0.9</v>
      </c>
      <c r="U1495" s="133" t="s">
        <v>35</v>
      </c>
      <c r="V1495" s="133" t="s">
        <v>35</v>
      </c>
      <c r="W1495" s="133">
        <v>0</v>
      </c>
      <c r="X1495" s="133">
        <v>0.25</v>
      </c>
      <c r="Y1495" s="135">
        <v>0.92</v>
      </c>
      <c r="Z1495" s="135" t="s">
        <v>35</v>
      </c>
      <c r="AA1495" s="135" t="s">
        <v>35</v>
      </c>
      <c r="AB1495" s="135" t="s">
        <v>35</v>
      </c>
      <c r="AC1495" s="135" t="s">
        <v>35</v>
      </c>
      <c r="AD1495" s="135">
        <v>0.92</v>
      </c>
      <c r="AE1495" s="133" t="s">
        <v>35</v>
      </c>
      <c r="AF1495" s="133" t="s">
        <v>35</v>
      </c>
      <c r="AG1495" s="133" t="s">
        <v>35</v>
      </c>
      <c r="AH1495" s="133">
        <v>0.222222222222222</v>
      </c>
      <c r="AI1495" s="135">
        <v>0.92</v>
      </c>
      <c r="AJ1495" s="133">
        <v>0.684739747634069</v>
      </c>
      <c r="AK1495" s="133">
        <v>0.916883116883117</v>
      </c>
      <c r="AL1495" s="133">
        <v>0.639139784946237</v>
      </c>
      <c r="AM1495" s="133">
        <v>0.780335051546392</v>
      </c>
      <c r="AN1495" s="132">
        <v>0.99</v>
      </c>
      <c r="AO1495" s="137" t="s">
        <v>35</v>
      </c>
      <c r="AP1495" s="137" t="s">
        <v>35</v>
      </c>
      <c r="AQ1495" s="137" t="s">
        <v>35</v>
      </c>
      <c r="AR1495" s="137" t="s">
        <v>35</v>
      </c>
      <c r="AS1495" s="158">
        <v>0.110069253262963</v>
      </c>
      <c r="AT1495" s="141">
        <v>0.194444444444444</v>
      </c>
      <c r="AU1495" s="141">
        <v>0.148148148148148</v>
      </c>
      <c r="AV1495" s="141">
        <v>0.195652173913043</v>
      </c>
      <c r="AW1495" s="141">
        <v>0.197026022304833</v>
      </c>
      <c r="AX1495" s="95"/>
      <c r="AY1495" s="93"/>
    </row>
    <row r="1496" ht="14.5" spans="1:51">
      <c r="A1496" s="91"/>
      <c r="B1496" s="95"/>
      <c r="C1496" s="152" t="s">
        <v>1455</v>
      </c>
      <c r="D1496" s="153" t="s">
        <v>25</v>
      </c>
      <c r="E1496" s="130" t="s">
        <v>1456</v>
      </c>
      <c r="F1496" s="171" t="s">
        <v>1528</v>
      </c>
      <c r="G1496" s="171" t="s">
        <v>1528</v>
      </c>
      <c r="H1496" s="171" t="s">
        <v>1528</v>
      </c>
      <c r="I1496" s="171" t="s">
        <v>1528</v>
      </c>
      <c r="J1496" s="132">
        <v>0.9</v>
      </c>
      <c r="K1496" s="133">
        <v>0.928571428571429</v>
      </c>
      <c r="L1496" s="133">
        <v>1</v>
      </c>
      <c r="M1496" s="134">
        <v>1</v>
      </c>
      <c r="N1496" s="133">
        <v>0.963133640552995</v>
      </c>
      <c r="O1496" s="135">
        <v>0.9</v>
      </c>
      <c r="P1496" s="133">
        <v>0</v>
      </c>
      <c r="Q1496" s="133">
        <v>0.692307692307692</v>
      </c>
      <c r="R1496" s="133">
        <v>0.444444444444444</v>
      </c>
      <c r="S1496" s="133">
        <v>0.988952565076296</v>
      </c>
      <c r="T1496" s="135">
        <v>0.9</v>
      </c>
      <c r="U1496" s="133">
        <v>1</v>
      </c>
      <c r="V1496" s="133">
        <v>0.307692307692308</v>
      </c>
      <c r="W1496" s="133">
        <v>0.355555555555556</v>
      </c>
      <c r="X1496" s="133">
        <v>0.807084167644825</v>
      </c>
      <c r="Y1496" s="135">
        <v>0.92</v>
      </c>
      <c r="Z1496" s="135" t="s">
        <v>35</v>
      </c>
      <c r="AA1496" s="135" t="s">
        <v>35</v>
      </c>
      <c r="AB1496" s="135" t="s">
        <v>35</v>
      </c>
      <c r="AC1496" s="135" t="s">
        <v>35</v>
      </c>
      <c r="AD1496" s="135">
        <v>0.92</v>
      </c>
      <c r="AE1496" s="133">
        <v>0.923076923076923</v>
      </c>
      <c r="AF1496" s="133">
        <v>1</v>
      </c>
      <c r="AG1496" s="133">
        <v>1</v>
      </c>
      <c r="AH1496" s="133">
        <v>0.958904109589041</v>
      </c>
      <c r="AI1496" s="135">
        <v>0.92</v>
      </c>
      <c r="AJ1496" s="133">
        <v>0.1875</v>
      </c>
      <c r="AK1496" s="133">
        <v>0.333333333333333</v>
      </c>
      <c r="AL1496" s="133">
        <v>0.391304347826087</v>
      </c>
      <c r="AM1496" s="133">
        <v>0.838680926916221</v>
      </c>
      <c r="AN1496" s="132">
        <v>0.99</v>
      </c>
      <c r="AO1496" s="137">
        <v>1</v>
      </c>
      <c r="AP1496" s="137">
        <v>1</v>
      </c>
      <c r="AQ1496" s="137">
        <v>1</v>
      </c>
      <c r="AR1496" s="137">
        <v>1</v>
      </c>
      <c r="AS1496" s="158">
        <v>0.110069253262963</v>
      </c>
      <c r="AT1496" s="141">
        <v>0.0265486725663717</v>
      </c>
      <c r="AU1496" s="141">
        <v>0.00793650793650794</v>
      </c>
      <c r="AV1496" s="141">
        <v>0</v>
      </c>
      <c r="AW1496" s="141">
        <v>0.0870662460567823</v>
      </c>
      <c r="AX1496" s="95"/>
      <c r="AY1496" s="93"/>
    </row>
    <row r="1497" ht="14.5" spans="1:51">
      <c r="A1497" s="91"/>
      <c r="B1497" s="95"/>
      <c r="C1497" s="152" t="s">
        <v>1455</v>
      </c>
      <c r="D1497" s="153" t="s">
        <v>25</v>
      </c>
      <c r="E1497" s="130" t="s">
        <v>1456</v>
      </c>
      <c r="F1497" s="171" t="s">
        <v>1529</v>
      </c>
      <c r="G1497" s="171" t="s">
        <v>1529</v>
      </c>
      <c r="H1497" s="171" t="s">
        <v>1529</v>
      </c>
      <c r="I1497" s="171" t="s">
        <v>1529</v>
      </c>
      <c r="J1497" s="132">
        <v>0.9</v>
      </c>
      <c r="K1497" s="133">
        <v>0.653846153846154</v>
      </c>
      <c r="L1497" s="133">
        <v>0.5</v>
      </c>
      <c r="M1497" s="134">
        <v>0.56</v>
      </c>
      <c r="N1497" s="133">
        <v>0.597872340425532</v>
      </c>
      <c r="O1497" s="135">
        <v>0.9</v>
      </c>
      <c r="P1497" s="133">
        <v>0.737174982431483</v>
      </c>
      <c r="Q1497" s="133">
        <v>0.833333333333333</v>
      </c>
      <c r="R1497" s="133">
        <v>0.884607373463862</v>
      </c>
      <c r="S1497" s="133">
        <v>0.832317401512051</v>
      </c>
      <c r="T1497" s="135">
        <v>0.9</v>
      </c>
      <c r="U1497" s="133">
        <v>0.496134926212228</v>
      </c>
      <c r="V1497" s="133">
        <v>0.516235100698726</v>
      </c>
      <c r="W1497" s="133">
        <v>0.700270776921475</v>
      </c>
      <c r="X1497" s="133">
        <v>0.631141361707627</v>
      </c>
      <c r="Y1497" s="135">
        <v>0.92</v>
      </c>
      <c r="Z1497" s="135" t="s">
        <v>35</v>
      </c>
      <c r="AA1497" s="135" t="s">
        <v>35</v>
      </c>
      <c r="AB1497" s="135" t="s">
        <v>35</v>
      </c>
      <c r="AC1497" s="135" t="s">
        <v>35</v>
      </c>
      <c r="AD1497" s="135">
        <v>0.92</v>
      </c>
      <c r="AE1497" s="133">
        <v>0.882352941176471</v>
      </c>
      <c r="AF1497" s="133">
        <v>0.964285714285714</v>
      </c>
      <c r="AG1497" s="133">
        <v>1</v>
      </c>
      <c r="AH1497" s="133">
        <v>0.938053097345133</v>
      </c>
      <c r="AI1497" s="135">
        <v>0.92</v>
      </c>
      <c r="AJ1497" s="133">
        <v>0.710470836261419</v>
      </c>
      <c r="AK1497" s="133">
        <v>0.666666666666667</v>
      </c>
      <c r="AL1497" s="133">
        <v>0.799208498229536</v>
      </c>
      <c r="AM1497" s="133">
        <v>0.816335322118595</v>
      </c>
      <c r="AN1497" s="132">
        <v>0.99</v>
      </c>
      <c r="AO1497" s="137">
        <v>1</v>
      </c>
      <c r="AP1497" s="137">
        <v>1</v>
      </c>
      <c r="AQ1497" s="137">
        <v>1</v>
      </c>
      <c r="AR1497" s="137">
        <v>1</v>
      </c>
      <c r="AS1497" s="158">
        <v>0.110069253262963</v>
      </c>
      <c r="AT1497" s="141">
        <v>0.0869565217391304</v>
      </c>
      <c r="AU1497" s="141">
        <v>0.0606060606060606</v>
      </c>
      <c r="AV1497" s="141">
        <v>0.0384615384615385</v>
      </c>
      <c r="AW1497" s="141">
        <v>0.0923694779116466</v>
      </c>
      <c r="AX1497" s="95"/>
      <c r="AY1497" s="93"/>
    </row>
    <row r="1498" ht="14.5" spans="1:51">
      <c r="A1498" s="91"/>
      <c r="B1498" s="95"/>
      <c r="C1498" s="152" t="s">
        <v>1455</v>
      </c>
      <c r="D1498" s="153" t="s">
        <v>25</v>
      </c>
      <c r="E1498" s="130" t="s">
        <v>1456</v>
      </c>
      <c r="F1498" s="171" t="s">
        <v>1530</v>
      </c>
      <c r="G1498" s="171" t="s">
        <v>1530</v>
      </c>
      <c r="H1498" s="171" t="s">
        <v>1530</v>
      </c>
      <c r="I1498" s="171" t="s">
        <v>1530</v>
      </c>
      <c r="J1498" s="132">
        <v>0.9</v>
      </c>
      <c r="K1498" s="133">
        <v>1</v>
      </c>
      <c r="L1498" s="133">
        <v>1</v>
      </c>
      <c r="M1498" s="134">
        <v>0.692307692307692</v>
      </c>
      <c r="N1498" s="133">
        <v>0.819767441860465</v>
      </c>
      <c r="O1498" s="135">
        <v>0.9</v>
      </c>
      <c r="P1498" s="133" t="s">
        <v>35</v>
      </c>
      <c r="Q1498" s="133" t="s">
        <v>35</v>
      </c>
      <c r="R1498" s="133">
        <v>1</v>
      </c>
      <c r="S1498" s="133">
        <v>0.111111111111111</v>
      </c>
      <c r="T1498" s="135">
        <v>0.9</v>
      </c>
      <c r="U1498" s="133" t="s">
        <v>35</v>
      </c>
      <c r="V1498" s="133" t="s">
        <v>35</v>
      </c>
      <c r="W1498" s="133">
        <v>0</v>
      </c>
      <c r="X1498" s="133">
        <v>0.037037037037037</v>
      </c>
      <c r="Y1498" s="135">
        <v>0.92</v>
      </c>
      <c r="Z1498" s="135" t="s">
        <v>35</v>
      </c>
      <c r="AA1498" s="135" t="s">
        <v>35</v>
      </c>
      <c r="AB1498" s="135" t="s">
        <v>35</v>
      </c>
      <c r="AC1498" s="135" t="s">
        <v>35</v>
      </c>
      <c r="AD1498" s="135">
        <v>0.92</v>
      </c>
      <c r="AE1498" s="133">
        <v>1</v>
      </c>
      <c r="AF1498" s="133" t="s">
        <v>35</v>
      </c>
      <c r="AG1498" s="133" t="s">
        <v>35</v>
      </c>
      <c r="AH1498" s="133">
        <v>0.619047619047619</v>
      </c>
      <c r="AI1498" s="135">
        <v>0.92</v>
      </c>
      <c r="AJ1498" s="133">
        <v>1</v>
      </c>
      <c r="AK1498" s="133">
        <v>0.721153846153846</v>
      </c>
      <c r="AL1498" s="133">
        <v>0.329466357308585</v>
      </c>
      <c r="AM1498" s="133">
        <v>0.362611313985521</v>
      </c>
      <c r="AN1498" s="132">
        <v>0.99</v>
      </c>
      <c r="AO1498" s="137">
        <v>1</v>
      </c>
      <c r="AP1498" s="137" t="s">
        <v>35</v>
      </c>
      <c r="AQ1498" s="137" t="s">
        <v>35</v>
      </c>
      <c r="AR1498" s="137">
        <v>1</v>
      </c>
      <c r="AS1498" s="158">
        <v>0.110069253262963</v>
      </c>
      <c r="AT1498" s="141">
        <v>1.16666666666667</v>
      </c>
      <c r="AU1498" s="141">
        <v>0.0860215053763441</v>
      </c>
      <c r="AV1498" s="141">
        <v>0.0337078651685393</v>
      </c>
      <c r="AW1498" s="141">
        <v>0.120102214650767</v>
      </c>
      <c r="AX1498" s="95"/>
      <c r="AY1498" s="93"/>
    </row>
    <row r="1499" ht="14.5" spans="1:51">
      <c r="A1499" s="91"/>
      <c r="B1499" s="95"/>
      <c r="C1499" s="152" t="s">
        <v>1455</v>
      </c>
      <c r="D1499" s="153" t="s">
        <v>25</v>
      </c>
      <c r="E1499" s="130" t="s">
        <v>1456</v>
      </c>
      <c r="F1499" s="171" t="s">
        <v>1531</v>
      </c>
      <c r="G1499" s="171" t="s">
        <v>1531</v>
      </c>
      <c r="H1499" s="171" t="s">
        <v>1531</v>
      </c>
      <c r="I1499" s="171" t="s">
        <v>1531</v>
      </c>
      <c r="J1499" s="132">
        <v>0.9</v>
      </c>
      <c r="K1499" s="133">
        <v>0.75</v>
      </c>
      <c r="L1499" s="133" t="s">
        <v>35</v>
      </c>
      <c r="M1499" s="134" t="s">
        <v>35</v>
      </c>
      <c r="N1499" s="133">
        <v>0.966666666666667</v>
      </c>
      <c r="O1499" s="135">
        <v>0.9</v>
      </c>
      <c r="P1499" s="133" t="s">
        <v>35</v>
      </c>
      <c r="Q1499" s="133">
        <v>1</v>
      </c>
      <c r="R1499" s="133" t="s">
        <v>35</v>
      </c>
      <c r="S1499" s="133">
        <v>0.904761904761905</v>
      </c>
      <c r="T1499" s="135">
        <v>0.9</v>
      </c>
      <c r="U1499" s="133" t="s">
        <v>35</v>
      </c>
      <c r="V1499" s="133">
        <v>0.875</v>
      </c>
      <c r="W1499" s="133" t="s">
        <v>35</v>
      </c>
      <c r="X1499" s="133">
        <v>0.666666666666667</v>
      </c>
      <c r="Y1499" s="135">
        <v>0.92</v>
      </c>
      <c r="Z1499" s="135" t="s">
        <v>35</v>
      </c>
      <c r="AA1499" s="135" t="s">
        <v>35</v>
      </c>
      <c r="AB1499" s="135" t="s">
        <v>35</v>
      </c>
      <c r="AC1499" s="135" t="s">
        <v>35</v>
      </c>
      <c r="AD1499" s="135">
        <v>0.92</v>
      </c>
      <c r="AE1499" s="133" t="s">
        <v>35</v>
      </c>
      <c r="AF1499" s="133" t="s">
        <v>35</v>
      </c>
      <c r="AG1499" s="133" t="s">
        <v>35</v>
      </c>
      <c r="AH1499" s="133">
        <v>0.986301369863014</v>
      </c>
      <c r="AI1499" s="135">
        <v>0.92</v>
      </c>
      <c r="AJ1499" s="133">
        <v>0.736505681818182</v>
      </c>
      <c r="AK1499" s="133">
        <v>0.208333333333333</v>
      </c>
      <c r="AL1499" s="133">
        <v>0.909090909090909</v>
      </c>
      <c r="AM1499" s="133">
        <v>0.787706697845332</v>
      </c>
      <c r="AN1499" s="132">
        <v>0.99</v>
      </c>
      <c r="AO1499" s="137" t="s">
        <v>35</v>
      </c>
      <c r="AP1499" s="137" t="s">
        <v>35</v>
      </c>
      <c r="AQ1499" s="137" t="s">
        <v>35</v>
      </c>
      <c r="AR1499" s="137">
        <v>1</v>
      </c>
      <c r="AS1499" s="158">
        <v>0.110069253262963</v>
      </c>
      <c r="AT1499" s="141">
        <v>0.666666666666667</v>
      </c>
      <c r="AU1499" s="141">
        <v>0.212121212121212</v>
      </c>
      <c r="AV1499" s="141">
        <v>0</v>
      </c>
      <c r="AW1499" s="141">
        <v>0.128323699421965</v>
      </c>
      <c r="AX1499" s="95"/>
      <c r="AY1499" s="93"/>
    </row>
    <row r="1500" ht="14.5" spans="1:51">
      <c r="A1500" s="91"/>
      <c r="B1500" s="95"/>
      <c r="C1500" s="152" t="s">
        <v>1455</v>
      </c>
      <c r="D1500" s="153" t="s">
        <v>25</v>
      </c>
      <c r="E1500" s="130" t="s">
        <v>1456</v>
      </c>
      <c r="F1500" s="171" t="s">
        <v>1532</v>
      </c>
      <c r="G1500" s="171" t="s">
        <v>1532</v>
      </c>
      <c r="H1500" s="171" t="s">
        <v>1532</v>
      </c>
      <c r="I1500" s="171" t="s">
        <v>1532</v>
      </c>
      <c r="J1500" s="132">
        <v>0.9</v>
      </c>
      <c r="K1500" s="133">
        <v>0.583333333333333</v>
      </c>
      <c r="L1500" s="133">
        <v>0.714285714285714</v>
      </c>
      <c r="M1500" s="134">
        <v>0.666666666666667</v>
      </c>
      <c r="N1500" s="133">
        <v>0.67487684729064</v>
      </c>
      <c r="O1500" s="135">
        <v>0.9</v>
      </c>
      <c r="P1500" s="133">
        <v>1</v>
      </c>
      <c r="Q1500" s="133">
        <v>0.936426116838488</v>
      </c>
      <c r="R1500" s="133">
        <v>0.990476190476191</v>
      </c>
      <c r="S1500" s="133">
        <v>0.872188581314879</v>
      </c>
      <c r="T1500" s="135">
        <v>0.9</v>
      </c>
      <c r="U1500" s="133">
        <v>0.886075949367089</v>
      </c>
      <c r="V1500" s="133">
        <v>0.823024054982818</v>
      </c>
      <c r="W1500" s="133">
        <v>0.704761904761905</v>
      </c>
      <c r="X1500" s="133">
        <v>0.67711937716263</v>
      </c>
      <c r="Y1500" s="135">
        <v>0.92</v>
      </c>
      <c r="Z1500" s="135" t="s">
        <v>35</v>
      </c>
      <c r="AA1500" s="135" t="s">
        <v>35</v>
      </c>
      <c r="AB1500" s="135" t="s">
        <v>35</v>
      </c>
      <c r="AC1500" s="135" t="s">
        <v>35</v>
      </c>
      <c r="AD1500" s="135">
        <v>0.92</v>
      </c>
      <c r="AE1500" s="133" t="s">
        <v>35</v>
      </c>
      <c r="AF1500" s="133" t="s">
        <v>35</v>
      </c>
      <c r="AG1500" s="133" t="s">
        <v>35</v>
      </c>
      <c r="AH1500" s="133">
        <v>1</v>
      </c>
      <c r="AI1500" s="135">
        <v>0.92</v>
      </c>
      <c r="AJ1500" s="133">
        <v>0.892405063291139</v>
      </c>
      <c r="AK1500" s="133">
        <v>0.866838487972509</v>
      </c>
      <c r="AL1500" s="133">
        <v>0.761904761904762</v>
      </c>
      <c r="AM1500" s="133">
        <v>0.767001838036545</v>
      </c>
      <c r="AN1500" s="132">
        <v>0.99</v>
      </c>
      <c r="AO1500" s="137" t="s">
        <v>35</v>
      </c>
      <c r="AP1500" s="137" t="s">
        <v>35</v>
      </c>
      <c r="AQ1500" s="137" t="s">
        <v>35</v>
      </c>
      <c r="AR1500" s="137">
        <v>1</v>
      </c>
      <c r="AS1500" s="158">
        <v>0.110069253262963</v>
      </c>
      <c r="AT1500" s="141">
        <v>2.63157894736842</v>
      </c>
      <c r="AU1500" s="141">
        <v>0.0465116279069767</v>
      </c>
      <c r="AV1500" s="141">
        <v>0.0277777777777778</v>
      </c>
      <c r="AW1500" s="141">
        <v>0.16003616636528</v>
      </c>
      <c r="AX1500" s="95"/>
      <c r="AY1500" s="93"/>
    </row>
    <row r="1501" ht="14.5" spans="1:51">
      <c r="A1501" s="91"/>
      <c r="B1501" s="95"/>
      <c r="C1501" s="152" t="s">
        <v>1455</v>
      </c>
      <c r="D1501" s="153" t="s">
        <v>25</v>
      </c>
      <c r="E1501" s="130" t="s">
        <v>1456</v>
      </c>
      <c r="F1501" s="171" t="s">
        <v>1533</v>
      </c>
      <c r="G1501" s="171" t="s">
        <v>1533</v>
      </c>
      <c r="H1501" s="171" t="s">
        <v>1533</v>
      </c>
      <c r="I1501" s="171" t="s">
        <v>1533</v>
      </c>
      <c r="J1501" s="132">
        <v>0.9</v>
      </c>
      <c r="K1501" s="133">
        <v>0.9</v>
      </c>
      <c r="L1501" s="133">
        <v>1</v>
      </c>
      <c r="M1501" s="134">
        <v>1</v>
      </c>
      <c r="N1501" s="133">
        <v>0.966101694915254</v>
      </c>
      <c r="O1501" s="135">
        <v>0.9</v>
      </c>
      <c r="P1501" s="133">
        <v>0.983333333333333</v>
      </c>
      <c r="Q1501" s="133">
        <v>0.934782608695652</v>
      </c>
      <c r="R1501" s="133">
        <v>0.992805755395683</v>
      </c>
      <c r="S1501" s="133">
        <v>0.988297249853716</v>
      </c>
      <c r="T1501" s="135">
        <v>0.9</v>
      </c>
      <c r="U1501" s="133">
        <v>1</v>
      </c>
      <c r="V1501" s="133">
        <v>0.978260869565217</v>
      </c>
      <c r="W1501" s="133">
        <v>0.517985611510791</v>
      </c>
      <c r="X1501" s="133">
        <v>0.409011117612639</v>
      </c>
      <c r="Y1501" s="135">
        <v>0.92</v>
      </c>
      <c r="Z1501" s="135" t="s">
        <v>35</v>
      </c>
      <c r="AA1501" s="135" t="s">
        <v>35</v>
      </c>
      <c r="AB1501" s="135" t="s">
        <v>35</v>
      </c>
      <c r="AC1501" s="135" t="s">
        <v>35</v>
      </c>
      <c r="AD1501" s="135">
        <v>0.92</v>
      </c>
      <c r="AE1501" s="133">
        <v>1</v>
      </c>
      <c r="AF1501" s="133">
        <v>0.947368421052632</v>
      </c>
      <c r="AG1501" s="133" t="s">
        <v>35</v>
      </c>
      <c r="AH1501" s="133">
        <v>0.979487179487179</v>
      </c>
      <c r="AI1501" s="135">
        <v>0.92</v>
      </c>
      <c r="AJ1501" s="133">
        <v>0.96969696969697</v>
      </c>
      <c r="AK1501" s="133">
        <v>0.268518518518519</v>
      </c>
      <c r="AL1501" s="133">
        <v>0.229344729344729</v>
      </c>
      <c r="AM1501" s="133">
        <v>0.39873565909623</v>
      </c>
      <c r="AN1501" s="132">
        <v>0.99</v>
      </c>
      <c r="AO1501" s="137" t="s">
        <v>35</v>
      </c>
      <c r="AP1501" s="137">
        <v>1</v>
      </c>
      <c r="AQ1501" s="137" t="s">
        <v>35</v>
      </c>
      <c r="AR1501" s="137">
        <v>1</v>
      </c>
      <c r="AS1501" s="158">
        <v>0.110069253262963</v>
      </c>
      <c r="AT1501" s="141">
        <v>0.0892857142857143</v>
      </c>
      <c r="AU1501" s="141">
        <v>0.107692307692308</v>
      </c>
      <c r="AV1501" s="141">
        <v>0.0136986301369863</v>
      </c>
      <c r="AW1501" s="141">
        <v>0.0829231351760697</v>
      </c>
      <c r="AX1501" s="95"/>
      <c r="AY1501" s="93"/>
    </row>
    <row r="1502" ht="14.5" spans="1:51">
      <c r="A1502" s="91"/>
      <c r="B1502" s="95"/>
      <c r="C1502" s="152" t="s">
        <v>1455</v>
      </c>
      <c r="D1502" s="153" t="s">
        <v>25</v>
      </c>
      <c r="E1502" s="130" t="s">
        <v>1456</v>
      </c>
      <c r="F1502" s="171" t="s">
        <v>1534</v>
      </c>
      <c r="G1502" s="171" t="s">
        <v>1534</v>
      </c>
      <c r="H1502" s="171" t="s">
        <v>1534</v>
      </c>
      <c r="I1502" s="171" t="s">
        <v>1534</v>
      </c>
      <c r="J1502" s="132">
        <v>0.9</v>
      </c>
      <c r="K1502" s="133">
        <v>0.9</v>
      </c>
      <c r="L1502" s="133">
        <v>0.8</v>
      </c>
      <c r="M1502" s="134">
        <v>0.5</v>
      </c>
      <c r="N1502" s="133">
        <v>0.717241379310345</v>
      </c>
      <c r="O1502" s="135">
        <v>0.9</v>
      </c>
      <c r="P1502" s="133" t="s">
        <v>35</v>
      </c>
      <c r="Q1502" s="133" t="s">
        <v>35</v>
      </c>
      <c r="R1502" s="133" t="s">
        <v>35</v>
      </c>
      <c r="S1502" s="133">
        <v>0</v>
      </c>
      <c r="T1502" s="135">
        <v>0.9</v>
      </c>
      <c r="U1502" s="133" t="s">
        <v>35</v>
      </c>
      <c r="V1502" s="133" t="s">
        <v>35</v>
      </c>
      <c r="W1502" s="133" t="s">
        <v>35</v>
      </c>
      <c r="X1502" s="133">
        <v>0</v>
      </c>
      <c r="Y1502" s="135">
        <v>0.92</v>
      </c>
      <c r="Z1502" s="135" t="s">
        <v>35</v>
      </c>
      <c r="AA1502" s="135" t="s">
        <v>35</v>
      </c>
      <c r="AB1502" s="135" t="s">
        <v>35</v>
      </c>
      <c r="AC1502" s="135" t="s">
        <v>35</v>
      </c>
      <c r="AD1502" s="135">
        <v>0.92</v>
      </c>
      <c r="AE1502" s="133">
        <v>1</v>
      </c>
      <c r="AF1502" s="133" t="s">
        <v>35</v>
      </c>
      <c r="AG1502" s="133">
        <v>1</v>
      </c>
      <c r="AH1502" s="133">
        <v>0.715789473684211</v>
      </c>
      <c r="AI1502" s="135">
        <v>0.92</v>
      </c>
      <c r="AJ1502" s="133">
        <v>0.970108695652174</v>
      </c>
      <c r="AK1502" s="133">
        <v>0.747395833333333</v>
      </c>
      <c r="AL1502" s="133">
        <v>0.532258064516129</v>
      </c>
      <c r="AM1502" s="133">
        <v>0.711340206185567</v>
      </c>
      <c r="AN1502" s="132">
        <v>0.99</v>
      </c>
      <c r="AO1502" s="137" t="s">
        <v>35</v>
      </c>
      <c r="AP1502" s="137" t="s">
        <v>35</v>
      </c>
      <c r="AQ1502" s="137" t="s">
        <v>35</v>
      </c>
      <c r="AR1502" s="137">
        <v>1</v>
      </c>
      <c r="AS1502" s="158">
        <v>0.110069253262963</v>
      </c>
      <c r="AT1502" s="141">
        <v>0.307692307692308</v>
      </c>
      <c r="AU1502" s="141">
        <v>0.148148148148148</v>
      </c>
      <c r="AV1502" s="141">
        <v>0.138888888888889</v>
      </c>
      <c r="AW1502" s="141">
        <v>0.107084019769357</v>
      </c>
      <c r="AX1502" s="95"/>
      <c r="AY1502" s="93"/>
    </row>
    <row r="1503" ht="14.5" spans="1:51">
      <c r="A1503" s="91"/>
      <c r="B1503" s="95"/>
      <c r="C1503" s="152" t="s">
        <v>1455</v>
      </c>
      <c r="D1503" s="153" t="s">
        <v>25</v>
      </c>
      <c r="E1503" s="130" t="s">
        <v>1456</v>
      </c>
      <c r="F1503" s="171" t="s">
        <v>1535</v>
      </c>
      <c r="G1503" s="171" t="s">
        <v>1535</v>
      </c>
      <c r="H1503" s="171" t="s">
        <v>1535</v>
      </c>
      <c r="I1503" s="171" t="s">
        <v>1535</v>
      </c>
      <c r="J1503" s="132">
        <v>0.9</v>
      </c>
      <c r="K1503" s="133">
        <v>0.823529411764706</v>
      </c>
      <c r="L1503" s="133">
        <v>0.923076923076923</v>
      </c>
      <c r="M1503" s="134">
        <v>0.764705882352941</v>
      </c>
      <c r="N1503" s="133">
        <v>0.840304182509506</v>
      </c>
      <c r="O1503" s="135">
        <v>0.9</v>
      </c>
      <c r="P1503" s="133" t="s">
        <v>35</v>
      </c>
      <c r="Q1503" s="133" t="s">
        <v>35</v>
      </c>
      <c r="R1503" s="133" t="s">
        <v>35</v>
      </c>
      <c r="S1503" s="133">
        <v>0.0344827586206897</v>
      </c>
      <c r="T1503" s="135">
        <v>0.9</v>
      </c>
      <c r="U1503" s="133" t="s">
        <v>35</v>
      </c>
      <c r="V1503" s="133" t="s">
        <v>35</v>
      </c>
      <c r="W1503" s="133" t="s">
        <v>35</v>
      </c>
      <c r="X1503" s="133">
        <v>0</v>
      </c>
      <c r="Y1503" s="135">
        <v>0.92</v>
      </c>
      <c r="Z1503" s="135" t="s">
        <v>35</v>
      </c>
      <c r="AA1503" s="135" t="s">
        <v>35</v>
      </c>
      <c r="AB1503" s="135" t="s">
        <v>35</v>
      </c>
      <c r="AC1503" s="135" t="s">
        <v>35</v>
      </c>
      <c r="AD1503" s="135">
        <v>0.92</v>
      </c>
      <c r="AE1503" s="133">
        <v>1</v>
      </c>
      <c r="AF1503" s="133">
        <v>1</v>
      </c>
      <c r="AG1503" s="133">
        <v>1</v>
      </c>
      <c r="AH1503" s="133">
        <v>0.796747967479675</v>
      </c>
      <c r="AI1503" s="135">
        <v>0.92</v>
      </c>
      <c r="AJ1503" s="133">
        <v>0.909090909090909</v>
      </c>
      <c r="AK1503" s="133">
        <v>0.883777239709443</v>
      </c>
      <c r="AL1503" s="133">
        <v>0.84016606123508</v>
      </c>
      <c r="AM1503" s="133">
        <v>0.857671451355662</v>
      </c>
      <c r="AN1503" s="132">
        <v>0.99</v>
      </c>
      <c r="AO1503" s="137">
        <v>1</v>
      </c>
      <c r="AP1503" s="137">
        <v>1</v>
      </c>
      <c r="AQ1503" s="137">
        <v>1</v>
      </c>
      <c r="AR1503" s="137">
        <v>1</v>
      </c>
      <c r="AS1503" s="158">
        <v>0.110069253262963</v>
      </c>
      <c r="AT1503" s="141">
        <v>0.477272727272727</v>
      </c>
      <c r="AU1503" s="141">
        <v>0.0394736842105263</v>
      </c>
      <c r="AV1503" s="141">
        <v>0</v>
      </c>
      <c r="AW1503" s="141">
        <v>0.100782778864971</v>
      </c>
      <c r="AX1503" s="95"/>
      <c r="AY1503" s="93"/>
    </row>
    <row r="1504" ht="14.5" spans="1:51">
      <c r="A1504" s="91"/>
      <c r="B1504" s="95"/>
      <c r="C1504" s="152" t="s">
        <v>1455</v>
      </c>
      <c r="D1504" s="153" t="s">
        <v>25</v>
      </c>
      <c r="E1504" s="130" t="s">
        <v>1456</v>
      </c>
      <c r="F1504" s="171" t="s">
        <v>1536</v>
      </c>
      <c r="G1504" s="171" t="s">
        <v>1536</v>
      </c>
      <c r="H1504" s="171" t="s">
        <v>1536</v>
      </c>
      <c r="I1504" s="171" t="s">
        <v>1536</v>
      </c>
      <c r="J1504" s="132">
        <v>0.9</v>
      </c>
      <c r="K1504" s="133">
        <v>1</v>
      </c>
      <c r="L1504" s="133" t="s">
        <v>35</v>
      </c>
      <c r="M1504" s="134" t="s">
        <v>35</v>
      </c>
      <c r="N1504" s="133">
        <v>0.971014492753623</v>
      </c>
      <c r="O1504" s="135">
        <v>0.9</v>
      </c>
      <c r="P1504" s="133">
        <v>0.958333333333333</v>
      </c>
      <c r="Q1504" s="133">
        <v>0.8</v>
      </c>
      <c r="R1504" s="133">
        <v>0.25</v>
      </c>
      <c r="S1504" s="133">
        <v>0.650840029218408</v>
      </c>
      <c r="T1504" s="135">
        <v>0.9</v>
      </c>
      <c r="U1504" s="133">
        <v>0.958333333333333</v>
      </c>
      <c r="V1504" s="133">
        <v>0.7</v>
      </c>
      <c r="W1504" s="133">
        <v>0.95</v>
      </c>
      <c r="X1504" s="133">
        <v>0.661796932067202</v>
      </c>
      <c r="Y1504" s="135">
        <v>0.92</v>
      </c>
      <c r="Z1504" s="135" t="s">
        <v>35</v>
      </c>
      <c r="AA1504" s="135" t="s">
        <v>35</v>
      </c>
      <c r="AB1504" s="135" t="s">
        <v>35</v>
      </c>
      <c r="AC1504" s="135" t="s">
        <v>35</v>
      </c>
      <c r="AD1504" s="135">
        <v>0.92</v>
      </c>
      <c r="AE1504" s="133">
        <v>0.642857142857143</v>
      </c>
      <c r="AF1504" s="133" t="s">
        <v>35</v>
      </c>
      <c r="AG1504" s="133">
        <v>1</v>
      </c>
      <c r="AH1504" s="133">
        <v>0.943181818181818</v>
      </c>
      <c r="AI1504" s="135">
        <v>0.92</v>
      </c>
      <c r="AJ1504" s="133">
        <v>0.92</v>
      </c>
      <c r="AK1504" s="133">
        <v>0.7</v>
      </c>
      <c r="AL1504" s="133">
        <v>0.95</v>
      </c>
      <c r="AM1504" s="133">
        <v>0.683826213946696</v>
      </c>
      <c r="AN1504" s="132">
        <v>0.99</v>
      </c>
      <c r="AO1504" s="137" t="s">
        <v>35</v>
      </c>
      <c r="AP1504" s="137">
        <v>1</v>
      </c>
      <c r="AQ1504" s="137" t="s">
        <v>35</v>
      </c>
      <c r="AR1504" s="137">
        <v>1</v>
      </c>
      <c r="AS1504" s="158">
        <v>0.110069253262963</v>
      </c>
      <c r="AT1504" s="141">
        <v>0.05</v>
      </c>
      <c r="AU1504" s="141">
        <v>0</v>
      </c>
      <c r="AV1504" s="141">
        <v>0</v>
      </c>
      <c r="AW1504" s="141">
        <v>0.0412844036697248</v>
      </c>
      <c r="AX1504" s="95"/>
      <c r="AY1504" s="93"/>
    </row>
    <row r="1505" ht="14.5" spans="1:51">
      <c r="A1505" s="91"/>
      <c r="B1505" s="95"/>
      <c r="C1505" s="152" t="s">
        <v>1455</v>
      </c>
      <c r="D1505" s="153" t="s">
        <v>25</v>
      </c>
      <c r="E1505" s="130" t="s">
        <v>1456</v>
      </c>
      <c r="F1505" s="171" t="s">
        <v>1537</v>
      </c>
      <c r="G1505" s="171" t="s">
        <v>1537</v>
      </c>
      <c r="H1505" s="171" t="s">
        <v>1537</v>
      </c>
      <c r="I1505" s="171" t="s">
        <v>1537</v>
      </c>
      <c r="J1505" s="132">
        <v>0.9</v>
      </c>
      <c r="K1505" s="133">
        <v>0.611111111111111</v>
      </c>
      <c r="L1505" s="133">
        <v>0.6</v>
      </c>
      <c r="M1505" s="134">
        <v>0.428571428571429</v>
      </c>
      <c r="N1505" s="133">
        <v>0.546099290780142</v>
      </c>
      <c r="O1505" s="135">
        <v>0.9</v>
      </c>
      <c r="P1505" s="133" t="s">
        <v>35</v>
      </c>
      <c r="Q1505" s="133" t="s">
        <v>35</v>
      </c>
      <c r="R1505" s="133" t="s">
        <v>35</v>
      </c>
      <c r="S1505" s="133">
        <v>0.181818181818182</v>
      </c>
      <c r="T1505" s="135">
        <v>0.9</v>
      </c>
      <c r="U1505" s="133" t="s">
        <v>35</v>
      </c>
      <c r="V1505" s="133" t="s">
        <v>35</v>
      </c>
      <c r="W1505" s="133" t="s">
        <v>35</v>
      </c>
      <c r="X1505" s="133">
        <v>0.0909090909090909</v>
      </c>
      <c r="Y1505" s="135">
        <v>0.92</v>
      </c>
      <c r="Z1505" s="135" t="s">
        <v>35</v>
      </c>
      <c r="AA1505" s="135" t="s">
        <v>35</v>
      </c>
      <c r="AB1505" s="135" t="s">
        <v>35</v>
      </c>
      <c r="AC1505" s="135" t="s">
        <v>35</v>
      </c>
      <c r="AD1505" s="135">
        <v>0.92</v>
      </c>
      <c r="AE1505" s="133">
        <v>0</v>
      </c>
      <c r="AF1505" s="133">
        <v>0</v>
      </c>
      <c r="AG1505" s="133">
        <v>0.2</v>
      </c>
      <c r="AH1505" s="133">
        <v>0.156424581005587</v>
      </c>
      <c r="AI1505" s="135">
        <v>0.92</v>
      </c>
      <c r="AJ1505" s="133">
        <v>0.745749613601236</v>
      </c>
      <c r="AK1505" s="133">
        <v>0.781818181818182</v>
      </c>
      <c r="AL1505" s="133">
        <v>0.804297774366846</v>
      </c>
      <c r="AM1505" s="133">
        <v>0.752956810631229</v>
      </c>
      <c r="AN1505" s="132">
        <v>0.99</v>
      </c>
      <c r="AO1505" s="137">
        <v>1</v>
      </c>
      <c r="AP1505" s="137" t="s">
        <v>35</v>
      </c>
      <c r="AQ1505" s="137" t="s">
        <v>35</v>
      </c>
      <c r="AR1505" s="137">
        <v>1</v>
      </c>
      <c r="AS1505" s="158">
        <v>0.110069253262963</v>
      </c>
      <c r="AT1505" s="141">
        <v>0</v>
      </c>
      <c r="AU1505" s="141">
        <v>0</v>
      </c>
      <c r="AV1505" s="141">
        <v>0.181818181818182</v>
      </c>
      <c r="AW1505" s="141">
        <v>0.104072398190045</v>
      </c>
      <c r="AX1505" s="95"/>
      <c r="AY1505" s="93"/>
    </row>
    <row r="1506" ht="14.5" spans="1:51">
      <c r="A1506" s="91"/>
      <c r="B1506" s="95"/>
      <c r="C1506" s="152" t="s">
        <v>1455</v>
      </c>
      <c r="D1506" s="153" t="s">
        <v>25</v>
      </c>
      <c r="E1506" s="130" t="s">
        <v>1456</v>
      </c>
      <c r="F1506" s="171" t="s">
        <v>1538</v>
      </c>
      <c r="G1506" s="171" t="s">
        <v>1538</v>
      </c>
      <c r="H1506" s="171" t="s">
        <v>1538</v>
      </c>
      <c r="I1506" s="171" t="s">
        <v>1538</v>
      </c>
      <c r="J1506" s="132">
        <v>0.9</v>
      </c>
      <c r="K1506" s="133">
        <v>0.9</v>
      </c>
      <c r="L1506" s="133">
        <v>0.95</v>
      </c>
      <c r="M1506" s="134">
        <v>0.8125</v>
      </c>
      <c r="N1506" s="133">
        <v>0.948979591836735</v>
      </c>
      <c r="O1506" s="135">
        <v>0.9</v>
      </c>
      <c r="P1506" s="133">
        <v>0.997802197802198</v>
      </c>
      <c r="Q1506" s="133">
        <v>1</v>
      </c>
      <c r="R1506" s="133">
        <v>0.654905105586742</v>
      </c>
      <c r="S1506" s="133">
        <v>0.561084420041181</v>
      </c>
      <c r="T1506" s="135">
        <v>0.9</v>
      </c>
      <c r="U1506" s="133">
        <v>0.894505494505495</v>
      </c>
      <c r="V1506" s="133">
        <v>0.687150837988827</v>
      </c>
      <c r="W1506" s="133">
        <v>0.641005078855921</v>
      </c>
      <c r="X1506" s="133">
        <v>0.49438057652711</v>
      </c>
      <c r="Y1506" s="135">
        <v>0.92</v>
      </c>
      <c r="Z1506" s="135" t="s">
        <v>35</v>
      </c>
      <c r="AA1506" s="135" t="s">
        <v>35</v>
      </c>
      <c r="AB1506" s="135" t="s">
        <v>35</v>
      </c>
      <c r="AC1506" s="135" t="s">
        <v>35</v>
      </c>
      <c r="AD1506" s="135">
        <v>0.92</v>
      </c>
      <c r="AE1506" s="133">
        <v>1</v>
      </c>
      <c r="AF1506" s="133">
        <v>1</v>
      </c>
      <c r="AG1506" s="133">
        <v>1</v>
      </c>
      <c r="AH1506" s="133">
        <v>0.99468085106383</v>
      </c>
      <c r="AI1506" s="135">
        <v>0.92</v>
      </c>
      <c r="AJ1506" s="133">
        <v>0.991208791208791</v>
      </c>
      <c r="AK1506" s="133">
        <v>0.743016759776536</v>
      </c>
      <c r="AL1506" s="133">
        <v>0.680299385191125</v>
      </c>
      <c r="AM1506" s="133">
        <v>0.53656029128293</v>
      </c>
      <c r="AN1506" s="132">
        <v>0.99</v>
      </c>
      <c r="AO1506" s="137">
        <v>1</v>
      </c>
      <c r="AP1506" s="137" t="s">
        <v>35</v>
      </c>
      <c r="AQ1506" s="137">
        <v>1</v>
      </c>
      <c r="AR1506" s="137">
        <v>1</v>
      </c>
      <c r="AS1506" s="158">
        <v>0.110069253262963</v>
      </c>
      <c r="AT1506" s="141">
        <v>0.117647058823529</v>
      </c>
      <c r="AU1506" s="141">
        <v>0.152777777777778</v>
      </c>
      <c r="AV1506" s="141">
        <v>0.442857142857143</v>
      </c>
      <c r="AW1506" s="141">
        <v>0.148068669527897</v>
      </c>
      <c r="AX1506" s="95"/>
      <c r="AY1506" s="93"/>
    </row>
    <row r="1507" ht="14.5" spans="1:51">
      <c r="A1507" s="91"/>
      <c r="B1507" s="95"/>
      <c r="C1507" s="152" t="s">
        <v>1455</v>
      </c>
      <c r="D1507" s="153" t="s">
        <v>25</v>
      </c>
      <c r="E1507" s="130" t="s">
        <v>1456</v>
      </c>
      <c r="F1507" s="171" t="s">
        <v>1539</v>
      </c>
      <c r="G1507" s="171" t="s">
        <v>1539</v>
      </c>
      <c r="H1507" s="171" t="s">
        <v>1539</v>
      </c>
      <c r="I1507" s="171" t="s">
        <v>1539</v>
      </c>
      <c r="J1507" s="132">
        <v>0.9</v>
      </c>
      <c r="K1507" s="133">
        <v>0.6</v>
      </c>
      <c r="L1507" s="133">
        <v>0.75</v>
      </c>
      <c r="M1507" s="134">
        <v>0.666666666666667</v>
      </c>
      <c r="N1507" s="133">
        <v>0.709497206703911</v>
      </c>
      <c r="O1507" s="135">
        <v>0.9</v>
      </c>
      <c r="P1507" s="133" t="s">
        <v>35</v>
      </c>
      <c r="Q1507" s="133" t="s">
        <v>35</v>
      </c>
      <c r="R1507" s="133">
        <v>0</v>
      </c>
      <c r="S1507" s="133">
        <v>0</v>
      </c>
      <c r="T1507" s="135">
        <v>0.9</v>
      </c>
      <c r="U1507" s="133" t="s">
        <v>35</v>
      </c>
      <c r="V1507" s="133" t="s">
        <v>35</v>
      </c>
      <c r="W1507" s="133">
        <v>0</v>
      </c>
      <c r="X1507" s="133">
        <v>0</v>
      </c>
      <c r="Y1507" s="135">
        <v>0.92</v>
      </c>
      <c r="Z1507" s="135" t="s">
        <v>35</v>
      </c>
      <c r="AA1507" s="135" t="s">
        <v>35</v>
      </c>
      <c r="AB1507" s="135" t="s">
        <v>35</v>
      </c>
      <c r="AC1507" s="135">
        <v>0</v>
      </c>
      <c r="AD1507" s="135">
        <v>0.92</v>
      </c>
      <c r="AE1507" s="133" t="s">
        <v>35</v>
      </c>
      <c r="AF1507" s="133">
        <v>0</v>
      </c>
      <c r="AG1507" s="133">
        <v>0.333333333333333</v>
      </c>
      <c r="AH1507" s="133">
        <v>0.2</v>
      </c>
      <c r="AI1507" s="135">
        <v>0.92</v>
      </c>
      <c r="AJ1507" s="133">
        <v>0.989010989010989</v>
      </c>
      <c r="AK1507" s="133">
        <v>0.834033613445378</v>
      </c>
      <c r="AL1507" s="133">
        <v>0.249734325185972</v>
      </c>
      <c r="AM1507" s="133">
        <v>0.277464788732394</v>
      </c>
      <c r="AN1507" s="132">
        <v>0.99</v>
      </c>
      <c r="AO1507" s="137" t="s">
        <v>35</v>
      </c>
      <c r="AP1507" s="137" t="s">
        <v>35</v>
      </c>
      <c r="AQ1507" s="137">
        <v>1</v>
      </c>
      <c r="AR1507" s="137">
        <v>1</v>
      </c>
      <c r="AS1507" s="158">
        <v>0.110069253262963</v>
      </c>
      <c r="AT1507" s="141">
        <v>0.555555555555556</v>
      </c>
      <c r="AU1507" s="141">
        <v>0.285714285714286</v>
      </c>
      <c r="AV1507" s="141">
        <v>0.297872340425532</v>
      </c>
      <c r="AW1507" s="141">
        <v>0.070906432748538</v>
      </c>
      <c r="AX1507" s="95"/>
      <c r="AY1507" s="93"/>
    </row>
    <row r="1508" ht="14.5" spans="1:51">
      <c r="A1508" s="91"/>
      <c r="B1508" s="95"/>
      <c r="C1508" s="152" t="s">
        <v>1455</v>
      </c>
      <c r="D1508" s="153" t="s">
        <v>25</v>
      </c>
      <c r="E1508" s="130" t="s">
        <v>1456</v>
      </c>
      <c r="F1508" s="171" t="s">
        <v>1540</v>
      </c>
      <c r="G1508" s="171" t="s">
        <v>1540</v>
      </c>
      <c r="H1508" s="171" t="s">
        <v>1540</v>
      </c>
      <c r="I1508" s="171" t="s">
        <v>1540</v>
      </c>
      <c r="J1508" s="132">
        <v>0.9</v>
      </c>
      <c r="K1508" s="133">
        <v>1</v>
      </c>
      <c r="L1508" s="133">
        <v>1</v>
      </c>
      <c r="M1508" s="134">
        <v>1</v>
      </c>
      <c r="N1508" s="133">
        <v>0.993775933609959</v>
      </c>
      <c r="O1508" s="135">
        <v>0.9</v>
      </c>
      <c r="P1508" s="133">
        <v>0.970414201183432</v>
      </c>
      <c r="Q1508" s="133">
        <v>0.9525120440468</v>
      </c>
      <c r="R1508" s="133">
        <v>0.959923664122137</v>
      </c>
      <c r="S1508" s="133">
        <v>0.966159860990443</v>
      </c>
      <c r="T1508" s="135">
        <v>0.9</v>
      </c>
      <c r="U1508" s="133">
        <v>0.702662721893491</v>
      </c>
      <c r="V1508" s="133">
        <v>0.682037164487268</v>
      </c>
      <c r="W1508" s="133">
        <v>0.675572519083969</v>
      </c>
      <c r="X1508" s="133">
        <v>0.708166811468288</v>
      </c>
      <c r="Y1508" s="135">
        <v>0.92</v>
      </c>
      <c r="Z1508" s="135">
        <v>0.764854614412137</v>
      </c>
      <c r="AA1508" s="135">
        <v>0.776211453744493</v>
      </c>
      <c r="AB1508" s="135">
        <v>0.748155953635406</v>
      </c>
      <c r="AC1508" s="135">
        <v>0.791173910817591</v>
      </c>
      <c r="AD1508" s="135">
        <v>0.92</v>
      </c>
      <c r="AE1508" s="133">
        <v>0.973684210526316</v>
      </c>
      <c r="AF1508" s="133">
        <v>1</v>
      </c>
      <c r="AG1508" s="133">
        <v>0.941176470588235</v>
      </c>
      <c r="AH1508" s="133">
        <v>0.91566265060241</v>
      </c>
      <c r="AI1508" s="135">
        <v>0.92</v>
      </c>
      <c r="AJ1508" s="133">
        <v>0.823611759216052</v>
      </c>
      <c r="AK1508" s="133">
        <v>0.82696021629973</v>
      </c>
      <c r="AL1508" s="133">
        <v>0.797195793690536</v>
      </c>
      <c r="AM1508" s="133">
        <v>0.852641966026831</v>
      </c>
      <c r="AN1508" s="132">
        <v>0.99</v>
      </c>
      <c r="AO1508" s="137">
        <v>1</v>
      </c>
      <c r="AP1508" s="137">
        <v>1</v>
      </c>
      <c r="AQ1508" s="137">
        <v>1</v>
      </c>
      <c r="AR1508" s="137">
        <v>1</v>
      </c>
      <c r="AS1508" s="158">
        <v>0.110069253262963</v>
      </c>
      <c r="AT1508" s="141">
        <v>0</v>
      </c>
      <c r="AU1508" s="141">
        <v>0.0666666666666667</v>
      </c>
      <c r="AV1508" s="141">
        <v>0</v>
      </c>
      <c r="AW1508" s="141">
        <v>0.114583333333333</v>
      </c>
      <c r="AX1508" s="95"/>
      <c r="AY1508" s="93"/>
    </row>
    <row r="1509" ht="14.5" spans="1:51">
      <c r="A1509" s="91"/>
      <c r="B1509" s="95"/>
      <c r="C1509" s="152" t="s">
        <v>1455</v>
      </c>
      <c r="D1509" s="153" t="s">
        <v>25</v>
      </c>
      <c r="E1509" s="130" t="s">
        <v>1456</v>
      </c>
      <c r="F1509" s="171" t="s">
        <v>1541</v>
      </c>
      <c r="G1509" s="171" t="s">
        <v>1541</v>
      </c>
      <c r="H1509" s="171" t="s">
        <v>1541</v>
      </c>
      <c r="I1509" s="171" t="s">
        <v>1541</v>
      </c>
      <c r="J1509" s="132">
        <v>0.9</v>
      </c>
      <c r="K1509" s="133">
        <v>1</v>
      </c>
      <c r="L1509" s="133">
        <v>0.954545454545455</v>
      </c>
      <c r="M1509" s="134">
        <v>0.961538461538462</v>
      </c>
      <c r="N1509" s="133">
        <v>0.987341772151899</v>
      </c>
      <c r="O1509" s="135">
        <v>0.9</v>
      </c>
      <c r="P1509" s="133">
        <v>0.961234745154343</v>
      </c>
      <c r="Q1509" s="133">
        <v>0.99140625</v>
      </c>
      <c r="R1509" s="133">
        <v>0.994619799139168</v>
      </c>
      <c r="S1509" s="133">
        <v>0.968168975123985</v>
      </c>
      <c r="T1509" s="135">
        <v>0.9</v>
      </c>
      <c r="U1509" s="133">
        <v>0.674084709260589</v>
      </c>
      <c r="V1509" s="133">
        <v>0.75234375</v>
      </c>
      <c r="W1509" s="133">
        <v>0.832137733142037</v>
      </c>
      <c r="X1509" s="133">
        <v>0.827646163877418</v>
      </c>
      <c r="Y1509" s="135">
        <v>0.92</v>
      </c>
      <c r="Z1509" s="135" t="s">
        <v>35</v>
      </c>
      <c r="AA1509" s="135" t="s">
        <v>35</v>
      </c>
      <c r="AB1509" s="135" t="s">
        <v>35</v>
      </c>
      <c r="AC1509" s="135" t="s">
        <v>35</v>
      </c>
      <c r="AD1509" s="135">
        <v>0.92</v>
      </c>
      <c r="AE1509" s="133">
        <v>1</v>
      </c>
      <c r="AF1509" s="133">
        <v>0.984615384615385</v>
      </c>
      <c r="AG1509" s="133">
        <v>1</v>
      </c>
      <c r="AH1509" s="133">
        <v>0.988059701492537</v>
      </c>
      <c r="AI1509" s="135">
        <v>0.92</v>
      </c>
      <c r="AJ1509" s="133">
        <v>0.915290739411342</v>
      </c>
      <c r="AK1509" s="133">
        <v>0.87890625</v>
      </c>
      <c r="AL1509" s="133">
        <v>0.946197991391679</v>
      </c>
      <c r="AM1509" s="133">
        <v>0.94060579715872</v>
      </c>
      <c r="AN1509" s="132">
        <v>0.99</v>
      </c>
      <c r="AO1509" s="137">
        <v>1</v>
      </c>
      <c r="AP1509" s="137">
        <v>1</v>
      </c>
      <c r="AQ1509" s="137">
        <v>1</v>
      </c>
      <c r="AR1509" s="137">
        <v>1</v>
      </c>
      <c r="AS1509" s="158">
        <v>0.110069253262963</v>
      </c>
      <c r="AT1509" s="141">
        <v>0.0555555555555556</v>
      </c>
      <c r="AU1509" s="141">
        <v>0</v>
      </c>
      <c r="AV1509" s="141">
        <v>0</v>
      </c>
      <c r="AW1509" s="141">
        <v>0.0593471810089021</v>
      </c>
      <c r="AX1509" s="95"/>
      <c r="AY1509" s="93"/>
    </row>
    <row r="1510" ht="14.5" spans="1:51">
      <c r="A1510" s="91"/>
      <c r="B1510" s="95"/>
      <c r="C1510" s="152" t="s">
        <v>1455</v>
      </c>
      <c r="D1510" s="153" t="s">
        <v>25</v>
      </c>
      <c r="E1510" s="130" t="s">
        <v>1456</v>
      </c>
      <c r="F1510" s="171" t="s">
        <v>1542</v>
      </c>
      <c r="G1510" s="171" t="s">
        <v>1542</v>
      </c>
      <c r="H1510" s="171" t="s">
        <v>1542</v>
      </c>
      <c r="I1510" s="171" t="s">
        <v>1542</v>
      </c>
      <c r="J1510" s="132">
        <v>0.9</v>
      </c>
      <c r="K1510" s="133">
        <v>0.961538461538462</v>
      </c>
      <c r="L1510" s="133">
        <v>0.928571428571429</v>
      </c>
      <c r="M1510" s="134">
        <v>1</v>
      </c>
      <c r="N1510" s="133">
        <v>0.978494623655914</v>
      </c>
      <c r="O1510" s="135">
        <v>0.9</v>
      </c>
      <c r="P1510" s="133">
        <v>0.850255661066472</v>
      </c>
      <c r="Q1510" s="133">
        <v>0.933942375263528</v>
      </c>
      <c r="R1510" s="133">
        <v>0.942857142857143</v>
      </c>
      <c r="S1510" s="133">
        <v>0.952471946657993</v>
      </c>
      <c r="T1510" s="135">
        <v>0.9</v>
      </c>
      <c r="U1510" s="133">
        <v>0.685902118334551</v>
      </c>
      <c r="V1510" s="133">
        <v>0.66268446943078</v>
      </c>
      <c r="W1510" s="133">
        <v>0.600732600732601</v>
      </c>
      <c r="X1510" s="133">
        <v>0.693161489673118</v>
      </c>
      <c r="Y1510" s="135">
        <v>0.92</v>
      </c>
      <c r="Z1510" s="135">
        <v>0.841107871720117</v>
      </c>
      <c r="AA1510" s="135">
        <v>0.719207579672696</v>
      </c>
      <c r="AB1510" s="135">
        <v>0.738396624472574</v>
      </c>
      <c r="AC1510" s="135">
        <v>0.839138087364659</v>
      </c>
      <c r="AD1510" s="135">
        <v>0.92</v>
      </c>
      <c r="AE1510" s="133">
        <v>1</v>
      </c>
      <c r="AF1510" s="133">
        <v>1</v>
      </c>
      <c r="AG1510" s="133">
        <v>1</v>
      </c>
      <c r="AH1510" s="133">
        <v>0.99620253164557</v>
      </c>
      <c r="AI1510" s="135">
        <v>0.92</v>
      </c>
      <c r="AJ1510" s="133">
        <v>0.901703163017032</v>
      </c>
      <c r="AK1510" s="133">
        <v>0.789473684210526</v>
      </c>
      <c r="AL1510" s="133">
        <v>0.807609165585819</v>
      </c>
      <c r="AM1510" s="133">
        <v>0.890303827254481</v>
      </c>
      <c r="AN1510" s="132">
        <v>0.99</v>
      </c>
      <c r="AO1510" s="137">
        <v>1</v>
      </c>
      <c r="AP1510" s="137">
        <v>1</v>
      </c>
      <c r="AQ1510" s="137">
        <v>1</v>
      </c>
      <c r="AR1510" s="137">
        <v>1</v>
      </c>
      <c r="AS1510" s="158">
        <v>0.110069253262963</v>
      </c>
      <c r="AT1510" s="141">
        <v>0</v>
      </c>
      <c r="AU1510" s="141">
        <v>0</v>
      </c>
      <c r="AV1510" s="141">
        <v>0</v>
      </c>
      <c r="AW1510" s="141">
        <v>0.0413793103448276</v>
      </c>
      <c r="AX1510" s="95"/>
      <c r="AY1510" s="93"/>
    </row>
    <row r="1511" ht="14.5" spans="1:51">
      <c r="A1511" s="91"/>
      <c r="B1511" s="95"/>
      <c r="C1511" s="152" t="s">
        <v>1455</v>
      </c>
      <c r="D1511" s="153" t="s">
        <v>25</v>
      </c>
      <c r="E1511" s="130" t="s">
        <v>1456</v>
      </c>
      <c r="F1511" s="171" t="s">
        <v>1543</v>
      </c>
      <c r="G1511" s="171" t="s">
        <v>1543</v>
      </c>
      <c r="H1511" s="171" t="s">
        <v>1543</v>
      </c>
      <c r="I1511" s="171" t="s">
        <v>1543</v>
      </c>
      <c r="J1511" s="132">
        <v>0.9</v>
      </c>
      <c r="K1511" s="133">
        <v>0.95</v>
      </c>
      <c r="L1511" s="133">
        <v>1</v>
      </c>
      <c r="M1511" s="134">
        <v>0.95</v>
      </c>
      <c r="N1511" s="133">
        <v>0.976501305483029</v>
      </c>
      <c r="O1511" s="135">
        <v>0.9</v>
      </c>
      <c r="P1511" s="133">
        <v>0.971779141104295</v>
      </c>
      <c r="Q1511" s="133">
        <v>0.898067954696869</v>
      </c>
      <c r="R1511" s="133">
        <v>0.962674094707521</v>
      </c>
      <c r="S1511" s="133">
        <v>0.930817610062893</v>
      </c>
      <c r="T1511" s="135">
        <v>0.9</v>
      </c>
      <c r="U1511" s="133">
        <v>0.847852760736196</v>
      </c>
      <c r="V1511" s="133">
        <v>0.816788807461692</v>
      </c>
      <c r="W1511" s="133">
        <v>0.884679665738162</v>
      </c>
      <c r="X1511" s="133">
        <v>0.866473149492017</v>
      </c>
      <c r="Y1511" s="135">
        <v>0.92</v>
      </c>
      <c r="Z1511" s="135" t="s">
        <v>35</v>
      </c>
      <c r="AA1511" s="135" t="s">
        <v>35</v>
      </c>
      <c r="AB1511" s="135" t="s">
        <v>35</v>
      </c>
      <c r="AC1511" s="135" t="s">
        <v>35</v>
      </c>
      <c r="AD1511" s="135">
        <v>0.92</v>
      </c>
      <c r="AE1511" s="133">
        <v>1</v>
      </c>
      <c r="AF1511" s="133">
        <v>1</v>
      </c>
      <c r="AG1511" s="133">
        <v>0.961538461538462</v>
      </c>
      <c r="AH1511" s="133">
        <v>0.876379690949227</v>
      </c>
      <c r="AI1511" s="135">
        <v>0.92</v>
      </c>
      <c r="AJ1511" s="133">
        <v>0.903680981595092</v>
      </c>
      <c r="AK1511" s="133">
        <v>0.892071952031979</v>
      </c>
      <c r="AL1511" s="133">
        <v>0.933147632311978</v>
      </c>
      <c r="AM1511" s="133">
        <v>0.938615213864936</v>
      </c>
      <c r="AN1511" s="132">
        <v>0.99</v>
      </c>
      <c r="AO1511" s="137" t="s">
        <v>35</v>
      </c>
      <c r="AP1511" s="137" t="s">
        <v>35</v>
      </c>
      <c r="AQ1511" s="137">
        <v>1</v>
      </c>
      <c r="AR1511" s="137">
        <v>1</v>
      </c>
      <c r="AS1511" s="158">
        <v>0.110069253262963</v>
      </c>
      <c r="AT1511" s="141">
        <v>0.0909090909090909</v>
      </c>
      <c r="AU1511" s="141">
        <v>0</v>
      </c>
      <c r="AV1511" s="141">
        <v>0.1</v>
      </c>
      <c r="AW1511" s="141">
        <v>0.0772532188841202</v>
      </c>
      <c r="AX1511" s="95"/>
      <c r="AY1511" s="93"/>
    </row>
    <row r="1512" ht="14.5" spans="1:51">
      <c r="A1512" s="91"/>
      <c r="B1512" s="95"/>
      <c r="C1512" s="152" t="s">
        <v>1455</v>
      </c>
      <c r="D1512" s="153" t="s">
        <v>25</v>
      </c>
      <c r="E1512" s="130" t="s">
        <v>1456</v>
      </c>
      <c r="F1512" s="171" t="s">
        <v>1544</v>
      </c>
      <c r="G1512" s="171" t="s">
        <v>1544</v>
      </c>
      <c r="H1512" s="171" t="s">
        <v>1544</v>
      </c>
      <c r="I1512" s="171" t="s">
        <v>1544</v>
      </c>
      <c r="J1512" s="132">
        <v>0.9</v>
      </c>
      <c r="K1512" s="133">
        <v>1</v>
      </c>
      <c r="L1512" s="133">
        <v>1</v>
      </c>
      <c r="M1512" s="134">
        <v>1</v>
      </c>
      <c r="N1512" s="133">
        <v>0.996710526315789</v>
      </c>
      <c r="O1512" s="135">
        <v>0.9</v>
      </c>
      <c r="P1512" s="133">
        <v>0.886051080550098</v>
      </c>
      <c r="Q1512" s="133">
        <v>0.632304661851609</v>
      </c>
      <c r="R1512" s="133">
        <v>0.595384615384615</v>
      </c>
      <c r="S1512" s="133">
        <v>0.871432096734392</v>
      </c>
      <c r="T1512" s="135">
        <v>0.9</v>
      </c>
      <c r="U1512" s="133">
        <v>0.699410609037328</v>
      </c>
      <c r="V1512" s="133">
        <v>0.819435325016415</v>
      </c>
      <c r="W1512" s="133">
        <v>0.853846153846154</v>
      </c>
      <c r="X1512" s="133">
        <v>0.727111951961833</v>
      </c>
      <c r="Y1512" s="135">
        <v>0.92</v>
      </c>
      <c r="Z1512" s="135" t="s">
        <v>35</v>
      </c>
      <c r="AA1512" s="135" t="s">
        <v>35</v>
      </c>
      <c r="AB1512" s="135" t="s">
        <v>35</v>
      </c>
      <c r="AC1512" s="135" t="s">
        <v>35</v>
      </c>
      <c r="AD1512" s="135">
        <v>0.92</v>
      </c>
      <c r="AE1512" s="133">
        <v>1</v>
      </c>
      <c r="AF1512" s="133">
        <v>1</v>
      </c>
      <c r="AG1512" s="133">
        <v>1</v>
      </c>
      <c r="AH1512" s="133">
        <v>1</v>
      </c>
      <c r="AI1512" s="135">
        <v>0.92</v>
      </c>
      <c r="AJ1512" s="133">
        <v>0.880812049770792</v>
      </c>
      <c r="AK1512" s="133">
        <v>0.938936309914642</v>
      </c>
      <c r="AL1512" s="133">
        <v>0.952307692307692</v>
      </c>
      <c r="AM1512" s="133">
        <v>0.927037920539607</v>
      </c>
      <c r="AN1512" s="132">
        <v>0.99</v>
      </c>
      <c r="AO1512" s="137">
        <v>1</v>
      </c>
      <c r="AP1512" s="137">
        <v>1</v>
      </c>
      <c r="AQ1512" s="137">
        <v>1</v>
      </c>
      <c r="AR1512" s="137">
        <v>1</v>
      </c>
      <c r="AS1512" s="158">
        <v>0.110069253262963</v>
      </c>
      <c r="AT1512" s="141">
        <v>0</v>
      </c>
      <c r="AU1512" s="141">
        <v>0.1</v>
      </c>
      <c r="AV1512" s="141">
        <v>0</v>
      </c>
      <c r="AW1512" s="141">
        <v>0.0495495495495496</v>
      </c>
      <c r="AX1512" s="95"/>
      <c r="AY1512" s="93"/>
    </row>
    <row r="1513" ht="14.5" spans="1:51">
      <c r="A1513" s="91"/>
      <c r="B1513" s="95"/>
      <c r="C1513" s="152" t="s">
        <v>1455</v>
      </c>
      <c r="D1513" s="153" t="s">
        <v>25</v>
      </c>
      <c r="E1513" s="130" t="s">
        <v>1456</v>
      </c>
      <c r="F1513" s="171" t="s">
        <v>1545</v>
      </c>
      <c r="G1513" s="171" t="s">
        <v>1545</v>
      </c>
      <c r="H1513" s="171" t="s">
        <v>1545</v>
      </c>
      <c r="I1513" s="171" t="s">
        <v>1545</v>
      </c>
      <c r="J1513" s="132">
        <v>0.9</v>
      </c>
      <c r="K1513" s="133">
        <v>1</v>
      </c>
      <c r="L1513" s="133">
        <v>1</v>
      </c>
      <c r="M1513" s="134">
        <v>1</v>
      </c>
      <c r="N1513" s="133">
        <v>0.983720930232558</v>
      </c>
      <c r="O1513" s="135">
        <v>0.9</v>
      </c>
      <c r="P1513" s="133">
        <v>0.975429975429975</v>
      </c>
      <c r="Q1513" s="133">
        <v>0.98019801980198</v>
      </c>
      <c r="R1513" s="133">
        <v>0.967406380027739</v>
      </c>
      <c r="S1513" s="133">
        <v>0.96864711737233</v>
      </c>
      <c r="T1513" s="135">
        <v>0.9</v>
      </c>
      <c r="U1513" s="133">
        <v>0.742628992628993</v>
      </c>
      <c r="V1513" s="133">
        <v>0.64065230052417</v>
      </c>
      <c r="W1513" s="133">
        <v>0.750346740638003</v>
      </c>
      <c r="X1513" s="133">
        <v>0.715335732332899</v>
      </c>
      <c r="Y1513" s="135">
        <v>0.92</v>
      </c>
      <c r="Z1513" s="135" t="s">
        <v>35</v>
      </c>
      <c r="AA1513" s="135" t="s">
        <v>35</v>
      </c>
      <c r="AB1513" s="135" t="s">
        <v>35</v>
      </c>
      <c r="AC1513" s="135" t="s">
        <v>35</v>
      </c>
      <c r="AD1513" s="135">
        <v>0.92</v>
      </c>
      <c r="AE1513" s="133">
        <v>1</v>
      </c>
      <c r="AF1513" s="133">
        <v>1</v>
      </c>
      <c r="AG1513" s="133">
        <v>1</v>
      </c>
      <c r="AH1513" s="133">
        <v>0.991769547325103</v>
      </c>
      <c r="AI1513" s="135">
        <v>0.92</v>
      </c>
      <c r="AJ1513" s="133">
        <v>0.932432432432432</v>
      </c>
      <c r="AK1513" s="133">
        <v>0.960978450786255</v>
      </c>
      <c r="AL1513" s="133">
        <v>0.935506241331484</v>
      </c>
      <c r="AM1513" s="133">
        <v>0.953257790368272</v>
      </c>
      <c r="AN1513" s="132">
        <v>0.99</v>
      </c>
      <c r="AO1513" s="137">
        <v>1</v>
      </c>
      <c r="AP1513" s="137">
        <v>1</v>
      </c>
      <c r="AQ1513" s="137">
        <v>1</v>
      </c>
      <c r="AR1513" s="137">
        <v>1</v>
      </c>
      <c r="AS1513" s="158">
        <v>0.110069253262963</v>
      </c>
      <c r="AT1513" s="141">
        <v>0</v>
      </c>
      <c r="AU1513" s="141">
        <v>0.130434782608696</v>
      </c>
      <c r="AV1513" s="141">
        <v>0</v>
      </c>
      <c r="AW1513" s="141">
        <v>0.0851063829787234</v>
      </c>
      <c r="AX1513" s="95"/>
      <c r="AY1513" s="93"/>
    </row>
    <row r="1514" ht="14.5" spans="1:51">
      <c r="A1514" s="91"/>
      <c r="B1514" s="95"/>
      <c r="C1514" s="152" t="s">
        <v>1455</v>
      </c>
      <c r="D1514" s="153" t="s">
        <v>25</v>
      </c>
      <c r="E1514" s="130" t="s">
        <v>1456</v>
      </c>
      <c r="F1514" s="171" t="s">
        <v>1546</v>
      </c>
      <c r="G1514" s="171" t="s">
        <v>1546</v>
      </c>
      <c r="H1514" s="171" t="s">
        <v>1546</v>
      </c>
      <c r="I1514" s="171" t="s">
        <v>1546</v>
      </c>
      <c r="J1514" s="132">
        <v>0.9</v>
      </c>
      <c r="K1514" s="133">
        <v>0.952380952380952</v>
      </c>
      <c r="L1514" s="133">
        <v>0.939393939393939</v>
      </c>
      <c r="M1514" s="134">
        <v>0.945945945945946</v>
      </c>
      <c r="N1514" s="133">
        <v>0.928571428571429</v>
      </c>
      <c r="O1514" s="135">
        <v>0.9</v>
      </c>
      <c r="P1514" s="133">
        <v>0.6584784164083</v>
      </c>
      <c r="Q1514" s="133">
        <v>0.807332084559807</v>
      </c>
      <c r="R1514" s="133">
        <v>0.775550122249389</v>
      </c>
      <c r="S1514" s="133">
        <v>0.728293753327187</v>
      </c>
      <c r="T1514" s="135">
        <v>0.9</v>
      </c>
      <c r="U1514" s="133">
        <v>0.697591223467684</v>
      </c>
      <c r="V1514" s="133">
        <v>0.774953170992775</v>
      </c>
      <c r="W1514" s="133">
        <v>0.785085574572127</v>
      </c>
      <c r="X1514" s="133">
        <v>0.768765337522885</v>
      </c>
      <c r="Y1514" s="135">
        <v>0.92</v>
      </c>
      <c r="Z1514" s="135" t="s">
        <v>35</v>
      </c>
      <c r="AA1514" s="135" t="s">
        <v>35</v>
      </c>
      <c r="AB1514" s="135" t="s">
        <v>35</v>
      </c>
      <c r="AC1514" s="135">
        <v>0</v>
      </c>
      <c r="AD1514" s="135">
        <v>0.92</v>
      </c>
      <c r="AE1514" s="133">
        <v>0.791304347826087</v>
      </c>
      <c r="AF1514" s="133">
        <v>0.644859813084112</v>
      </c>
      <c r="AG1514" s="133">
        <v>0.82830626450116</v>
      </c>
      <c r="AH1514" s="133">
        <v>0.812688425743872</v>
      </c>
      <c r="AI1514" s="135">
        <v>0.92</v>
      </c>
      <c r="AJ1514" s="133">
        <v>0.915096589554019</v>
      </c>
      <c r="AK1514" s="133">
        <v>0.881990901792882</v>
      </c>
      <c r="AL1514" s="133">
        <v>0.906356968215159</v>
      </c>
      <c r="AM1514" s="133">
        <v>0.922563556571191</v>
      </c>
      <c r="AN1514" s="132">
        <v>0.99</v>
      </c>
      <c r="AO1514" s="137">
        <v>1</v>
      </c>
      <c r="AP1514" s="137">
        <v>1</v>
      </c>
      <c r="AQ1514" s="137">
        <v>1</v>
      </c>
      <c r="AR1514" s="137">
        <v>1</v>
      </c>
      <c r="AS1514" s="158">
        <v>0.110069253262963</v>
      </c>
      <c r="AT1514" s="141">
        <v>0.0625</v>
      </c>
      <c r="AU1514" s="141">
        <v>0</v>
      </c>
      <c r="AV1514" s="141">
        <v>0.0416666666666667</v>
      </c>
      <c r="AW1514" s="141">
        <v>0.0696798493408663</v>
      </c>
      <c r="AX1514" s="95"/>
      <c r="AY1514" s="93"/>
    </row>
    <row r="1515" ht="14.5" spans="1:51">
      <c r="A1515" s="91"/>
      <c r="B1515" s="95"/>
      <c r="C1515" s="152" t="s">
        <v>1455</v>
      </c>
      <c r="D1515" s="153" t="s">
        <v>25</v>
      </c>
      <c r="E1515" s="130" t="s">
        <v>1456</v>
      </c>
      <c r="F1515" s="171" t="s">
        <v>1547</v>
      </c>
      <c r="G1515" s="171" t="s">
        <v>1547</v>
      </c>
      <c r="H1515" s="171" t="s">
        <v>1547</v>
      </c>
      <c r="I1515" s="171" t="s">
        <v>1547</v>
      </c>
      <c r="J1515" s="132">
        <v>0.9</v>
      </c>
      <c r="K1515" s="133">
        <v>1</v>
      </c>
      <c r="L1515" s="133">
        <v>1</v>
      </c>
      <c r="M1515" s="134">
        <v>1</v>
      </c>
      <c r="N1515" s="133">
        <v>0.985185185185185</v>
      </c>
      <c r="O1515" s="135">
        <v>0.9</v>
      </c>
      <c r="P1515" s="133" t="s">
        <v>35</v>
      </c>
      <c r="Q1515" s="133" t="s">
        <v>35</v>
      </c>
      <c r="R1515" s="133" t="s">
        <v>35</v>
      </c>
      <c r="S1515" s="133">
        <v>0.166666666666667</v>
      </c>
      <c r="T1515" s="135">
        <v>0.9</v>
      </c>
      <c r="U1515" s="133" t="s">
        <v>35</v>
      </c>
      <c r="V1515" s="133" t="s">
        <v>35</v>
      </c>
      <c r="W1515" s="133" t="s">
        <v>35</v>
      </c>
      <c r="X1515" s="133">
        <v>0.166666666666667</v>
      </c>
      <c r="Y1515" s="135">
        <v>0.92</v>
      </c>
      <c r="Z1515" s="135" t="s">
        <v>35</v>
      </c>
      <c r="AA1515" s="135" t="s">
        <v>35</v>
      </c>
      <c r="AB1515" s="135" t="s">
        <v>35</v>
      </c>
      <c r="AC1515" s="135" t="s">
        <v>35</v>
      </c>
      <c r="AD1515" s="135">
        <v>0.92</v>
      </c>
      <c r="AE1515" s="133">
        <v>0</v>
      </c>
      <c r="AF1515" s="133">
        <v>0</v>
      </c>
      <c r="AG1515" s="133">
        <v>1</v>
      </c>
      <c r="AH1515" s="133">
        <v>0.859649122807018</v>
      </c>
      <c r="AI1515" s="135">
        <v>0.92</v>
      </c>
      <c r="AJ1515" s="133">
        <v>0.910386965376782</v>
      </c>
      <c r="AK1515" s="133">
        <v>0.918781725888325</v>
      </c>
      <c r="AL1515" s="133">
        <v>0.92432735426009</v>
      </c>
      <c r="AM1515" s="133">
        <v>0.806609947643979</v>
      </c>
      <c r="AN1515" s="132">
        <v>0.99</v>
      </c>
      <c r="AO1515" s="137">
        <v>1</v>
      </c>
      <c r="AP1515" s="137" t="s">
        <v>35</v>
      </c>
      <c r="AQ1515" s="137">
        <v>1</v>
      </c>
      <c r="AR1515" s="137">
        <v>1</v>
      </c>
      <c r="AS1515" s="158">
        <v>0.110069253262963</v>
      </c>
      <c r="AT1515" s="141">
        <v>0.0909090909090909</v>
      </c>
      <c r="AU1515" s="141">
        <v>0.0714285714285714</v>
      </c>
      <c r="AV1515" s="141">
        <v>0</v>
      </c>
      <c r="AW1515" s="141">
        <v>0.0375586854460094</v>
      </c>
      <c r="AX1515" s="95"/>
      <c r="AY1515" s="93"/>
    </row>
    <row r="1516" ht="14.5" spans="1:51">
      <c r="A1516" s="91"/>
      <c r="B1516" s="95"/>
      <c r="C1516" s="152" t="s">
        <v>1455</v>
      </c>
      <c r="D1516" s="153" t="s">
        <v>25</v>
      </c>
      <c r="E1516" s="130" t="s">
        <v>1456</v>
      </c>
      <c r="F1516" s="171" t="s">
        <v>1548</v>
      </c>
      <c r="G1516" s="171" t="s">
        <v>1548</v>
      </c>
      <c r="H1516" s="171" t="s">
        <v>1548</v>
      </c>
      <c r="I1516" s="171" t="s">
        <v>1548</v>
      </c>
      <c r="J1516" s="132">
        <v>0.9</v>
      </c>
      <c r="K1516" s="133">
        <v>1</v>
      </c>
      <c r="L1516" s="133">
        <v>1</v>
      </c>
      <c r="M1516" s="134">
        <v>0.944444444444444</v>
      </c>
      <c r="N1516" s="133">
        <v>0.979351032448378</v>
      </c>
      <c r="O1516" s="135">
        <v>0.9</v>
      </c>
      <c r="P1516" s="133">
        <v>0.999350227420403</v>
      </c>
      <c r="Q1516" s="133">
        <v>0.999227202472952</v>
      </c>
      <c r="R1516" s="133">
        <v>0.998738170347003</v>
      </c>
      <c r="S1516" s="133">
        <v>0.985218894415635</v>
      </c>
      <c r="T1516" s="135">
        <v>0.9</v>
      </c>
      <c r="U1516" s="133">
        <v>0.944769330734243</v>
      </c>
      <c r="V1516" s="133">
        <v>0.961360123647604</v>
      </c>
      <c r="W1516" s="133">
        <v>0.982334384858044</v>
      </c>
      <c r="X1516" s="133">
        <v>0.954280876283205</v>
      </c>
      <c r="Y1516" s="135">
        <v>0.92</v>
      </c>
      <c r="Z1516" s="135" t="s">
        <v>35</v>
      </c>
      <c r="AA1516" s="135" t="s">
        <v>35</v>
      </c>
      <c r="AB1516" s="135" t="s">
        <v>35</v>
      </c>
      <c r="AC1516" s="135" t="s">
        <v>35</v>
      </c>
      <c r="AD1516" s="135">
        <v>0.92</v>
      </c>
      <c r="AE1516" s="133">
        <v>1</v>
      </c>
      <c r="AF1516" s="133">
        <v>0.976744186046512</v>
      </c>
      <c r="AG1516" s="133">
        <v>0.95</v>
      </c>
      <c r="AH1516" s="133">
        <v>0.938331318016929</v>
      </c>
      <c r="AI1516" s="135">
        <v>0.92</v>
      </c>
      <c r="AJ1516" s="133">
        <v>0.975958414554906</v>
      </c>
      <c r="AK1516" s="133">
        <v>0.982225656877898</v>
      </c>
      <c r="AL1516" s="133">
        <v>0.994321766561514</v>
      </c>
      <c r="AM1516" s="133">
        <v>0.986524147176068</v>
      </c>
      <c r="AN1516" s="132">
        <v>0.99</v>
      </c>
      <c r="AO1516" s="137">
        <v>1</v>
      </c>
      <c r="AP1516" s="137">
        <v>1</v>
      </c>
      <c r="AQ1516" s="137">
        <v>1</v>
      </c>
      <c r="AR1516" s="137">
        <v>1</v>
      </c>
      <c r="AS1516" s="158">
        <v>0.110069253262963</v>
      </c>
      <c r="AT1516" s="141">
        <v>0</v>
      </c>
      <c r="AU1516" s="141">
        <v>0.285714285714286</v>
      </c>
      <c r="AV1516" s="141">
        <v>0</v>
      </c>
      <c r="AW1516" s="141">
        <v>0.095</v>
      </c>
      <c r="AX1516" s="95"/>
      <c r="AY1516" s="93"/>
    </row>
    <row r="1517" ht="14.5" spans="1:51">
      <c r="A1517" s="91"/>
      <c r="B1517" s="95"/>
      <c r="C1517" s="152" t="s">
        <v>1455</v>
      </c>
      <c r="D1517" s="153" t="s">
        <v>25</v>
      </c>
      <c r="E1517" s="130" t="s">
        <v>1456</v>
      </c>
      <c r="F1517" s="171" t="s">
        <v>1549</v>
      </c>
      <c r="G1517" s="171" t="s">
        <v>1549</v>
      </c>
      <c r="H1517" s="171" t="s">
        <v>1549</v>
      </c>
      <c r="I1517" s="171" t="s">
        <v>1549</v>
      </c>
      <c r="J1517" s="132">
        <v>0.9</v>
      </c>
      <c r="K1517" s="133">
        <v>1</v>
      </c>
      <c r="L1517" s="133">
        <v>1</v>
      </c>
      <c r="M1517" s="134">
        <v>1</v>
      </c>
      <c r="N1517" s="133">
        <v>0.99290780141844</v>
      </c>
      <c r="O1517" s="135">
        <v>0.9</v>
      </c>
      <c r="P1517" s="133">
        <v>0.99527027027027</v>
      </c>
      <c r="Q1517" s="133">
        <v>0.937628512679918</v>
      </c>
      <c r="R1517" s="133">
        <v>0.995608531994981</v>
      </c>
      <c r="S1517" s="133">
        <v>0.975456396698939</v>
      </c>
      <c r="T1517" s="135">
        <v>0.9</v>
      </c>
      <c r="U1517" s="133">
        <v>0.869594594594595</v>
      </c>
      <c r="V1517" s="133">
        <v>0.889650445510624</v>
      </c>
      <c r="W1517" s="133">
        <v>0.910288582183187</v>
      </c>
      <c r="X1517" s="133">
        <v>0.879354078096531</v>
      </c>
      <c r="Y1517" s="135">
        <v>0.92</v>
      </c>
      <c r="Z1517" s="135" t="s">
        <v>35</v>
      </c>
      <c r="AA1517" s="135" t="s">
        <v>35</v>
      </c>
      <c r="AB1517" s="135" t="s">
        <v>35</v>
      </c>
      <c r="AC1517" s="135" t="s">
        <v>35</v>
      </c>
      <c r="AD1517" s="135">
        <v>0.92</v>
      </c>
      <c r="AE1517" s="133">
        <v>1</v>
      </c>
      <c r="AF1517" s="133">
        <v>1</v>
      </c>
      <c r="AG1517" s="133">
        <v>0.985074626865672</v>
      </c>
      <c r="AH1517" s="133">
        <v>0.986947368421053</v>
      </c>
      <c r="AI1517" s="135">
        <v>0.92</v>
      </c>
      <c r="AJ1517" s="133">
        <v>0.95</v>
      </c>
      <c r="AK1517" s="133">
        <v>0.954763536668951</v>
      </c>
      <c r="AL1517" s="133">
        <v>0.978056426332288</v>
      </c>
      <c r="AM1517" s="133">
        <v>0.946043422368233</v>
      </c>
      <c r="AN1517" s="132">
        <v>0.99</v>
      </c>
      <c r="AO1517" s="137">
        <v>1</v>
      </c>
      <c r="AP1517" s="137">
        <v>1</v>
      </c>
      <c r="AQ1517" s="137">
        <v>1</v>
      </c>
      <c r="AR1517" s="137">
        <v>1</v>
      </c>
      <c r="AS1517" s="158">
        <v>0.110069253262963</v>
      </c>
      <c r="AT1517" s="141">
        <v>0</v>
      </c>
      <c r="AU1517" s="141">
        <v>0</v>
      </c>
      <c r="AV1517" s="141">
        <v>0.125</v>
      </c>
      <c r="AW1517" s="141">
        <v>0.046875</v>
      </c>
      <c r="AX1517" s="95"/>
      <c r="AY1517" s="93"/>
    </row>
    <row r="1518" ht="14.5" spans="1:51">
      <c r="A1518" s="91"/>
      <c r="B1518" s="95"/>
      <c r="C1518" s="152" t="s">
        <v>1455</v>
      </c>
      <c r="D1518" s="153" t="s">
        <v>25</v>
      </c>
      <c r="E1518" s="130" t="s">
        <v>1456</v>
      </c>
      <c r="F1518" s="171" t="s">
        <v>1550</v>
      </c>
      <c r="G1518" s="171" t="s">
        <v>1550</v>
      </c>
      <c r="H1518" s="171" t="s">
        <v>1550</v>
      </c>
      <c r="I1518" s="171" t="s">
        <v>1550</v>
      </c>
      <c r="J1518" s="132">
        <v>0.9</v>
      </c>
      <c r="K1518" s="133">
        <v>1</v>
      </c>
      <c r="L1518" s="133">
        <v>1</v>
      </c>
      <c r="M1518" s="134">
        <v>1</v>
      </c>
      <c r="N1518" s="133">
        <v>1</v>
      </c>
      <c r="O1518" s="135">
        <v>0.9</v>
      </c>
      <c r="P1518" s="133">
        <v>0.998095238095238</v>
      </c>
      <c r="Q1518" s="133">
        <v>0.999085505258345</v>
      </c>
      <c r="R1518" s="133">
        <v>0.998449612403101</v>
      </c>
      <c r="S1518" s="133">
        <v>0.992924637013137</v>
      </c>
      <c r="T1518" s="135">
        <v>0.9</v>
      </c>
      <c r="U1518" s="133">
        <v>0.974761904761905</v>
      </c>
      <c r="V1518" s="133">
        <v>0.991769547325103</v>
      </c>
      <c r="W1518" s="133">
        <v>0.991085271317829</v>
      </c>
      <c r="X1518" s="133">
        <v>0.984212952293155</v>
      </c>
      <c r="Y1518" s="135">
        <v>0.92</v>
      </c>
      <c r="Z1518" s="135" t="s">
        <v>35</v>
      </c>
      <c r="AA1518" s="135" t="s">
        <v>35</v>
      </c>
      <c r="AB1518" s="135" t="s">
        <v>35</v>
      </c>
      <c r="AC1518" s="135" t="s">
        <v>35</v>
      </c>
      <c r="AD1518" s="135">
        <v>0.92</v>
      </c>
      <c r="AE1518" s="133">
        <v>0.967741935483871</v>
      </c>
      <c r="AF1518" s="133">
        <v>0.941176470588235</v>
      </c>
      <c r="AG1518" s="133">
        <v>0.869565217391304</v>
      </c>
      <c r="AH1518" s="133">
        <v>0.947247706422018</v>
      </c>
      <c r="AI1518" s="135">
        <v>0.92</v>
      </c>
      <c r="AJ1518" s="133">
        <v>0.991908614945264</v>
      </c>
      <c r="AK1518" s="133">
        <v>0.995884773662551</v>
      </c>
      <c r="AL1518" s="133">
        <v>0.994573643410853</v>
      </c>
      <c r="AM1518" s="133">
        <v>0.994146251526814</v>
      </c>
      <c r="AN1518" s="132">
        <v>0.99</v>
      </c>
      <c r="AO1518" s="137">
        <v>1</v>
      </c>
      <c r="AP1518" s="137">
        <v>1</v>
      </c>
      <c r="AQ1518" s="137">
        <v>1</v>
      </c>
      <c r="AR1518" s="137">
        <v>1</v>
      </c>
      <c r="AS1518" s="158">
        <v>0.110069253262963</v>
      </c>
      <c r="AT1518" s="141">
        <v>0</v>
      </c>
      <c r="AU1518" s="141">
        <v>0</v>
      </c>
      <c r="AV1518" s="141">
        <v>0</v>
      </c>
      <c r="AW1518" s="141">
        <v>0.0580912863070539</v>
      </c>
      <c r="AX1518" s="95"/>
      <c r="AY1518" s="93"/>
    </row>
    <row r="1519" ht="14.5" spans="1:51">
      <c r="A1519" s="91"/>
      <c r="B1519" s="95"/>
      <c r="C1519" s="152" t="s">
        <v>1455</v>
      </c>
      <c r="D1519" s="153" t="s">
        <v>25</v>
      </c>
      <c r="E1519" s="130" t="s">
        <v>1456</v>
      </c>
      <c r="F1519" s="171" t="s">
        <v>1551</v>
      </c>
      <c r="G1519" s="171" t="s">
        <v>1551</v>
      </c>
      <c r="H1519" s="171" t="s">
        <v>1551</v>
      </c>
      <c r="I1519" s="171" t="s">
        <v>1551</v>
      </c>
      <c r="J1519" s="132">
        <v>0.9</v>
      </c>
      <c r="K1519" s="133">
        <v>1</v>
      </c>
      <c r="L1519" s="133">
        <v>1</v>
      </c>
      <c r="M1519" s="134">
        <v>1</v>
      </c>
      <c r="N1519" s="133">
        <v>0.98910411622276</v>
      </c>
      <c r="O1519" s="135">
        <v>0.9</v>
      </c>
      <c r="P1519" s="133">
        <v>0.977636594663278</v>
      </c>
      <c r="Q1519" s="133">
        <v>0.979960485464296</v>
      </c>
      <c r="R1519" s="133">
        <v>0.974763406940063</v>
      </c>
      <c r="S1519" s="133">
        <v>0.96415189742127</v>
      </c>
      <c r="T1519" s="135">
        <v>0.9</v>
      </c>
      <c r="U1519" s="133">
        <v>0.956797966963151</v>
      </c>
      <c r="V1519" s="133">
        <v>0.944679650014112</v>
      </c>
      <c r="W1519" s="133">
        <v>0.959475855374909</v>
      </c>
      <c r="X1519" s="133">
        <v>0.947388209669264</v>
      </c>
      <c r="Y1519" s="135">
        <v>0.92</v>
      </c>
      <c r="Z1519" s="135" t="s">
        <v>35</v>
      </c>
      <c r="AA1519" s="135" t="s">
        <v>35</v>
      </c>
      <c r="AB1519" s="135" t="s">
        <v>35</v>
      </c>
      <c r="AC1519" s="135">
        <v>0</v>
      </c>
      <c r="AD1519" s="135">
        <v>0.92</v>
      </c>
      <c r="AE1519" s="133">
        <v>0.9198606271777</v>
      </c>
      <c r="AF1519" s="133">
        <v>0.99468085106383</v>
      </c>
      <c r="AG1519" s="133">
        <v>0.932367149758454</v>
      </c>
      <c r="AH1519" s="133">
        <v>0.872440509131157</v>
      </c>
      <c r="AI1519" s="135">
        <v>0.92</v>
      </c>
      <c r="AJ1519" s="133">
        <v>0.975095298602287</v>
      </c>
      <c r="AK1519" s="133">
        <v>0.972622071690658</v>
      </c>
      <c r="AL1519" s="133">
        <v>0.98349915069158</v>
      </c>
      <c r="AM1519" s="133">
        <v>0.985077529430068</v>
      </c>
      <c r="AN1519" s="132">
        <v>0.99</v>
      </c>
      <c r="AO1519" s="137">
        <v>1</v>
      </c>
      <c r="AP1519" s="137">
        <v>1</v>
      </c>
      <c r="AQ1519" s="137">
        <v>1</v>
      </c>
      <c r="AR1519" s="137">
        <v>1</v>
      </c>
      <c r="AS1519" s="158">
        <v>0.110069253262963</v>
      </c>
      <c r="AT1519" s="141">
        <v>0.111111111111111</v>
      </c>
      <c r="AU1519" s="141">
        <v>0.0333333333333333</v>
      </c>
      <c r="AV1519" s="141">
        <v>0.0434782608695652</v>
      </c>
      <c r="AW1519" s="141">
        <v>0.0660377358490566</v>
      </c>
      <c r="AX1519" s="95"/>
      <c r="AY1519" s="93"/>
    </row>
    <row r="1520" ht="14.5" spans="1:51">
      <c r="A1520" s="91"/>
      <c r="B1520" s="95"/>
      <c r="C1520" s="152" t="s">
        <v>1455</v>
      </c>
      <c r="D1520" s="153" t="s">
        <v>25</v>
      </c>
      <c r="E1520" s="130" t="s">
        <v>1456</v>
      </c>
      <c r="F1520" s="171" t="s">
        <v>1552</v>
      </c>
      <c r="G1520" s="171" t="s">
        <v>1552</v>
      </c>
      <c r="H1520" s="171" t="s">
        <v>1552</v>
      </c>
      <c r="I1520" s="171" t="s">
        <v>1552</v>
      </c>
      <c r="J1520" s="132">
        <v>0.9</v>
      </c>
      <c r="K1520" s="133">
        <v>1</v>
      </c>
      <c r="L1520" s="133">
        <v>1</v>
      </c>
      <c r="M1520" s="134">
        <v>1</v>
      </c>
      <c r="N1520" s="133">
        <v>0.994094488188976</v>
      </c>
      <c r="O1520" s="135">
        <v>0.9</v>
      </c>
      <c r="P1520" s="133">
        <v>0.955721393034826</v>
      </c>
      <c r="Q1520" s="133">
        <v>0.969661610268378</v>
      </c>
      <c r="R1520" s="133">
        <v>0.974781765276431</v>
      </c>
      <c r="S1520" s="133">
        <v>0.966538238243521</v>
      </c>
      <c r="T1520" s="135">
        <v>0.9</v>
      </c>
      <c r="U1520" s="133">
        <v>0.90547263681592</v>
      </c>
      <c r="V1520" s="133">
        <v>0.931738623103851</v>
      </c>
      <c r="W1520" s="133">
        <v>0.929194956353055</v>
      </c>
      <c r="X1520" s="133">
        <v>0.933973716155592</v>
      </c>
      <c r="Y1520" s="135">
        <v>0.92</v>
      </c>
      <c r="Z1520" s="135" t="s">
        <v>35</v>
      </c>
      <c r="AA1520" s="135" t="s">
        <v>35</v>
      </c>
      <c r="AB1520" s="135" t="s">
        <v>35</v>
      </c>
      <c r="AC1520" s="135" t="s">
        <v>35</v>
      </c>
      <c r="AD1520" s="135">
        <v>0.92</v>
      </c>
      <c r="AE1520" s="133">
        <v>0.96875</v>
      </c>
      <c r="AF1520" s="133">
        <v>0.918918918918919</v>
      </c>
      <c r="AG1520" s="133">
        <v>0.962264150943396</v>
      </c>
      <c r="AH1520" s="133">
        <v>0.932624113475177</v>
      </c>
      <c r="AI1520" s="135">
        <v>0.92</v>
      </c>
      <c r="AJ1520" s="133">
        <v>0.966666666666667</v>
      </c>
      <c r="AK1520" s="133">
        <v>0.969661610268378</v>
      </c>
      <c r="AL1520" s="133">
        <v>0.965082444228904</v>
      </c>
      <c r="AM1520" s="133">
        <v>0.976882883833852</v>
      </c>
      <c r="AN1520" s="132">
        <v>0.99</v>
      </c>
      <c r="AO1520" s="137">
        <v>1</v>
      </c>
      <c r="AP1520" s="137">
        <v>1</v>
      </c>
      <c r="AQ1520" s="137">
        <v>1</v>
      </c>
      <c r="AR1520" s="137">
        <v>1</v>
      </c>
      <c r="AS1520" s="158">
        <v>0.110069253262963</v>
      </c>
      <c r="AT1520" s="141">
        <v>0.0769230769230769</v>
      </c>
      <c r="AU1520" s="141">
        <v>0</v>
      </c>
      <c r="AV1520" s="141">
        <v>0.142857142857143</v>
      </c>
      <c r="AW1520" s="141">
        <v>0.0576923076923077</v>
      </c>
      <c r="AX1520" s="95"/>
      <c r="AY1520" s="93"/>
    </row>
    <row r="1521" ht="14.5" spans="1:51">
      <c r="A1521" s="91"/>
      <c r="B1521" s="95"/>
      <c r="C1521" s="152" t="s">
        <v>1455</v>
      </c>
      <c r="D1521" s="153" t="s">
        <v>25</v>
      </c>
      <c r="E1521" s="130" t="s">
        <v>1456</v>
      </c>
      <c r="F1521" s="171" t="s">
        <v>1553</v>
      </c>
      <c r="G1521" s="171" t="s">
        <v>1553</v>
      </c>
      <c r="H1521" s="171" t="s">
        <v>1553</v>
      </c>
      <c r="I1521" s="171" t="s">
        <v>1553</v>
      </c>
      <c r="J1521" s="132">
        <v>0.9</v>
      </c>
      <c r="K1521" s="133">
        <v>1</v>
      </c>
      <c r="L1521" s="133">
        <v>0.952380952380952</v>
      </c>
      <c r="M1521" s="134">
        <v>0.95</v>
      </c>
      <c r="N1521" s="133">
        <v>0.958656330749354</v>
      </c>
      <c r="O1521" s="135">
        <v>0.9</v>
      </c>
      <c r="P1521" s="133">
        <v>0.95618413754853</v>
      </c>
      <c r="Q1521" s="133">
        <v>0.934445083381254</v>
      </c>
      <c r="R1521" s="133">
        <v>0.967692307692308</v>
      </c>
      <c r="S1521" s="133">
        <v>0.936553713049748</v>
      </c>
      <c r="T1521" s="135">
        <v>0.9</v>
      </c>
      <c r="U1521" s="133">
        <v>0.574043261231281</v>
      </c>
      <c r="V1521" s="133">
        <v>0.690626797009776</v>
      </c>
      <c r="W1521" s="133">
        <v>0.695897435897436</v>
      </c>
      <c r="X1521" s="133">
        <v>0.719250180245133</v>
      </c>
      <c r="Y1521" s="135">
        <v>0.92</v>
      </c>
      <c r="Z1521" s="135" t="s">
        <v>35</v>
      </c>
      <c r="AA1521" s="135" t="s">
        <v>35</v>
      </c>
      <c r="AB1521" s="135" t="s">
        <v>35</v>
      </c>
      <c r="AC1521" s="135" t="s">
        <v>35</v>
      </c>
      <c r="AD1521" s="135">
        <v>0.92</v>
      </c>
      <c r="AE1521" s="133">
        <v>0.8</v>
      </c>
      <c r="AF1521" s="133">
        <v>0.75</v>
      </c>
      <c r="AG1521" s="133">
        <v>1</v>
      </c>
      <c r="AH1521" s="133">
        <v>0.974747474747475</v>
      </c>
      <c r="AI1521" s="135">
        <v>0.92</v>
      </c>
      <c r="AJ1521" s="133">
        <v>0.938435940099834</v>
      </c>
      <c r="AK1521" s="133">
        <v>0.905692926969523</v>
      </c>
      <c r="AL1521" s="133">
        <v>0.945128205128205</v>
      </c>
      <c r="AM1521" s="133">
        <v>0.959971160778659</v>
      </c>
      <c r="AN1521" s="132">
        <v>0.99</v>
      </c>
      <c r="AO1521" s="137">
        <v>1</v>
      </c>
      <c r="AP1521" s="137" t="s">
        <v>35</v>
      </c>
      <c r="AQ1521" s="137" t="s">
        <v>35</v>
      </c>
      <c r="AR1521" s="137">
        <v>1</v>
      </c>
      <c r="AS1521" s="158">
        <v>0.110069253262963</v>
      </c>
      <c r="AT1521" s="141">
        <v>0</v>
      </c>
      <c r="AU1521" s="141">
        <v>0.0555555555555556</v>
      </c>
      <c r="AV1521" s="141">
        <v>0.0869565217391304</v>
      </c>
      <c r="AW1521" s="141">
        <v>0.0757180156657963</v>
      </c>
      <c r="AX1521" s="95"/>
      <c r="AY1521" s="93"/>
    </row>
    <row r="1522" ht="14.5" spans="1:51">
      <c r="A1522" s="91"/>
      <c r="B1522" s="95"/>
      <c r="C1522" s="152" t="s">
        <v>1455</v>
      </c>
      <c r="D1522" s="153" t="s">
        <v>25</v>
      </c>
      <c r="E1522" s="130" t="s">
        <v>1456</v>
      </c>
      <c r="F1522" s="171" t="s">
        <v>1554</v>
      </c>
      <c r="G1522" s="171" t="s">
        <v>1554</v>
      </c>
      <c r="H1522" s="171" t="s">
        <v>1554</v>
      </c>
      <c r="I1522" s="171" t="s">
        <v>1554</v>
      </c>
      <c r="J1522" s="132">
        <v>0.9</v>
      </c>
      <c r="K1522" s="133">
        <v>0.952380952380952</v>
      </c>
      <c r="L1522" s="133">
        <v>1</v>
      </c>
      <c r="M1522" s="134">
        <v>1</v>
      </c>
      <c r="N1522" s="133">
        <v>0.988950276243094</v>
      </c>
      <c r="O1522" s="135">
        <v>0.9</v>
      </c>
      <c r="P1522" s="133">
        <v>0.917466410748561</v>
      </c>
      <c r="Q1522" s="133">
        <v>0.986603624901497</v>
      </c>
      <c r="R1522" s="133">
        <v>0.98871473354232</v>
      </c>
      <c r="S1522" s="133">
        <v>0.967743023922799</v>
      </c>
      <c r="T1522" s="135">
        <v>0.9</v>
      </c>
      <c r="U1522" s="133">
        <v>0.81573896353167</v>
      </c>
      <c r="V1522" s="133">
        <v>0.914105594956659</v>
      </c>
      <c r="W1522" s="133">
        <v>0.898432601880878</v>
      </c>
      <c r="X1522" s="133">
        <v>0.886122077133313</v>
      </c>
      <c r="Y1522" s="135">
        <v>0.92</v>
      </c>
      <c r="Z1522" s="135" t="s">
        <v>35</v>
      </c>
      <c r="AA1522" s="135" t="s">
        <v>35</v>
      </c>
      <c r="AB1522" s="135" t="s">
        <v>35</v>
      </c>
      <c r="AC1522" s="135" t="s">
        <v>35</v>
      </c>
      <c r="AD1522" s="135">
        <v>0.92</v>
      </c>
      <c r="AE1522" s="133">
        <v>0.909090909090909</v>
      </c>
      <c r="AF1522" s="133">
        <v>0.5</v>
      </c>
      <c r="AG1522" s="133">
        <v>0.766666666666667</v>
      </c>
      <c r="AH1522" s="133">
        <v>0.829268292682927</v>
      </c>
      <c r="AI1522" s="135">
        <v>0.92</v>
      </c>
      <c r="AJ1522" s="133">
        <v>0.971209213051823</v>
      </c>
      <c r="AK1522" s="133">
        <v>0.98187549251379</v>
      </c>
      <c r="AL1522" s="133">
        <v>0.944827586206897</v>
      </c>
      <c r="AM1522" s="133">
        <v>0.978615036934597</v>
      </c>
      <c r="AN1522" s="132">
        <v>0.99</v>
      </c>
      <c r="AO1522" s="137">
        <v>1</v>
      </c>
      <c r="AP1522" s="137">
        <v>1</v>
      </c>
      <c r="AQ1522" s="137">
        <v>1</v>
      </c>
      <c r="AR1522" s="137">
        <v>1</v>
      </c>
      <c r="AS1522" s="158">
        <v>0.110069253262963</v>
      </c>
      <c r="AT1522" s="141">
        <v>0.0666666666666667</v>
      </c>
      <c r="AU1522" s="141">
        <v>0.0526315789473684</v>
      </c>
      <c r="AV1522" s="141">
        <v>0.125</v>
      </c>
      <c r="AW1522" s="141">
        <v>0.0553359683794466</v>
      </c>
      <c r="AX1522" s="95"/>
      <c r="AY1522" s="93"/>
    </row>
    <row r="1523" ht="14.5" spans="1:51">
      <c r="A1523" s="91"/>
      <c r="B1523" s="95"/>
      <c r="C1523" s="152" t="s">
        <v>1455</v>
      </c>
      <c r="D1523" s="153" t="s">
        <v>125</v>
      </c>
      <c r="E1523" s="130" t="s">
        <v>1456</v>
      </c>
      <c r="F1523" s="171" t="s">
        <v>1555</v>
      </c>
      <c r="G1523" s="171" t="s">
        <v>1555</v>
      </c>
      <c r="H1523" s="171" t="s">
        <v>1555</v>
      </c>
      <c r="I1523" s="171" t="s">
        <v>1555</v>
      </c>
      <c r="J1523" s="132">
        <v>0.9</v>
      </c>
      <c r="K1523" s="133" t="s">
        <v>35</v>
      </c>
      <c r="L1523" s="133" t="s">
        <v>35</v>
      </c>
      <c r="M1523" s="134" t="s">
        <v>35</v>
      </c>
      <c r="N1523" s="133" t="s">
        <v>35</v>
      </c>
      <c r="O1523" s="135">
        <v>0.9</v>
      </c>
      <c r="P1523" s="133" t="s">
        <v>35</v>
      </c>
      <c r="Q1523" s="133" t="s">
        <v>35</v>
      </c>
      <c r="R1523" s="133" t="s">
        <v>35</v>
      </c>
      <c r="S1523" s="133" t="s">
        <v>35</v>
      </c>
      <c r="T1523" s="135">
        <v>0.9</v>
      </c>
      <c r="U1523" s="133" t="s">
        <v>35</v>
      </c>
      <c r="V1523" s="133" t="s">
        <v>35</v>
      </c>
      <c r="W1523" s="133" t="s">
        <v>35</v>
      </c>
      <c r="X1523" s="133" t="s">
        <v>35</v>
      </c>
      <c r="Y1523" s="135">
        <v>0.92</v>
      </c>
      <c r="Z1523" s="135" t="s">
        <v>35</v>
      </c>
      <c r="AA1523" s="135" t="s">
        <v>35</v>
      </c>
      <c r="AB1523" s="135" t="s">
        <v>35</v>
      </c>
      <c r="AC1523" s="135" t="s">
        <v>35</v>
      </c>
      <c r="AD1523" s="135">
        <v>0.92</v>
      </c>
      <c r="AE1523" s="133">
        <v>1</v>
      </c>
      <c r="AF1523" s="133">
        <v>1</v>
      </c>
      <c r="AG1523" s="133">
        <v>0.991071428571429</v>
      </c>
      <c r="AH1523" s="133">
        <v>0.9972647702407</v>
      </c>
      <c r="AI1523" s="135">
        <v>0.92</v>
      </c>
      <c r="AJ1523" s="133" t="s">
        <v>35</v>
      </c>
      <c r="AK1523" s="133" t="s">
        <v>35</v>
      </c>
      <c r="AL1523" s="133" t="s">
        <v>35</v>
      </c>
      <c r="AM1523" s="133" t="s">
        <v>35</v>
      </c>
      <c r="AN1523" s="132">
        <v>0.99</v>
      </c>
      <c r="AO1523" s="137" t="s">
        <v>35</v>
      </c>
      <c r="AP1523" s="137" t="s">
        <v>35</v>
      </c>
      <c r="AQ1523" s="137" t="s">
        <v>35</v>
      </c>
      <c r="AR1523" s="137">
        <v>1</v>
      </c>
      <c r="AS1523" s="158">
        <v>0.110069253262963</v>
      </c>
      <c r="AT1523" s="141" t="s">
        <v>35</v>
      </c>
      <c r="AU1523" s="141" t="s">
        <v>35</v>
      </c>
      <c r="AV1523" s="141" t="s">
        <v>35</v>
      </c>
      <c r="AW1523" s="141" t="s">
        <v>35</v>
      </c>
      <c r="AX1523" s="95"/>
      <c r="AY1523" s="93"/>
    </row>
    <row r="1524" ht="14.5" spans="1:51">
      <c r="A1524" s="91"/>
      <c r="B1524" s="95"/>
      <c r="C1524" s="152" t="s">
        <v>1455</v>
      </c>
      <c r="D1524" s="153" t="s">
        <v>25</v>
      </c>
      <c r="E1524" s="130" t="s">
        <v>1456</v>
      </c>
      <c r="F1524" s="171" t="s">
        <v>1556</v>
      </c>
      <c r="G1524" s="171" t="s">
        <v>1556</v>
      </c>
      <c r="H1524" s="171" t="s">
        <v>1556</v>
      </c>
      <c r="I1524" s="171" t="s">
        <v>1556</v>
      </c>
      <c r="J1524" s="132">
        <v>0.9</v>
      </c>
      <c r="K1524" s="133">
        <v>1</v>
      </c>
      <c r="L1524" s="133">
        <v>1</v>
      </c>
      <c r="M1524" s="134">
        <v>1</v>
      </c>
      <c r="N1524" s="133">
        <v>0.995055624227441</v>
      </c>
      <c r="O1524" s="135">
        <v>0.9</v>
      </c>
      <c r="P1524" s="133">
        <v>0.995446660884649</v>
      </c>
      <c r="Q1524" s="133">
        <v>0.995098039215686</v>
      </c>
      <c r="R1524" s="133">
        <v>0.995922330097087</v>
      </c>
      <c r="S1524" s="133">
        <v>0.993947009013931</v>
      </c>
      <c r="T1524" s="135">
        <v>0.9</v>
      </c>
      <c r="U1524" s="133">
        <v>0.925628794449263</v>
      </c>
      <c r="V1524" s="133">
        <v>0.936497326203209</v>
      </c>
      <c r="W1524" s="133">
        <v>0.939417475728155</v>
      </c>
      <c r="X1524" s="133">
        <v>0.944004370390604</v>
      </c>
      <c r="Y1524" s="135">
        <v>0.92</v>
      </c>
      <c r="Z1524" s="135" t="s">
        <v>35</v>
      </c>
      <c r="AA1524" s="135" t="s">
        <v>35</v>
      </c>
      <c r="AB1524" s="135" t="s">
        <v>35</v>
      </c>
      <c r="AC1524" s="135" t="s">
        <v>35</v>
      </c>
      <c r="AD1524" s="135">
        <v>0.92</v>
      </c>
      <c r="AE1524" s="133">
        <v>0.96</v>
      </c>
      <c r="AF1524" s="133">
        <v>0.991071428571429</v>
      </c>
      <c r="AG1524" s="133">
        <v>0.909638554216867</v>
      </c>
      <c r="AH1524" s="133">
        <v>0.979807112718505</v>
      </c>
      <c r="AI1524" s="135">
        <v>0.92</v>
      </c>
      <c r="AJ1524" s="133">
        <v>0.964874241110147</v>
      </c>
      <c r="AK1524" s="133">
        <v>0.96301247771836</v>
      </c>
      <c r="AL1524" s="133">
        <v>0.975533980582524</v>
      </c>
      <c r="AM1524" s="133">
        <v>0.981186085132418</v>
      </c>
      <c r="AN1524" s="132">
        <v>0.99</v>
      </c>
      <c r="AO1524" s="137">
        <v>1</v>
      </c>
      <c r="AP1524" s="137">
        <v>1</v>
      </c>
      <c r="AQ1524" s="137">
        <v>1</v>
      </c>
      <c r="AR1524" s="137">
        <v>1</v>
      </c>
      <c r="AS1524" s="158">
        <v>0.110069253262963</v>
      </c>
      <c r="AT1524" s="141">
        <v>0.0857142857142857</v>
      </c>
      <c r="AU1524" s="141">
        <v>0.0857142857142857</v>
      </c>
      <c r="AV1524" s="141">
        <v>0.0277777777777778</v>
      </c>
      <c r="AW1524" s="141">
        <v>0.0951742627345844</v>
      </c>
      <c r="AX1524" s="95"/>
      <c r="AY1524" s="93"/>
    </row>
    <row r="1525" ht="14.5" spans="1:51">
      <c r="A1525" s="91"/>
      <c r="B1525" s="95"/>
      <c r="C1525" s="152" t="s">
        <v>1455</v>
      </c>
      <c r="D1525" s="153" t="s">
        <v>25</v>
      </c>
      <c r="E1525" s="130" t="s">
        <v>1456</v>
      </c>
      <c r="F1525" s="171" t="s">
        <v>1557</v>
      </c>
      <c r="G1525" s="171" t="s">
        <v>1557</v>
      </c>
      <c r="H1525" s="171" t="s">
        <v>1557</v>
      </c>
      <c r="I1525" s="171" t="s">
        <v>1557</v>
      </c>
      <c r="J1525" s="132">
        <v>0.9</v>
      </c>
      <c r="K1525" s="133">
        <v>1</v>
      </c>
      <c r="L1525" s="133">
        <v>0.95</v>
      </c>
      <c r="M1525" s="134">
        <v>0.958333333333333</v>
      </c>
      <c r="N1525" s="133">
        <v>0.956730769230769</v>
      </c>
      <c r="O1525" s="135">
        <v>0.9</v>
      </c>
      <c r="P1525" s="133">
        <v>0.951115329852871</v>
      </c>
      <c r="Q1525" s="133">
        <v>0.925380977404099</v>
      </c>
      <c r="R1525" s="133">
        <v>0.967296176877015</v>
      </c>
      <c r="S1525" s="133">
        <v>0.909431637315808</v>
      </c>
      <c r="T1525" s="135">
        <v>0.9</v>
      </c>
      <c r="U1525" s="133">
        <v>0.75984812529663</v>
      </c>
      <c r="V1525" s="133">
        <v>0.871255911718339</v>
      </c>
      <c r="W1525" s="133">
        <v>0.88945186549977</v>
      </c>
      <c r="X1525" s="133">
        <v>0.816090773733121</v>
      </c>
      <c r="Y1525" s="135">
        <v>0.92</v>
      </c>
      <c r="Z1525" s="135" t="s">
        <v>35</v>
      </c>
      <c r="AA1525" s="135" t="s">
        <v>35</v>
      </c>
      <c r="AB1525" s="135" t="s">
        <v>35</v>
      </c>
      <c r="AC1525" s="135" t="s">
        <v>35</v>
      </c>
      <c r="AD1525" s="135">
        <v>0.92</v>
      </c>
      <c r="AE1525" s="133">
        <v>0.994444444444444</v>
      </c>
      <c r="AF1525" s="133">
        <v>0.991416309012876</v>
      </c>
      <c r="AG1525" s="133">
        <v>1</v>
      </c>
      <c r="AH1525" s="133">
        <v>0.992267244045778</v>
      </c>
      <c r="AI1525" s="135">
        <v>0.92</v>
      </c>
      <c r="AJ1525" s="133">
        <v>0.917418130042715</v>
      </c>
      <c r="AK1525" s="133">
        <v>0.929584866001051</v>
      </c>
      <c r="AL1525" s="133">
        <v>0.938277291570705</v>
      </c>
      <c r="AM1525" s="133">
        <v>0.909226266878883</v>
      </c>
      <c r="AN1525" s="132">
        <v>0.99</v>
      </c>
      <c r="AO1525" s="137">
        <v>1</v>
      </c>
      <c r="AP1525" s="137">
        <v>1</v>
      </c>
      <c r="AQ1525" s="137">
        <v>1</v>
      </c>
      <c r="AR1525" s="137">
        <v>1</v>
      </c>
      <c r="AS1525" s="158">
        <v>0.110069253262963</v>
      </c>
      <c r="AT1525" s="141">
        <v>0.0476190476190476</v>
      </c>
      <c r="AU1525" s="141">
        <v>0.0769230769230769</v>
      </c>
      <c r="AV1525" s="141">
        <v>0</v>
      </c>
      <c r="AW1525" s="141">
        <v>0.0576923076923077</v>
      </c>
      <c r="AX1525" s="95"/>
      <c r="AY1525" s="93"/>
    </row>
    <row r="1526" ht="14.5" spans="1:51">
      <c r="A1526" s="91"/>
      <c r="B1526" s="95"/>
      <c r="C1526" s="152" t="s">
        <v>1455</v>
      </c>
      <c r="D1526" s="153" t="s">
        <v>25</v>
      </c>
      <c r="E1526" s="130" t="s">
        <v>1456</v>
      </c>
      <c r="F1526" s="171" t="s">
        <v>1558</v>
      </c>
      <c r="G1526" s="171" t="s">
        <v>1558</v>
      </c>
      <c r="H1526" s="171" t="s">
        <v>1558</v>
      </c>
      <c r="I1526" s="171" t="s">
        <v>1558</v>
      </c>
      <c r="J1526" s="132">
        <v>0.9</v>
      </c>
      <c r="K1526" s="133">
        <v>1</v>
      </c>
      <c r="L1526" s="133">
        <v>1</v>
      </c>
      <c r="M1526" s="134">
        <v>1</v>
      </c>
      <c r="N1526" s="133">
        <v>0.991608391608392</v>
      </c>
      <c r="O1526" s="135">
        <v>0.9</v>
      </c>
      <c r="P1526" s="133">
        <v>0.998827667057444</v>
      </c>
      <c r="Q1526" s="133">
        <v>0.989977090492554</v>
      </c>
      <c r="R1526" s="133">
        <v>0.995598135680994</v>
      </c>
      <c r="S1526" s="133">
        <v>0.985197630462176</v>
      </c>
      <c r="T1526" s="135">
        <v>0.9</v>
      </c>
      <c r="U1526" s="133">
        <v>0.959847596717468</v>
      </c>
      <c r="V1526" s="133">
        <v>0.951030927835051</v>
      </c>
      <c r="W1526" s="133">
        <v>0.964008285862248</v>
      </c>
      <c r="X1526" s="133">
        <v>0.958851730081254</v>
      </c>
      <c r="Y1526" s="135">
        <v>0.92</v>
      </c>
      <c r="Z1526" s="135" t="s">
        <v>35</v>
      </c>
      <c r="AA1526" s="135" t="s">
        <v>35</v>
      </c>
      <c r="AB1526" s="135" t="s">
        <v>35</v>
      </c>
      <c r="AC1526" s="135" t="s">
        <v>35</v>
      </c>
      <c r="AD1526" s="135">
        <v>0.92</v>
      </c>
      <c r="AE1526" s="133">
        <v>0.974025974025974</v>
      </c>
      <c r="AF1526" s="133">
        <v>1</v>
      </c>
      <c r="AG1526" s="133">
        <v>1</v>
      </c>
      <c r="AH1526" s="133">
        <v>0.978390228625117</v>
      </c>
      <c r="AI1526" s="135">
        <v>0.92</v>
      </c>
      <c r="AJ1526" s="133">
        <v>0.976846424384525</v>
      </c>
      <c r="AK1526" s="133">
        <v>0.975085910652921</v>
      </c>
      <c r="AL1526" s="133">
        <v>0.982392542723977</v>
      </c>
      <c r="AM1526" s="133">
        <v>0.986733482026475</v>
      </c>
      <c r="AN1526" s="132">
        <v>0.99</v>
      </c>
      <c r="AO1526" s="137">
        <v>1</v>
      </c>
      <c r="AP1526" s="137">
        <v>1</v>
      </c>
      <c r="AQ1526" s="137">
        <v>1</v>
      </c>
      <c r="AR1526" s="137">
        <v>1</v>
      </c>
      <c r="AS1526" s="158">
        <v>0.110069253262963</v>
      </c>
      <c r="AT1526" s="141">
        <v>0.111111111111111</v>
      </c>
      <c r="AU1526" s="141">
        <v>0.0909090909090909</v>
      </c>
      <c r="AV1526" s="141">
        <v>0</v>
      </c>
      <c r="AW1526" s="141">
        <v>0.0848806366047745</v>
      </c>
      <c r="AX1526" s="95"/>
      <c r="AY1526" s="93"/>
    </row>
    <row r="1527" ht="14.5" spans="1:51">
      <c r="A1527" s="91"/>
      <c r="B1527" s="95"/>
      <c r="C1527" s="152" t="s">
        <v>1455</v>
      </c>
      <c r="D1527" s="153" t="s">
        <v>25</v>
      </c>
      <c r="E1527" s="130" t="s">
        <v>1456</v>
      </c>
      <c r="F1527" s="171" t="s">
        <v>1559</v>
      </c>
      <c r="G1527" s="171" t="s">
        <v>1559</v>
      </c>
      <c r="H1527" s="171" t="s">
        <v>1559</v>
      </c>
      <c r="I1527" s="171" t="s">
        <v>1559</v>
      </c>
      <c r="J1527" s="132">
        <v>0.9</v>
      </c>
      <c r="K1527" s="133">
        <v>0.951219512195122</v>
      </c>
      <c r="L1527" s="133">
        <v>0.972222222222222</v>
      </c>
      <c r="M1527" s="134">
        <v>0.973684210526316</v>
      </c>
      <c r="N1527" s="133">
        <v>0.957123098201936</v>
      </c>
      <c r="O1527" s="135">
        <v>0.9</v>
      </c>
      <c r="P1527" s="133">
        <v>0.909838107098381</v>
      </c>
      <c r="Q1527" s="133">
        <v>0.893599334995844</v>
      </c>
      <c r="R1527" s="133">
        <v>0.955157992565056</v>
      </c>
      <c r="S1527" s="133">
        <v>0.932434175804844</v>
      </c>
      <c r="T1527" s="135">
        <v>0.9</v>
      </c>
      <c r="U1527" s="133">
        <v>0.855292652552927</v>
      </c>
      <c r="V1527" s="133">
        <v>0.835965641451926</v>
      </c>
      <c r="W1527" s="133">
        <v>0.925650557620818</v>
      </c>
      <c r="X1527" s="133">
        <v>0.883410543599367</v>
      </c>
      <c r="Y1527" s="135">
        <v>0.92</v>
      </c>
      <c r="Z1527" s="135" t="s">
        <v>35</v>
      </c>
      <c r="AA1527" s="135" t="s">
        <v>35</v>
      </c>
      <c r="AB1527" s="135" t="s">
        <v>35</v>
      </c>
      <c r="AC1527" s="135" t="s">
        <v>35</v>
      </c>
      <c r="AD1527" s="135">
        <v>0.92</v>
      </c>
      <c r="AE1527" s="133">
        <v>0.990825688073395</v>
      </c>
      <c r="AF1527" s="133">
        <v>1</v>
      </c>
      <c r="AG1527" s="133">
        <v>0.413793103448276</v>
      </c>
      <c r="AH1527" s="133">
        <v>0.965349425734865</v>
      </c>
      <c r="AI1527" s="135">
        <v>0.92</v>
      </c>
      <c r="AJ1527" s="133">
        <v>0.91706102117061</v>
      </c>
      <c r="AK1527" s="133">
        <v>0.914657799944583</v>
      </c>
      <c r="AL1527" s="133">
        <v>0.95957249070632</v>
      </c>
      <c r="AM1527" s="133">
        <v>0.960242066005207</v>
      </c>
      <c r="AN1527" s="132">
        <v>0.99</v>
      </c>
      <c r="AO1527" s="137">
        <v>1</v>
      </c>
      <c r="AP1527" s="137">
        <v>1</v>
      </c>
      <c r="AQ1527" s="137">
        <v>1</v>
      </c>
      <c r="AR1527" s="137">
        <v>1</v>
      </c>
      <c r="AS1527" s="158">
        <v>0.110069253262963</v>
      </c>
      <c r="AT1527" s="141">
        <v>0</v>
      </c>
      <c r="AU1527" s="141">
        <v>0</v>
      </c>
      <c r="AV1527" s="141">
        <v>0.0952380952380952</v>
      </c>
      <c r="AW1527" s="141">
        <v>0.0816696914700544</v>
      </c>
      <c r="AX1527" s="95"/>
      <c r="AY1527" s="93"/>
    </row>
    <row r="1528" ht="14.5" spans="1:51">
      <c r="A1528" s="91"/>
      <c r="B1528" s="95"/>
      <c r="C1528" s="152" t="s">
        <v>1455</v>
      </c>
      <c r="D1528" s="153" t="s">
        <v>25</v>
      </c>
      <c r="E1528" s="130" t="s">
        <v>1456</v>
      </c>
      <c r="F1528" s="171" t="s">
        <v>1560</v>
      </c>
      <c r="G1528" s="171" t="s">
        <v>1560</v>
      </c>
      <c r="H1528" s="171" t="s">
        <v>1560</v>
      </c>
      <c r="I1528" s="171" t="s">
        <v>1560</v>
      </c>
      <c r="J1528" s="132">
        <v>0.9</v>
      </c>
      <c r="K1528" s="133">
        <v>0.944444444444444</v>
      </c>
      <c r="L1528" s="133">
        <v>0.95</v>
      </c>
      <c r="M1528" s="134">
        <v>1</v>
      </c>
      <c r="N1528" s="133">
        <v>0.955621301775148</v>
      </c>
      <c r="O1528" s="135">
        <v>0.9</v>
      </c>
      <c r="P1528" s="133">
        <v>0.996722846441948</v>
      </c>
      <c r="Q1528" s="133">
        <v>0.996437659033079</v>
      </c>
      <c r="R1528" s="133">
        <v>0.995460735360872</v>
      </c>
      <c r="S1528" s="133">
        <v>0.9901254471258</v>
      </c>
      <c r="T1528" s="135">
        <v>0.9</v>
      </c>
      <c r="U1528" s="133">
        <v>0.926966292134832</v>
      </c>
      <c r="V1528" s="133">
        <v>0.955216284987277</v>
      </c>
      <c r="W1528" s="133">
        <v>0.965047662278711</v>
      </c>
      <c r="X1528" s="133">
        <v>0.938938989369742</v>
      </c>
      <c r="Y1528" s="135">
        <v>0.92</v>
      </c>
      <c r="Z1528" s="135" t="s">
        <v>35</v>
      </c>
      <c r="AA1528" s="135" t="s">
        <v>35</v>
      </c>
      <c r="AB1528" s="135" t="s">
        <v>35</v>
      </c>
      <c r="AC1528" s="135" t="s">
        <v>35</v>
      </c>
      <c r="AD1528" s="135">
        <v>0.92</v>
      </c>
      <c r="AE1528" s="133">
        <v>0.990476190476191</v>
      </c>
      <c r="AF1528" s="133">
        <v>0.979591836734694</v>
      </c>
      <c r="AG1528" s="133">
        <v>1</v>
      </c>
      <c r="AH1528" s="133">
        <v>0.993464052287582</v>
      </c>
      <c r="AI1528" s="135">
        <v>0.92</v>
      </c>
      <c r="AJ1528" s="133">
        <v>0.970973782771536</v>
      </c>
      <c r="AK1528" s="133">
        <v>0.980661577608143</v>
      </c>
      <c r="AL1528" s="133">
        <v>0.986382206082615</v>
      </c>
      <c r="AM1528" s="133">
        <v>0.98201420726485</v>
      </c>
      <c r="AN1528" s="132">
        <v>0.99</v>
      </c>
      <c r="AO1528" s="137">
        <v>1</v>
      </c>
      <c r="AP1528" s="137">
        <v>1</v>
      </c>
      <c r="AQ1528" s="137">
        <v>1</v>
      </c>
      <c r="AR1528" s="137">
        <v>1</v>
      </c>
      <c r="AS1528" s="158">
        <v>0.110069253262963</v>
      </c>
      <c r="AT1528" s="141">
        <v>0.05</v>
      </c>
      <c r="AU1528" s="141">
        <v>0.227272727272727</v>
      </c>
      <c r="AV1528" s="141">
        <v>0.125</v>
      </c>
      <c r="AW1528" s="141">
        <v>0.122754491017964</v>
      </c>
      <c r="AX1528" s="95"/>
      <c r="AY1528" s="93"/>
    </row>
    <row r="1529" ht="14.5" spans="1:51">
      <c r="A1529" s="91"/>
      <c r="B1529" s="95"/>
      <c r="C1529" s="152" t="s">
        <v>1455</v>
      </c>
      <c r="D1529" s="153" t="s">
        <v>25</v>
      </c>
      <c r="E1529" s="130" t="s">
        <v>1456</v>
      </c>
      <c r="F1529" s="171" t="s">
        <v>1561</v>
      </c>
      <c r="G1529" s="171" t="s">
        <v>1561</v>
      </c>
      <c r="H1529" s="171" t="s">
        <v>1561</v>
      </c>
      <c r="I1529" s="171" t="s">
        <v>1561</v>
      </c>
      <c r="J1529" s="132">
        <v>0.9</v>
      </c>
      <c r="K1529" s="133">
        <v>0.875</v>
      </c>
      <c r="L1529" s="133">
        <v>0.9</v>
      </c>
      <c r="M1529" s="134">
        <v>0.956521739130435</v>
      </c>
      <c r="N1529" s="133">
        <v>0.899244332493703</v>
      </c>
      <c r="O1529" s="135">
        <v>0.9</v>
      </c>
      <c r="P1529" s="133">
        <v>0.935668789808917</v>
      </c>
      <c r="Q1529" s="133">
        <v>0.944732297063903</v>
      </c>
      <c r="R1529" s="133">
        <v>0.956095041322314</v>
      </c>
      <c r="S1529" s="133">
        <v>0.934598686407659</v>
      </c>
      <c r="T1529" s="135">
        <v>0.9</v>
      </c>
      <c r="U1529" s="133">
        <v>0.891082802547771</v>
      </c>
      <c r="V1529" s="133">
        <v>0.894645941278066</v>
      </c>
      <c r="W1529" s="133">
        <v>0.929235537190083</v>
      </c>
      <c r="X1529" s="133">
        <v>0.917844817989536</v>
      </c>
      <c r="Y1529" s="135">
        <v>0.92</v>
      </c>
      <c r="Z1529" s="135" t="s">
        <v>35</v>
      </c>
      <c r="AA1529" s="135" t="s">
        <v>35</v>
      </c>
      <c r="AB1529" s="135" t="s">
        <v>35</v>
      </c>
      <c r="AC1529" s="135" t="s">
        <v>35</v>
      </c>
      <c r="AD1529" s="135">
        <v>0.92</v>
      </c>
      <c r="AE1529" s="133">
        <v>0.975945017182131</v>
      </c>
      <c r="AF1529" s="133">
        <v>0.984293193717278</v>
      </c>
      <c r="AG1529" s="133">
        <v>0.995327102803738</v>
      </c>
      <c r="AH1529" s="133">
        <v>0.983239095315024</v>
      </c>
      <c r="AI1529" s="135">
        <v>0.92</v>
      </c>
      <c r="AJ1529" s="133">
        <v>0.948407643312102</v>
      </c>
      <c r="AK1529" s="133">
        <v>0.938399539435809</v>
      </c>
      <c r="AL1529" s="133">
        <v>0.955578512396694</v>
      </c>
      <c r="AM1529" s="133">
        <v>0.96273516642547</v>
      </c>
      <c r="AN1529" s="132">
        <v>0.99</v>
      </c>
      <c r="AO1529" s="137">
        <v>1</v>
      </c>
      <c r="AP1529" s="137">
        <v>1</v>
      </c>
      <c r="AQ1529" s="137">
        <v>1</v>
      </c>
      <c r="AR1529" s="137">
        <v>1</v>
      </c>
      <c r="AS1529" s="158">
        <v>0.110069253262963</v>
      </c>
      <c r="AT1529" s="141">
        <v>0.0625</v>
      </c>
      <c r="AU1529" s="141">
        <v>0</v>
      </c>
      <c r="AV1529" s="141">
        <v>0.125</v>
      </c>
      <c r="AW1529" s="141">
        <v>0.129251700680272</v>
      </c>
      <c r="AX1529" s="95"/>
      <c r="AY1529" s="93"/>
    </row>
    <row r="1530" ht="14.5" spans="1:51">
      <c r="A1530" s="91"/>
      <c r="B1530" s="95"/>
      <c r="C1530" s="152" t="s">
        <v>1455</v>
      </c>
      <c r="D1530" s="153" t="s">
        <v>25</v>
      </c>
      <c r="E1530" s="130" t="s">
        <v>1456</v>
      </c>
      <c r="F1530" s="171" t="s">
        <v>1562</v>
      </c>
      <c r="G1530" s="171" t="s">
        <v>1562</v>
      </c>
      <c r="H1530" s="171" t="s">
        <v>1562</v>
      </c>
      <c r="I1530" s="171" t="s">
        <v>1562</v>
      </c>
      <c r="J1530" s="132">
        <v>0.9</v>
      </c>
      <c r="K1530" s="133">
        <v>0.909090909090909</v>
      </c>
      <c r="L1530" s="133">
        <v>1</v>
      </c>
      <c r="M1530" s="134">
        <v>1</v>
      </c>
      <c r="N1530" s="133">
        <v>0.957207207207207</v>
      </c>
      <c r="O1530" s="135">
        <v>0.9</v>
      </c>
      <c r="P1530" s="133">
        <v>0.995876288659794</v>
      </c>
      <c r="Q1530" s="133">
        <v>0.996858638743455</v>
      </c>
      <c r="R1530" s="133">
        <v>0.993761996161228</v>
      </c>
      <c r="S1530" s="133">
        <v>0.983478490366851</v>
      </c>
      <c r="T1530" s="135">
        <v>0.9</v>
      </c>
      <c r="U1530" s="133">
        <v>0.897422680412371</v>
      </c>
      <c r="V1530" s="133">
        <v>0.912041884816754</v>
      </c>
      <c r="W1530" s="133">
        <v>0.93042226487524</v>
      </c>
      <c r="X1530" s="133">
        <v>0.920163631565057</v>
      </c>
      <c r="Y1530" s="135">
        <v>0.92</v>
      </c>
      <c r="Z1530" s="135" t="s">
        <v>35</v>
      </c>
      <c r="AA1530" s="135" t="s">
        <v>35</v>
      </c>
      <c r="AB1530" s="135" t="s">
        <v>35</v>
      </c>
      <c r="AC1530" s="135" t="s">
        <v>35</v>
      </c>
      <c r="AD1530" s="135">
        <v>0.92</v>
      </c>
      <c r="AE1530" s="133">
        <v>0.857142857142857</v>
      </c>
      <c r="AF1530" s="133">
        <v>1</v>
      </c>
      <c r="AG1530" s="133">
        <v>0.823529411764706</v>
      </c>
      <c r="AH1530" s="133">
        <v>0.839116719242902</v>
      </c>
      <c r="AI1530" s="135">
        <v>0.92</v>
      </c>
      <c r="AJ1530" s="133">
        <v>0.955154639175258</v>
      </c>
      <c r="AK1530" s="133">
        <v>0.963350785340314</v>
      </c>
      <c r="AL1530" s="133">
        <v>0.975047984644914</v>
      </c>
      <c r="AM1530" s="133">
        <v>0.973818949590921</v>
      </c>
      <c r="AN1530" s="132">
        <v>0.99</v>
      </c>
      <c r="AO1530" s="137">
        <v>1</v>
      </c>
      <c r="AP1530" s="137">
        <v>1</v>
      </c>
      <c r="AQ1530" s="137">
        <v>1</v>
      </c>
      <c r="AR1530" s="137">
        <v>1</v>
      </c>
      <c r="AS1530" s="158">
        <v>0.110069253262963</v>
      </c>
      <c r="AT1530" s="141">
        <v>0.0909090909090909</v>
      </c>
      <c r="AU1530" s="141">
        <v>0.0625</v>
      </c>
      <c r="AV1530" s="141">
        <v>0.0526315789473684</v>
      </c>
      <c r="AW1530" s="141">
        <v>0.075</v>
      </c>
      <c r="AX1530" s="95"/>
      <c r="AY1530" s="93"/>
    </row>
    <row r="1531" ht="14.5" spans="1:51">
      <c r="A1531" s="91"/>
      <c r="B1531" s="95"/>
      <c r="C1531" s="152" t="s">
        <v>1455</v>
      </c>
      <c r="D1531" s="153" t="s">
        <v>25</v>
      </c>
      <c r="E1531" s="130" t="s">
        <v>1456</v>
      </c>
      <c r="F1531" s="171" t="s">
        <v>1563</v>
      </c>
      <c r="G1531" s="171" t="s">
        <v>1563</v>
      </c>
      <c r="H1531" s="171" t="s">
        <v>1563</v>
      </c>
      <c r="I1531" s="171" t="s">
        <v>1563</v>
      </c>
      <c r="J1531" s="132">
        <v>0.9</v>
      </c>
      <c r="K1531" s="133">
        <v>1</v>
      </c>
      <c r="L1531" s="133">
        <v>0.966666666666667</v>
      </c>
      <c r="M1531" s="134">
        <v>0.96875</v>
      </c>
      <c r="N1531" s="133">
        <v>0.986324786324786</v>
      </c>
      <c r="O1531" s="135">
        <v>0.9</v>
      </c>
      <c r="P1531" s="133">
        <v>0.991861648016277</v>
      </c>
      <c r="Q1531" s="133">
        <v>0.986702127659574</v>
      </c>
      <c r="R1531" s="133">
        <v>0.983849259757739</v>
      </c>
      <c r="S1531" s="133">
        <v>0.981331911002743</v>
      </c>
      <c r="T1531" s="135">
        <v>0.9</v>
      </c>
      <c r="U1531" s="133">
        <v>0.909460834181078</v>
      </c>
      <c r="V1531" s="133">
        <v>0.907446808510638</v>
      </c>
      <c r="W1531" s="133">
        <v>0.942126514131898</v>
      </c>
      <c r="X1531" s="133">
        <v>0.923575129533679</v>
      </c>
      <c r="Y1531" s="135">
        <v>0.92</v>
      </c>
      <c r="Z1531" s="135" t="s">
        <v>35</v>
      </c>
      <c r="AA1531" s="135" t="s">
        <v>35</v>
      </c>
      <c r="AB1531" s="135" t="s">
        <v>35</v>
      </c>
      <c r="AC1531" s="135" t="s">
        <v>35</v>
      </c>
      <c r="AD1531" s="135">
        <v>0.92</v>
      </c>
      <c r="AE1531" s="133">
        <v>0.888172043010753</v>
      </c>
      <c r="AF1531" s="133">
        <v>0.807692307692308</v>
      </c>
      <c r="AG1531" s="133">
        <v>0.90547263681592</v>
      </c>
      <c r="AH1531" s="133">
        <v>0.942184596324592</v>
      </c>
      <c r="AI1531" s="135">
        <v>0.92</v>
      </c>
      <c r="AJ1531" s="133">
        <v>0.947100712105799</v>
      </c>
      <c r="AK1531" s="133">
        <v>0.942553191489362</v>
      </c>
      <c r="AL1531" s="133">
        <v>0.960071781067743</v>
      </c>
      <c r="AM1531" s="133">
        <v>0.960174743472519</v>
      </c>
      <c r="AN1531" s="132">
        <v>0.99</v>
      </c>
      <c r="AO1531" s="137">
        <v>1</v>
      </c>
      <c r="AP1531" s="137">
        <v>1</v>
      </c>
      <c r="AQ1531" s="137">
        <v>1</v>
      </c>
      <c r="AR1531" s="137">
        <v>1</v>
      </c>
      <c r="AS1531" s="158">
        <v>0.110069253262963</v>
      </c>
      <c r="AT1531" s="141">
        <v>0</v>
      </c>
      <c r="AU1531" s="141">
        <v>0.0909090909090909</v>
      </c>
      <c r="AV1531" s="141">
        <v>0.05</v>
      </c>
      <c r="AW1531" s="141">
        <v>0.0510948905109489</v>
      </c>
      <c r="AX1531" s="95"/>
      <c r="AY1531" s="93"/>
    </row>
    <row r="1532" ht="14.5" spans="1:51">
      <c r="A1532" s="91"/>
      <c r="B1532" s="95"/>
      <c r="C1532" s="152" t="s">
        <v>1455</v>
      </c>
      <c r="D1532" s="153" t="s">
        <v>125</v>
      </c>
      <c r="E1532" s="130" t="s">
        <v>1456</v>
      </c>
      <c r="F1532" s="171" t="s">
        <v>1564</v>
      </c>
      <c r="G1532" s="171" t="s">
        <v>1564</v>
      </c>
      <c r="H1532" s="171" t="s">
        <v>1564</v>
      </c>
      <c r="I1532" s="171" t="s">
        <v>1564</v>
      </c>
      <c r="J1532" s="132">
        <v>0.9</v>
      </c>
      <c r="K1532" s="133" t="s">
        <v>35</v>
      </c>
      <c r="L1532" s="133" t="s">
        <v>35</v>
      </c>
      <c r="M1532" s="134" t="s">
        <v>35</v>
      </c>
      <c r="N1532" s="133" t="s">
        <v>35</v>
      </c>
      <c r="O1532" s="135">
        <v>0.9</v>
      </c>
      <c r="P1532" s="133" t="s">
        <v>35</v>
      </c>
      <c r="Q1532" s="133" t="s">
        <v>35</v>
      </c>
      <c r="R1532" s="133" t="s">
        <v>35</v>
      </c>
      <c r="S1532" s="133" t="s">
        <v>35</v>
      </c>
      <c r="T1532" s="135">
        <v>0.9</v>
      </c>
      <c r="U1532" s="133" t="s">
        <v>35</v>
      </c>
      <c r="V1532" s="133" t="s">
        <v>35</v>
      </c>
      <c r="W1532" s="133" t="s">
        <v>35</v>
      </c>
      <c r="X1532" s="133" t="s">
        <v>35</v>
      </c>
      <c r="Y1532" s="135">
        <v>0.92</v>
      </c>
      <c r="Z1532" s="135" t="s">
        <v>35</v>
      </c>
      <c r="AA1532" s="135" t="s">
        <v>35</v>
      </c>
      <c r="AB1532" s="135" t="s">
        <v>35</v>
      </c>
      <c r="AC1532" s="135" t="s">
        <v>35</v>
      </c>
      <c r="AD1532" s="135">
        <v>0.92</v>
      </c>
      <c r="AE1532" s="133">
        <v>0.980519480519481</v>
      </c>
      <c r="AF1532" s="133">
        <v>1</v>
      </c>
      <c r="AG1532" s="133">
        <v>0.994117647058824</v>
      </c>
      <c r="AH1532" s="133">
        <v>0.991071428571429</v>
      </c>
      <c r="AI1532" s="135">
        <v>0.92</v>
      </c>
      <c r="AJ1532" s="133" t="s">
        <v>35</v>
      </c>
      <c r="AK1532" s="133" t="s">
        <v>35</v>
      </c>
      <c r="AL1532" s="133" t="s">
        <v>35</v>
      </c>
      <c r="AM1532" s="133" t="s">
        <v>35</v>
      </c>
      <c r="AN1532" s="132">
        <v>0.99</v>
      </c>
      <c r="AO1532" s="137" t="s">
        <v>35</v>
      </c>
      <c r="AP1532" s="137" t="s">
        <v>35</v>
      </c>
      <c r="AQ1532" s="137" t="s">
        <v>35</v>
      </c>
      <c r="AR1532" s="137">
        <v>1</v>
      </c>
      <c r="AS1532" s="158">
        <v>0.110069253262963</v>
      </c>
      <c r="AT1532" s="141" t="s">
        <v>35</v>
      </c>
      <c r="AU1532" s="141" t="s">
        <v>35</v>
      </c>
      <c r="AV1532" s="141" t="s">
        <v>35</v>
      </c>
      <c r="AW1532" s="141" t="s">
        <v>35</v>
      </c>
      <c r="AX1532" s="95"/>
      <c r="AY1532" s="93"/>
    </row>
    <row r="1533" ht="14.5" spans="1:51">
      <c r="A1533" s="91"/>
      <c r="B1533" s="95"/>
      <c r="C1533" s="152" t="s">
        <v>1455</v>
      </c>
      <c r="D1533" s="153" t="s">
        <v>25</v>
      </c>
      <c r="E1533" s="130" t="s">
        <v>1456</v>
      </c>
      <c r="F1533" s="171" t="s">
        <v>1565</v>
      </c>
      <c r="G1533" s="171" t="s">
        <v>1565</v>
      </c>
      <c r="H1533" s="171" t="s">
        <v>1565</v>
      </c>
      <c r="I1533" s="171" t="s">
        <v>1565</v>
      </c>
      <c r="J1533" s="132">
        <v>0.9</v>
      </c>
      <c r="K1533" s="133">
        <v>0.970588235294118</v>
      </c>
      <c r="L1533" s="133">
        <v>0.971428571428571</v>
      </c>
      <c r="M1533" s="134">
        <v>0.96875</v>
      </c>
      <c r="N1533" s="133">
        <v>0.961993243243243</v>
      </c>
      <c r="O1533" s="135">
        <v>0.9</v>
      </c>
      <c r="P1533" s="133">
        <v>0.934042872133113</v>
      </c>
      <c r="Q1533" s="133">
        <v>0.932332067998019</v>
      </c>
      <c r="R1533" s="133">
        <v>0.968866571018651</v>
      </c>
      <c r="S1533" s="133">
        <v>0.960390628712636</v>
      </c>
      <c r="T1533" s="135">
        <v>0.9</v>
      </c>
      <c r="U1533" s="133">
        <v>0.852795682806176</v>
      </c>
      <c r="V1533" s="133">
        <v>0.85707212411289</v>
      </c>
      <c r="W1533" s="133">
        <v>0.903156384505022</v>
      </c>
      <c r="X1533" s="133">
        <v>0.902715075480366</v>
      </c>
      <c r="Y1533" s="135">
        <v>0.92</v>
      </c>
      <c r="Z1533" s="135" t="s">
        <v>35</v>
      </c>
      <c r="AA1533" s="135" t="s">
        <v>35</v>
      </c>
      <c r="AB1533" s="135" t="s">
        <v>35</v>
      </c>
      <c r="AC1533" s="135">
        <v>1</v>
      </c>
      <c r="AD1533" s="135">
        <v>0.92</v>
      </c>
      <c r="AE1533" s="133">
        <v>0.950354609929078</v>
      </c>
      <c r="AF1533" s="133">
        <v>0.981884057971015</v>
      </c>
      <c r="AG1533" s="133">
        <v>0.901515151515151</v>
      </c>
      <c r="AH1533" s="133">
        <v>0.9779382270357</v>
      </c>
      <c r="AI1533" s="135">
        <v>0.92</v>
      </c>
      <c r="AJ1533" s="133">
        <v>0.948733323339829</v>
      </c>
      <c r="AK1533" s="133">
        <v>0.91632282554877</v>
      </c>
      <c r="AL1533" s="133">
        <v>0.949210903873745</v>
      </c>
      <c r="AM1533" s="133">
        <v>0.966141832063487</v>
      </c>
      <c r="AN1533" s="132">
        <v>0.99</v>
      </c>
      <c r="AO1533" s="137">
        <v>1</v>
      </c>
      <c r="AP1533" s="137">
        <v>1</v>
      </c>
      <c r="AQ1533" s="137">
        <v>1</v>
      </c>
      <c r="AR1533" s="137">
        <v>1</v>
      </c>
      <c r="AS1533" s="158">
        <v>0.110069253262963</v>
      </c>
      <c r="AT1533" s="141">
        <v>0.0563380281690141</v>
      </c>
      <c r="AU1533" s="141">
        <v>0.0491803278688525</v>
      </c>
      <c r="AV1533" s="141">
        <v>0.0666666666666667</v>
      </c>
      <c r="AW1533" s="141">
        <v>0.0768558951965066</v>
      </c>
      <c r="AX1533" s="95"/>
      <c r="AY1533" s="93"/>
    </row>
    <row r="1534" ht="14.5" spans="1:51">
      <c r="A1534" s="91"/>
      <c r="B1534" s="95"/>
      <c r="C1534" s="152" t="s">
        <v>1455</v>
      </c>
      <c r="D1534" s="153" t="s">
        <v>25</v>
      </c>
      <c r="E1534" s="130" t="s">
        <v>1456</v>
      </c>
      <c r="F1534" s="171" t="s">
        <v>1566</v>
      </c>
      <c r="G1534" s="171" t="s">
        <v>1566</v>
      </c>
      <c r="H1534" s="171" t="s">
        <v>1566</v>
      </c>
      <c r="I1534" s="171" t="s">
        <v>1566</v>
      </c>
      <c r="J1534" s="132">
        <v>0.9</v>
      </c>
      <c r="K1534" s="133">
        <v>0.866666666666667</v>
      </c>
      <c r="L1534" s="133">
        <v>1</v>
      </c>
      <c r="M1534" s="134">
        <v>0.933333333333333</v>
      </c>
      <c r="N1534" s="133">
        <v>0.967509025270758</v>
      </c>
      <c r="O1534" s="135">
        <v>0.9</v>
      </c>
      <c r="P1534" s="133">
        <v>0.996652719665272</v>
      </c>
      <c r="Q1534" s="133">
        <v>0.997002997002997</v>
      </c>
      <c r="R1534" s="133">
        <v>0.992424242424242</v>
      </c>
      <c r="S1534" s="133">
        <v>0.995474285714286</v>
      </c>
      <c r="T1534" s="135">
        <v>0.9</v>
      </c>
      <c r="U1534" s="133">
        <v>0.946443514644352</v>
      </c>
      <c r="V1534" s="133">
        <v>0.944055944055944</v>
      </c>
      <c r="W1534" s="133">
        <v>0.958333333333333</v>
      </c>
      <c r="X1534" s="133">
        <v>0.95136</v>
      </c>
      <c r="Y1534" s="135">
        <v>0.92</v>
      </c>
      <c r="Z1534" s="135" t="s">
        <v>35</v>
      </c>
      <c r="AA1534" s="135" t="s">
        <v>35</v>
      </c>
      <c r="AB1534" s="135" t="s">
        <v>35</v>
      </c>
      <c r="AC1534" s="135" t="s">
        <v>35</v>
      </c>
      <c r="AD1534" s="135">
        <v>0.92</v>
      </c>
      <c r="AE1534" s="133">
        <v>0.956521739130435</v>
      </c>
      <c r="AF1534" s="133">
        <v>1</v>
      </c>
      <c r="AG1534" s="133">
        <v>1</v>
      </c>
      <c r="AH1534" s="133">
        <v>0.990536277602524</v>
      </c>
      <c r="AI1534" s="135">
        <v>0.92</v>
      </c>
      <c r="AJ1534" s="133">
        <v>0.97489539748954</v>
      </c>
      <c r="AK1534" s="133">
        <v>0.964035964035964</v>
      </c>
      <c r="AL1534" s="133">
        <v>0.98030303030303</v>
      </c>
      <c r="AM1534" s="133">
        <v>0.984365714285714</v>
      </c>
      <c r="AN1534" s="132">
        <v>0.99</v>
      </c>
      <c r="AO1534" s="137">
        <v>1</v>
      </c>
      <c r="AP1534" s="137" t="s">
        <v>35</v>
      </c>
      <c r="AQ1534" s="137">
        <v>1</v>
      </c>
      <c r="AR1534" s="137">
        <v>1</v>
      </c>
      <c r="AS1534" s="158">
        <v>0.110069253262963</v>
      </c>
      <c r="AT1534" s="141">
        <v>0</v>
      </c>
      <c r="AU1534" s="141">
        <v>0.0144927536231884</v>
      </c>
      <c r="AV1534" s="141">
        <v>0.0512820512820513</v>
      </c>
      <c r="AW1534" s="141">
        <v>0.0347826086956522</v>
      </c>
      <c r="AX1534" s="95"/>
      <c r="AY1534" s="93"/>
    </row>
    <row r="1535" ht="14.5" spans="1:51">
      <c r="A1535" s="91"/>
      <c r="B1535" s="95"/>
      <c r="C1535" s="152" t="s">
        <v>1455</v>
      </c>
      <c r="D1535" s="153" t="s">
        <v>25</v>
      </c>
      <c r="E1535" s="130" t="s">
        <v>1456</v>
      </c>
      <c r="F1535" s="171" t="s">
        <v>1567</v>
      </c>
      <c r="G1535" s="171" t="s">
        <v>1567</v>
      </c>
      <c r="H1535" s="171" t="s">
        <v>1567</v>
      </c>
      <c r="I1535" s="171" t="s">
        <v>1567</v>
      </c>
      <c r="J1535" s="132">
        <v>0.9</v>
      </c>
      <c r="K1535" s="133">
        <v>1</v>
      </c>
      <c r="L1535" s="133">
        <v>0.846153846153846</v>
      </c>
      <c r="M1535" s="134">
        <v>1</v>
      </c>
      <c r="N1535" s="133">
        <v>0.940540540540541</v>
      </c>
      <c r="O1535" s="135">
        <v>0.9</v>
      </c>
      <c r="P1535" s="133">
        <v>0.997050147492625</v>
      </c>
      <c r="Q1535" s="133">
        <v>0.991638795986622</v>
      </c>
      <c r="R1535" s="133">
        <v>0.995614035087719</v>
      </c>
      <c r="S1535" s="133">
        <v>0.982451855986603</v>
      </c>
      <c r="T1535" s="135">
        <v>0.9</v>
      </c>
      <c r="U1535" s="133">
        <v>0.780973451327434</v>
      </c>
      <c r="V1535" s="133">
        <v>0.831103678929766</v>
      </c>
      <c r="W1535" s="133">
        <v>0.828216374269006</v>
      </c>
      <c r="X1535" s="133">
        <v>0.730533072843985</v>
      </c>
      <c r="Y1535" s="135">
        <v>0.92</v>
      </c>
      <c r="Z1535" s="135" t="s">
        <v>35</v>
      </c>
      <c r="AA1535" s="135" t="s">
        <v>35</v>
      </c>
      <c r="AB1535" s="135" t="s">
        <v>35</v>
      </c>
      <c r="AC1535" s="135" t="s">
        <v>35</v>
      </c>
      <c r="AD1535" s="135">
        <v>0.92</v>
      </c>
      <c r="AE1535" s="133">
        <v>0.982456140350877</v>
      </c>
      <c r="AF1535" s="133">
        <v>1</v>
      </c>
      <c r="AG1535" s="133">
        <v>0.989247311827957</v>
      </c>
      <c r="AH1535" s="133">
        <v>0.997291807718348</v>
      </c>
      <c r="AI1535" s="135">
        <v>0.92</v>
      </c>
      <c r="AJ1535" s="133">
        <v>0.867256637168142</v>
      </c>
      <c r="AK1535" s="133">
        <v>0.867892976588629</v>
      </c>
      <c r="AL1535" s="133">
        <v>0.913011695906433</v>
      </c>
      <c r="AM1535" s="133">
        <v>0.864743231928552</v>
      </c>
      <c r="AN1535" s="132">
        <v>0.99</v>
      </c>
      <c r="AO1535" s="137">
        <v>1</v>
      </c>
      <c r="AP1535" s="137">
        <v>1</v>
      </c>
      <c r="AQ1535" s="137" t="s">
        <v>35</v>
      </c>
      <c r="AR1535" s="137">
        <v>1</v>
      </c>
      <c r="AS1535" s="158">
        <v>0.110069253262963</v>
      </c>
      <c r="AT1535" s="141">
        <v>0.04</v>
      </c>
      <c r="AU1535" s="141">
        <v>0.111111111111111</v>
      </c>
      <c r="AV1535" s="141">
        <v>0.0689655172413793</v>
      </c>
      <c r="AW1535" s="141">
        <v>0.0684410646387833</v>
      </c>
      <c r="AX1535" s="95"/>
      <c r="AY1535" s="93"/>
    </row>
    <row r="1536" ht="14.5" spans="1:51">
      <c r="A1536" s="91"/>
      <c r="B1536" s="95"/>
      <c r="C1536" s="152" t="s">
        <v>1455</v>
      </c>
      <c r="D1536" s="153" t="s">
        <v>25</v>
      </c>
      <c r="E1536" s="130" t="s">
        <v>1456</v>
      </c>
      <c r="F1536" s="171" t="s">
        <v>1568</v>
      </c>
      <c r="G1536" s="171" t="s">
        <v>1568</v>
      </c>
      <c r="H1536" s="171" t="s">
        <v>1568</v>
      </c>
      <c r="I1536" s="171" t="s">
        <v>1568</v>
      </c>
      <c r="J1536" s="132">
        <v>0.9</v>
      </c>
      <c r="K1536" s="133">
        <v>1</v>
      </c>
      <c r="L1536" s="133">
        <v>1</v>
      </c>
      <c r="M1536" s="134">
        <v>1</v>
      </c>
      <c r="N1536" s="133">
        <v>0.998248686514886</v>
      </c>
      <c r="O1536" s="135">
        <v>0.9</v>
      </c>
      <c r="P1536" s="133">
        <v>0.985946420729029</v>
      </c>
      <c r="Q1536" s="133">
        <v>0.991313234542667</v>
      </c>
      <c r="R1536" s="133">
        <v>0.994362532523851</v>
      </c>
      <c r="S1536" s="133">
        <v>0.97835582343037</v>
      </c>
      <c r="T1536" s="135">
        <v>0.9</v>
      </c>
      <c r="U1536" s="133">
        <v>0.925340360122969</v>
      </c>
      <c r="V1536" s="133">
        <v>0.882473173224323</v>
      </c>
      <c r="W1536" s="133">
        <v>0.915871639202081</v>
      </c>
      <c r="X1536" s="133">
        <v>0.919279666186769</v>
      </c>
      <c r="Y1536" s="135">
        <v>0.92</v>
      </c>
      <c r="Z1536" s="135" t="s">
        <v>35</v>
      </c>
      <c r="AA1536" s="135" t="s">
        <v>35</v>
      </c>
      <c r="AB1536" s="135" t="s">
        <v>35</v>
      </c>
      <c r="AC1536" s="135" t="s">
        <v>35</v>
      </c>
      <c r="AD1536" s="135">
        <v>0.92</v>
      </c>
      <c r="AE1536" s="133">
        <v>0.990909090909091</v>
      </c>
      <c r="AF1536" s="133">
        <v>1</v>
      </c>
      <c r="AG1536" s="133">
        <v>1</v>
      </c>
      <c r="AH1536" s="133">
        <v>0.99642431466031</v>
      </c>
      <c r="AI1536" s="135">
        <v>0.92</v>
      </c>
      <c r="AJ1536" s="133">
        <v>0.94949494949495</v>
      </c>
      <c r="AK1536" s="133">
        <v>0.968318855390904</v>
      </c>
      <c r="AL1536" s="133">
        <v>0.956201214223764</v>
      </c>
      <c r="AM1536" s="133">
        <v>0.969474403396613</v>
      </c>
      <c r="AN1536" s="132">
        <v>0.99</v>
      </c>
      <c r="AO1536" s="137">
        <v>1</v>
      </c>
      <c r="AP1536" s="137">
        <v>1</v>
      </c>
      <c r="AQ1536" s="137">
        <v>1</v>
      </c>
      <c r="AR1536" s="137">
        <v>1</v>
      </c>
      <c r="AS1536" s="158">
        <v>0.110069253262963</v>
      </c>
      <c r="AT1536" s="141">
        <v>0.08</v>
      </c>
      <c r="AU1536" s="141">
        <v>0</v>
      </c>
      <c r="AV1536" s="141">
        <v>0</v>
      </c>
      <c r="AW1536" s="141">
        <v>0.0497630331753555</v>
      </c>
      <c r="AX1536" s="95"/>
      <c r="AY1536" s="93"/>
    </row>
    <row r="1537" ht="14.5" spans="1:51">
      <c r="A1537" s="91"/>
      <c r="B1537" s="95"/>
      <c r="C1537" s="152" t="s">
        <v>1455</v>
      </c>
      <c r="D1537" s="153" t="s">
        <v>25</v>
      </c>
      <c r="E1537" s="130" t="s">
        <v>1456</v>
      </c>
      <c r="F1537" s="171" t="s">
        <v>1569</v>
      </c>
      <c r="G1537" s="171" t="s">
        <v>1569</v>
      </c>
      <c r="H1537" s="171" t="s">
        <v>1569</v>
      </c>
      <c r="I1537" s="171" t="s">
        <v>1569</v>
      </c>
      <c r="J1537" s="132">
        <v>0.9</v>
      </c>
      <c r="K1537" s="133">
        <v>0.914285714285714</v>
      </c>
      <c r="L1537" s="133">
        <v>1</v>
      </c>
      <c r="M1537" s="134">
        <v>0.848484848484849</v>
      </c>
      <c r="N1537" s="133">
        <v>0.951219512195122</v>
      </c>
      <c r="O1537" s="135">
        <v>0.9</v>
      </c>
      <c r="P1537" s="133">
        <v>0.983900285640093</v>
      </c>
      <c r="Q1537" s="133">
        <v>0.995071193866375</v>
      </c>
      <c r="R1537" s="133">
        <v>0.993987975951904</v>
      </c>
      <c r="S1537" s="133">
        <v>0.990891373757757</v>
      </c>
      <c r="T1537" s="135">
        <v>0.9</v>
      </c>
      <c r="U1537" s="133">
        <v>0.926512594131394</v>
      </c>
      <c r="V1537" s="133">
        <v>0.941675794085433</v>
      </c>
      <c r="W1537" s="133">
        <v>0.967685370741483</v>
      </c>
      <c r="X1537" s="133">
        <v>0.950835533317669</v>
      </c>
      <c r="Y1537" s="135">
        <v>0.92</v>
      </c>
      <c r="Z1537" s="135" t="s">
        <v>35</v>
      </c>
      <c r="AA1537" s="135" t="s">
        <v>35</v>
      </c>
      <c r="AB1537" s="135" t="s">
        <v>35</v>
      </c>
      <c r="AC1537" s="135" t="s">
        <v>35</v>
      </c>
      <c r="AD1537" s="135">
        <v>0.92</v>
      </c>
      <c r="AE1537" s="133">
        <v>0.981132075471698</v>
      </c>
      <c r="AF1537" s="133">
        <v>0.971731448763251</v>
      </c>
      <c r="AG1537" s="133">
        <v>0.984210526315789</v>
      </c>
      <c r="AH1537" s="133">
        <v>0.975026852846402</v>
      </c>
      <c r="AI1537" s="135">
        <v>0.92</v>
      </c>
      <c r="AJ1537" s="133">
        <v>0.964165151908595</v>
      </c>
      <c r="AK1537" s="133">
        <v>0.984665936473165</v>
      </c>
      <c r="AL1537" s="133">
        <v>0.988226452905812</v>
      </c>
      <c r="AM1537" s="133">
        <v>0.987463891307653</v>
      </c>
      <c r="AN1537" s="132">
        <v>0.99</v>
      </c>
      <c r="AO1537" s="137">
        <v>1</v>
      </c>
      <c r="AP1537" s="137">
        <v>1</v>
      </c>
      <c r="AQ1537" s="137">
        <v>1</v>
      </c>
      <c r="AR1537" s="137">
        <v>1</v>
      </c>
      <c r="AS1537" s="158">
        <v>0.110069253262963</v>
      </c>
      <c r="AT1537" s="141">
        <v>0.128205128205128</v>
      </c>
      <c r="AU1537" s="141">
        <v>0.0888888888888889</v>
      </c>
      <c r="AV1537" s="141">
        <v>0.0344827586206897</v>
      </c>
      <c r="AW1537" s="141">
        <v>0.0785498489425982</v>
      </c>
      <c r="AX1537" s="95"/>
      <c r="AY1537" s="93"/>
    </row>
    <row r="1538" ht="14.5" spans="1:51">
      <c r="A1538" s="91"/>
      <c r="B1538" s="95"/>
      <c r="C1538" s="152" t="s">
        <v>1455</v>
      </c>
      <c r="D1538" s="153" t="s">
        <v>25</v>
      </c>
      <c r="E1538" s="130" t="s">
        <v>1456</v>
      </c>
      <c r="F1538" s="171" t="s">
        <v>1570</v>
      </c>
      <c r="G1538" s="171" t="s">
        <v>1570</v>
      </c>
      <c r="H1538" s="171" t="s">
        <v>1570</v>
      </c>
      <c r="I1538" s="171" t="s">
        <v>1570</v>
      </c>
      <c r="J1538" s="132">
        <v>0.9</v>
      </c>
      <c r="K1538" s="133">
        <v>0.9375</v>
      </c>
      <c r="L1538" s="133">
        <v>0.972222222222222</v>
      </c>
      <c r="M1538" s="134">
        <v>0.903225806451613</v>
      </c>
      <c r="N1538" s="133">
        <v>0.932584269662921</v>
      </c>
      <c r="O1538" s="135">
        <v>0.9</v>
      </c>
      <c r="P1538" s="133">
        <v>0.0162932790224033</v>
      </c>
      <c r="Q1538" s="133">
        <v>0.915105386416862</v>
      </c>
      <c r="R1538" s="133">
        <v>0.773407022106632</v>
      </c>
      <c r="S1538" s="133">
        <v>0.847500442470757</v>
      </c>
      <c r="T1538" s="135">
        <v>0.9</v>
      </c>
      <c r="U1538" s="133">
        <v>0.270293860925226</v>
      </c>
      <c r="V1538" s="133">
        <v>0.384367681498829</v>
      </c>
      <c r="W1538" s="133">
        <v>0.381014304291287</v>
      </c>
      <c r="X1538" s="133">
        <v>0.33614905633055</v>
      </c>
      <c r="Y1538" s="135">
        <v>0.92</v>
      </c>
      <c r="Z1538" s="135" t="s">
        <v>35</v>
      </c>
      <c r="AA1538" s="135" t="s">
        <v>35</v>
      </c>
      <c r="AB1538" s="135" t="s">
        <v>35</v>
      </c>
      <c r="AC1538" s="135" t="s">
        <v>35</v>
      </c>
      <c r="AD1538" s="135">
        <v>0.92</v>
      </c>
      <c r="AE1538" s="133">
        <v>0.845070422535211</v>
      </c>
      <c r="AF1538" s="133">
        <v>0.89622641509434</v>
      </c>
      <c r="AG1538" s="133">
        <v>1</v>
      </c>
      <c r="AH1538" s="133">
        <v>0.976535197204194</v>
      </c>
      <c r="AI1538" s="135">
        <v>0.92</v>
      </c>
      <c r="AJ1538" s="133">
        <v>0.839976723887111</v>
      </c>
      <c r="AK1538" s="133">
        <v>0.848653395784543</v>
      </c>
      <c r="AL1538" s="133">
        <v>0.866384915474642</v>
      </c>
      <c r="AM1538" s="133">
        <v>0.867484030828144</v>
      </c>
      <c r="AN1538" s="132">
        <v>0.99</v>
      </c>
      <c r="AO1538" s="137">
        <v>1</v>
      </c>
      <c r="AP1538" s="137">
        <v>1</v>
      </c>
      <c r="AQ1538" s="137">
        <v>1</v>
      </c>
      <c r="AR1538" s="137">
        <v>1</v>
      </c>
      <c r="AS1538" s="158">
        <v>0.110069253262963</v>
      </c>
      <c r="AT1538" s="141">
        <v>0.0666666666666667</v>
      </c>
      <c r="AU1538" s="141">
        <v>0.0476190476190476</v>
      </c>
      <c r="AV1538" s="141">
        <v>0.0540540540540541</v>
      </c>
      <c r="AW1538" s="141">
        <v>0.104938271604938</v>
      </c>
      <c r="AX1538" s="95"/>
      <c r="AY1538" s="93"/>
    </row>
    <row r="1539" ht="14.5" spans="1:51">
      <c r="A1539" s="91"/>
      <c r="B1539" s="95"/>
      <c r="C1539" s="152" t="s">
        <v>1455</v>
      </c>
      <c r="D1539" s="153" t="s">
        <v>25</v>
      </c>
      <c r="E1539" s="130" t="s">
        <v>1456</v>
      </c>
      <c r="F1539" s="171" t="s">
        <v>1571</v>
      </c>
      <c r="G1539" s="171" t="s">
        <v>1571</v>
      </c>
      <c r="H1539" s="171" t="s">
        <v>1571</v>
      </c>
      <c r="I1539" s="171" t="s">
        <v>1571</v>
      </c>
      <c r="J1539" s="132">
        <v>0.9</v>
      </c>
      <c r="K1539" s="133">
        <v>1</v>
      </c>
      <c r="L1539" s="133">
        <v>0.944444444444444</v>
      </c>
      <c r="M1539" s="134">
        <v>1</v>
      </c>
      <c r="N1539" s="133">
        <v>0.985549132947977</v>
      </c>
      <c r="O1539" s="135">
        <v>0.9</v>
      </c>
      <c r="P1539" s="133">
        <v>0.975490196078431</v>
      </c>
      <c r="Q1539" s="133">
        <v>0.972972972972973</v>
      </c>
      <c r="R1539" s="133">
        <v>0.985172981878089</v>
      </c>
      <c r="S1539" s="133">
        <v>0.94965844965845</v>
      </c>
      <c r="T1539" s="135">
        <v>0.9</v>
      </c>
      <c r="U1539" s="133">
        <v>0.868464052287582</v>
      </c>
      <c r="V1539" s="133">
        <v>0.689518787079763</v>
      </c>
      <c r="W1539" s="133">
        <v>0.827841845140033</v>
      </c>
      <c r="X1539" s="133">
        <v>0.724272349272349</v>
      </c>
      <c r="Y1539" s="135">
        <v>0.92</v>
      </c>
      <c r="Z1539" s="135" t="s">
        <v>35</v>
      </c>
      <c r="AA1539" s="135" t="s">
        <v>35</v>
      </c>
      <c r="AB1539" s="135" t="s">
        <v>35</v>
      </c>
      <c r="AC1539" s="135" t="s">
        <v>35</v>
      </c>
      <c r="AD1539" s="135">
        <v>0.92</v>
      </c>
      <c r="AE1539" s="133">
        <v>0.958904109589041</v>
      </c>
      <c r="AF1539" s="133">
        <v>0.96969696969697</v>
      </c>
      <c r="AG1539" s="133">
        <v>1</v>
      </c>
      <c r="AH1539" s="133">
        <v>0.9695603156708</v>
      </c>
      <c r="AI1539" s="135">
        <v>0.92</v>
      </c>
      <c r="AJ1539" s="133">
        <v>0.92734693877551</v>
      </c>
      <c r="AK1539" s="133">
        <v>0.941331575477917</v>
      </c>
      <c r="AL1539" s="133">
        <v>0.953871499176277</v>
      </c>
      <c r="AM1539" s="133">
        <v>0.939748301592605</v>
      </c>
      <c r="AN1539" s="132">
        <v>0.99</v>
      </c>
      <c r="AO1539" s="137">
        <v>1</v>
      </c>
      <c r="AP1539" s="137">
        <v>1</v>
      </c>
      <c r="AQ1539" s="137">
        <v>1</v>
      </c>
      <c r="AR1539" s="137">
        <v>1</v>
      </c>
      <c r="AS1539" s="158">
        <v>0.110069253262963</v>
      </c>
      <c r="AT1539" s="141">
        <v>0</v>
      </c>
      <c r="AU1539" s="141">
        <v>0.125</v>
      </c>
      <c r="AV1539" s="141">
        <v>0.2</v>
      </c>
      <c r="AW1539" s="141">
        <v>0.0790960451977401</v>
      </c>
      <c r="AX1539" s="95"/>
      <c r="AY1539" s="93"/>
    </row>
    <row r="1540" ht="14.5" spans="1:51">
      <c r="A1540" s="91"/>
      <c r="B1540" s="95"/>
      <c r="C1540" s="152" t="s">
        <v>1455</v>
      </c>
      <c r="D1540" s="153" t="s">
        <v>25</v>
      </c>
      <c r="E1540" s="130" t="s">
        <v>1456</v>
      </c>
      <c r="F1540" s="171" t="s">
        <v>1572</v>
      </c>
      <c r="G1540" s="171" t="s">
        <v>1572</v>
      </c>
      <c r="H1540" s="171" t="s">
        <v>1572</v>
      </c>
      <c r="I1540" s="171" t="s">
        <v>1572</v>
      </c>
      <c r="J1540" s="132">
        <v>0.9</v>
      </c>
      <c r="K1540" s="133">
        <v>0.793103448275862</v>
      </c>
      <c r="L1540" s="133">
        <v>0.794117647058823</v>
      </c>
      <c r="M1540" s="134">
        <v>0.842105263157895</v>
      </c>
      <c r="N1540" s="133">
        <v>0.826446280991736</v>
      </c>
      <c r="O1540" s="135">
        <v>0.9</v>
      </c>
      <c r="P1540" s="133">
        <v>0.820058997050148</v>
      </c>
      <c r="Q1540" s="133">
        <v>0.878235294117647</v>
      </c>
      <c r="R1540" s="133">
        <v>0.914950327114126</v>
      </c>
      <c r="S1540" s="133">
        <v>0.849789316297404</v>
      </c>
      <c r="T1540" s="135">
        <v>0.9</v>
      </c>
      <c r="U1540" s="133">
        <v>0.721641190667739</v>
      </c>
      <c r="V1540" s="133">
        <v>0.782352941176471</v>
      </c>
      <c r="W1540" s="133">
        <v>0.830627574509329</v>
      </c>
      <c r="X1540" s="133">
        <v>0.762783743373658</v>
      </c>
      <c r="Y1540" s="135">
        <v>0.92</v>
      </c>
      <c r="Z1540" s="135">
        <v>0.25</v>
      </c>
      <c r="AA1540" s="135">
        <v>0.125</v>
      </c>
      <c r="AB1540" s="135">
        <v>0</v>
      </c>
      <c r="AC1540" s="135">
        <v>0.09375</v>
      </c>
      <c r="AD1540" s="135">
        <v>0.92</v>
      </c>
      <c r="AE1540" s="133">
        <v>0.764705882352941</v>
      </c>
      <c r="AF1540" s="133">
        <v>0.782608695652174</v>
      </c>
      <c r="AG1540" s="133">
        <v>0.4</v>
      </c>
      <c r="AH1540" s="133">
        <v>0.697058823529412</v>
      </c>
      <c r="AI1540" s="135">
        <v>0.92</v>
      </c>
      <c r="AJ1540" s="133">
        <v>0.811679614251272</v>
      </c>
      <c r="AK1540" s="133">
        <v>0.854753521126761</v>
      </c>
      <c r="AL1540" s="133">
        <v>0.926445681103315</v>
      </c>
      <c r="AM1540" s="133">
        <v>0.873292229133281</v>
      </c>
      <c r="AN1540" s="132">
        <v>0.99</v>
      </c>
      <c r="AO1540" s="137">
        <v>1</v>
      </c>
      <c r="AP1540" s="137" t="s">
        <v>35</v>
      </c>
      <c r="AQ1540" s="137">
        <v>1</v>
      </c>
      <c r="AR1540" s="137">
        <v>1</v>
      </c>
      <c r="AS1540" s="158">
        <v>0.110069253262963</v>
      </c>
      <c r="AT1540" s="141">
        <v>0.0526315789473684</v>
      </c>
      <c r="AU1540" s="141">
        <v>0</v>
      </c>
      <c r="AV1540" s="141">
        <v>0.166666666666667</v>
      </c>
      <c r="AW1540" s="141">
        <v>0.112469437652812</v>
      </c>
      <c r="AX1540" s="95"/>
      <c r="AY1540" s="93"/>
    </row>
    <row r="1541" ht="14.5" spans="1:51">
      <c r="A1541" s="91"/>
      <c r="B1541" s="95"/>
      <c r="C1541" s="152" t="s">
        <v>1455</v>
      </c>
      <c r="D1541" s="153" t="s">
        <v>125</v>
      </c>
      <c r="E1541" s="130" t="s">
        <v>1456</v>
      </c>
      <c r="F1541" s="171" t="s">
        <v>1573</v>
      </c>
      <c r="G1541" s="171" t="s">
        <v>1573</v>
      </c>
      <c r="H1541" s="171" t="s">
        <v>1573</v>
      </c>
      <c r="I1541" s="171" t="s">
        <v>1573</v>
      </c>
      <c r="J1541" s="132">
        <v>0.9</v>
      </c>
      <c r="K1541" s="133" t="s">
        <v>35</v>
      </c>
      <c r="L1541" s="133" t="s">
        <v>35</v>
      </c>
      <c r="M1541" s="134" t="s">
        <v>35</v>
      </c>
      <c r="N1541" s="133" t="s">
        <v>35</v>
      </c>
      <c r="O1541" s="135">
        <v>0.9</v>
      </c>
      <c r="P1541" s="133" t="s">
        <v>35</v>
      </c>
      <c r="Q1541" s="133">
        <v>0</v>
      </c>
      <c r="R1541" s="133">
        <v>0</v>
      </c>
      <c r="S1541" s="133">
        <v>0</v>
      </c>
      <c r="T1541" s="135">
        <v>0.9</v>
      </c>
      <c r="U1541" s="133" t="s">
        <v>35</v>
      </c>
      <c r="V1541" s="133">
        <v>1</v>
      </c>
      <c r="W1541" s="133">
        <v>0</v>
      </c>
      <c r="X1541" s="133">
        <v>0.846153846153846</v>
      </c>
      <c r="Y1541" s="135">
        <v>0.92</v>
      </c>
      <c r="Z1541" s="135" t="s">
        <v>35</v>
      </c>
      <c r="AA1541" s="135" t="s">
        <v>35</v>
      </c>
      <c r="AB1541" s="135" t="s">
        <v>35</v>
      </c>
      <c r="AC1541" s="135">
        <v>0.5</v>
      </c>
      <c r="AD1541" s="135">
        <v>0.92</v>
      </c>
      <c r="AE1541" s="133">
        <v>0.989690721649485</v>
      </c>
      <c r="AF1541" s="133">
        <v>0.774760383386581</v>
      </c>
      <c r="AG1541" s="133">
        <v>0.990783410138249</v>
      </c>
      <c r="AH1541" s="133">
        <v>0.929010789553292</v>
      </c>
      <c r="AI1541" s="135">
        <v>0.92</v>
      </c>
      <c r="AJ1541" s="133" t="s">
        <v>35</v>
      </c>
      <c r="AK1541" s="133">
        <v>1</v>
      </c>
      <c r="AL1541" s="133">
        <v>0.666666666666667</v>
      </c>
      <c r="AM1541" s="133">
        <v>0.833333333333333</v>
      </c>
      <c r="AN1541" s="132">
        <v>0.99</v>
      </c>
      <c r="AO1541" s="137">
        <v>1</v>
      </c>
      <c r="AP1541" s="137">
        <v>1</v>
      </c>
      <c r="AQ1541" s="137">
        <v>1</v>
      </c>
      <c r="AR1541" s="137">
        <v>1</v>
      </c>
      <c r="AS1541" s="158">
        <v>0.110069253262963</v>
      </c>
      <c r="AT1541" s="141" t="s">
        <v>35</v>
      </c>
      <c r="AU1541" s="141" t="s">
        <v>35</v>
      </c>
      <c r="AV1541" s="141" t="s">
        <v>35</v>
      </c>
      <c r="AW1541" s="141" t="s">
        <v>35</v>
      </c>
      <c r="AX1541" s="95"/>
      <c r="AY1541" s="93"/>
    </row>
    <row r="1542" ht="14.5" spans="1:51">
      <c r="A1542" s="91"/>
      <c r="B1542" s="95"/>
      <c r="C1542" s="152" t="s">
        <v>1455</v>
      </c>
      <c r="D1542" s="153" t="s">
        <v>125</v>
      </c>
      <c r="E1542" s="130" t="s">
        <v>1456</v>
      </c>
      <c r="F1542" s="171" t="s">
        <v>1574</v>
      </c>
      <c r="G1542" s="171" t="s">
        <v>1574</v>
      </c>
      <c r="H1542" s="171" t="s">
        <v>1574</v>
      </c>
      <c r="I1542" s="171" t="s">
        <v>1574</v>
      </c>
      <c r="J1542" s="132">
        <v>0.9</v>
      </c>
      <c r="K1542" s="133" t="s">
        <v>35</v>
      </c>
      <c r="L1542" s="133" t="s">
        <v>35</v>
      </c>
      <c r="M1542" s="134" t="s">
        <v>35</v>
      </c>
      <c r="N1542" s="133" t="s">
        <v>35</v>
      </c>
      <c r="O1542" s="135">
        <v>0.9</v>
      </c>
      <c r="P1542" s="133">
        <v>0</v>
      </c>
      <c r="Q1542" s="133">
        <v>0</v>
      </c>
      <c r="R1542" s="133" t="s">
        <v>35</v>
      </c>
      <c r="S1542" s="133">
        <v>0</v>
      </c>
      <c r="T1542" s="135">
        <v>0.9</v>
      </c>
      <c r="U1542" s="133">
        <v>1</v>
      </c>
      <c r="V1542" s="133">
        <v>0</v>
      </c>
      <c r="W1542" s="133" t="s">
        <v>35</v>
      </c>
      <c r="X1542" s="133">
        <v>0.5</v>
      </c>
      <c r="Y1542" s="135">
        <v>0.92</v>
      </c>
      <c r="Z1542" s="135" t="s">
        <v>35</v>
      </c>
      <c r="AA1542" s="135" t="s">
        <v>35</v>
      </c>
      <c r="AB1542" s="135" t="s">
        <v>35</v>
      </c>
      <c r="AC1542" s="135" t="s">
        <v>35</v>
      </c>
      <c r="AD1542" s="135">
        <v>0.92</v>
      </c>
      <c r="AE1542" s="133">
        <v>0.953150242326333</v>
      </c>
      <c r="AF1542" s="133">
        <v>0.958823529411765</v>
      </c>
      <c r="AG1542" s="133">
        <v>1</v>
      </c>
      <c r="AH1542" s="133">
        <v>0.980961813579839</v>
      </c>
      <c r="AI1542" s="135">
        <v>0.92</v>
      </c>
      <c r="AJ1542" s="133">
        <v>1</v>
      </c>
      <c r="AK1542" s="133">
        <v>0</v>
      </c>
      <c r="AL1542" s="133" t="s">
        <v>35</v>
      </c>
      <c r="AM1542" s="133">
        <v>0.571428571428571</v>
      </c>
      <c r="AN1542" s="132">
        <v>0.99</v>
      </c>
      <c r="AO1542" s="137">
        <v>1</v>
      </c>
      <c r="AP1542" s="137">
        <v>1</v>
      </c>
      <c r="AQ1542" s="137" t="s">
        <v>35</v>
      </c>
      <c r="AR1542" s="137">
        <v>1</v>
      </c>
      <c r="AS1542" s="158">
        <v>0.110069253262963</v>
      </c>
      <c r="AT1542" s="141" t="s">
        <v>35</v>
      </c>
      <c r="AU1542" s="141" t="s">
        <v>35</v>
      </c>
      <c r="AV1542" s="141" t="s">
        <v>35</v>
      </c>
      <c r="AW1542" s="141" t="s">
        <v>35</v>
      </c>
      <c r="AX1542" s="95"/>
      <c r="AY1542" s="93"/>
    </row>
    <row r="1543" ht="14.5" spans="1:51">
      <c r="A1543" s="91"/>
      <c r="B1543" s="95"/>
      <c r="C1543" s="152" t="s">
        <v>1455</v>
      </c>
      <c r="D1543" s="153" t="s">
        <v>125</v>
      </c>
      <c r="E1543" s="130" t="s">
        <v>1456</v>
      </c>
      <c r="F1543" s="171" t="s">
        <v>1575</v>
      </c>
      <c r="G1543" s="171" t="s">
        <v>1575</v>
      </c>
      <c r="H1543" s="171" t="s">
        <v>1575</v>
      </c>
      <c r="I1543" s="171" t="s">
        <v>1575</v>
      </c>
      <c r="J1543" s="132">
        <v>0.9</v>
      </c>
      <c r="K1543" s="133" t="s">
        <v>35</v>
      </c>
      <c r="L1543" s="133" t="s">
        <v>35</v>
      </c>
      <c r="M1543" s="134" t="s">
        <v>35</v>
      </c>
      <c r="N1543" s="133" t="s">
        <v>35</v>
      </c>
      <c r="O1543" s="135">
        <v>0.9</v>
      </c>
      <c r="P1543" s="133" t="s">
        <v>35</v>
      </c>
      <c r="Q1543" s="133" t="s">
        <v>35</v>
      </c>
      <c r="R1543" s="133" t="s">
        <v>35</v>
      </c>
      <c r="S1543" s="133">
        <v>0</v>
      </c>
      <c r="T1543" s="135">
        <v>0.9</v>
      </c>
      <c r="U1543" s="133" t="s">
        <v>35</v>
      </c>
      <c r="V1543" s="133" t="s">
        <v>35</v>
      </c>
      <c r="W1543" s="133" t="s">
        <v>35</v>
      </c>
      <c r="X1543" s="133">
        <v>0</v>
      </c>
      <c r="Y1543" s="135">
        <v>0.92</v>
      </c>
      <c r="Z1543" s="135" t="s">
        <v>35</v>
      </c>
      <c r="AA1543" s="135" t="s">
        <v>35</v>
      </c>
      <c r="AB1543" s="135" t="s">
        <v>35</v>
      </c>
      <c r="AC1543" s="135" t="s">
        <v>35</v>
      </c>
      <c r="AD1543" s="135">
        <v>0.92</v>
      </c>
      <c r="AE1543" s="133">
        <v>1</v>
      </c>
      <c r="AF1543" s="133">
        <v>1</v>
      </c>
      <c r="AG1543" s="133">
        <v>1</v>
      </c>
      <c r="AH1543" s="133">
        <v>0.948788115715403</v>
      </c>
      <c r="AI1543" s="135">
        <v>0.92</v>
      </c>
      <c r="AJ1543" s="133" t="s">
        <v>35</v>
      </c>
      <c r="AK1543" s="133" t="s">
        <v>35</v>
      </c>
      <c r="AL1543" s="133" t="s">
        <v>35</v>
      </c>
      <c r="AM1543" s="133">
        <v>0</v>
      </c>
      <c r="AN1543" s="132">
        <v>0.99</v>
      </c>
      <c r="AO1543" s="137">
        <v>1</v>
      </c>
      <c r="AP1543" s="137" t="s">
        <v>35</v>
      </c>
      <c r="AQ1543" s="137" t="s">
        <v>35</v>
      </c>
      <c r="AR1543" s="137">
        <v>1</v>
      </c>
      <c r="AS1543" s="158">
        <v>0.110069253262963</v>
      </c>
      <c r="AT1543" s="141" t="s">
        <v>35</v>
      </c>
      <c r="AU1543" s="141" t="s">
        <v>35</v>
      </c>
      <c r="AV1543" s="141" t="s">
        <v>35</v>
      </c>
      <c r="AW1543" s="141" t="s">
        <v>35</v>
      </c>
      <c r="AX1543" s="95"/>
      <c r="AY1543" s="93"/>
    </row>
    <row r="1544" ht="14.5" spans="1:51">
      <c r="A1544" s="91"/>
      <c r="B1544" s="95"/>
      <c r="C1544" s="152" t="s">
        <v>1455</v>
      </c>
      <c r="D1544" s="153" t="s">
        <v>25</v>
      </c>
      <c r="E1544" s="130" t="s">
        <v>1456</v>
      </c>
      <c r="F1544" s="171" t="s">
        <v>1576</v>
      </c>
      <c r="G1544" s="171" t="s">
        <v>1576</v>
      </c>
      <c r="H1544" s="171" t="s">
        <v>1576</v>
      </c>
      <c r="I1544" s="171" t="s">
        <v>1576</v>
      </c>
      <c r="J1544" s="132">
        <v>0.9</v>
      </c>
      <c r="K1544" s="133">
        <v>0.794117647058823</v>
      </c>
      <c r="L1544" s="133">
        <v>0.903225806451613</v>
      </c>
      <c r="M1544" s="134">
        <v>0.909090909090909</v>
      </c>
      <c r="N1544" s="133">
        <v>0.899317406143345</v>
      </c>
      <c r="O1544" s="135">
        <v>0.9</v>
      </c>
      <c r="P1544" s="133">
        <v>0.879973907371168</v>
      </c>
      <c r="Q1544" s="133">
        <v>0.948495527243155</v>
      </c>
      <c r="R1544" s="133">
        <v>0.975961538461538</v>
      </c>
      <c r="S1544" s="133">
        <v>0.95323092232104</v>
      </c>
      <c r="T1544" s="135">
        <v>0.9</v>
      </c>
      <c r="U1544" s="133">
        <v>0.750815394651011</v>
      </c>
      <c r="V1544" s="133">
        <v>0.775277853076715</v>
      </c>
      <c r="W1544" s="133">
        <v>0.86166958041958</v>
      </c>
      <c r="X1544" s="133">
        <v>0.862479009888675</v>
      </c>
      <c r="Y1544" s="135">
        <v>0.92</v>
      </c>
      <c r="Z1544" s="135">
        <v>0</v>
      </c>
      <c r="AA1544" s="135" t="s">
        <v>35</v>
      </c>
      <c r="AB1544" s="135" t="s">
        <v>35</v>
      </c>
      <c r="AC1544" s="135">
        <v>0.2</v>
      </c>
      <c r="AD1544" s="135">
        <v>0.92</v>
      </c>
      <c r="AE1544" s="133">
        <v>0.981132075471698</v>
      </c>
      <c r="AF1544" s="133">
        <v>1</v>
      </c>
      <c r="AG1544" s="133">
        <v>0.846153846153846</v>
      </c>
      <c r="AH1544" s="133">
        <v>0.883458646616541</v>
      </c>
      <c r="AI1544" s="135">
        <v>0.92</v>
      </c>
      <c r="AJ1544" s="133">
        <v>0.875054324206867</v>
      </c>
      <c r="AK1544" s="133">
        <v>0.860937923556519</v>
      </c>
      <c r="AL1544" s="133">
        <v>0.899256993006993</v>
      </c>
      <c r="AM1544" s="133">
        <v>0.927339212198853</v>
      </c>
      <c r="AN1544" s="132">
        <v>0.99</v>
      </c>
      <c r="AO1544" s="137">
        <v>1</v>
      </c>
      <c r="AP1544" s="137">
        <v>1</v>
      </c>
      <c r="AQ1544" s="137" t="s">
        <v>35</v>
      </c>
      <c r="AR1544" s="137">
        <v>1</v>
      </c>
      <c r="AS1544" s="158">
        <v>0.110069253262963</v>
      </c>
      <c r="AT1544" s="141">
        <v>0.208333333333333</v>
      </c>
      <c r="AU1544" s="141">
        <v>0.0294117647058824</v>
      </c>
      <c r="AV1544" s="141">
        <v>0.230769230769231</v>
      </c>
      <c r="AW1544" s="141">
        <v>0.0753323485967504</v>
      </c>
      <c r="AX1544" s="95"/>
      <c r="AY1544" s="93"/>
    </row>
    <row r="1545" ht="14.5" spans="1:51">
      <c r="A1545" s="91"/>
      <c r="B1545" s="95"/>
      <c r="C1545" s="152" t="s">
        <v>1455</v>
      </c>
      <c r="D1545" s="153" t="s">
        <v>25</v>
      </c>
      <c r="E1545" s="130" t="s">
        <v>1456</v>
      </c>
      <c r="F1545" s="171" t="s">
        <v>1577</v>
      </c>
      <c r="G1545" s="171" t="s">
        <v>1577</v>
      </c>
      <c r="H1545" s="171" t="s">
        <v>1577</v>
      </c>
      <c r="I1545" s="171" t="s">
        <v>1577</v>
      </c>
      <c r="J1545" s="132">
        <v>0.9</v>
      </c>
      <c r="K1545" s="133">
        <v>0.7</v>
      </c>
      <c r="L1545" s="133">
        <v>0.909090909090909</v>
      </c>
      <c r="M1545" s="134">
        <v>0.774193548387097</v>
      </c>
      <c r="N1545" s="133">
        <v>0.839851024208566</v>
      </c>
      <c r="O1545" s="135">
        <v>0.9</v>
      </c>
      <c r="P1545" s="133">
        <v>0.898550724637681</v>
      </c>
      <c r="Q1545" s="133">
        <v>0.819672131147541</v>
      </c>
      <c r="R1545" s="133">
        <v>0.941489361702128</v>
      </c>
      <c r="S1545" s="133">
        <v>0.902132217406466</v>
      </c>
      <c r="T1545" s="135">
        <v>0.9</v>
      </c>
      <c r="U1545" s="133">
        <v>0.865136876006441</v>
      </c>
      <c r="V1545" s="133">
        <v>0.845675522894291</v>
      </c>
      <c r="W1545" s="133">
        <v>0.906673114119923</v>
      </c>
      <c r="X1545" s="133">
        <v>0.899541672893937</v>
      </c>
      <c r="Y1545" s="135">
        <v>0.92</v>
      </c>
      <c r="Z1545" s="135">
        <v>0.91588785046729</v>
      </c>
      <c r="AA1545" s="135">
        <v>0.93923145665773</v>
      </c>
      <c r="AB1545" s="135">
        <v>0.794226044226044</v>
      </c>
      <c r="AC1545" s="135">
        <v>0.918468422311029</v>
      </c>
      <c r="AD1545" s="135">
        <v>0.92</v>
      </c>
      <c r="AE1545" s="133">
        <v>0.923076923076923</v>
      </c>
      <c r="AF1545" s="133">
        <v>0.931623931623932</v>
      </c>
      <c r="AG1545" s="133">
        <v>0.932098765432099</v>
      </c>
      <c r="AH1545" s="133">
        <v>0.90639891082369</v>
      </c>
      <c r="AI1545" s="135">
        <v>0.92</v>
      </c>
      <c r="AJ1545" s="133">
        <v>0.939838371744987</v>
      </c>
      <c r="AK1545" s="133">
        <v>0.956371191135734</v>
      </c>
      <c r="AL1545" s="133">
        <v>0.880984582093589</v>
      </c>
      <c r="AM1545" s="133">
        <v>0.951634043411255</v>
      </c>
      <c r="AN1545" s="132">
        <v>0.99</v>
      </c>
      <c r="AO1545" s="137">
        <v>1</v>
      </c>
      <c r="AP1545" s="137">
        <v>1</v>
      </c>
      <c r="AQ1545" s="137">
        <v>1</v>
      </c>
      <c r="AR1545" s="137">
        <v>1</v>
      </c>
      <c r="AS1545" s="158">
        <v>0.110069253262963</v>
      </c>
      <c r="AT1545" s="141">
        <v>0</v>
      </c>
      <c r="AU1545" s="141">
        <v>0.105263157894737</v>
      </c>
      <c r="AV1545" s="141">
        <v>0.0833333333333333</v>
      </c>
      <c r="AW1545" s="141">
        <v>0.0701754385964912</v>
      </c>
      <c r="AX1545" s="95"/>
      <c r="AY1545" s="93"/>
    </row>
    <row r="1546" ht="14.5" spans="1:51">
      <c r="A1546" s="91"/>
      <c r="B1546" s="95"/>
      <c r="C1546" s="152" t="s">
        <v>1455</v>
      </c>
      <c r="D1546" s="153" t="s">
        <v>25</v>
      </c>
      <c r="E1546" s="130" t="s">
        <v>1456</v>
      </c>
      <c r="F1546" s="171" t="s">
        <v>1578</v>
      </c>
      <c r="G1546" s="171" t="s">
        <v>1578</v>
      </c>
      <c r="H1546" s="171" t="s">
        <v>1578</v>
      </c>
      <c r="I1546" s="171" t="s">
        <v>1578</v>
      </c>
      <c r="J1546" s="132">
        <v>0.9</v>
      </c>
      <c r="K1546" s="133">
        <v>1</v>
      </c>
      <c r="L1546" s="133">
        <v>1</v>
      </c>
      <c r="M1546" s="134">
        <v>1</v>
      </c>
      <c r="N1546" s="133">
        <v>1</v>
      </c>
      <c r="O1546" s="135">
        <v>0.9</v>
      </c>
      <c r="P1546" s="133">
        <v>0.997173144876325</v>
      </c>
      <c r="Q1546" s="133">
        <v>0.994736842105263</v>
      </c>
      <c r="R1546" s="133">
        <v>0.99719416386083</v>
      </c>
      <c r="S1546" s="133">
        <v>0.99221934049648</v>
      </c>
      <c r="T1546" s="135">
        <v>0.9</v>
      </c>
      <c r="U1546" s="133">
        <v>0.939222614840989</v>
      </c>
      <c r="V1546" s="133">
        <v>0.926900584795322</v>
      </c>
      <c r="W1546" s="133">
        <v>0.963524130190797</v>
      </c>
      <c r="X1546" s="133">
        <v>0.961702987638519</v>
      </c>
      <c r="Y1546" s="135">
        <v>0.92</v>
      </c>
      <c r="Z1546" s="135" t="s">
        <v>35</v>
      </c>
      <c r="AA1546" s="135" t="s">
        <v>35</v>
      </c>
      <c r="AB1546" s="135" t="s">
        <v>35</v>
      </c>
      <c r="AC1546" s="135" t="s">
        <v>35</v>
      </c>
      <c r="AD1546" s="135">
        <v>0.92</v>
      </c>
      <c r="AE1546" s="133">
        <v>1</v>
      </c>
      <c r="AF1546" s="133">
        <v>1</v>
      </c>
      <c r="AG1546" s="133">
        <v>1</v>
      </c>
      <c r="AH1546" s="133">
        <v>0.995738636363636</v>
      </c>
      <c r="AI1546" s="135">
        <v>0.92</v>
      </c>
      <c r="AJ1546" s="133">
        <v>0.965371024734982</v>
      </c>
      <c r="AK1546" s="133">
        <v>0.950877192982456</v>
      </c>
      <c r="AL1546" s="133">
        <v>0.97699214365881</v>
      </c>
      <c r="AM1546" s="133">
        <v>0.980464144969517</v>
      </c>
      <c r="AN1546" s="132">
        <v>0.99</v>
      </c>
      <c r="AO1546" s="137">
        <v>1</v>
      </c>
      <c r="AP1546" s="137">
        <v>1</v>
      </c>
      <c r="AQ1546" s="137">
        <v>1</v>
      </c>
      <c r="AR1546" s="137">
        <v>1</v>
      </c>
      <c r="AS1546" s="158">
        <v>0.110069253262963</v>
      </c>
      <c r="AT1546" s="141">
        <v>0.1</v>
      </c>
      <c r="AU1546" s="141">
        <v>0.181818181818182</v>
      </c>
      <c r="AV1546" s="141">
        <v>0.0769230769230769</v>
      </c>
      <c r="AW1546" s="141">
        <v>0.0949720670391061</v>
      </c>
      <c r="AX1546" s="95"/>
      <c r="AY1546" s="93"/>
    </row>
    <row r="1547" ht="14.5" spans="1:51">
      <c r="A1547" s="91"/>
      <c r="B1547" s="95"/>
      <c r="C1547" s="152" t="s">
        <v>1455</v>
      </c>
      <c r="D1547" s="153" t="s">
        <v>25</v>
      </c>
      <c r="E1547" s="130" t="s">
        <v>1456</v>
      </c>
      <c r="F1547" s="171" t="s">
        <v>1579</v>
      </c>
      <c r="G1547" s="171" t="s">
        <v>1579</v>
      </c>
      <c r="H1547" s="171" t="s">
        <v>1579</v>
      </c>
      <c r="I1547" s="171" t="s">
        <v>1579</v>
      </c>
      <c r="J1547" s="132">
        <v>0.9</v>
      </c>
      <c r="K1547" s="133">
        <v>1</v>
      </c>
      <c r="L1547" s="133">
        <v>0.826086956521739</v>
      </c>
      <c r="M1547" s="134">
        <v>0.954545454545455</v>
      </c>
      <c r="N1547" s="133">
        <v>0.925925925925926</v>
      </c>
      <c r="O1547" s="135">
        <v>0.9</v>
      </c>
      <c r="P1547" s="133">
        <v>0.979881656804734</v>
      </c>
      <c r="Q1547" s="133">
        <v>0.979973878972573</v>
      </c>
      <c r="R1547" s="133">
        <v>0.996701484332051</v>
      </c>
      <c r="S1547" s="133">
        <v>0.992669487356096</v>
      </c>
      <c r="T1547" s="135">
        <v>0.9</v>
      </c>
      <c r="U1547" s="133">
        <v>0.783826429980276</v>
      </c>
      <c r="V1547" s="133">
        <v>0.764040052242055</v>
      </c>
      <c r="W1547" s="133">
        <v>0.842221000549753</v>
      </c>
      <c r="X1547" s="133">
        <v>0.840647446620092</v>
      </c>
      <c r="Y1547" s="135">
        <v>0.92</v>
      </c>
      <c r="Z1547" s="135" t="s">
        <v>35</v>
      </c>
      <c r="AA1547" s="135" t="s">
        <v>35</v>
      </c>
      <c r="AB1547" s="135" t="s">
        <v>35</v>
      </c>
      <c r="AC1547" s="135" t="s">
        <v>35</v>
      </c>
      <c r="AD1547" s="135">
        <v>0.92</v>
      </c>
      <c r="AE1547" s="133">
        <v>0.857142857142857</v>
      </c>
      <c r="AF1547" s="133">
        <v>1</v>
      </c>
      <c r="AG1547" s="133">
        <v>0.941176470588235</v>
      </c>
      <c r="AH1547" s="133">
        <v>0.947115384615385</v>
      </c>
      <c r="AI1547" s="135">
        <v>0.92</v>
      </c>
      <c r="AJ1547" s="133">
        <v>0.894280078895463</v>
      </c>
      <c r="AK1547" s="133">
        <v>0.890727035263387</v>
      </c>
      <c r="AL1547" s="133">
        <v>0.947223749312809</v>
      </c>
      <c r="AM1547" s="133">
        <v>0.944160188920594</v>
      </c>
      <c r="AN1547" s="132">
        <v>0.99</v>
      </c>
      <c r="AO1547" s="137">
        <v>1</v>
      </c>
      <c r="AP1547" s="137">
        <v>1</v>
      </c>
      <c r="AQ1547" s="137">
        <v>1</v>
      </c>
      <c r="AR1547" s="137">
        <v>1</v>
      </c>
      <c r="AS1547" s="158">
        <v>0.110069253262963</v>
      </c>
      <c r="AT1547" s="141">
        <v>0.227272727272727</v>
      </c>
      <c r="AU1547" s="141">
        <v>0.148148148148148</v>
      </c>
      <c r="AV1547" s="141">
        <v>0.0952380952380952</v>
      </c>
      <c r="AW1547" s="141">
        <v>0.102167182662539</v>
      </c>
      <c r="AX1547" s="95"/>
      <c r="AY1547" s="93"/>
    </row>
    <row r="1548" ht="14.5" spans="1:51">
      <c r="A1548" s="91"/>
      <c r="B1548" s="95"/>
      <c r="C1548" s="152" t="s">
        <v>1455</v>
      </c>
      <c r="D1548" s="153" t="s">
        <v>25</v>
      </c>
      <c r="E1548" s="130" t="s">
        <v>1456</v>
      </c>
      <c r="F1548" s="171" t="s">
        <v>1580</v>
      </c>
      <c r="G1548" s="171" t="s">
        <v>1580</v>
      </c>
      <c r="H1548" s="171" t="s">
        <v>1580</v>
      </c>
      <c r="I1548" s="171" t="s">
        <v>1580</v>
      </c>
      <c r="J1548" s="132">
        <v>0.9</v>
      </c>
      <c r="K1548" s="133">
        <v>0.96</v>
      </c>
      <c r="L1548" s="133">
        <v>1</v>
      </c>
      <c r="M1548" s="134">
        <v>0.954545454545455</v>
      </c>
      <c r="N1548" s="133">
        <v>0.979919678714859</v>
      </c>
      <c r="O1548" s="135">
        <v>0.9</v>
      </c>
      <c r="P1548" s="133">
        <v>0.974008810572687</v>
      </c>
      <c r="Q1548" s="133">
        <v>0.981366459627329</v>
      </c>
      <c r="R1548" s="133">
        <v>0.979338842975207</v>
      </c>
      <c r="S1548" s="133">
        <v>0.958478084995003</v>
      </c>
      <c r="T1548" s="135">
        <v>0.9</v>
      </c>
      <c r="U1548" s="133">
        <v>0.907929515418502</v>
      </c>
      <c r="V1548" s="133">
        <v>0.934782608695652</v>
      </c>
      <c r="W1548" s="133">
        <v>0.945821854912764</v>
      </c>
      <c r="X1548" s="133">
        <v>0.939418455241993</v>
      </c>
      <c r="Y1548" s="135">
        <v>0.92</v>
      </c>
      <c r="Z1548" s="135" t="s">
        <v>35</v>
      </c>
      <c r="AA1548" s="135" t="s">
        <v>35</v>
      </c>
      <c r="AB1548" s="135" t="s">
        <v>35</v>
      </c>
      <c r="AC1548" s="135" t="s">
        <v>35</v>
      </c>
      <c r="AD1548" s="135">
        <v>0.92</v>
      </c>
      <c r="AE1548" s="133">
        <v>0.970588235294118</v>
      </c>
      <c r="AF1548" s="133">
        <v>0.988235294117647</v>
      </c>
      <c r="AG1548" s="133">
        <v>1</v>
      </c>
      <c r="AH1548" s="133">
        <v>0.986547085201794</v>
      </c>
      <c r="AI1548" s="135">
        <v>0.92</v>
      </c>
      <c r="AJ1548" s="133">
        <v>0.954625550660793</v>
      </c>
      <c r="AK1548" s="133">
        <v>0.9648033126294</v>
      </c>
      <c r="AL1548" s="133">
        <v>0.982093663911846</v>
      </c>
      <c r="AM1548" s="133">
        <v>0.977561509541712</v>
      </c>
      <c r="AN1548" s="132">
        <v>0.99</v>
      </c>
      <c r="AO1548" s="137">
        <v>1</v>
      </c>
      <c r="AP1548" s="137">
        <v>1</v>
      </c>
      <c r="AQ1548" s="137">
        <v>1</v>
      </c>
      <c r="AR1548" s="137">
        <v>1</v>
      </c>
      <c r="AS1548" s="158">
        <v>0.110069253262963</v>
      </c>
      <c r="AT1548" s="141">
        <v>0.111111111111111</v>
      </c>
      <c r="AU1548" s="141">
        <v>0.125</v>
      </c>
      <c r="AV1548" s="141">
        <v>0</v>
      </c>
      <c r="AW1548" s="141">
        <v>0.0632411067193676</v>
      </c>
      <c r="AX1548" s="95"/>
      <c r="AY1548" s="93"/>
    </row>
    <row r="1549" ht="14.5" spans="1:51">
      <c r="A1549" s="91"/>
      <c r="B1549" s="95"/>
      <c r="C1549" s="152" t="s">
        <v>1455</v>
      </c>
      <c r="D1549" s="153" t="s">
        <v>25</v>
      </c>
      <c r="E1549" s="130" t="s">
        <v>1456</v>
      </c>
      <c r="F1549" s="171" t="s">
        <v>1581</v>
      </c>
      <c r="G1549" s="171" t="s">
        <v>1581</v>
      </c>
      <c r="H1549" s="171" t="s">
        <v>1581</v>
      </c>
      <c r="I1549" s="171" t="s">
        <v>1581</v>
      </c>
      <c r="J1549" s="132">
        <v>0.9</v>
      </c>
      <c r="K1549" s="133">
        <v>1</v>
      </c>
      <c r="L1549" s="133">
        <v>1</v>
      </c>
      <c r="M1549" s="134">
        <v>1</v>
      </c>
      <c r="N1549" s="133">
        <v>1</v>
      </c>
      <c r="O1549" s="135">
        <v>0.9</v>
      </c>
      <c r="P1549" s="133">
        <v>0.9688013136289</v>
      </c>
      <c r="Q1549" s="133">
        <v>0.973214285714286</v>
      </c>
      <c r="R1549" s="133">
        <v>0.977777777777778</v>
      </c>
      <c r="S1549" s="133">
        <v>0.946664026925361</v>
      </c>
      <c r="T1549" s="135">
        <v>0.9</v>
      </c>
      <c r="U1549" s="133">
        <v>0.805418719211823</v>
      </c>
      <c r="V1549" s="133">
        <v>0.697916666666667</v>
      </c>
      <c r="W1549" s="133">
        <v>0.849777777777778</v>
      </c>
      <c r="X1549" s="133">
        <v>0.7126509602059</v>
      </c>
      <c r="Y1549" s="135">
        <v>0.92</v>
      </c>
      <c r="Z1549" s="135" t="s">
        <v>35</v>
      </c>
      <c r="AA1549" s="135" t="s">
        <v>35</v>
      </c>
      <c r="AB1549" s="135" t="s">
        <v>35</v>
      </c>
      <c r="AC1549" s="135" t="s">
        <v>35</v>
      </c>
      <c r="AD1549" s="135">
        <v>0.92</v>
      </c>
      <c r="AE1549" s="133">
        <v>1</v>
      </c>
      <c r="AF1549" s="133">
        <v>1</v>
      </c>
      <c r="AG1549" s="133">
        <v>1</v>
      </c>
      <c r="AH1549" s="133">
        <v>0.953011250827267</v>
      </c>
      <c r="AI1549" s="135">
        <v>0.92</v>
      </c>
      <c r="AJ1549" s="133">
        <v>0.931855500821018</v>
      </c>
      <c r="AK1549" s="133">
        <v>0.931547619047619</v>
      </c>
      <c r="AL1549" s="133">
        <v>0.953777777777778</v>
      </c>
      <c r="AM1549" s="133">
        <v>0.938744803009305</v>
      </c>
      <c r="AN1549" s="132">
        <v>0.99</v>
      </c>
      <c r="AO1549" s="137">
        <v>1</v>
      </c>
      <c r="AP1549" s="137">
        <v>1</v>
      </c>
      <c r="AQ1549" s="137">
        <v>1</v>
      </c>
      <c r="AR1549" s="137">
        <v>1</v>
      </c>
      <c r="AS1549" s="158">
        <v>0.110069253262963</v>
      </c>
      <c r="AT1549" s="141">
        <v>0</v>
      </c>
      <c r="AU1549" s="141">
        <v>0</v>
      </c>
      <c r="AV1549" s="141">
        <v>0</v>
      </c>
      <c r="AW1549" s="141">
        <v>0.0847457627118644</v>
      </c>
      <c r="AX1549" s="95"/>
      <c r="AY1549" s="93"/>
    </row>
    <row r="1550" ht="14.5" spans="1:51">
      <c r="A1550" s="91"/>
      <c r="B1550" s="95"/>
      <c r="C1550" s="152" t="s">
        <v>1455</v>
      </c>
      <c r="D1550" s="153" t="s">
        <v>25</v>
      </c>
      <c r="E1550" s="130" t="s">
        <v>1456</v>
      </c>
      <c r="F1550" s="171" t="s">
        <v>1582</v>
      </c>
      <c r="G1550" s="171" t="s">
        <v>1582</v>
      </c>
      <c r="H1550" s="171" t="s">
        <v>1582</v>
      </c>
      <c r="I1550" s="171" t="s">
        <v>1582</v>
      </c>
      <c r="J1550" s="132">
        <v>0.9</v>
      </c>
      <c r="K1550" s="133">
        <v>0.91304347826087</v>
      </c>
      <c r="L1550" s="133">
        <v>0.884615384615385</v>
      </c>
      <c r="M1550" s="134">
        <v>0.888888888888889</v>
      </c>
      <c r="N1550" s="133">
        <v>0.890295358649789</v>
      </c>
      <c r="O1550" s="135">
        <v>0.9</v>
      </c>
      <c r="P1550" s="133">
        <v>0.867178037949132</v>
      </c>
      <c r="Q1550" s="133">
        <v>0.802075326671791</v>
      </c>
      <c r="R1550" s="133">
        <v>0.975492341356674</v>
      </c>
      <c r="S1550" s="133">
        <v>0.851428820541884</v>
      </c>
      <c r="T1550" s="135">
        <v>0.9</v>
      </c>
      <c r="U1550" s="133">
        <v>0.542591844973759</v>
      </c>
      <c r="V1550" s="133">
        <v>0.519215987701768</v>
      </c>
      <c r="W1550" s="133">
        <v>0.620568927789934</v>
      </c>
      <c r="X1550" s="133">
        <v>0.537524249623995</v>
      </c>
      <c r="Y1550" s="135">
        <v>0.92</v>
      </c>
      <c r="Z1550" s="135" t="s">
        <v>35</v>
      </c>
      <c r="AA1550" s="135" t="s">
        <v>35</v>
      </c>
      <c r="AB1550" s="135" t="s">
        <v>35</v>
      </c>
      <c r="AC1550" s="135" t="s">
        <v>35</v>
      </c>
      <c r="AD1550" s="135">
        <v>0.92</v>
      </c>
      <c r="AE1550" s="133">
        <v>0.0364963503649635</v>
      </c>
      <c r="AF1550" s="133">
        <v>0.925925925925926</v>
      </c>
      <c r="AG1550" s="133">
        <v>0.992753623188406</v>
      </c>
      <c r="AH1550" s="133">
        <v>0.887698412698413</v>
      </c>
      <c r="AI1550" s="135">
        <v>0.92</v>
      </c>
      <c r="AJ1550" s="133">
        <v>0.813887767460638</v>
      </c>
      <c r="AK1550" s="133">
        <v>0.851268255188317</v>
      </c>
      <c r="AL1550" s="133">
        <v>0.876148796498906</v>
      </c>
      <c r="AM1550" s="133">
        <v>0.870261786952067</v>
      </c>
      <c r="AN1550" s="132">
        <v>0.99</v>
      </c>
      <c r="AO1550" s="137">
        <v>1</v>
      </c>
      <c r="AP1550" s="137">
        <v>1</v>
      </c>
      <c r="AQ1550" s="137">
        <v>1</v>
      </c>
      <c r="AR1550" s="137">
        <v>1</v>
      </c>
      <c r="AS1550" s="158">
        <v>0.110069253262963</v>
      </c>
      <c r="AT1550" s="141">
        <v>0</v>
      </c>
      <c r="AU1550" s="141">
        <v>0.0373831775700935</v>
      </c>
      <c r="AV1550" s="141">
        <v>0.0204081632653061</v>
      </c>
      <c r="AW1550" s="141">
        <v>0.0455665024630542</v>
      </c>
      <c r="AX1550" s="95"/>
      <c r="AY1550" s="93"/>
    </row>
    <row r="1551" ht="14.5" spans="1:51">
      <c r="A1551" s="91"/>
      <c r="B1551" s="95"/>
      <c r="C1551" s="152" t="s">
        <v>1455</v>
      </c>
      <c r="D1551" s="153" t="s">
        <v>25</v>
      </c>
      <c r="E1551" s="130" t="s">
        <v>1456</v>
      </c>
      <c r="F1551" s="171" t="s">
        <v>1583</v>
      </c>
      <c r="G1551" s="171" t="s">
        <v>1583</v>
      </c>
      <c r="H1551" s="171" t="s">
        <v>1583</v>
      </c>
      <c r="I1551" s="171" t="s">
        <v>1583</v>
      </c>
      <c r="J1551" s="132">
        <v>0.9</v>
      </c>
      <c r="K1551" s="133">
        <v>0.941176470588235</v>
      </c>
      <c r="L1551" s="133">
        <v>1</v>
      </c>
      <c r="M1551" s="134">
        <v>1</v>
      </c>
      <c r="N1551" s="133">
        <v>0.941717791411043</v>
      </c>
      <c r="O1551" s="135">
        <v>0.9</v>
      </c>
      <c r="P1551" s="133" t="s">
        <v>35</v>
      </c>
      <c r="Q1551" s="133" t="s">
        <v>35</v>
      </c>
      <c r="R1551" s="133" t="s">
        <v>35</v>
      </c>
      <c r="S1551" s="133">
        <v>1</v>
      </c>
      <c r="T1551" s="135">
        <v>0.9</v>
      </c>
      <c r="U1551" s="133" t="s">
        <v>35</v>
      </c>
      <c r="V1551" s="133" t="s">
        <v>35</v>
      </c>
      <c r="W1551" s="133" t="s">
        <v>35</v>
      </c>
      <c r="X1551" s="133">
        <v>0</v>
      </c>
      <c r="Y1551" s="135">
        <v>0.92</v>
      </c>
      <c r="Z1551" s="135" t="s">
        <v>35</v>
      </c>
      <c r="AA1551" s="135" t="s">
        <v>35</v>
      </c>
      <c r="AB1551" s="135" t="s">
        <v>35</v>
      </c>
      <c r="AC1551" s="135" t="s">
        <v>35</v>
      </c>
      <c r="AD1551" s="135">
        <v>0.92</v>
      </c>
      <c r="AE1551" s="133">
        <v>0.6875</v>
      </c>
      <c r="AF1551" s="133">
        <v>0.55</v>
      </c>
      <c r="AG1551" s="133">
        <v>0.954545454545455</v>
      </c>
      <c r="AH1551" s="133">
        <v>0.786096256684492</v>
      </c>
      <c r="AI1551" s="135">
        <v>0.92</v>
      </c>
      <c r="AJ1551" s="133">
        <v>0.931941923774955</v>
      </c>
      <c r="AK1551" s="133">
        <v>0.978520286396181</v>
      </c>
      <c r="AL1551" s="133">
        <v>0.984831460674157</v>
      </c>
      <c r="AM1551" s="133">
        <v>0.974454779129237</v>
      </c>
      <c r="AN1551" s="132">
        <v>0.99</v>
      </c>
      <c r="AO1551" s="137">
        <v>1</v>
      </c>
      <c r="AP1551" s="137">
        <v>1</v>
      </c>
      <c r="AQ1551" s="137">
        <v>1</v>
      </c>
      <c r="AR1551" s="137">
        <v>1</v>
      </c>
      <c r="AS1551" s="158">
        <v>0.110069253262963</v>
      </c>
      <c r="AT1551" s="141">
        <v>0.0555555555555556</v>
      </c>
      <c r="AU1551" s="141">
        <v>0.235294117647059</v>
      </c>
      <c r="AV1551" s="141">
        <v>0.0476190476190476</v>
      </c>
      <c r="AW1551" s="141">
        <v>0.0914285714285714</v>
      </c>
      <c r="AX1551" s="95"/>
      <c r="AY1551" s="93"/>
    </row>
    <row r="1552" ht="14.5" spans="1:51">
      <c r="A1552" s="91"/>
      <c r="B1552" s="95"/>
      <c r="C1552" s="152" t="s">
        <v>1455</v>
      </c>
      <c r="D1552" s="153" t="s">
        <v>25</v>
      </c>
      <c r="E1552" s="130" t="s">
        <v>1456</v>
      </c>
      <c r="F1552" s="171" t="s">
        <v>1584</v>
      </c>
      <c r="G1552" s="171" t="s">
        <v>1584</v>
      </c>
      <c r="H1552" s="171" t="s">
        <v>1584</v>
      </c>
      <c r="I1552" s="171" t="s">
        <v>1584</v>
      </c>
      <c r="J1552" s="132">
        <v>0.9</v>
      </c>
      <c r="K1552" s="133">
        <v>1</v>
      </c>
      <c r="L1552" s="133">
        <v>0.971428571428571</v>
      </c>
      <c r="M1552" s="134">
        <v>1</v>
      </c>
      <c r="N1552" s="133">
        <v>0.974921630094044</v>
      </c>
      <c r="O1552" s="135">
        <v>0.9</v>
      </c>
      <c r="P1552" s="133">
        <v>0.994577006507592</v>
      </c>
      <c r="Q1552" s="133">
        <v>0.9860810392824</v>
      </c>
      <c r="R1552" s="133">
        <v>0.923272357723577</v>
      </c>
      <c r="S1552" s="133">
        <v>0.972490795342294</v>
      </c>
      <c r="T1552" s="135">
        <v>0.9</v>
      </c>
      <c r="U1552" s="133">
        <v>0.865238611713666</v>
      </c>
      <c r="V1552" s="133">
        <v>0.857717290442314</v>
      </c>
      <c r="W1552" s="133">
        <v>0.833079268292683</v>
      </c>
      <c r="X1552" s="133">
        <v>0.864893585176759</v>
      </c>
      <c r="Y1552" s="135">
        <v>0.92</v>
      </c>
      <c r="Z1552" s="135" t="s">
        <v>35</v>
      </c>
      <c r="AA1552" s="135" t="s">
        <v>35</v>
      </c>
      <c r="AB1552" s="135" t="s">
        <v>35</v>
      </c>
      <c r="AC1552" s="135" t="s">
        <v>35</v>
      </c>
      <c r="AD1552" s="135">
        <v>0.92</v>
      </c>
      <c r="AE1552" s="133">
        <v>1</v>
      </c>
      <c r="AF1552" s="133">
        <v>1</v>
      </c>
      <c r="AG1552" s="133">
        <v>0.988636363636364</v>
      </c>
      <c r="AH1552" s="133">
        <v>0.956762749445676</v>
      </c>
      <c r="AI1552" s="135">
        <v>0.92</v>
      </c>
      <c r="AJ1552" s="133">
        <v>0.940075921908894</v>
      </c>
      <c r="AK1552" s="133">
        <v>0.943086916176925</v>
      </c>
      <c r="AL1552" s="133">
        <v>0.948170731707317</v>
      </c>
      <c r="AM1552" s="133">
        <v>0.962762852652847</v>
      </c>
      <c r="AN1552" s="132">
        <v>0.99</v>
      </c>
      <c r="AO1552" s="137">
        <v>1</v>
      </c>
      <c r="AP1552" s="137">
        <v>1</v>
      </c>
      <c r="AQ1552" s="137">
        <v>1</v>
      </c>
      <c r="AR1552" s="137">
        <v>1</v>
      </c>
      <c r="AS1552" s="158">
        <v>0.110069253262963</v>
      </c>
      <c r="AT1552" s="141">
        <v>0.0416666666666667</v>
      </c>
      <c r="AU1552" s="141">
        <v>0.0916030534351145</v>
      </c>
      <c r="AV1552" s="141">
        <v>0</v>
      </c>
      <c r="AW1552" s="141">
        <v>0.0466906105695228</v>
      </c>
      <c r="AX1552" s="95"/>
      <c r="AY1552" s="93"/>
    </row>
    <row r="1553" ht="14.5" spans="1:51">
      <c r="A1553" s="91"/>
      <c r="B1553" s="95"/>
      <c r="C1553" s="152" t="s">
        <v>1455</v>
      </c>
      <c r="D1553" s="153" t="s">
        <v>922</v>
      </c>
      <c r="E1553" s="130" t="s">
        <v>1456</v>
      </c>
      <c r="F1553" s="171" t="s">
        <v>1585</v>
      </c>
      <c r="G1553" s="171" t="s">
        <v>1585</v>
      </c>
      <c r="H1553" s="171" t="s">
        <v>1585</v>
      </c>
      <c r="I1553" s="171" t="s">
        <v>1585</v>
      </c>
      <c r="J1553" s="132">
        <v>0.9</v>
      </c>
      <c r="K1553" s="133" t="s">
        <v>35</v>
      </c>
      <c r="L1553" s="133" t="s">
        <v>35</v>
      </c>
      <c r="M1553" s="134" t="s">
        <v>35</v>
      </c>
      <c r="N1553" s="133" t="s">
        <v>35</v>
      </c>
      <c r="O1553" s="135">
        <v>0.9</v>
      </c>
      <c r="P1553" s="133" t="s">
        <v>35</v>
      </c>
      <c r="Q1553" s="133" t="s">
        <v>35</v>
      </c>
      <c r="R1553" s="133" t="s">
        <v>35</v>
      </c>
      <c r="S1553" s="133" t="s">
        <v>35</v>
      </c>
      <c r="T1553" s="135">
        <v>0.9</v>
      </c>
      <c r="U1553" s="133" t="s">
        <v>35</v>
      </c>
      <c r="V1553" s="133" t="s">
        <v>35</v>
      </c>
      <c r="W1553" s="133" t="s">
        <v>35</v>
      </c>
      <c r="X1553" s="133" t="s">
        <v>35</v>
      </c>
      <c r="Y1553" s="135">
        <v>0.92</v>
      </c>
      <c r="Z1553" s="135" t="s">
        <v>35</v>
      </c>
      <c r="AA1553" s="135" t="s">
        <v>35</v>
      </c>
      <c r="AB1553" s="135" t="s">
        <v>35</v>
      </c>
      <c r="AC1553" s="135" t="s">
        <v>35</v>
      </c>
      <c r="AD1553" s="135">
        <v>0.92</v>
      </c>
      <c r="AE1553" s="133" t="s">
        <v>35</v>
      </c>
      <c r="AF1553" s="133" t="s">
        <v>35</v>
      </c>
      <c r="AG1553" s="133" t="s">
        <v>35</v>
      </c>
      <c r="AH1553" s="133" t="s">
        <v>35</v>
      </c>
      <c r="AI1553" s="135">
        <v>0.92</v>
      </c>
      <c r="AJ1553" s="133" t="s">
        <v>35</v>
      </c>
      <c r="AK1553" s="133" t="s">
        <v>35</v>
      </c>
      <c r="AL1553" s="133" t="s">
        <v>35</v>
      </c>
      <c r="AM1553" s="133" t="s">
        <v>35</v>
      </c>
      <c r="AN1553" s="132">
        <v>0.99</v>
      </c>
      <c r="AO1553" s="137" t="s">
        <v>35</v>
      </c>
      <c r="AP1553" s="137" t="s">
        <v>35</v>
      </c>
      <c r="AQ1553" s="137" t="s">
        <v>35</v>
      </c>
      <c r="AR1553" s="137" t="s">
        <v>35</v>
      </c>
      <c r="AS1553" s="158">
        <v>0.110069253262963</v>
      </c>
      <c r="AT1553" s="141" t="s">
        <v>35</v>
      </c>
      <c r="AU1553" s="141" t="s">
        <v>35</v>
      </c>
      <c r="AV1553" s="141" t="s">
        <v>35</v>
      </c>
      <c r="AW1553" s="141" t="s">
        <v>35</v>
      </c>
      <c r="AX1553" s="95"/>
      <c r="AY1553" s="93"/>
    </row>
    <row r="1554" ht="14.5" spans="1:51">
      <c r="A1554" s="91"/>
      <c r="B1554" s="95"/>
      <c r="C1554" s="152" t="s">
        <v>1455</v>
      </c>
      <c r="D1554" s="153" t="s">
        <v>25</v>
      </c>
      <c r="E1554" s="130" t="s">
        <v>1456</v>
      </c>
      <c r="F1554" s="171" t="s">
        <v>1586</v>
      </c>
      <c r="G1554" s="171" t="s">
        <v>1586</v>
      </c>
      <c r="H1554" s="171" t="s">
        <v>1586</v>
      </c>
      <c r="I1554" s="171" t="s">
        <v>1586</v>
      </c>
      <c r="J1554" s="132">
        <v>0.9</v>
      </c>
      <c r="K1554" s="133">
        <v>1</v>
      </c>
      <c r="L1554" s="133">
        <v>0.952380952380952</v>
      </c>
      <c r="M1554" s="134">
        <v>0.952380952380952</v>
      </c>
      <c r="N1554" s="133">
        <v>0.961194029850746</v>
      </c>
      <c r="O1554" s="135">
        <v>0.9</v>
      </c>
      <c r="P1554" s="133">
        <v>0.969493278179938</v>
      </c>
      <c r="Q1554" s="133">
        <v>0.960018382352941</v>
      </c>
      <c r="R1554" s="133">
        <v>0.986858573216521</v>
      </c>
      <c r="S1554" s="133">
        <v>0.966132465256041</v>
      </c>
      <c r="T1554" s="135">
        <v>0.9</v>
      </c>
      <c r="U1554" s="133">
        <v>0.549638055842813</v>
      </c>
      <c r="V1554" s="133">
        <v>0.543658088235294</v>
      </c>
      <c r="W1554" s="133">
        <v>0.742803504380476</v>
      </c>
      <c r="X1554" s="133">
        <v>0.517904094152999</v>
      </c>
      <c r="Y1554" s="135">
        <v>0.92</v>
      </c>
      <c r="Z1554" s="135" t="s">
        <v>35</v>
      </c>
      <c r="AA1554" s="135" t="s">
        <v>35</v>
      </c>
      <c r="AB1554" s="135" t="s">
        <v>35</v>
      </c>
      <c r="AC1554" s="135">
        <v>0</v>
      </c>
      <c r="AD1554" s="135">
        <v>0.92</v>
      </c>
      <c r="AE1554" s="133">
        <v>0.8</v>
      </c>
      <c r="AF1554" s="133">
        <v>1</v>
      </c>
      <c r="AG1554" s="133">
        <v>1</v>
      </c>
      <c r="AH1554" s="133">
        <v>0.975232198142415</v>
      </c>
      <c r="AI1554" s="135">
        <v>0.92</v>
      </c>
      <c r="AJ1554" s="133">
        <v>0.876421923474664</v>
      </c>
      <c r="AK1554" s="133">
        <v>0.903033088235294</v>
      </c>
      <c r="AL1554" s="133">
        <v>0.925531914893617</v>
      </c>
      <c r="AM1554" s="133">
        <v>0.912422924035181</v>
      </c>
      <c r="AN1554" s="132">
        <v>0.99</v>
      </c>
      <c r="AO1554" s="137">
        <v>1</v>
      </c>
      <c r="AP1554" s="137">
        <v>1</v>
      </c>
      <c r="AQ1554" s="137">
        <v>1</v>
      </c>
      <c r="AR1554" s="137">
        <v>1</v>
      </c>
      <c r="AS1554" s="158">
        <v>0.110069253262963</v>
      </c>
      <c r="AT1554" s="141">
        <v>0.1</v>
      </c>
      <c r="AU1554" s="141">
        <v>0.0909090909090909</v>
      </c>
      <c r="AV1554" s="141">
        <v>0.222222222222222</v>
      </c>
      <c r="AW1554" s="141">
        <v>0.0932642487046632</v>
      </c>
      <c r="AX1554" s="95"/>
      <c r="AY1554" s="93"/>
    </row>
    <row r="1555" ht="14.5" spans="1:51">
      <c r="A1555" s="91"/>
      <c r="B1555" s="95"/>
      <c r="C1555" s="152" t="s">
        <v>1455</v>
      </c>
      <c r="D1555" s="153" t="s">
        <v>25</v>
      </c>
      <c r="E1555" s="130" t="s">
        <v>1456</v>
      </c>
      <c r="F1555" s="171" t="s">
        <v>1587</v>
      </c>
      <c r="G1555" s="171" t="s">
        <v>1587</v>
      </c>
      <c r="H1555" s="171" t="s">
        <v>1587</v>
      </c>
      <c r="I1555" s="171" t="s">
        <v>1587</v>
      </c>
      <c r="J1555" s="132">
        <v>0.9</v>
      </c>
      <c r="K1555" s="133">
        <v>0.947368421052632</v>
      </c>
      <c r="L1555" s="133">
        <v>1</v>
      </c>
      <c r="M1555" s="134">
        <v>1</v>
      </c>
      <c r="N1555" s="133">
        <v>0.952802359882006</v>
      </c>
      <c r="O1555" s="135">
        <v>0.9</v>
      </c>
      <c r="P1555" s="133" t="s">
        <v>35</v>
      </c>
      <c r="Q1555" s="133" t="s">
        <v>35</v>
      </c>
      <c r="R1555" s="133" t="s">
        <v>35</v>
      </c>
      <c r="S1555" s="133" t="s">
        <v>35</v>
      </c>
      <c r="T1555" s="135">
        <v>0.9</v>
      </c>
      <c r="U1555" s="133" t="s">
        <v>35</v>
      </c>
      <c r="V1555" s="133" t="s">
        <v>35</v>
      </c>
      <c r="W1555" s="133" t="s">
        <v>35</v>
      </c>
      <c r="X1555" s="133" t="s">
        <v>35</v>
      </c>
      <c r="Y1555" s="135">
        <v>0.92</v>
      </c>
      <c r="Z1555" s="135" t="s">
        <v>35</v>
      </c>
      <c r="AA1555" s="135" t="s">
        <v>35</v>
      </c>
      <c r="AB1555" s="135" t="s">
        <v>35</v>
      </c>
      <c r="AC1555" s="135" t="s">
        <v>35</v>
      </c>
      <c r="AD1555" s="135">
        <v>0.92</v>
      </c>
      <c r="AE1555" s="133">
        <v>0.5</v>
      </c>
      <c r="AF1555" s="133">
        <v>0</v>
      </c>
      <c r="AG1555" s="133">
        <v>0.5</v>
      </c>
      <c r="AH1555" s="133">
        <v>0.323529411764706</v>
      </c>
      <c r="AI1555" s="135">
        <v>0.92</v>
      </c>
      <c r="AJ1555" s="133">
        <v>0.782051282051282</v>
      </c>
      <c r="AK1555" s="133">
        <v>0.788384512683578</v>
      </c>
      <c r="AL1555" s="133">
        <v>0.971428571428571</v>
      </c>
      <c r="AM1555" s="133">
        <v>0.866000641583795</v>
      </c>
      <c r="AN1555" s="132">
        <v>0.99</v>
      </c>
      <c r="AO1555" s="137" t="s">
        <v>35</v>
      </c>
      <c r="AP1555" s="137">
        <v>1</v>
      </c>
      <c r="AQ1555" s="137" t="s">
        <v>35</v>
      </c>
      <c r="AR1555" s="137">
        <v>1</v>
      </c>
      <c r="AS1555" s="158">
        <v>0.110069253262963</v>
      </c>
      <c r="AT1555" s="141">
        <v>0.0952380952380952</v>
      </c>
      <c r="AU1555" s="141">
        <v>0.166666666666667</v>
      </c>
      <c r="AV1555" s="141">
        <v>0.131578947368421</v>
      </c>
      <c r="AW1555" s="141">
        <v>0.178761061946903</v>
      </c>
      <c r="AX1555" s="95"/>
      <c r="AY1555" s="93"/>
    </row>
    <row r="1556" ht="14.5" spans="1:51">
      <c r="A1556" s="91"/>
      <c r="B1556" s="95"/>
      <c r="C1556" s="152" t="s">
        <v>1455</v>
      </c>
      <c r="D1556" s="153" t="s">
        <v>25</v>
      </c>
      <c r="E1556" s="130" t="s">
        <v>1456</v>
      </c>
      <c r="F1556" s="171" t="s">
        <v>1588</v>
      </c>
      <c r="G1556" s="171" t="s">
        <v>1588</v>
      </c>
      <c r="H1556" s="171" t="s">
        <v>1588</v>
      </c>
      <c r="I1556" s="171" t="s">
        <v>1588</v>
      </c>
      <c r="J1556" s="132">
        <v>0.9</v>
      </c>
      <c r="K1556" s="133">
        <v>0.945945945945946</v>
      </c>
      <c r="L1556" s="133">
        <v>0.842105263157895</v>
      </c>
      <c r="M1556" s="134">
        <v>0.944444444444444</v>
      </c>
      <c r="N1556" s="133">
        <v>0.913928012519562</v>
      </c>
      <c r="O1556" s="135">
        <v>0.9</v>
      </c>
      <c r="P1556" s="133">
        <v>0.991607324516785</v>
      </c>
      <c r="Q1556" s="133">
        <v>0.978087059520284</v>
      </c>
      <c r="R1556" s="133">
        <v>0.976853404897685</v>
      </c>
      <c r="S1556" s="133">
        <v>0.986974815914857</v>
      </c>
      <c r="T1556" s="135">
        <v>0.9</v>
      </c>
      <c r="U1556" s="133">
        <v>0.882756866734486</v>
      </c>
      <c r="V1556" s="133">
        <v>0.890139176784128</v>
      </c>
      <c r="W1556" s="133">
        <v>0.883260650788326</v>
      </c>
      <c r="X1556" s="133">
        <v>0.886114720623724</v>
      </c>
      <c r="Y1556" s="135">
        <v>0.92</v>
      </c>
      <c r="Z1556" s="135" t="s">
        <v>35</v>
      </c>
      <c r="AA1556" s="135" t="s">
        <v>35</v>
      </c>
      <c r="AB1556" s="135" t="s">
        <v>35</v>
      </c>
      <c r="AC1556" s="135" t="s">
        <v>35</v>
      </c>
      <c r="AD1556" s="135">
        <v>0.92</v>
      </c>
      <c r="AE1556" s="133">
        <v>0.875</v>
      </c>
      <c r="AF1556" s="133">
        <v>1</v>
      </c>
      <c r="AG1556" s="133">
        <v>1</v>
      </c>
      <c r="AH1556" s="133">
        <v>0.822857142857143</v>
      </c>
      <c r="AI1556" s="135">
        <v>0.92</v>
      </c>
      <c r="AJ1556" s="133">
        <v>0.951678535096643</v>
      </c>
      <c r="AK1556" s="133">
        <v>0.95114006514658</v>
      </c>
      <c r="AL1556" s="133">
        <v>0.968466957396847</v>
      </c>
      <c r="AM1556" s="133">
        <v>0.970190582265949</v>
      </c>
      <c r="AN1556" s="132">
        <v>0.99</v>
      </c>
      <c r="AO1556" s="137">
        <v>1</v>
      </c>
      <c r="AP1556" s="137">
        <v>1</v>
      </c>
      <c r="AQ1556" s="137">
        <v>1</v>
      </c>
      <c r="AR1556" s="137">
        <v>1</v>
      </c>
      <c r="AS1556" s="158">
        <v>0.110069253262963</v>
      </c>
      <c r="AT1556" s="141">
        <v>0.111111111111111</v>
      </c>
      <c r="AU1556" s="141">
        <v>0.105263157894737</v>
      </c>
      <c r="AV1556" s="141">
        <v>0.0833333333333333</v>
      </c>
      <c r="AW1556" s="141">
        <v>0.14792899408284</v>
      </c>
      <c r="AX1556" s="95"/>
      <c r="AY1556" s="93"/>
    </row>
    <row r="1557" ht="14.5" spans="1:51">
      <c r="A1557" s="91"/>
      <c r="B1557" s="95"/>
      <c r="C1557" s="152" t="s">
        <v>1455</v>
      </c>
      <c r="D1557" s="153" t="s">
        <v>25</v>
      </c>
      <c r="E1557" s="130" t="s">
        <v>1456</v>
      </c>
      <c r="F1557" s="171" t="s">
        <v>1589</v>
      </c>
      <c r="G1557" s="171" t="s">
        <v>1589</v>
      </c>
      <c r="H1557" s="171" t="s">
        <v>1589</v>
      </c>
      <c r="I1557" s="171" t="s">
        <v>1589</v>
      </c>
      <c r="J1557" s="132">
        <v>0.9</v>
      </c>
      <c r="K1557" s="133">
        <v>0.884615384615385</v>
      </c>
      <c r="L1557" s="133">
        <v>0.92</v>
      </c>
      <c r="M1557" s="134">
        <v>0.857142857142857</v>
      </c>
      <c r="N1557" s="133">
        <v>0.861052631578947</v>
      </c>
      <c r="O1557" s="135">
        <v>0.9</v>
      </c>
      <c r="P1557" s="133">
        <v>0.896033402922756</v>
      </c>
      <c r="Q1557" s="133">
        <v>0.983168316831683</v>
      </c>
      <c r="R1557" s="133">
        <v>0.922628510863805</v>
      </c>
      <c r="S1557" s="133">
        <v>0.948615534085389</v>
      </c>
      <c r="T1557" s="135">
        <v>0.9</v>
      </c>
      <c r="U1557" s="133">
        <v>0.833402922755741</v>
      </c>
      <c r="V1557" s="133">
        <v>0.913366336633663</v>
      </c>
      <c r="W1557" s="133">
        <v>0.897191308956015</v>
      </c>
      <c r="X1557" s="133">
        <v>0.898094672639931</v>
      </c>
      <c r="Y1557" s="135">
        <v>0.92</v>
      </c>
      <c r="Z1557" s="135" t="s">
        <v>35</v>
      </c>
      <c r="AA1557" s="135" t="s">
        <v>35</v>
      </c>
      <c r="AB1557" s="135" t="s">
        <v>35</v>
      </c>
      <c r="AC1557" s="135" t="s">
        <v>35</v>
      </c>
      <c r="AD1557" s="135">
        <v>0.92</v>
      </c>
      <c r="AE1557" s="133">
        <v>0.75</v>
      </c>
      <c r="AF1557" s="133">
        <v>1</v>
      </c>
      <c r="AG1557" s="133">
        <v>0.363636363636364</v>
      </c>
      <c r="AH1557" s="133">
        <v>0.682847896440129</v>
      </c>
      <c r="AI1557" s="135">
        <v>0.92</v>
      </c>
      <c r="AJ1557" s="133">
        <v>0.935281837160752</v>
      </c>
      <c r="AK1557" s="133">
        <v>0.97029702970297</v>
      </c>
      <c r="AL1557" s="133">
        <v>0.967143614202438</v>
      </c>
      <c r="AM1557" s="133">
        <v>0.963486708946161</v>
      </c>
      <c r="AN1557" s="132">
        <v>0.99</v>
      </c>
      <c r="AO1557" s="137">
        <v>1</v>
      </c>
      <c r="AP1557" s="137">
        <v>1</v>
      </c>
      <c r="AQ1557" s="137">
        <v>1</v>
      </c>
      <c r="AR1557" s="137">
        <v>1</v>
      </c>
      <c r="AS1557" s="158">
        <v>0.110069253262963</v>
      </c>
      <c r="AT1557" s="141">
        <v>0.0625</v>
      </c>
      <c r="AU1557" s="141">
        <v>0.333333333333333</v>
      </c>
      <c r="AV1557" s="141">
        <v>0.2</v>
      </c>
      <c r="AW1557" s="141">
        <v>0.180851063829787</v>
      </c>
      <c r="AX1557" s="95"/>
      <c r="AY1557" s="93"/>
    </row>
    <row r="1558" ht="14.5" spans="1:51">
      <c r="A1558" s="91"/>
      <c r="B1558" s="95"/>
      <c r="C1558" s="152" t="s">
        <v>1455</v>
      </c>
      <c r="D1558" s="153" t="s">
        <v>25</v>
      </c>
      <c r="E1558" s="130" t="s">
        <v>1456</v>
      </c>
      <c r="F1558" s="171" t="s">
        <v>1590</v>
      </c>
      <c r="G1558" s="171" t="s">
        <v>1590</v>
      </c>
      <c r="H1558" s="171" t="s">
        <v>1590</v>
      </c>
      <c r="I1558" s="171" t="s">
        <v>1590</v>
      </c>
      <c r="J1558" s="132">
        <v>0.9</v>
      </c>
      <c r="K1558" s="133">
        <v>1</v>
      </c>
      <c r="L1558" s="133">
        <v>1</v>
      </c>
      <c r="M1558" s="134">
        <v>1</v>
      </c>
      <c r="N1558" s="133">
        <v>0.98876404494382</v>
      </c>
      <c r="O1558" s="135">
        <v>0.9</v>
      </c>
      <c r="P1558" s="133">
        <v>0.909819639278557</v>
      </c>
      <c r="Q1558" s="133">
        <v>0.928913192071087</v>
      </c>
      <c r="R1558" s="133">
        <v>0.984269662921348</v>
      </c>
      <c r="S1558" s="133">
        <v>0.901584307808374</v>
      </c>
      <c r="T1558" s="135">
        <v>0.9</v>
      </c>
      <c r="U1558" s="133">
        <v>0.64128256513026</v>
      </c>
      <c r="V1558" s="133">
        <v>0.736842105263158</v>
      </c>
      <c r="W1558" s="133">
        <v>0.70561797752809</v>
      </c>
      <c r="X1558" s="133">
        <v>0.521689928328932</v>
      </c>
      <c r="Y1558" s="135">
        <v>0.92</v>
      </c>
      <c r="Z1558" s="135" t="s">
        <v>35</v>
      </c>
      <c r="AA1558" s="135" t="s">
        <v>35</v>
      </c>
      <c r="AB1558" s="135" t="s">
        <v>35</v>
      </c>
      <c r="AC1558" s="135" t="s">
        <v>35</v>
      </c>
      <c r="AD1558" s="135">
        <v>0.92</v>
      </c>
      <c r="AE1558" s="133">
        <v>1</v>
      </c>
      <c r="AF1558" s="133">
        <v>1</v>
      </c>
      <c r="AG1558" s="133">
        <v>1</v>
      </c>
      <c r="AH1558" s="133">
        <v>0.99880810488677</v>
      </c>
      <c r="AI1558" s="135">
        <v>0.92</v>
      </c>
      <c r="AJ1558" s="133">
        <v>0.856379425517702</v>
      </c>
      <c r="AK1558" s="133">
        <v>0.865345181134655</v>
      </c>
      <c r="AL1558" s="133">
        <v>0.919101123595506</v>
      </c>
      <c r="AM1558" s="133">
        <v>0.887023764617126</v>
      </c>
      <c r="AN1558" s="132">
        <v>0.99</v>
      </c>
      <c r="AO1558" s="137">
        <v>1</v>
      </c>
      <c r="AP1558" s="137" t="s">
        <v>35</v>
      </c>
      <c r="AQ1558" s="137">
        <v>1</v>
      </c>
      <c r="AR1558" s="137">
        <v>1</v>
      </c>
      <c r="AS1558" s="158">
        <v>0.110069253262963</v>
      </c>
      <c r="AT1558" s="141">
        <v>0</v>
      </c>
      <c r="AU1558" s="141">
        <v>0</v>
      </c>
      <c r="AV1558" s="141">
        <v>0</v>
      </c>
      <c r="AW1558" s="141">
        <v>0.0439024390243902</v>
      </c>
      <c r="AX1558" s="95"/>
      <c r="AY1558" s="93"/>
    </row>
    <row r="1559" ht="14.5" spans="1:51">
      <c r="A1559" s="91"/>
      <c r="B1559" s="95"/>
      <c r="C1559" s="152" t="s">
        <v>1455</v>
      </c>
      <c r="D1559" s="153" t="s">
        <v>25</v>
      </c>
      <c r="E1559" s="130" t="s">
        <v>1456</v>
      </c>
      <c r="F1559" s="171" t="s">
        <v>1591</v>
      </c>
      <c r="G1559" s="171" t="s">
        <v>1591</v>
      </c>
      <c r="H1559" s="171" t="s">
        <v>1591</v>
      </c>
      <c r="I1559" s="171" t="s">
        <v>1591</v>
      </c>
      <c r="J1559" s="132">
        <v>0.9</v>
      </c>
      <c r="K1559" s="133">
        <v>1</v>
      </c>
      <c r="L1559" s="133">
        <v>0.777777777777778</v>
      </c>
      <c r="M1559" s="134">
        <v>0.666666666666667</v>
      </c>
      <c r="N1559" s="133">
        <v>0.755102040816326</v>
      </c>
      <c r="O1559" s="135">
        <v>0.9</v>
      </c>
      <c r="P1559" s="133">
        <v>0</v>
      </c>
      <c r="Q1559" s="133" t="s">
        <v>35</v>
      </c>
      <c r="R1559" s="133" t="s">
        <v>35</v>
      </c>
      <c r="S1559" s="133">
        <v>0.0384615384615385</v>
      </c>
      <c r="T1559" s="135">
        <v>0.9</v>
      </c>
      <c r="U1559" s="133">
        <v>0.0222222222222222</v>
      </c>
      <c r="V1559" s="133" t="s">
        <v>35</v>
      </c>
      <c r="W1559" s="133" t="s">
        <v>35</v>
      </c>
      <c r="X1559" s="133">
        <v>0.0769230769230769</v>
      </c>
      <c r="Y1559" s="135">
        <v>0.92</v>
      </c>
      <c r="Z1559" s="135" t="s">
        <v>35</v>
      </c>
      <c r="AA1559" s="135" t="s">
        <v>35</v>
      </c>
      <c r="AB1559" s="135" t="s">
        <v>35</v>
      </c>
      <c r="AC1559" s="135" t="s">
        <v>35</v>
      </c>
      <c r="AD1559" s="135">
        <v>0.92</v>
      </c>
      <c r="AE1559" s="133">
        <v>0.333333333333333</v>
      </c>
      <c r="AF1559" s="133">
        <v>0.333333333333333</v>
      </c>
      <c r="AG1559" s="133">
        <v>0.666666666666667</v>
      </c>
      <c r="AH1559" s="133">
        <v>0.861788617886179</v>
      </c>
      <c r="AI1559" s="135">
        <v>0.92</v>
      </c>
      <c r="AJ1559" s="133">
        <v>0.56187624750499</v>
      </c>
      <c r="AK1559" s="133">
        <v>0.562955254942768</v>
      </c>
      <c r="AL1559" s="133">
        <v>0.586483390607102</v>
      </c>
      <c r="AM1559" s="133">
        <v>0.705536309562717</v>
      </c>
      <c r="AN1559" s="132">
        <v>0.99</v>
      </c>
      <c r="AO1559" s="137" t="s">
        <v>35</v>
      </c>
      <c r="AP1559" s="137" t="s">
        <v>35</v>
      </c>
      <c r="AQ1559" s="137" t="s">
        <v>35</v>
      </c>
      <c r="AR1559" s="137">
        <v>1</v>
      </c>
      <c r="AS1559" s="158">
        <v>0.110069253262963</v>
      </c>
      <c r="AT1559" s="141">
        <v>0.125</v>
      </c>
      <c r="AU1559" s="141">
        <v>0.222222222222222</v>
      </c>
      <c r="AV1559" s="141">
        <v>0.8</v>
      </c>
      <c r="AW1559" s="141">
        <v>0.185365853658537</v>
      </c>
      <c r="AX1559" s="95"/>
      <c r="AY1559" s="93"/>
    </row>
    <row r="1560" ht="14.5" spans="1:51">
      <c r="A1560" s="91"/>
      <c r="B1560" s="95"/>
      <c r="C1560" s="152" t="s">
        <v>1455</v>
      </c>
      <c r="D1560" s="153" t="s">
        <v>25</v>
      </c>
      <c r="E1560" s="130" t="s">
        <v>1456</v>
      </c>
      <c r="F1560" s="171" t="s">
        <v>1592</v>
      </c>
      <c r="G1560" s="171" t="s">
        <v>1592</v>
      </c>
      <c r="H1560" s="171" t="s">
        <v>1592</v>
      </c>
      <c r="I1560" s="171" t="s">
        <v>1592</v>
      </c>
      <c r="J1560" s="132">
        <v>0.9</v>
      </c>
      <c r="K1560" s="133">
        <v>1</v>
      </c>
      <c r="L1560" s="133">
        <v>0.9</v>
      </c>
      <c r="M1560" s="134">
        <v>0.85</v>
      </c>
      <c r="N1560" s="133">
        <v>0.923976608187134</v>
      </c>
      <c r="O1560" s="135">
        <v>0.9</v>
      </c>
      <c r="P1560" s="133" t="s">
        <v>35</v>
      </c>
      <c r="Q1560" s="133">
        <v>0</v>
      </c>
      <c r="R1560" s="133" t="s">
        <v>35</v>
      </c>
      <c r="S1560" s="133">
        <v>0.333333333333333</v>
      </c>
      <c r="T1560" s="135">
        <v>0.9</v>
      </c>
      <c r="U1560" s="133" t="s">
        <v>35</v>
      </c>
      <c r="V1560" s="133">
        <v>0</v>
      </c>
      <c r="W1560" s="133" t="s">
        <v>35</v>
      </c>
      <c r="X1560" s="133">
        <v>0.333333333333333</v>
      </c>
      <c r="Y1560" s="135">
        <v>0.92</v>
      </c>
      <c r="Z1560" s="135">
        <v>0</v>
      </c>
      <c r="AA1560" s="135" t="s">
        <v>35</v>
      </c>
      <c r="AB1560" s="135" t="s">
        <v>35</v>
      </c>
      <c r="AC1560" s="135">
        <v>0</v>
      </c>
      <c r="AD1560" s="135">
        <v>0.92</v>
      </c>
      <c r="AE1560" s="133">
        <v>0</v>
      </c>
      <c r="AF1560" s="133">
        <v>0</v>
      </c>
      <c r="AG1560" s="133">
        <v>0</v>
      </c>
      <c r="AH1560" s="133">
        <v>0.136363636363636</v>
      </c>
      <c r="AI1560" s="135">
        <v>0.92</v>
      </c>
      <c r="AJ1560" s="133">
        <v>0.715442452284557</v>
      </c>
      <c r="AK1560" s="133">
        <v>0.711070280202113</v>
      </c>
      <c r="AL1560" s="133">
        <v>0.762721893491124</v>
      </c>
      <c r="AM1560" s="133">
        <v>0.755128474410138</v>
      </c>
      <c r="AN1560" s="132">
        <v>0.99</v>
      </c>
      <c r="AO1560" s="137" t="s">
        <v>35</v>
      </c>
      <c r="AP1560" s="137">
        <v>1</v>
      </c>
      <c r="AQ1560" s="137" t="s">
        <v>35</v>
      </c>
      <c r="AR1560" s="137">
        <v>1</v>
      </c>
      <c r="AS1560" s="158">
        <v>0.110069253262963</v>
      </c>
      <c r="AT1560" s="141">
        <v>0.0652173913043478</v>
      </c>
      <c r="AU1560" s="141">
        <v>0.0487804878048781</v>
      </c>
      <c r="AV1560" s="141">
        <v>0.176470588235294</v>
      </c>
      <c r="AW1560" s="141">
        <v>0.100508905852417</v>
      </c>
      <c r="AX1560" s="95"/>
      <c r="AY1560" s="93"/>
    </row>
    <row r="1561" ht="14.5" spans="1:51">
      <c r="A1561" s="91"/>
      <c r="B1561" s="95"/>
      <c r="C1561" s="152" t="s">
        <v>1455</v>
      </c>
      <c r="D1561" s="153" t="s">
        <v>25</v>
      </c>
      <c r="E1561" s="130" t="s">
        <v>1456</v>
      </c>
      <c r="F1561" s="171" t="s">
        <v>1593</v>
      </c>
      <c r="G1561" s="171" t="s">
        <v>1593</v>
      </c>
      <c r="H1561" s="171" t="s">
        <v>1593</v>
      </c>
      <c r="I1561" s="171" t="s">
        <v>1593</v>
      </c>
      <c r="J1561" s="132">
        <v>0.9</v>
      </c>
      <c r="K1561" s="133">
        <v>1</v>
      </c>
      <c r="L1561" s="133">
        <v>1</v>
      </c>
      <c r="M1561" s="134">
        <v>1</v>
      </c>
      <c r="N1561" s="133">
        <v>0.989690721649485</v>
      </c>
      <c r="O1561" s="135">
        <v>0.9</v>
      </c>
      <c r="P1561" s="133">
        <v>0.95615866388309</v>
      </c>
      <c r="Q1561" s="133">
        <v>0.874683544303797</v>
      </c>
      <c r="R1561" s="133">
        <v>0.787878787878788</v>
      </c>
      <c r="S1561" s="133">
        <v>0.779069767441861</v>
      </c>
      <c r="T1561" s="135">
        <v>0.9</v>
      </c>
      <c r="U1561" s="133">
        <v>0.72964509394572</v>
      </c>
      <c r="V1561" s="133">
        <v>0.827848101265823</v>
      </c>
      <c r="W1561" s="133">
        <v>0.72979797979798</v>
      </c>
      <c r="X1561" s="133">
        <v>0.684853905784138</v>
      </c>
      <c r="Y1561" s="135">
        <v>0.92</v>
      </c>
      <c r="Z1561" s="135" t="s">
        <v>35</v>
      </c>
      <c r="AA1561" s="135" t="s">
        <v>35</v>
      </c>
      <c r="AB1561" s="135" t="s">
        <v>35</v>
      </c>
      <c r="AC1561" s="135" t="s">
        <v>35</v>
      </c>
      <c r="AD1561" s="135">
        <v>0.92</v>
      </c>
      <c r="AE1561" s="133">
        <v>0.857142857142857</v>
      </c>
      <c r="AF1561" s="133">
        <v>0</v>
      </c>
      <c r="AG1561" s="133">
        <v>0</v>
      </c>
      <c r="AH1561" s="133">
        <v>0.181818181818182</v>
      </c>
      <c r="AI1561" s="135">
        <v>0.92</v>
      </c>
      <c r="AJ1561" s="133">
        <v>0.85699481865285</v>
      </c>
      <c r="AK1561" s="133">
        <v>0.904282115869018</v>
      </c>
      <c r="AL1561" s="133">
        <v>0.73697270471464</v>
      </c>
      <c r="AM1561" s="133">
        <v>0.872488912079311</v>
      </c>
      <c r="AN1561" s="132">
        <v>0.99</v>
      </c>
      <c r="AO1561" s="137" t="s">
        <v>35</v>
      </c>
      <c r="AP1561" s="137" t="s">
        <v>35</v>
      </c>
      <c r="AQ1561" s="137" t="s">
        <v>35</v>
      </c>
      <c r="AR1561" s="137" t="s">
        <v>35</v>
      </c>
      <c r="AS1561" s="158">
        <v>0.110069253262963</v>
      </c>
      <c r="AT1561" s="141">
        <v>0</v>
      </c>
      <c r="AU1561" s="141">
        <v>0</v>
      </c>
      <c r="AV1561" s="141" t="s">
        <v>35</v>
      </c>
      <c r="AW1561" s="141">
        <v>0.0649350649350649</v>
      </c>
      <c r="AX1561" s="95"/>
      <c r="AY1561" s="93"/>
    </row>
    <row r="1562" ht="14.5" spans="1:51">
      <c r="A1562" s="91"/>
      <c r="B1562" s="95"/>
      <c r="C1562" s="152" t="s">
        <v>1455</v>
      </c>
      <c r="D1562" s="153" t="s">
        <v>25</v>
      </c>
      <c r="E1562" s="130" t="s">
        <v>1456</v>
      </c>
      <c r="F1562" s="171" t="s">
        <v>1594</v>
      </c>
      <c r="G1562" s="171" t="s">
        <v>1594</v>
      </c>
      <c r="H1562" s="171" t="s">
        <v>1594</v>
      </c>
      <c r="I1562" s="171" t="s">
        <v>1594</v>
      </c>
      <c r="J1562" s="132">
        <v>0.9</v>
      </c>
      <c r="K1562" s="133">
        <v>0.923076923076923</v>
      </c>
      <c r="L1562" s="133">
        <v>0.916666666666667</v>
      </c>
      <c r="M1562" s="134">
        <v>0.75</v>
      </c>
      <c r="N1562" s="133">
        <v>0.844660194174757</v>
      </c>
      <c r="O1562" s="135">
        <v>0.9</v>
      </c>
      <c r="P1562" s="133">
        <v>0.995136186770428</v>
      </c>
      <c r="Q1562" s="133">
        <v>0.995067817509248</v>
      </c>
      <c r="R1562" s="133">
        <v>0.997804610318331</v>
      </c>
      <c r="S1562" s="133">
        <v>0.995669824086604</v>
      </c>
      <c r="T1562" s="135">
        <v>0.9</v>
      </c>
      <c r="U1562" s="133">
        <v>0.985408560311284</v>
      </c>
      <c r="V1562" s="133">
        <v>0.979038224414303</v>
      </c>
      <c r="W1562" s="133">
        <v>0.980241492864984</v>
      </c>
      <c r="X1562" s="133">
        <v>0.978890392422192</v>
      </c>
      <c r="Y1562" s="135">
        <v>0.92</v>
      </c>
      <c r="Z1562" s="135" t="s">
        <v>35</v>
      </c>
      <c r="AA1562" s="135" t="s">
        <v>35</v>
      </c>
      <c r="AB1562" s="135" t="s">
        <v>35</v>
      </c>
      <c r="AC1562" s="135" t="s">
        <v>35</v>
      </c>
      <c r="AD1562" s="135">
        <v>0.92</v>
      </c>
      <c r="AE1562" s="133">
        <v>0</v>
      </c>
      <c r="AF1562" s="133">
        <v>0</v>
      </c>
      <c r="AG1562" s="133">
        <v>0</v>
      </c>
      <c r="AH1562" s="133">
        <v>0.210526315789474</v>
      </c>
      <c r="AI1562" s="135">
        <v>0.92</v>
      </c>
      <c r="AJ1562" s="133">
        <v>0.994191674733785</v>
      </c>
      <c r="AK1562" s="133">
        <v>0.991368680641184</v>
      </c>
      <c r="AL1562" s="133">
        <v>0.995609220636663</v>
      </c>
      <c r="AM1562" s="133">
        <v>0.993793959453868</v>
      </c>
      <c r="AN1562" s="132">
        <v>0.99</v>
      </c>
      <c r="AO1562" s="137">
        <v>1</v>
      </c>
      <c r="AP1562" s="137">
        <v>1</v>
      </c>
      <c r="AQ1562" s="137" t="s">
        <v>35</v>
      </c>
      <c r="AR1562" s="137">
        <v>1</v>
      </c>
      <c r="AS1562" s="158">
        <v>0.110069253262963</v>
      </c>
      <c r="AT1562" s="141">
        <v>0.0666666666666667</v>
      </c>
      <c r="AU1562" s="141">
        <v>0</v>
      </c>
      <c r="AV1562" s="141">
        <v>0</v>
      </c>
      <c r="AW1562" s="141">
        <v>0.0909090909090909</v>
      </c>
      <c r="AX1562" s="95"/>
      <c r="AY1562" s="93"/>
    </row>
    <row r="1563" ht="14.5" spans="1:51">
      <c r="A1563" s="91"/>
      <c r="B1563" s="95"/>
      <c r="C1563" s="152" t="s">
        <v>1455</v>
      </c>
      <c r="D1563" s="153" t="s">
        <v>25</v>
      </c>
      <c r="E1563" s="130" t="s">
        <v>1456</v>
      </c>
      <c r="F1563" s="171" t="s">
        <v>1595</v>
      </c>
      <c r="G1563" s="171" t="s">
        <v>1595</v>
      </c>
      <c r="H1563" s="171" t="s">
        <v>1595</v>
      </c>
      <c r="I1563" s="171" t="s">
        <v>1595</v>
      </c>
      <c r="J1563" s="132">
        <v>0.9</v>
      </c>
      <c r="K1563" s="133">
        <v>0.866666666666667</v>
      </c>
      <c r="L1563" s="133">
        <v>0.928571428571429</v>
      </c>
      <c r="M1563" s="134">
        <v>0.846153846153846</v>
      </c>
      <c r="N1563" s="133">
        <v>0.812977099236641</v>
      </c>
      <c r="O1563" s="135">
        <v>0.9</v>
      </c>
      <c r="P1563" s="133" t="s">
        <v>35</v>
      </c>
      <c r="Q1563" s="133" t="s">
        <v>35</v>
      </c>
      <c r="R1563" s="133" t="s">
        <v>35</v>
      </c>
      <c r="S1563" s="133">
        <v>0.5</v>
      </c>
      <c r="T1563" s="135">
        <v>0.9</v>
      </c>
      <c r="U1563" s="133" t="s">
        <v>35</v>
      </c>
      <c r="V1563" s="133" t="s">
        <v>35</v>
      </c>
      <c r="W1563" s="133" t="s">
        <v>35</v>
      </c>
      <c r="X1563" s="133">
        <v>0</v>
      </c>
      <c r="Y1563" s="135">
        <v>0.92</v>
      </c>
      <c r="Z1563" s="135" t="s">
        <v>35</v>
      </c>
      <c r="AA1563" s="135" t="s">
        <v>35</v>
      </c>
      <c r="AB1563" s="135" t="s">
        <v>35</v>
      </c>
      <c r="AC1563" s="135" t="s">
        <v>35</v>
      </c>
      <c r="AD1563" s="135">
        <v>0.92</v>
      </c>
      <c r="AE1563" s="133">
        <v>0.142857142857143</v>
      </c>
      <c r="AF1563" s="133">
        <v>1</v>
      </c>
      <c r="AG1563" s="133">
        <v>1</v>
      </c>
      <c r="AH1563" s="133">
        <v>0.945054945054945</v>
      </c>
      <c r="AI1563" s="135">
        <v>0.92</v>
      </c>
      <c r="AJ1563" s="133">
        <v>0.674707098552722</v>
      </c>
      <c r="AK1563" s="133">
        <v>0.690590111642743</v>
      </c>
      <c r="AL1563" s="133">
        <v>0.609907120743034</v>
      </c>
      <c r="AM1563" s="133">
        <v>0.719969330379962</v>
      </c>
      <c r="AN1563" s="132">
        <v>0.99</v>
      </c>
      <c r="AO1563" s="137">
        <v>1</v>
      </c>
      <c r="AP1563" s="137">
        <v>1</v>
      </c>
      <c r="AQ1563" s="137">
        <v>1</v>
      </c>
      <c r="AR1563" s="137">
        <v>1</v>
      </c>
      <c r="AS1563" s="158">
        <v>0.110069253262963</v>
      </c>
      <c r="AT1563" s="141">
        <v>0.0555555555555556</v>
      </c>
      <c r="AU1563" s="141">
        <v>0.117647058823529</v>
      </c>
      <c r="AV1563" s="141">
        <v>0.1</v>
      </c>
      <c r="AW1563" s="141">
        <v>0.110320284697509</v>
      </c>
      <c r="AX1563" s="95"/>
      <c r="AY1563" s="93"/>
    </row>
    <row r="1564" ht="14.5" spans="1:51">
      <c r="A1564" s="91"/>
      <c r="B1564" s="95"/>
      <c r="C1564" s="152" t="s">
        <v>1455</v>
      </c>
      <c r="D1564" s="153" t="s">
        <v>25</v>
      </c>
      <c r="E1564" s="130" t="s">
        <v>1456</v>
      </c>
      <c r="F1564" s="171" t="s">
        <v>1596</v>
      </c>
      <c r="G1564" s="171" t="s">
        <v>1596</v>
      </c>
      <c r="H1564" s="171" t="s">
        <v>1596</v>
      </c>
      <c r="I1564" s="171" t="s">
        <v>1596</v>
      </c>
      <c r="J1564" s="132">
        <v>0.9</v>
      </c>
      <c r="K1564" s="133">
        <v>0.875</v>
      </c>
      <c r="L1564" s="133">
        <v>0.961538461538462</v>
      </c>
      <c r="M1564" s="134">
        <v>0.958333333333333</v>
      </c>
      <c r="N1564" s="133">
        <v>0.94407158836689</v>
      </c>
      <c r="O1564" s="135">
        <v>0.9</v>
      </c>
      <c r="P1564" s="133">
        <v>0.993865030674847</v>
      </c>
      <c r="Q1564" s="133">
        <v>0.995973829894313</v>
      </c>
      <c r="R1564" s="133">
        <v>0.995742416178819</v>
      </c>
      <c r="S1564" s="133">
        <v>0.996045659452192</v>
      </c>
      <c r="T1564" s="135">
        <v>0.9</v>
      </c>
      <c r="U1564" s="133">
        <v>0.945223488168273</v>
      </c>
      <c r="V1564" s="133">
        <v>0.964267740312028</v>
      </c>
      <c r="W1564" s="133">
        <v>0.974986695050559</v>
      </c>
      <c r="X1564" s="133">
        <v>0.957504020246224</v>
      </c>
      <c r="Y1564" s="135">
        <v>0.92</v>
      </c>
      <c r="Z1564" s="135" t="s">
        <v>35</v>
      </c>
      <c r="AA1564" s="135" t="s">
        <v>35</v>
      </c>
      <c r="AB1564" s="135" t="s">
        <v>35</v>
      </c>
      <c r="AC1564" s="135">
        <v>1</v>
      </c>
      <c r="AD1564" s="135">
        <v>0.92</v>
      </c>
      <c r="AE1564" s="133">
        <v>0.909090909090909</v>
      </c>
      <c r="AF1564" s="133">
        <v>0.75</v>
      </c>
      <c r="AG1564" s="133">
        <v>1</v>
      </c>
      <c r="AH1564" s="133">
        <v>0.900243309002433</v>
      </c>
      <c r="AI1564" s="135">
        <v>0.92</v>
      </c>
      <c r="AJ1564" s="133">
        <v>0.971516213847502</v>
      </c>
      <c r="AK1564" s="133">
        <v>0.987418218419728</v>
      </c>
      <c r="AL1564" s="133">
        <v>0.993613624268228</v>
      </c>
      <c r="AM1564" s="133">
        <v>0.986661042863922</v>
      </c>
      <c r="AN1564" s="132">
        <v>0.99</v>
      </c>
      <c r="AO1564" s="137">
        <v>1</v>
      </c>
      <c r="AP1564" s="137">
        <v>1</v>
      </c>
      <c r="AQ1564" s="137">
        <v>1</v>
      </c>
      <c r="AR1564" s="137">
        <v>1</v>
      </c>
      <c r="AS1564" s="158">
        <v>0.110069253262963</v>
      </c>
      <c r="AT1564" s="141">
        <v>0</v>
      </c>
      <c r="AU1564" s="141">
        <v>0</v>
      </c>
      <c r="AV1564" s="141">
        <v>0.2</v>
      </c>
      <c r="AW1564" s="141">
        <v>0.0612244897959184</v>
      </c>
      <c r="AX1564" s="95"/>
      <c r="AY1564" s="93"/>
    </row>
    <row r="1565" ht="14.5" spans="1:51">
      <c r="A1565" s="91"/>
      <c r="B1565" s="95"/>
      <c r="C1565" s="152" t="s">
        <v>1455</v>
      </c>
      <c r="D1565" s="153" t="s">
        <v>25</v>
      </c>
      <c r="E1565" s="130" t="s">
        <v>1456</v>
      </c>
      <c r="F1565" s="171" t="s">
        <v>1597</v>
      </c>
      <c r="G1565" s="171" t="s">
        <v>1597</v>
      </c>
      <c r="H1565" s="171" t="s">
        <v>1597</v>
      </c>
      <c r="I1565" s="171" t="s">
        <v>1597</v>
      </c>
      <c r="J1565" s="132">
        <v>0.9</v>
      </c>
      <c r="K1565" s="133">
        <v>1</v>
      </c>
      <c r="L1565" s="133">
        <v>1</v>
      </c>
      <c r="M1565" s="134">
        <v>1</v>
      </c>
      <c r="N1565" s="133">
        <v>0.990881458966565</v>
      </c>
      <c r="O1565" s="135">
        <v>0.9</v>
      </c>
      <c r="P1565" s="133">
        <v>0.996138996138996</v>
      </c>
      <c r="Q1565" s="133">
        <v>0.997878359264498</v>
      </c>
      <c r="R1565" s="133">
        <v>0.99937343358396</v>
      </c>
      <c r="S1565" s="133">
        <v>0.9942366246194</v>
      </c>
      <c r="T1565" s="135">
        <v>0.9</v>
      </c>
      <c r="U1565" s="133">
        <v>0.941312741312741</v>
      </c>
      <c r="V1565" s="133">
        <v>0.972418670438472</v>
      </c>
      <c r="W1565" s="133">
        <v>0.979323308270677</v>
      </c>
      <c r="X1565" s="133">
        <v>0.92949833260838</v>
      </c>
      <c r="Y1565" s="135">
        <v>0.92</v>
      </c>
      <c r="Z1565" s="135" t="s">
        <v>35</v>
      </c>
      <c r="AA1565" s="135" t="s">
        <v>35</v>
      </c>
      <c r="AB1565" s="135" t="s">
        <v>35</v>
      </c>
      <c r="AC1565" s="135" t="s">
        <v>35</v>
      </c>
      <c r="AD1565" s="135">
        <v>0.92</v>
      </c>
      <c r="AE1565" s="133">
        <v>1</v>
      </c>
      <c r="AF1565" s="133">
        <v>0.979166666666667</v>
      </c>
      <c r="AG1565" s="133">
        <v>0.392857142857143</v>
      </c>
      <c r="AH1565" s="133">
        <v>0.864022662889518</v>
      </c>
      <c r="AI1565" s="135">
        <v>0.92</v>
      </c>
      <c r="AJ1565" s="133">
        <v>0.961389961389961</v>
      </c>
      <c r="AK1565" s="133">
        <v>0.984441301272984</v>
      </c>
      <c r="AL1565" s="133">
        <v>0.990601503759398</v>
      </c>
      <c r="AM1565" s="133">
        <v>0.97593243684077</v>
      </c>
      <c r="AN1565" s="132">
        <v>0.99</v>
      </c>
      <c r="AO1565" s="137">
        <v>1</v>
      </c>
      <c r="AP1565" s="137">
        <v>1</v>
      </c>
      <c r="AQ1565" s="137">
        <v>1</v>
      </c>
      <c r="AR1565" s="137">
        <v>1</v>
      </c>
      <c r="AS1565" s="158">
        <v>0.110069253262963</v>
      </c>
      <c r="AT1565" s="141">
        <v>0</v>
      </c>
      <c r="AU1565" s="141">
        <v>0.25</v>
      </c>
      <c r="AV1565" s="141">
        <v>0.111111111111111</v>
      </c>
      <c r="AW1565" s="141">
        <v>0.0481927710843374</v>
      </c>
      <c r="AX1565" s="95"/>
      <c r="AY1565" s="93"/>
    </row>
    <row r="1566" ht="14.5" spans="1:51">
      <c r="A1566" s="91"/>
      <c r="B1566" s="95"/>
      <c r="C1566" s="152" t="s">
        <v>1455</v>
      </c>
      <c r="D1566" s="153" t="s">
        <v>25</v>
      </c>
      <c r="E1566" s="130" t="s">
        <v>1456</v>
      </c>
      <c r="F1566" s="171" t="s">
        <v>1598</v>
      </c>
      <c r="G1566" s="171" t="s">
        <v>1598</v>
      </c>
      <c r="H1566" s="171" t="s">
        <v>1598</v>
      </c>
      <c r="I1566" s="171" t="s">
        <v>1598</v>
      </c>
      <c r="J1566" s="132">
        <v>0.9</v>
      </c>
      <c r="K1566" s="133">
        <v>1</v>
      </c>
      <c r="L1566" s="133">
        <v>0.888888888888889</v>
      </c>
      <c r="M1566" s="134">
        <v>0.875</v>
      </c>
      <c r="N1566" s="133">
        <v>0.8375</v>
      </c>
      <c r="O1566" s="135">
        <v>0.9</v>
      </c>
      <c r="P1566" s="133">
        <v>0.998738965952081</v>
      </c>
      <c r="Q1566" s="133">
        <v>0.9981220657277</v>
      </c>
      <c r="R1566" s="133">
        <v>0.997524752475248</v>
      </c>
      <c r="S1566" s="133">
        <v>0.997758350145707</v>
      </c>
      <c r="T1566" s="135">
        <v>0.9</v>
      </c>
      <c r="U1566" s="133">
        <v>0.784363177805801</v>
      </c>
      <c r="V1566" s="133">
        <v>0.779342723004695</v>
      </c>
      <c r="W1566" s="133">
        <v>0.898514851485149</v>
      </c>
      <c r="X1566" s="133">
        <v>0.851154449674961</v>
      </c>
      <c r="Y1566" s="135">
        <v>0.92</v>
      </c>
      <c r="Z1566" s="135" t="s">
        <v>35</v>
      </c>
      <c r="AA1566" s="135" t="s">
        <v>35</v>
      </c>
      <c r="AB1566" s="135" t="s">
        <v>35</v>
      </c>
      <c r="AC1566" s="135" t="s">
        <v>35</v>
      </c>
      <c r="AD1566" s="135">
        <v>0.92</v>
      </c>
      <c r="AE1566" s="133">
        <v>0</v>
      </c>
      <c r="AF1566" s="133">
        <v>0</v>
      </c>
      <c r="AG1566" s="133">
        <v>0</v>
      </c>
      <c r="AH1566" s="133">
        <v>0.0890052356020942</v>
      </c>
      <c r="AI1566" s="135">
        <v>0.92</v>
      </c>
      <c r="AJ1566" s="133">
        <v>0.84863523573201</v>
      </c>
      <c r="AK1566" s="133">
        <v>0.896935933147632</v>
      </c>
      <c r="AL1566" s="133">
        <v>0.95679012345679</v>
      </c>
      <c r="AM1566" s="133">
        <v>0.954521602238936</v>
      </c>
      <c r="AN1566" s="132">
        <v>0.99</v>
      </c>
      <c r="AO1566" s="137">
        <v>1</v>
      </c>
      <c r="AP1566" s="137" t="s">
        <v>35</v>
      </c>
      <c r="AQ1566" s="137" t="s">
        <v>35</v>
      </c>
      <c r="AR1566" s="137">
        <v>1</v>
      </c>
      <c r="AS1566" s="158">
        <v>0.110069253262963</v>
      </c>
      <c r="AT1566" s="141">
        <v>0</v>
      </c>
      <c r="AU1566" s="141">
        <v>0</v>
      </c>
      <c r="AV1566" s="141">
        <v>0</v>
      </c>
      <c r="AW1566" s="141">
        <v>0.0777777777777778</v>
      </c>
      <c r="AX1566" s="95"/>
      <c r="AY1566" s="93"/>
    </row>
    <row r="1567" ht="14.5" spans="1:51">
      <c r="A1567" s="91"/>
      <c r="B1567" s="95"/>
      <c r="C1567" s="152" t="s">
        <v>1455</v>
      </c>
      <c r="D1567" s="153" t="s">
        <v>25</v>
      </c>
      <c r="E1567" s="130" t="s">
        <v>1456</v>
      </c>
      <c r="F1567" s="171" t="s">
        <v>1599</v>
      </c>
      <c r="G1567" s="171" t="s">
        <v>1599</v>
      </c>
      <c r="H1567" s="171" t="s">
        <v>1599</v>
      </c>
      <c r="I1567" s="171" t="s">
        <v>1599</v>
      </c>
      <c r="J1567" s="132">
        <v>0.9</v>
      </c>
      <c r="K1567" s="133">
        <v>0.894736842105263</v>
      </c>
      <c r="L1567" s="133">
        <v>0.947368421052632</v>
      </c>
      <c r="M1567" s="134">
        <v>1</v>
      </c>
      <c r="N1567" s="133">
        <v>0.946902654867257</v>
      </c>
      <c r="O1567" s="135">
        <v>0.9</v>
      </c>
      <c r="P1567" s="133" t="s">
        <v>35</v>
      </c>
      <c r="Q1567" s="133" t="s">
        <v>35</v>
      </c>
      <c r="R1567" s="133" t="s">
        <v>35</v>
      </c>
      <c r="S1567" s="133">
        <v>0</v>
      </c>
      <c r="T1567" s="135">
        <v>0.9</v>
      </c>
      <c r="U1567" s="133" t="s">
        <v>35</v>
      </c>
      <c r="V1567" s="133" t="s">
        <v>35</v>
      </c>
      <c r="W1567" s="133" t="s">
        <v>35</v>
      </c>
      <c r="X1567" s="133">
        <v>0</v>
      </c>
      <c r="Y1567" s="135">
        <v>0.92</v>
      </c>
      <c r="Z1567" s="135" t="s">
        <v>35</v>
      </c>
      <c r="AA1567" s="135" t="s">
        <v>35</v>
      </c>
      <c r="AB1567" s="135" t="s">
        <v>35</v>
      </c>
      <c r="AC1567" s="135" t="s">
        <v>35</v>
      </c>
      <c r="AD1567" s="135">
        <v>0.92</v>
      </c>
      <c r="AE1567" s="133">
        <v>1</v>
      </c>
      <c r="AF1567" s="133">
        <v>0</v>
      </c>
      <c r="AG1567" s="133">
        <v>0.0384615384615385</v>
      </c>
      <c r="AH1567" s="133">
        <v>0.337461300309598</v>
      </c>
      <c r="AI1567" s="135">
        <v>0.92</v>
      </c>
      <c r="AJ1567" s="133">
        <v>0.795180722891566</v>
      </c>
      <c r="AK1567" s="133">
        <v>0.805466237942122</v>
      </c>
      <c r="AL1567" s="133">
        <v>0.87734375</v>
      </c>
      <c r="AM1567" s="133">
        <v>0.894147056288251</v>
      </c>
      <c r="AN1567" s="132">
        <v>0.99</v>
      </c>
      <c r="AO1567" s="137">
        <v>1</v>
      </c>
      <c r="AP1567" s="137" t="s">
        <v>35</v>
      </c>
      <c r="AQ1567" s="137" t="s">
        <v>35</v>
      </c>
      <c r="AR1567" s="137">
        <v>1</v>
      </c>
      <c r="AS1567" s="158">
        <v>0.110069253262963</v>
      </c>
      <c r="AT1567" s="141">
        <v>0.0434782608695652</v>
      </c>
      <c r="AU1567" s="141">
        <v>0</v>
      </c>
      <c r="AV1567" s="141">
        <v>0.0555555555555556</v>
      </c>
      <c r="AW1567" s="141">
        <v>0.0857908847184987</v>
      </c>
      <c r="AX1567" s="95"/>
      <c r="AY1567" s="93"/>
    </row>
    <row r="1568" ht="14.5" spans="1:51">
      <c r="A1568" s="91"/>
      <c r="B1568" s="95"/>
      <c r="C1568" s="152" t="s">
        <v>1455</v>
      </c>
      <c r="D1568" s="153" t="s">
        <v>25</v>
      </c>
      <c r="E1568" s="130" t="s">
        <v>1456</v>
      </c>
      <c r="F1568" s="171" t="s">
        <v>1600</v>
      </c>
      <c r="G1568" s="171" t="s">
        <v>1600</v>
      </c>
      <c r="H1568" s="171" t="s">
        <v>1600</v>
      </c>
      <c r="I1568" s="171" t="s">
        <v>1600</v>
      </c>
      <c r="J1568" s="132">
        <v>0.9</v>
      </c>
      <c r="K1568" s="133">
        <v>1</v>
      </c>
      <c r="L1568" s="133">
        <v>1</v>
      </c>
      <c r="M1568" s="134">
        <v>1</v>
      </c>
      <c r="N1568" s="133">
        <v>0.985815602836879</v>
      </c>
      <c r="O1568" s="135">
        <v>0.9</v>
      </c>
      <c r="P1568" s="133">
        <v>0.993260756868844</v>
      </c>
      <c r="Q1568" s="133">
        <v>0.992296581608089</v>
      </c>
      <c r="R1568" s="133">
        <v>0.997321906802357</v>
      </c>
      <c r="S1568" s="133">
        <v>0.946450009771896</v>
      </c>
      <c r="T1568" s="135">
        <v>0.9</v>
      </c>
      <c r="U1568" s="133">
        <v>0.96215655780197</v>
      </c>
      <c r="V1568" s="133">
        <v>0.974000962927299</v>
      </c>
      <c r="W1568" s="133">
        <v>0.951794322442421</v>
      </c>
      <c r="X1568" s="133">
        <v>0.91830694921406</v>
      </c>
      <c r="Y1568" s="135">
        <v>0.92</v>
      </c>
      <c r="Z1568" s="135" t="s">
        <v>35</v>
      </c>
      <c r="AA1568" s="135" t="s">
        <v>35</v>
      </c>
      <c r="AB1568" s="135" t="s">
        <v>35</v>
      </c>
      <c r="AC1568" s="135" t="s">
        <v>35</v>
      </c>
      <c r="AD1568" s="135">
        <v>0.92</v>
      </c>
      <c r="AE1568" s="133">
        <v>0.0416666666666667</v>
      </c>
      <c r="AF1568" s="133">
        <v>0.5</v>
      </c>
      <c r="AG1568" s="133">
        <v>1</v>
      </c>
      <c r="AH1568" s="133">
        <v>0.652360515021459</v>
      </c>
      <c r="AI1568" s="135">
        <v>0.92</v>
      </c>
      <c r="AJ1568" s="133">
        <v>0.976178146038322</v>
      </c>
      <c r="AK1568" s="133">
        <v>0.976688867745005</v>
      </c>
      <c r="AL1568" s="133">
        <v>0.97542735042735</v>
      </c>
      <c r="AM1568" s="133">
        <v>0.960374258583721</v>
      </c>
      <c r="AN1568" s="132">
        <v>0.99</v>
      </c>
      <c r="AO1568" s="137">
        <v>1</v>
      </c>
      <c r="AP1568" s="137">
        <v>1</v>
      </c>
      <c r="AQ1568" s="137">
        <v>1</v>
      </c>
      <c r="AR1568" s="137">
        <v>1</v>
      </c>
      <c r="AS1568" s="158">
        <v>0.110069253262963</v>
      </c>
      <c r="AT1568" s="141">
        <v>0.0555555555555556</v>
      </c>
      <c r="AU1568" s="141">
        <v>0</v>
      </c>
      <c r="AV1568" s="141">
        <v>0</v>
      </c>
      <c r="AW1568" s="141">
        <v>0.0329218106995885</v>
      </c>
      <c r="AX1568" s="95"/>
      <c r="AY1568" s="93"/>
    </row>
    <row r="1569" ht="14.5" spans="1:51">
      <c r="A1569" s="91"/>
      <c r="B1569" s="95"/>
      <c r="C1569" s="152" t="s">
        <v>1455</v>
      </c>
      <c r="D1569" s="153" t="s">
        <v>25</v>
      </c>
      <c r="E1569" s="130" t="s">
        <v>1456</v>
      </c>
      <c r="F1569" s="171" t="s">
        <v>1601</v>
      </c>
      <c r="G1569" s="171" t="s">
        <v>1601</v>
      </c>
      <c r="H1569" s="171" t="s">
        <v>1601</v>
      </c>
      <c r="I1569" s="171" t="s">
        <v>1601</v>
      </c>
      <c r="J1569" s="132">
        <v>0.9</v>
      </c>
      <c r="K1569" s="133">
        <v>1</v>
      </c>
      <c r="L1569" s="133">
        <v>0.923076923076923</v>
      </c>
      <c r="M1569" s="134">
        <v>1</v>
      </c>
      <c r="N1569" s="133">
        <v>0.981412639405205</v>
      </c>
      <c r="O1569" s="135">
        <v>0.9</v>
      </c>
      <c r="P1569" s="133">
        <v>0.994661921708185</v>
      </c>
      <c r="Q1569" s="133">
        <v>0.977280434045439</v>
      </c>
      <c r="R1569" s="133">
        <v>0.978157267672756</v>
      </c>
      <c r="S1569" s="133">
        <v>0.994212633536366</v>
      </c>
      <c r="T1569" s="135">
        <v>0.9</v>
      </c>
      <c r="U1569" s="133">
        <v>0.862099644128114</v>
      </c>
      <c r="V1569" s="133">
        <v>0.889454052221092</v>
      </c>
      <c r="W1569" s="133">
        <v>0.955520254169976</v>
      </c>
      <c r="X1569" s="133">
        <v>0.908104210546289</v>
      </c>
      <c r="Y1569" s="135">
        <v>0.92</v>
      </c>
      <c r="Z1569" s="135" t="s">
        <v>35</v>
      </c>
      <c r="AA1569" s="135" t="s">
        <v>35</v>
      </c>
      <c r="AB1569" s="135" t="s">
        <v>35</v>
      </c>
      <c r="AC1569" s="135">
        <v>1</v>
      </c>
      <c r="AD1569" s="135">
        <v>0.92</v>
      </c>
      <c r="AE1569" s="133">
        <v>1</v>
      </c>
      <c r="AF1569" s="133">
        <v>0.727272727272727</v>
      </c>
      <c r="AG1569" s="133">
        <v>0.685714285714286</v>
      </c>
      <c r="AH1569" s="133">
        <v>0.618249534450652</v>
      </c>
      <c r="AI1569" s="135">
        <v>0.92</v>
      </c>
      <c r="AJ1569" s="133">
        <v>0.959383338274533</v>
      </c>
      <c r="AK1569" s="133">
        <v>0.964394710071211</v>
      </c>
      <c r="AL1569" s="133">
        <v>0.983717235901509</v>
      </c>
      <c r="AM1569" s="133">
        <v>0.977629356962602</v>
      </c>
      <c r="AN1569" s="132">
        <v>0.99</v>
      </c>
      <c r="AO1569" s="137">
        <v>1</v>
      </c>
      <c r="AP1569" s="137">
        <v>1</v>
      </c>
      <c r="AQ1569" s="137">
        <v>1</v>
      </c>
      <c r="AR1569" s="137">
        <v>1</v>
      </c>
      <c r="AS1569" s="158">
        <v>0.110069253262963</v>
      </c>
      <c r="AT1569" s="141">
        <v>0</v>
      </c>
      <c r="AU1569" s="141">
        <v>0</v>
      </c>
      <c r="AV1569" s="141">
        <v>0.153846153846154</v>
      </c>
      <c r="AW1569" s="141">
        <v>0.0874524714828897</v>
      </c>
      <c r="AX1569" s="95"/>
      <c r="AY1569" s="93"/>
    </row>
    <row r="1570" ht="14.5" spans="1:51">
      <c r="A1570" s="91"/>
      <c r="B1570" s="95"/>
      <c r="C1570" s="152" t="s">
        <v>1455</v>
      </c>
      <c r="D1570" s="153" t="s">
        <v>25</v>
      </c>
      <c r="E1570" s="130" t="s">
        <v>1456</v>
      </c>
      <c r="F1570" s="171" t="s">
        <v>1602</v>
      </c>
      <c r="G1570" s="171" t="s">
        <v>1602</v>
      </c>
      <c r="H1570" s="171" t="s">
        <v>1602</v>
      </c>
      <c r="I1570" s="171" t="s">
        <v>1602</v>
      </c>
      <c r="J1570" s="132">
        <v>0.9</v>
      </c>
      <c r="K1570" s="133">
        <v>0.954545454545455</v>
      </c>
      <c r="L1570" s="133">
        <v>1</v>
      </c>
      <c r="M1570" s="134">
        <v>0.947368421052632</v>
      </c>
      <c r="N1570" s="133">
        <v>0.958441558441558</v>
      </c>
      <c r="O1570" s="135">
        <v>0.9</v>
      </c>
      <c r="P1570" s="133">
        <v>0.817813765182186</v>
      </c>
      <c r="Q1570" s="133">
        <v>0.813823857302118</v>
      </c>
      <c r="R1570" s="133">
        <v>0.957213930348259</v>
      </c>
      <c r="S1570" s="133">
        <v>0.889712292938099</v>
      </c>
      <c r="T1570" s="135">
        <v>0.9</v>
      </c>
      <c r="U1570" s="133">
        <v>0.581196581196581</v>
      </c>
      <c r="V1570" s="133">
        <v>0.675585284280936</v>
      </c>
      <c r="W1570" s="133">
        <v>0.798507462686567</v>
      </c>
      <c r="X1570" s="133">
        <v>0.752775356001162</v>
      </c>
      <c r="Y1570" s="135">
        <v>0.92</v>
      </c>
      <c r="Z1570" s="135" t="s">
        <v>35</v>
      </c>
      <c r="AA1570" s="135" t="s">
        <v>35</v>
      </c>
      <c r="AB1570" s="135" t="s">
        <v>35</v>
      </c>
      <c r="AC1570" s="135" t="s">
        <v>35</v>
      </c>
      <c r="AD1570" s="135">
        <v>0.92</v>
      </c>
      <c r="AE1570" s="133">
        <v>1</v>
      </c>
      <c r="AF1570" s="133">
        <v>0.996</v>
      </c>
      <c r="AG1570" s="133">
        <v>1</v>
      </c>
      <c r="AH1570" s="133">
        <v>0.932498130142109</v>
      </c>
      <c r="AI1570" s="135">
        <v>0.92</v>
      </c>
      <c r="AJ1570" s="133">
        <v>0.729644624381466</v>
      </c>
      <c r="AK1570" s="133">
        <v>0.799888517279822</v>
      </c>
      <c r="AL1570" s="133">
        <v>0.874129353233831</v>
      </c>
      <c r="AM1570" s="133">
        <v>0.86907875617553</v>
      </c>
      <c r="AN1570" s="132">
        <v>0.99</v>
      </c>
      <c r="AO1570" s="137">
        <v>1</v>
      </c>
      <c r="AP1570" s="137" t="s">
        <v>35</v>
      </c>
      <c r="AQ1570" s="137">
        <v>1</v>
      </c>
      <c r="AR1570" s="137">
        <v>1</v>
      </c>
      <c r="AS1570" s="158">
        <v>0.110069253262963</v>
      </c>
      <c r="AT1570" s="141">
        <v>0.133333333333333</v>
      </c>
      <c r="AU1570" s="141">
        <v>0.142857142857143</v>
      </c>
      <c r="AV1570" s="141">
        <v>0.130434782608696</v>
      </c>
      <c r="AW1570" s="141">
        <v>0.128623188405797</v>
      </c>
      <c r="AX1570" s="95"/>
      <c r="AY1570" s="93"/>
    </row>
    <row r="1571" ht="14.5" spans="1:51">
      <c r="A1571" s="91"/>
      <c r="B1571" s="95"/>
      <c r="C1571" s="152" t="s">
        <v>1455</v>
      </c>
      <c r="D1571" s="153" t="s">
        <v>25</v>
      </c>
      <c r="E1571" s="130" t="s">
        <v>1456</v>
      </c>
      <c r="F1571" s="171" t="s">
        <v>1603</v>
      </c>
      <c r="G1571" s="171" t="s">
        <v>1603</v>
      </c>
      <c r="H1571" s="171" t="s">
        <v>1603</v>
      </c>
      <c r="I1571" s="171" t="s">
        <v>1603</v>
      </c>
      <c r="J1571" s="132">
        <v>0.9</v>
      </c>
      <c r="K1571" s="133">
        <v>0.823529411764706</v>
      </c>
      <c r="L1571" s="133">
        <v>0.857142857142857</v>
      </c>
      <c r="M1571" s="134">
        <v>0.9375</v>
      </c>
      <c r="N1571" s="133">
        <v>0.868465430016863</v>
      </c>
      <c r="O1571" s="135">
        <v>0.9</v>
      </c>
      <c r="P1571" s="133" t="s">
        <v>35</v>
      </c>
      <c r="Q1571" s="133">
        <v>1</v>
      </c>
      <c r="R1571" s="133">
        <v>0.992805755395683</v>
      </c>
      <c r="S1571" s="133">
        <v>0.0890749781758221</v>
      </c>
      <c r="T1571" s="135">
        <v>0.9</v>
      </c>
      <c r="U1571" s="133" t="s">
        <v>35</v>
      </c>
      <c r="V1571" s="133">
        <v>0.963917525773196</v>
      </c>
      <c r="W1571" s="133">
        <v>0.906474820143885</v>
      </c>
      <c r="X1571" s="133">
        <v>0.104465065149213</v>
      </c>
      <c r="Y1571" s="135">
        <v>0.92</v>
      </c>
      <c r="Z1571" s="135">
        <v>0</v>
      </c>
      <c r="AA1571" s="135" t="s">
        <v>35</v>
      </c>
      <c r="AB1571" s="135" t="s">
        <v>35</v>
      </c>
      <c r="AC1571" s="135">
        <v>0</v>
      </c>
      <c r="AD1571" s="135">
        <v>0.92</v>
      </c>
      <c r="AE1571" s="133">
        <v>0.875</v>
      </c>
      <c r="AF1571" s="133">
        <v>0</v>
      </c>
      <c r="AG1571" s="133">
        <v>0</v>
      </c>
      <c r="AH1571" s="133">
        <v>0.717557251908397</v>
      </c>
      <c r="AI1571" s="135">
        <v>0.92</v>
      </c>
      <c r="AJ1571" s="133">
        <v>0.680984153461218</v>
      </c>
      <c r="AK1571" s="133">
        <v>0.716022579244464</v>
      </c>
      <c r="AL1571" s="133">
        <v>0.651742884553886</v>
      </c>
      <c r="AM1571" s="133">
        <v>0.70898211438929</v>
      </c>
      <c r="AN1571" s="132">
        <v>0.99</v>
      </c>
      <c r="AO1571" s="137" t="s">
        <v>35</v>
      </c>
      <c r="AP1571" s="137" t="s">
        <v>35</v>
      </c>
      <c r="AQ1571" s="137" t="s">
        <v>35</v>
      </c>
      <c r="AR1571" s="137">
        <v>1</v>
      </c>
      <c r="AS1571" s="158">
        <v>0.110069253262963</v>
      </c>
      <c r="AT1571" s="141">
        <v>0.368421052631579</v>
      </c>
      <c r="AU1571" s="141">
        <v>0.0769230769230769</v>
      </c>
      <c r="AV1571" s="141">
        <v>0.2</v>
      </c>
      <c r="AW1571" s="141">
        <v>0.143497757847534</v>
      </c>
      <c r="AX1571" s="95"/>
      <c r="AY1571" s="93"/>
    </row>
    <row r="1572" ht="14.5" spans="1:51">
      <c r="A1572" s="91"/>
      <c r="B1572" s="95"/>
      <c r="C1572" s="152" t="s">
        <v>1455</v>
      </c>
      <c r="D1572" s="153" t="s">
        <v>25</v>
      </c>
      <c r="E1572" s="130" t="s">
        <v>1456</v>
      </c>
      <c r="F1572" s="171" t="s">
        <v>1604</v>
      </c>
      <c r="G1572" s="171" t="s">
        <v>1604</v>
      </c>
      <c r="H1572" s="171" t="s">
        <v>1604</v>
      </c>
      <c r="I1572" s="171" t="s">
        <v>1604</v>
      </c>
      <c r="J1572" s="132">
        <v>0.9</v>
      </c>
      <c r="K1572" s="133">
        <v>0.923076923076923</v>
      </c>
      <c r="L1572" s="133">
        <v>1</v>
      </c>
      <c r="M1572" s="134">
        <v>0.933333333333333</v>
      </c>
      <c r="N1572" s="133">
        <v>0.963265306122449</v>
      </c>
      <c r="O1572" s="135">
        <v>0.9</v>
      </c>
      <c r="P1572" s="133">
        <v>0.999263622974963</v>
      </c>
      <c r="Q1572" s="133">
        <v>1</v>
      </c>
      <c r="R1572" s="133">
        <v>1</v>
      </c>
      <c r="S1572" s="133">
        <v>0.999365482233503</v>
      </c>
      <c r="T1572" s="135">
        <v>0.9</v>
      </c>
      <c r="U1572" s="133">
        <v>0.977908689248895</v>
      </c>
      <c r="V1572" s="133">
        <v>0.982472324723247</v>
      </c>
      <c r="W1572" s="133">
        <v>0.99057412167952</v>
      </c>
      <c r="X1572" s="133">
        <v>0.983925549915398</v>
      </c>
      <c r="Y1572" s="135">
        <v>0.92</v>
      </c>
      <c r="Z1572" s="135" t="s">
        <v>35</v>
      </c>
      <c r="AA1572" s="135" t="s">
        <v>35</v>
      </c>
      <c r="AB1572" s="135" t="s">
        <v>35</v>
      </c>
      <c r="AC1572" s="135" t="s">
        <v>35</v>
      </c>
      <c r="AD1572" s="135">
        <v>0.92</v>
      </c>
      <c r="AE1572" s="133">
        <v>0</v>
      </c>
      <c r="AF1572" s="133">
        <v>0</v>
      </c>
      <c r="AG1572" s="133">
        <v>0</v>
      </c>
      <c r="AH1572" s="133">
        <v>0.0673076923076923</v>
      </c>
      <c r="AI1572" s="135">
        <v>0.92</v>
      </c>
      <c r="AJ1572" s="133">
        <v>0.983137829912023</v>
      </c>
      <c r="AK1572" s="133">
        <v>0.988018433179723</v>
      </c>
      <c r="AL1572" s="133">
        <v>0.994867408041061</v>
      </c>
      <c r="AM1572" s="133">
        <v>0.994331773270931</v>
      </c>
      <c r="AN1572" s="132">
        <v>0.99</v>
      </c>
      <c r="AO1572" s="137" t="s">
        <v>35</v>
      </c>
      <c r="AP1572" s="137" t="s">
        <v>35</v>
      </c>
      <c r="AQ1572" s="137" t="s">
        <v>35</v>
      </c>
      <c r="AR1572" s="137">
        <v>1</v>
      </c>
      <c r="AS1572" s="158">
        <v>0.110069253262963</v>
      </c>
      <c r="AT1572" s="141">
        <v>0.0714285714285714</v>
      </c>
      <c r="AU1572" s="141">
        <v>0.285714285714286</v>
      </c>
      <c r="AV1572" s="141">
        <v>0.105263157894737</v>
      </c>
      <c r="AW1572" s="141">
        <v>0.119850187265918</v>
      </c>
      <c r="AX1572" s="95"/>
      <c r="AY1572" s="93"/>
    </row>
    <row r="1573" ht="14.5" spans="1:51">
      <c r="A1573" s="91"/>
      <c r="B1573" s="95"/>
      <c r="C1573" s="152" t="s">
        <v>1455</v>
      </c>
      <c r="D1573" s="153" t="s">
        <v>25</v>
      </c>
      <c r="E1573" s="130" t="s">
        <v>1456</v>
      </c>
      <c r="F1573" s="171" t="s">
        <v>1605</v>
      </c>
      <c r="G1573" s="171" t="s">
        <v>1605</v>
      </c>
      <c r="H1573" s="171" t="s">
        <v>1605</v>
      </c>
      <c r="I1573" s="171" t="s">
        <v>1605</v>
      </c>
      <c r="J1573" s="132">
        <v>0.9</v>
      </c>
      <c r="K1573" s="133">
        <v>0.972222222222222</v>
      </c>
      <c r="L1573" s="133">
        <v>1</v>
      </c>
      <c r="M1573" s="134">
        <v>0.972222222222222</v>
      </c>
      <c r="N1573" s="133">
        <v>0.953383458646617</v>
      </c>
      <c r="O1573" s="135">
        <v>0.9</v>
      </c>
      <c r="P1573" s="133">
        <v>0.995817066369214</v>
      </c>
      <c r="Q1573" s="133">
        <v>0.982057033002243</v>
      </c>
      <c r="R1573" s="133">
        <v>0.997296253379683</v>
      </c>
      <c r="S1573" s="133">
        <v>0.992937951138257</v>
      </c>
      <c r="T1573" s="135">
        <v>0.9</v>
      </c>
      <c r="U1573" s="133">
        <v>0.918014500836587</v>
      </c>
      <c r="V1573" s="133">
        <v>0.933034283883371</v>
      </c>
      <c r="W1573" s="133">
        <v>0.957512553109309</v>
      </c>
      <c r="X1573" s="133">
        <v>0.949021377012771</v>
      </c>
      <c r="Y1573" s="135">
        <v>0.92</v>
      </c>
      <c r="Z1573" s="135" t="s">
        <v>35</v>
      </c>
      <c r="AA1573" s="135" t="s">
        <v>35</v>
      </c>
      <c r="AB1573" s="135" t="s">
        <v>35</v>
      </c>
      <c r="AC1573" s="135">
        <v>1</v>
      </c>
      <c r="AD1573" s="135">
        <v>0.92</v>
      </c>
      <c r="AE1573" s="133">
        <v>0.973684210526316</v>
      </c>
      <c r="AF1573" s="133">
        <v>0.978260869565217</v>
      </c>
      <c r="AG1573" s="133">
        <v>1</v>
      </c>
      <c r="AH1573" s="133">
        <v>0.951788491446345</v>
      </c>
      <c r="AI1573" s="135">
        <v>0.92</v>
      </c>
      <c r="AJ1573" s="133">
        <v>0.96095928611266</v>
      </c>
      <c r="AK1573" s="133">
        <v>0.973726369753284</v>
      </c>
      <c r="AL1573" s="133">
        <v>0.984163769795288</v>
      </c>
      <c r="AM1573" s="133">
        <v>0.983394929988028</v>
      </c>
      <c r="AN1573" s="132">
        <v>0.99</v>
      </c>
      <c r="AO1573" s="137">
        <v>1</v>
      </c>
      <c r="AP1573" s="137">
        <v>1</v>
      </c>
      <c r="AQ1573" s="137">
        <v>1</v>
      </c>
      <c r="AR1573" s="137">
        <v>1</v>
      </c>
      <c r="AS1573" s="158">
        <v>0.110069253262963</v>
      </c>
      <c r="AT1573" s="141">
        <v>0.136363636363636</v>
      </c>
      <c r="AU1573" s="141">
        <v>0.0555555555555556</v>
      </c>
      <c r="AV1573" s="141">
        <v>0</v>
      </c>
      <c r="AW1573" s="141">
        <v>0.0664451827242525</v>
      </c>
      <c r="AX1573" s="95"/>
      <c r="AY1573" s="93"/>
    </row>
    <row r="1574" ht="14.5" spans="1:51">
      <c r="A1574" s="91"/>
      <c r="B1574" s="95"/>
      <c r="C1574" s="152" t="s">
        <v>1455</v>
      </c>
      <c r="D1574" s="153" t="s">
        <v>25</v>
      </c>
      <c r="E1574" s="130" t="s">
        <v>1456</v>
      </c>
      <c r="F1574" s="171" t="s">
        <v>1606</v>
      </c>
      <c r="G1574" s="171" t="s">
        <v>1606</v>
      </c>
      <c r="H1574" s="171" t="s">
        <v>1606</v>
      </c>
      <c r="I1574" s="171" t="s">
        <v>1606</v>
      </c>
      <c r="J1574" s="132">
        <v>0.9</v>
      </c>
      <c r="K1574" s="133">
        <v>0.714285714285714</v>
      </c>
      <c r="L1574" s="133">
        <v>0.666666666666667</v>
      </c>
      <c r="M1574" s="134">
        <v>0.5</v>
      </c>
      <c r="N1574" s="133">
        <v>0.760956175298805</v>
      </c>
      <c r="O1574" s="135">
        <v>0.9</v>
      </c>
      <c r="P1574" s="133" t="s">
        <v>35</v>
      </c>
      <c r="Q1574" s="133" t="s">
        <v>35</v>
      </c>
      <c r="R1574" s="133" t="s">
        <v>35</v>
      </c>
      <c r="S1574" s="133">
        <v>0</v>
      </c>
      <c r="T1574" s="135">
        <v>0.9</v>
      </c>
      <c r="U1574" s="133" t="s">
        <v>35</v>
      </c>
      <c r="V1574" s="133" t="s">
        <v>35</v>
      </c>
      <c r="W1574" s="133" t="s">
        <v>35</v>
      </c>
      <c r="X1574" s="133">
        <v>0</v>
      </c>
      <c r="Y1574" s="135">
        <v>0.92</v>
      </c>
      <c r="Z1574" s="135" t="s">
        <v>35</v>
      </c>
      <c r="AA1574" s="135" t="s">
        <v>35</v>
      </c>
      <c r="AB1574" s="135" t="s">
        <v>35</v>
      </c>
      <c r="AC1574" s="135" t="s">
        <v>35</v>
      </c>
      <c r="AD1574" s="135">
        <v>0.92</v>
      </c>
      <c r="AE1574" s="133">
        <v>0</v>
      </c>
      <c r="AF1574" s="133">
        <v>0</v>
      </c>
      <c r="AG1574" s="133">
        <v>0.285714285714286</v>
      </c>
      <c r="AH1574" s="133">
        <v>0.205882352941176</v>
      </c>
      <c r="AI1574" s="135">
        <v>0.92</v>
      </c>
      <c r="AJ1574" s="133">
        <v>0.624813153961136</v>
      </c>
      <c r="AK1574" s="133">
        <v>0.75768156424581</v>
      </c>
      <c r="AL1574" s="133">
        <v>0.745252128356254</v>
      </c>
      <c r="AM1574" s="133">
        <v>0.746794467566318</v>
      </c>
      <c r="AN1574" s="132">
        <v>0.99</v>
      </c>
      <c r="AO1574" s="137" t="s">
        <v>35</v>
      </c>
      <c r="AP1574" s="137" t="s">
        <v>35</v>
      </c>
      <c r="AQ1574" s="137" t="s">
        <v>35</v>
      </c>
      <c r="AR1574" s="137">
        <v>1</v>
      </c>
      <c r="AS1574" s="158">
        <v>0.110069253262963</v>
      </c>
      <c r="AT1574" s="141">
        <v>0.1</v>
      </c>
      <c r="AU1574" s="141">
        <v>0</v>
      </c>
      <c r="AV1574" s="141">
        <v>0.117647058823529</v>
      </c>
      <c r="AW1574" s="141">
        <v>0.129139072847682</v>
      </c>
      <c r="AX1574" s="95"/>
      <c r="AY1574" s="93"/>
    </row>
    <row r="1575" ht="14.5" spans="1:51">
      <c r="A1575" s="91"/>
      <c r="B1575" s="95"/>
      <c r="C1575" s="152" t="s">
        <v>1455</v>
      </c>
      <c r="D1575" s="153" t="s">
        <v>25</v>
      </c>
      <c r="E1575" s="130" t="s">
        <v>1456</v>
      </c>
      <c r="F1575" s="171" t="s">
        <v>1607</v>
      </c>
      <c r="G1575" s="171" t="s">
        <v>1607</v>
      </c>
      <c r="H1575" s="171" t="s">
        <v>1607</v>
      </c>
      <c r="I1575" s="171" t="s">
        <v>1607</v>
      </c>
      <c r="J1575" s="132">
        <v>0.9</v>
      </c>
      <c r="K1575" s="133">
        <v>0.772727272727273</v>
      </c>
      <c r="L1575" s="133">
        <v>0.7</v>
      </c>
      <c r="M1575" s="134">
        <v>0.555555555555556</v>
      </c>
      <c r="N1575" s="133">
        <v>0.657458563535912</v>
      </c>
      <c r="O1575" s="135">
        <v>0.9</v>
      </c>
      <c r="P1575" s="133" t="s">
        <v>35</v>
      </c>
      <c r="Q1575" s="133" t="s">
        <v>35</v>
      </c>
      <c r="R1575" s="133">
        <v>0</v>
      </c>
      <c r="S1575" s="133">
        <v>0.5</v>
      </c>
      <c r="T1575" s="135">
        <v>0.9</v>
      </c>
      <c r="U1575" s="133" t="s">
        <v>35</v>
      </c>
      <c r="V1575" s="133" t="s">
        <v>35</v>
      </c>
      <c r="W1575" s="133">
        <v>0</v>
      </c>
      <c r="X1575" s="133">
        <v>0.5</v>
      </c>
      <c r="Y1575" s="135">
        <v>0.92</v>
      </c>
      <c r="Z1575" s="135" t="s">
        <v>35</v>
      </c>
      <c r="AA1575" s="135" t="s">
        <v>35</v>
      </c>
      <c r="AB1575" s="135" t="s">
        <v>35</v>
      </c>
      <c r="AC1575" s="135" t="s">
        <v>35</v>
      </c>
      <c r="AD1575" s="135">
        <v>0.92</v>
      </c>
      <c r="AE1575" s="133">
        <v>0</v>
      </c>
      <c r="AF1575" s="133" t="s">
        <v>35</v>
      </c>
      <c r="AG1575" s="133">
        <v>0</v>
      </c>
      <c r="AH1575" s="133">
        <v>0.148514851485149</v>
      </c>
      <c r="AI1575" s="135">
        <v>0.92</v>
      </c>
      <c r="AJ1575" s="133">
        <v>0.935758513931889</v>
      </c>
      <c r="AK1575" s="133">
        <v>0.8625</v>
      </c>
      <c r="AL1575" s="133">
        <v>0.901910828025478</v>
      </c>
      <c r="AM1575" s="133">
        <v>0.835787089467724</v>
      </c>
      <c r="AN1575" s="132">
        <v>0.99</v>
      </c>
      <c r="AO1575" s="137" t="s">
        <v>35</v>
      </c>
      <c r="AP1575" s="137" t="s">
        <v>35</v>
      </c>
      <c r="AQ1575" s="137" t="s">
        <v>35</v>
      </c>
      <c r="AR1575" s="137">
        <v>1</v>
      </c>
      <c r="AS1575" s="158">
        <v>0.110069253262963</v>
      </c>
      <c r="AT1575" s="141">
        <v>0.315789473684211</v>
      </c>
      <c r="AU1575" s="141">
        <v>0.466666666666667</v>
      </c>
      <c r="AV1575" s="141">
        <v>0.142857142857143</v>
      </c>
      <c r="AW1575" s="141">
        <v>0.1328125</v>
      </c>
      <c r="AX1575" s="95"/>
      <c r="AY1575" s="93"/>
    </row>
    <row r="1576" ht="14.5" spans="1:51">
      <c r="A1576" s="91"/>
      <c r="B1576" s="95"/>
      <c r="C1576" s="152" t="s">
        <v>1455</v>
      </c>
      <c r="D1576" s="153" t="s">
        <v>25</v>
      </c>
      <c r="E1576" s="130" t="s">
        <v>1456</v>
      </c>
      <c r="F1576" s="171" t="s">
        <v>1608</v>
      </c>
      <c r="G1576" s="171" t="s">
        <v>1608</v>
      </c>
      <c r="H1576" s="171" t="s">
        <v>1608</v>
      </c>
      <c r="I1576" s="171" t="s">
        <v>1608</v>
      </c>
      <c r="J1576" s="132">
        <v>0.9</v>
      </c>
      <c r="K1576" s="133">
        <v>0.222222222222222</v>
      </c>
      <c r="L1576" s="133">
        <v>0.111111111111111</v>
      </c>
      <c r="M1576" s="134">
        <v>0.2</v>
      </c>
      <c r="N1576" s="133">
        <v>0.347826086956522</v>
      </c>
      <c r="O1576" s="135">
        <v>0.9</v>
      </c>
      <c r="P1576" s="133">
        <v>1</v>
      </c>
      <c r="Q1576" s="133" t="s">
        <v>35</v>
      </c>
      <c r="R1576" s="133">
        <v>0.333333333333333</v>
      </c>
      <c r="S1576" s="133">
        <v>0.5</v>
      </c>
      <c r="T1576" s="135">
        <v>0.9</v>
      </c>
      <c r="U1576" s="133">
        <v>1</v>
      </c>
      <c r="V1576" s="133" t="s">
        <v>35</v>
      </c>
      <c r="W1576" s="133">
        <v>0.333333333333333</v>
      </c>
      <c r="X1576" s="133">
        <v>0.5</v>
      </c>
      <c r="Y1576" s="135">
        <v>0.92</v>
      </c>
      <c r="Z1576" s="135" t="s">
        <v>35</v>
      </c>
      <c r="AA1576" s="135" t="s">
        <v>35</v>
      </c>
      <c r="AB1576" s="135" t="s">
        <v>35</v>
      </c>
      <c r="AC1576" s="135" t="s">
        <v>35</v>
      </c>
      <c r="AD1576" s="135">
        <v>0.92</v>
      </c>
      <c r="AE1576" s="133">
        <v>0</v>
      </c>
      <c r="AF1576" s="133">
        <v>0</v>
      </c>
      <c r="AG1576" s="133">
        <v>0.333333333333333</v>
      </c>
      <c r="AH1576" s="133">
        <v>0.3</v>
      </c>
      <c r="AI1576" s="135">
        <v>0.92</v>
      </c>
      <c r="AJ1576" s="133">
        <v>0.773013871374527</v>
      </c>
      <c r="AK1576" s="133">
        <v>0.833962264150943</v>
      </c>
      <c r="AL1576" s="133">
        <v>0.800733496332518</v>
      </c>
      <c r="AM1576" s="133">
        <v>0.863244820958212</v>
      </c>
      <c r="AN1576" s="132">
        <v>0.99</v>
      </c>
      <c r="AO1576" s="137">
        <v>1</v>
      </c>
      <c r="AP1576" s="137">
        <v>1</v>
      </c>
      <c r="AQ1576" s="137">
        <v>1</v>
      </c>
      <c r="AR1576" s="137">
        <v>1</v>
      </c>
      <c r="AS1576" s="158">
        <v>0.110069253262963</v>
      </c>
      <c r="AT1576" s="141">
        <v>0.363636363636364</v>
      </c>
      <c r="AU1576" s="141">
        <v>0</v>
      </c>
      <c r="AV1576" s="141">
        <v>0.111111111111111</v>
      </c>
      <c r="AW1576" s="141">
        <v>0.108843537414966</v>
      </c>
      <c r="AX1576" s="95"/>
      <c r="AY1576" s="93"/>
    </row>
    <row r="1577" ht="14.5" spans="1:51">
      <c r="A1577" s="91"/>
      <c r="B1577" s="95"/>
      <c r="C1577" s="152" t="s">
        <v>1455</v>
      </c>
      <c r="D1577" s="153" t="s">
        <v>25</v>
      </c>
      <c r="E1577" s="130" t="s">
        <v>1456</v>
      </c>
      <c r="F1577" s="171" t="s">
        <v>1609</v>
      </c>
      <c r="G1577" s="171" t="s">
        <v>1609</v>
      </c>
      <c r="H1577" s="171" t="s">
        <v>1609</v>
      </c>
      <c r="I1577" s="171" t="s">
        <v>1609</v>
      </c>
      <c r="J1577" s="132">
        <v>0.9</v>
      </c>
      <c r="K1577" s="133">
        <v>0.866666666666667</v>
      </c>
      <c r="L1577" s="133">
        <v>0.916666666666667</v>
      </c>
      <c r="M1577" s="134">
        <v>0.933333333333333</v>
      </c>
      <c r="N1577" s="133">
        <v>0.893536121673004</v>
      </c>
      <c r="O1577" s="135">
        <v>0.9</v>
      </c>
      <c r="P1577" s="133" t="s">
        <v>35</v>
      </c>
      <c r="Q1577" s="133">
        <v>0.666666666666667</v>
      </c>
      <c r="R1577" s="133" t="s">
        <v>35</v>
      </c>
      <c r="S1577" s="133">
        <v>0.666666666666667</v>
      </c>
      <c r="T1577" s="135">
        <v>0.9</v>
      </c>
      <c r="U1577" s="133" t="s">
        <v>35</v>
      </c>
      <c r="V1577" s="133">
        <v>1</v>
      </c>
      <c r="W1577" s="133" t="s">
        <v>35</v>
      </c>
      <c r="X1577" s="133">
        <v>1</v>
      </c>
      <c r="Y1577" s="135">
        <v>0.92</v>
      </c>
      <c r="Z1577" s="135" t="s">
        <v>35</v>
      </c>
      <c r="AA1577" s="135" t="s">
        <v>35</v>
      </c>
      <c r="AB1577" s="135" t="s">
        <v>35</v>
      </c>
      <c r="AC1577" s="135" t="s">
        <v>35</v>
      </c>
      <c r="AD1577" s="135">
        <v>0.92</v>
      </c>
      <c r="AE1577" s="133">
        <v>0</v>
      </c>
      <c r="AF1577" s="133">
        <v>0.833333333333333</v>
      </c>
      <c r="AG1577" s="133">
        <v>1</v>
      </c>
      <c r="AH1577" s="133">
        <v>0.852272727272727</v>
      </c>
      <c r="AI1577" s="135">
        <v>0.92</v>
      </c>
      <c r="AJ1577" s="133">
        <v>0.821501014198783</v>
      </c>
      <c r="AK1577" s="133">
        <v>0.887482419127989</v>
      </c>
      <c r="AL1577" s="133">
        <v>0.94257064721969</v>
      </c>
      <c r="AM1577" s="133">
        <v>0.937746445214482</v>
      </c>
      <c r="AN1577" s="132">
        <v>0.99</v>
      </c>
      <c r="AO1577" s="137" t="s">
        <v>35</v>
      </c>
      <c r="AP1577" s="137" t="s">
        <v>35</v>
      </c>
      <c r="AQ1577" s="137" t="s">
        <v>35</v>
      </c>
      <c r="AR1577" s="137">
        <v>1</v>
      </c>
      <c r="AS1577" s="158">
        <v>0.110069253262963</v>
      </c>
      <c r="AT1577" s="141">
        <v>0</v>
      </c>
      <c r="AU1577" s="141">
        <v>0.214285714285714</v>
      </c>
      <c r="AV1577" s="141">
        <v>0.1</v>
      </c>
      <c r="AW1577" s="141">
        <v>0.111538461538462</v>
      </c>
      <c r="AX1577" s="95"/>
      <c r="AY1577" s="93"/>
    </row>
    <row r="1578" ht="14.5" spans="1:51">
      <c r="A1578" s="91"/>
      <c r="B1578" s="95"/>
      <c r="C1578" s="152" t="s">
        <v>1455</v>
      </c>
      <c r="D1578" s="153" t="s">
        <v>25</v>
      </c>
      <c r="E1578" s="130" t="s">
        <v>1456</v>
      </c>
      <c r="F1578" s="171" t="s">
        <v>1610</v>
      </c>
      <c r="G1578" s="171" t="s">
        <v>1610</v>
      </c>
      <c r="H1578" s="171" t="s">
        <v>1610</v>
      </c>
      <c r="I1578" s="171" t="s">
        <v>1610</v>
      </c>
      <c r="J1578" s="132">
        <v>0.9</v>
      </c>
      <c r="K1578" s="133">
        <v>0.631578947368421</v>
      </c>
      <c r="L1578" s="133">
        <v>0.842105263157895</v>
      </c>
      <c r="M1578" s="134">
        <v>0.529411764705882</v>
      </c>
      <c r="N1578" s="133">
        <v>0.635802469135803</v>
      </c>
      <c r="O1578" s="135">
        <v>0.9</v>
      </c>
      <c r="P1578" s="133" t="s">
        <v>35</v>
      </c>
      <c r="Q1578" s="133" t="s">
        <v>35</v>
      </c>
      <c r="R1578" s="133" t="s">
        <v>35</v>
      </c>
      <c r="S1578" s="133">
        <v>0.25</v>
      </c>
      <c r="T1578" s="135">
        <v>0.9</v>
      </c>
      <c r="U1578" s="133" t="s">
        <v>35</v>
      </c>
      <c r="V1578" s="133" t="s">
        <v>35</v>
      </c>
      <c r="W1578" s="133" t="s">
        <v>35</v>
      </c>
      <c r="X1578" s="133">
        <v>0</v>
      </c>
      <c r="Y1578" s="135">
        <v>0.92</v>
      </c>
      <c r="Z1578" s="135" t="s">
        <v>35</v>
      </c>
      <c r="AA1578" s="135" t="s">
        <v>35</v>
      </c>
      <c r="AB1578" s="135" t="s">
        <v>35</v>
      </c>
      <c r="AC1578" s="135" t="s">
        <v>35</v>
      </c>
      <c r="AD1578" s="135">
        <v>0.92</v>
      </c>
      <c r="AE1578" s="133">
        <v>0</v>
      </c>
      <c r="AF1578" s="133">
        <v>0</v>
      </c>
      <c r="AG1578" s="133">
        <v>0</v>
      </c>
      <c r="AH1578" s="133">
        <v>0.113924050632911</v>
      </c>
      <c r="AI1578" s="135">
        <v>0.92</v>
      </c>
      <c r="AJ1578" s="133">
        <v>0.959402985074627</v>
      </c>
      <c r="AK1578" s="133">
        <v>0.963016678752719</v>
      </c>
      <c r="AL1578" s="133">
        <v>0.979121670266379</v>
      </c>
      <c r="AM1578" s="133">
        <v>0.97210291973679</v>
      </c>
      <c r="AN1578" s="132">
        <v>0.99</v>
      </c>
      <c r="AO1578" s="137" t="s">
        <v>35</v>
      </c>
      <c r="AP1578" s="137">
        <v>1</v>
      </c>
      <c r="AQ1578" s="137" t="s">
        <v>35</v>
      </c>
      <c r="AR1578" s="137">
        <v>1</v>
      </c>
      <c r="AS1578" s="158">
        <v>0.110069253262963</v>
      </c>
      <c r="AT1578" s="141">
        <v>0</v>
      </c>
      <c r="AU1578" s="141">
        <v>0.428571428571429</v>
      </c>
      <c r="AV1578" s="141">
        <v>0.05</v>
      </c>
      <c r="AW1578" s="141">
        <v>0.0964912280701754</v>
      </c>
      <c r="AX1578" s="95"/>
      <c r="AY1578" s="93"/>
    </row>
    <row r="1579" ht="14.5" spans="1:51">
      <c r="A1579" s="91"/>
      <c r="B1579" s="95"/>
      <c r="C1579" s="152" t="s">
        <v>1455</v>
      </c>
      <c r="D1579" s="153" t="s">
        <v>25</v>
      </c>
      <c r="E1579" s="130" t="s">
        <v>1456</v>
      </c>
      <c r="F1579" s="171" t="s">
        <v>1611</v>
      </c>
      <c r="G1579" s="171" t="s">
        <v>1611</v>
      </c>
      <c r="H1579" s="171" t="s">
        <v>1611</v>
      </c>
      <c r="I1579" s="171" t="s">
        <v>1611</v>
      </c>
      <c r="J1579" s="132">
        <v>0.9</v>
      </c>
      <c r="K1579" s="133">
        <v>0.9375</v>
      </c>
      <c r="L1579" s="133">
        <v>1</v>
      </c>
      <c r="M1579" s="134">
        <v>0.935483870967742</v>
      </c>
      <c r="N1579" s="133">
        <v>0.950549450549451</v>
      </c>
      <c r="O1579" s="135">
        <v>0.9</v>
      </c>
      <c r="P1579" s="133">
        <v>0.976653696498054</v>
      </c>
      <c r="Q1579" s="133">
        <v>0.964447542697804</v>
      </c>
      <c r="R1579" s="133">
        <v>0.968711905729378</v>
      </c>
      <c r="S1579" s="133">
        <v>0.965138501416866</v>
      </c>
      <c r="T1579" s="135">
        <v>0.9</v>
      </c>
      <c r="U1579" s="133">
        <v>0.574106827025115</v>
      </c>
      <c r="V1579" s="133">
        <v>0.559079818752178</v>
      </c>
      <c r="W1579" s="133">
        <v>0.642421779764323</v>
      </c>
      <c r="X1579" s="133">
        <v>0.562243261647958</v>
      </c>
      <c r="Y1579" s="135">
        <v>0.92</v>
      </c>
      <c r="Z1579" s="135" t="s">
        <v>35</v>
      </c>
      <c r="AA1579" s="135" t="s">
        <v>35</v>
      </c>
      <c r="AB1579" s="135" t="s">
        <v>35</v>
      </c>
      <c r="AC1579" s="135">
        <v>0</v>
      </c>
      <c r="AD1579" s="135">
        <v>0.92</v>
      </c>
      <c r="AE1579" s="133">
        <v>1</v>
      </c>
      <c r="AF1579" s="133">
        <v>1</v>
      </c>
      <c r="AG1579" s="133">
        <v>1</v>
      </c>
      <c r="AH1579" s="133">
        <v>0.963815789473684</v>
      </c>
      <c r="AI1579" s="135">
        <v>0.92</v>
      </c>
      <c r="AJ1579" s="133">
        <v>0.858153519632119</v>
      </c>
      <c r="AK1579" s="133">
        <v>0.834437086092715</v>
      </c>
      <c r="AL1579" s="133">
        <v>0.87687931735067</v>
      </c>
      <c r="AM1579" s="133">
        <v>0.871367380560132</v>
      </c>
      <c r="AN1579" s="132">
        <v>0.99</v>
      </c>
      <c r="AO1579" s="137">
        <v>1</v>
      </c>
      <c r="AP1579" s="137">
        <v>1</v>
      </c>
      <c r="AQ1579" s="137">
        <v>1</v>
      </c>
      <c r="AR1579" s="137">
        <v>1</v>
      </c>
      <c r="AS1579" s="158">
        <v>0.110069253262963</v>
      </c>
      <c r="AT1579" s="141">
        <v>0.0714285714285714</v>
      </c>
      <c r="AU1579" s="141">
        <v>0.111111111111111</v>
      </c>
      <c r="AV1579" s="141">
        <v>0</v>
      </c>
      <c r="AW1579" s="141">
        <v>0.0948275862068965</v>
      </c>
      <c r="AX1579" s="95"/>
      <c r="AY1579" s="93"/>
    </row>
    <row r="1580" ht="14.5" spans="1:51">
      <c r="A1580" s="91"/>
      <c r="B1580" s="95"/>
      <c r="C1580" s="152" t="s">
        <v>1455</v>
      </c>
      <c r="D1580" s="153" t="s">
        <v>25</v>
      </c>
      <c r="E1580" s="130" t="s">
        <v>1456</v>
      </c>
      <c r="F1580" s="171" t="s">
        <v>1612</v>
      </c>
      <c r="G1580" s="171" t="s">
        <v>1612</v>
      </c>
      <c r="H1580" s="171" t="s">
        <v>1612</v>
      </c>
      <c r="I1580" s="171" t="s">
        <v>1612</v>
      </c>
      <c r="J1580" s="132">
        <v>0.9</v>
      </c>
      <c r="K1580" s="133">
        <v>0.976744186046512</v>
      </c>
      <c r="L1580" s="133">
        <v>0.951219512195122</v>
      </c>
      <c r="M1580" s="134">
        <v>0.95</v>
      </c>
      <c r="N1580" s="133">
        <v>0.964769647696477</v>
      </c>
      <c r="O1580" s="135">
        <v>0.9</v>
      </c>
      <c r="P1580" s="133">
        <v>0.958252695604092</v>
      </c>
      <c r="Q1580" s="133">
        <v>0.948324022346369</v>
      </c>
      <c r="R1580" s="133">
        <v>0.914776409591704</v>
      </c>
      <c r="S1580" s="133">
        <v>0.901620427608262</v>
      </c>
      <c r="T1580" s="135">
        <v>0.9</v>
      </c>
      <c r="U1580" s="133">
        <v>0.340060823887199</v>
      </c>
      <c r="V1580" s="133">
        <v>0.284078212290503</v>
      </c>
      <c r="W1580" s="133">
        <v>0.38950097213221</v>
      </c>
      <c r="X1580" s="133">
        <v>0.343866937012677</v>
      </c>
      <c r="Y1580" s="135">
        <v>0.92</v>
      </c>
      <c r="Z1580" s="135" t="s">
        <v>35</v>
      </c>
      <c r="AA1580" s="135">
        <v>0</v>
      </c>
      <c r="AB1580" s="135">
        <v>0</v>
      </c>
      <c r="AC1580" s="135">
        <v>0</v>
      </c>
      <c r="AD1580" s="135">
        <v>0.92</v>
      </c>
      <c r="AE1580" s="133">
        <v>0.379310344827586</v>
      </c>
      <c r="AF1580" s="133">
        <v>0.215384615384615</v>
      </c>
      <c r="AG1580" s="133">
        <v>1</v>
      </c>
      <c r="AH1580" s="133">
        <v>0.867674858223062</v>
      </c>
      <c r="AI1580" s="135">
        <v>0.92</v>
      </c>
      <c r="AJ1580" s="133">
        <v>0.905999447055571</v>
      </c>
      <c r="AK1580" s="133">
        <v>0.884733463578007</v>
      </c>
      <c r="AL1580" s="133">
        <v>0.890184645286686</v>
      </c>
      <c r="AM1580" s="133">
        <v>0.890599502200537</v>
      </c>
      <c r="AN1580" s="132">
        <v>0.99</v>
      </c>
      <c r="AO1580" s="137">
        <v>1</v>
      </c>
      <c r="AP1580" s="137">
        <v>1</v>
      </c>
      <c r="AQ1580" s="137">
        <v>1</v>
      </c>
      <c r="AR1580" s="137">
        <v>1</v>
      </c>
      <c r="AS1580" s="158">
        <v>0.110069253262963</v>
      </c>
      <c r="AT1580" s="141">
        <v>0.0666666666666667</v>
      </c>
      <c r="AU1580" s="141">
        <v>0.0952380952380952</v>
      </c>
      <c r="AV1580" s="141">
        <v>0.0666666666666667</v>
      </c>
      <c r="AW1580" s="141">
        <v>0.0906432748538012</v>
      </c>
      <c r="AX1580" s="95"/>
      <c r="AY1580" s="93"/>
    </row>
    <row r="1581" ht="14.5" spans="1:51">
      <c r="A1581" s="91"/>
      <c r="B1581" s="95"/>
      <c r="C1581" s="152" t="s">
        <v>1455</v>
      </c>
      <c r="D1581" s="153" t="s">
        <v>25</v>
      </c>
      <c r="E1581" s="130" t="s">
        <v>1456</v>
      </c>
      <c r="F1581" s="171" t="s">
        <v>1613</v>
      </c>
      <c r="G1581" s="171" t="s">
        <v>1613</v>
      </c>
      <c r="H1581" s="171" t="s">
        <v>1613</v>
      </c>
      <c r="I1581" s="171" t="s">
        <v>1613</v>
      </c>
      <c r="J1581" s="132">
        <v>0.9</v>
      </c>
      <c r="K1581" s="133">
        <v>1</v>
      </c>
      <c r="L1581" s="133">
        <v>0.957446808510638</v>
      </c>
      <c r="M1581" s="134">
        <v>1</v>
      </c>
      <c r="N1581" s="133">
        <v>0.991715976331361</v>
      </c>
      <c r="O1581" s="135">
        <v>0.9</v>
      </c>
      <c r="P1581" s="133">
        <v>0.977964071856287</v>
      </c>
      <c r="Q1581" s="133">
        <v>0.967489321309919</v>
      </c>
      <c r="R1581" s="133">
        <v>0.969920700027345</v>
      </c>
      <c r="S1581" s="133">
        <v>0.978074449425063</v>
      </c>
      <c r="T1581" s="135">
        <v>0.9</v>
      </c>
      <c r="U1581" s="133">
        <v>0.757125748502994</v>
      </c>
      <c r="V1581" s="133">
        <v>0.713336497389654</v>
      </c>
      <c r="W1581" s="133">
        <v>0.775772491112934</v>
      </c>
      <c r="X1581" s="133">
        <v>0.749143859453741</v>
      </c>
      <c r="Y1581" s="135">
        <v>0.92</v>
      </c>
      <c r="Z1581" s="135" t="s">
        <v>35</v>
      </c>
      <c r="AA1581" s="135" t="s">
        <v>35</v>
      </c>
      <c r="AB1581" s="135">
        <v>0</v>
      </c>
      <c r="AC1581" s="135">
        <v>0</v>
      </c>
      <c r="AD1581" s="135">
        <v>0.92</v>
      </c>
      <c r="AE1581" s="133">
        <v>0.91304347826087</v>
      </c>
      <c r="AF1581" s="133">
        <v>1</v>
      </c>
      <c r="AG1581" s="133">
        <v>1</v>
      </c>
      <c r="AH1581" s="133">
        <v>0.947727272727273</v>
      </c>
      <c r="AI1581" s="135">
        <v>0.92</v>
      </c>
      <c r="AJ1581" s="133">
        <v>0.923832335329341</v>
      </c>
      <c r="AK1581" s="133">
        <v>0.929757949691504</v>
      </c>
      <c r="AL1581" s="133">
        <v>0.921289969937141</v>
      </c>
      <c r="AM1581" s="133">
        <v>0.945203000821189</v>
      </c>
      <c r="AN1581" s="132">
        <v>0.99</v>
      </c>
      <c r="AO1581" s="137">
        <v>1</v>
      </c>
      <c r="AP1581" s="137">
        <v>1</v>
      </c>
      <c r="AQ1581" s="137">
        <v>1</v>
      </c>
      <c r="AR1581" s="137">
        <v>1</v>
      </c>
      <c r="AS1581" s="158">
        <v>0.110069253262963</v>
      </c>
      <c r="AT1581" s="141">
        <v>0</v>
      </c>
      <c r="AU1581" s="141">
        <v>0</v>
      </c>
      <c r="AV1581" s="141">
        <v>0.142857142857143</v>
      </c>
      <c r="AW1581" s="141">
        <v>0.0933734939759036</v>
      </c>
      <c r="AX1581" s="95"/>
      <c r="AY1581" s="93"/>
    </row>
    <row r="1582" ht="14.5" spans="1:51">
      <c r="A1582" s="91"/>
      <c r="B1582" s="95"/>
      <c r="C1582" s="152" t="s">
        <v>1455</v>
      </c>
      <c r="D1582" s="153" t="s">
        <v>25</v>
      </c>
      <c r="E1582" s="130" t="s">
        <v>1456</v>
      </c>
      <c r="F1582" s="171" t="s">
        <v>1614</v>
      </c>
      <c r="G1582" s="171" t="s">
        <v>1614</v>
      </c>
      <c r="H1582" s="171" t="s">
        <v>1614</v>
      </c>
      <c r="I1582" s="171" t="s">
        <v>1614</v>
      </c>
      <c r="J1582" s="132">
        <v>0.9</v>
      </c>
      <c r="K1582" s="133">
        <v>1</v>
      </c>
      <c r="L1582" s="133">
        <v>0.951219512195122</v>
      </c>
      <c r="M1582" s="134">
        <v>0.972222222222222</v>
      </c>
      <c r="N1582" s="133">
        <v>0.973722627737226</v>
      </c>
      <c r="O1582" s="135">
        <v>0.9</v>
      </c>
      <c r="P1582" s="133">
        <v>0.998696558915537</v>
      </c>
      <c r="Q1582" s="133">
        <v>0.99911426040744</v>
      </c>
      <c r="R1582" s="133">
        <v>0.998249912495625</v>
      </c>
      <c r="S1582" s="133">
        <v>0.99824542164711</v>
      </c>
      <c r="T1582" s="135">
        <v>0.9</v>
      </c>
      <c r="U1582" s="133">
        <v>0.955683003128259</v>
      </c>
      <c r="V1582" s="133">
        <v>0.935045763212282</v>
      </c>
      <c r="W1582" s="133">
        <v>0.95624781239062</v>
      </c>
      <c r="X1582" s="133">
        <v>0.950730813215735</v>
      </c>
      <c r="Y1582" s="135">
        <v>0.92</v>
      </c>
      <c r="Z1582" s="135" t="s">
        <v>35</v>
      </c>
      <c r="AA1582" s="135" t="s">
        <v>35</v>
      </c>
      <c r="AB1582" s="135" t="s">
        <v>35</v>
      </c>
      <c r="AC1582" s="135" t="s">
        <v>35</v>
      </c>
      <c r="AD1582" s="135">
        <v>0.92</v>
      </c>
      <c r="AE1582" s="133">
        <v>0.933333333333333</v>
      </c>
      <c r="AF1582" s="133">
        <v>1</v>
      </c>
      <c r="AG1582" s="133">
        <v>0.973684210526316</v>
      </c>
      <c r="AH1582" s="133">
        <v>0.989644970414201</v>
      </c>
      <c r="AI1582" s="135">
        <v>0.92</v>
      </c>
      <c r="AJ1582" s="133">
        <v>0.980709071949948</v>
      </c>
      <c r="AK1582" s="133">
        <v>0.983466194272217</v>
      </c>
      <c r="AL1582" s="133">
        <v>0.986349317465873</v>
      </c>
      <c r="AM1582" s="133">
        <v>0.987357636332305</v>
      </c>
      <c r="AN1582" s="132">
        <v>0.99</v>
      </c>
      <c r="AO1582" s="137">
        <v>1</v>
      </c>
      <c r="AP1582" s="137">
        <v>1</v>
      </c>
      <c r="AQ1582" s="137" t="s">
        <v>35</v>
      </c>
      <c r="AR1582" s="137">
        <v>1</v>
      </c>
      <c r="AS1582" s="158">
        <v>0.110069253262963</v>
      </c>
      <c r="AT1582" s="141">
        <v>0.0833333333333333</v>
      </c>
      <c r="AU1582" s="141">
        <v>0</v>
      </c>
      <c r="AV1582" s="141">
        <v>0.0833333333333333</v>
      </c>
      <c r="AW1582" s="141">
        <v>0.0847457627118644</v>
      </c>
      <c r="AX1582" s="95"/>
      <c r="AY1582" s="93"/>
    </row>
    <row r="1583" ht="14.5" spans="1:51">
      <c r="A1583" s="91"/>
      <c r="B1583" s="95"/>
      <c r="C1583" s="152" t="s">
        <v>1455</v>
      </c>
      <c r="D1583" s="153" t="s">
        <v>25</v>
      </c>
      <c r="E1583" s="130" t="s">
        <v>1456</v>
      </c>
      <c r="F1583" s="171" t="s">
        <v>1615</v>
      </c>
      <c r="G1583" s="171" t="s">
        <v>1615</v>
      </c>
      <c r="H1583" s="171" t="s">
        <v>1615</v>
      </c>
      <c r="I1583" s="171" t="s">
        <v>1615</v>
      </c>
      <c r="J1583" s="132">
        <v>0.9</v>
      </c>
      <c r="K1583" s="133">
        <v>0.826086956521739</v>
      </c>
      <c r="L1583" s="133">
        <v>0.863636363636364</v>
      </c>
      <c r="M1583" s="134">
        <v>0.823529411764706</v>
      </c>
      <c r="N1583" s="133">
        <v>0.88641975308642</v>
      </c>
      <c r="O1583" s="135">
        <v>0.9</v>
      </c>
      <c r="P1583" s="133">
        <v>0.983878615457563</v>
      </c>
      <c r="Q1583" s="133">
        <v>0.98328530259366</v>
      </c>
      <c r="R1583" s="133">
        <v>0.989916963226572</v>
      </c>
      <c r="S1583" s="133">
        <v>0.98580547112462</v>
      </c>
      <c r="T1583" s="135">
        <v>0.9</v>
      </c>
      <c r="U1583" s="133">
        <v>0.578947368421053</v>
      </c>
      <c r="V1583" s="133">
        <v>0.58328530259366</v>
      </c>
      <c r="W1583" s="133">
        <v>0.790628706998814</v>
      </c>
      <c r="X1583" s="133">
        <v>0.711276595744681</v>
      </c>
      <c r="Y1583" s="135">
        <v>0.92</v>
      </c>
      <c r="Z1583" s="135" t="s">
        <v>35</v>
      </c>
      <c r="AA1583" s="135" t="s">
        <v>35</v>
      </c>
      <c r="AB1583" s="135" t="s">
        <v>35</v>
      </c>
      <c r="AC1583" s="135" t="s">
        <v>35</v>
      </c>
      <c r="AD1583" s="135">
        <v>0.92</v>
      </c>
      <c r="AE1583" s="133">
        <v>0.923076923076923</v>
      </c>
      <c r="AF1583" s="133">
        <v>1</v>
      </c>
      <c r="AG1583" s="133">
        <v>1</v>
      </c>
      <c r="AH1583" s="133">
        <v>0.986046511627907</v>
      </c>
      <c r="AI1583" s="135">
        <v>0.92</v>
      </c>
      <c r="AJ1583" s="133">
        <v>0.713608345187293</v>
      </c>
      <c r="AK1583" s="133">
        <v>0.735446685878963</v>
      </c>
      <c r="AL1583" s="133">
        <v>0.813167259786477</v>
      </c>
      <c r="AM1583" s="133">
        <v>0.818176291793313</v>
      </c>
      <c r="AN1583" s="132">
        <v>0.99</v>
      </c>
      <c r="AO1583" s="137">
        <v>1</v>
      </c>
      <c r="AP1583" s="137">
        <v>1</v>
      </c>
      <c r="AQ1583" s="137">
        <v>1</v>
      </c>
      <c r="AR1583" s="137">
        <v>1</v>
      </c>
      <c r="AS1583" s="158">
        <v>0.110069253262963</v>
      </c>
      <c r="AT1583" s="141">
        <v>0.0526315789473684</v>
      </c>
      <c r="AU1583" s="141">
        <v>0.0344827586206897</v>
      </c>
      <c r="AV1583" s="141">
        <v>0.0666666666666667</v>
      </c>
      <c r="AW1583" s="141">
        <v>0.122194513715711</v>
      </c>
      <c r="AX1583" s="95"/>
      <c r="AY1583" s="93"/>
    </row>
    <row r="1584" ht="14.5" spans="1:51">
      <c r="A1584" s="91"/>
      <c r="B1584" s="95"/>
      <c r="C1584" s="152" t="s">
        <v>1455</v>
      </c>
      <c r="D1584" s="153" t="s">
        <v>25</v>
      </c>
      <c r="E1584" s="130" t="s">
        <v>1456</v>
      </c>
      <c r="F1584" s="171" t="s">
        <v>1616</v>
      </c>
      <c r="G1584" s="171" t="s">
        <v>1616</v>
      </c>
      <c r="H1584" s="171" t="s">
        <v>1616</v>
      </c>
      <c r="I1584" s="171" t="s">
        <v>1616</v>
      </c>
      <c r="J1584" s="132">
        <v>0.9</v>
      </c>
      <c r="K1584" s="133">
        <v>1</v>
      </c>
      <c r="L1584" s="133">
        <v>1</v>
      </c>
      <c r="M1584" s="134">
        <v>1</v>
      </c>
      <c r="N1584" s="133">
        <v>0.993288590604027</v>
      </c>
      <c r="O1584" s="135">
        <v>0.9</v>
      </c>
      <c r="P1584" s="133">
        <v>0.964259121370067</v>
      </c>
      <c r="Q1584" s="133">
        <v>0.94961511546536</v>
      </c>
      <c r="R1584" s="133">
        <v>0.970414201183432</v>
      </c>
      <c r="S1584" s="133">
        <v>0.968043777935586</v>
      </c>
      <c r="T1584" s="135">
        <v>0.9</v>
      </c>
      <c r="U1584" s="133">
        <v>0.880863737900223</v>
      </c>
      <c r="V1584" s="133">
        <v>0.732680195941218</v>
      </c>
      <c r="W1584" s="133">
        <v>0.734573119188504</v>
      </c>
      <c r="X1584" s="133">
        <v>0.788671205981871</v>
      </c>
      <c r="Y1584" s="135">
        <v>0.92</v>
      </c>
      <c r="Z1584" s="135">
        <v>0.87369985141159</v>
      </c>
      <c r="AA1584" s="135">
        <v>0.813588850174216</v>
      </c>
      <c r="AB1584" s="135">
        <v>0.828025477707006</v>
      </c>
      <c r="AC1584" s="135">
        <v>0.85277566539924</v>
      </c>
      <c r="AD1584" s="135">
        <v>0.92</v>
      </c>
      <c r="AE1584" s="133">
        <v>0.895833333333333</v>
      </c>
      <c r="AF1584" s="133">
        <v>0.967741935483871</v>
      </c>
      <c r="AG1584" s="133">
        <v>1</v>
      </c>
      <c r="AH1584" s="133">
        <v>0.926724137931034</v>
      </c>
      <c r="AI1584" s="135">
        <v>0.92</v>
      </c>
      <c r="AJ1584" s="133">
        <v>0.932539682539683</v>
      </c>
      <c r="AK1584" s="133">
        <v>0.859138533178114</v>
      </c>
      <c r="AL1584" s="133">
        <v>0.852705882352941</v>
      </c>
      <c r="AM1584" s="133">
        <v>0.900563367379655</v>
      </c>
      <c r="AN1584" s="132">
        <v>0.99</v>
      </c>
      <c r="AO1584" s="137">
        <v>1</v>
      </c>
      <c r="AP1584" s="137">
        <v>1</v>
      </c>
      <c r="AQ1584" s="137">
        <v>1</v>
      </c>
      <c r="AR1584" s="137">
        <v>1</v>
      </c>
      <c r="AS1584" s="158">
        <v>0.110069253262963</v>
      </c>
      <c r="AT1584" s="141">
        <v>0</v>
      </c>
      <c r="AU1584" s="141">
        <v>0.1</v>
      </c>
      <c r="AV1584" s="141">
        <v>0.142857142857143</v>
      </c>
      <c r="AW1584" s="141">
        <v>0.0542168674698795</v>
      </c>
      <c r="AX1584" s="95"/>
      <c r="AY1584" s="93"/>
    </row>
    <row r="1585" ht="14.5" spans="1:51">
      <c r="A1585" s="91"/>
      <c r="B1585" s="95"/>
      <c r="C1585" s="152" t="s">
        <v>1455</v>
      </c>
      <c r="D1585" s="153" t="s">
        <v>25</v>
      </c>
      <c r="E1585" s="130" t="s">
        <v>1456</v>
      </c>
      <c r="F1585" s="171" t="s">
        <v>1617</v>
      </c>
      <c r="G1585" s="171" t="s">
        <v>1617</v>
      </c>
      <c r="H1585" s="171" t="s">
        <v>1617</v>
      </c>
      <c r="I1585" s="171" t="s">
        <v>1617</v>
      </c>
      <c r="J1585" s="132">
        <v>0.9</v>
      </c>
      <c r="K1585" s="133">
        <v>0.72</v>
      </c>
      <c r="L1585" s="133">
        <v>0.714285714285714</v>
      </c>
      <c r="M1585" s="134">
        <v>0.777777777777778</v>
      </c>
      <c r="N1585" s="133">
        <v>0.673202614379085</v>
      </c>
      <c r="O1585" s="135">
        <v>0.9</v>
      </c>
      <c r="P1585" s="133" t="s">
        <v>35</v>
      </c>
      <c r="Q1585" s="133">
        <v>0</v>
      </c>
      <c r="R1585" s="133" t="s">
        <v>35</v>
      </c>
      <c r="S1585" s="133">
        <v>0.166666666666667</v>
      </c>
      <c r="T1585" s="135">
        <v>0.9</v>
      </c>
      <c r="U1585" s="133" t="s">
        <v>35</v>
      </c>
      <c r="V1585" s="133">
        <v>1</v>
      </c>
      <c r="W1585" s="133" t="s">
        <v>35</v>
      </c>
      <c r="X1585" s="133">
        <v>0.5</v>
      </c>
      <c r="Y1585" s="135">
        <v>0.92</v>
      </c>
      <c r="Z1585" s="135" t="s">
        <v>35</v>
      </c>
      <c r="AA1585" s="135" t="s">
        <v>35</v>
      </c>
      <c r="AB1585" s="135" t="s">
        <v>35</v>
      </c>
      <c r="AC1585" s="135" t="s">
        <v>35</v>
      </c>
      <c r="AD1585" s="135">
        <v>0.92</v>
      </c>
      <c r="AE1585" s="133">
        <v>0</v>
      </c>
      <c r="AF1585" s="133">
        <v>0</v>
      </c>
      <c r="AG1585" s="133">
        <v>0</v>
      </c>
      <c r="AH1585" s="133">
        <v>0.0572687224669604</v>
      </c>
      <c r="AI1585" s="135">
        <v>0.92</v>
      </c>
      <c r="AJ1585" s="133">
        <v>0.79320987654321</v>
      </c>
      <c r="AK1585" s="133">
        <v>0.863432531593967</v>
      </c>
      <c r="AL1585" s="133">
        <v>0.907397827211588</v>
      </c>
      <c r="AM1585" s="133">
        <v>0.913801612107255</v>
      </c>
      <c r="AN1585" s="132">
        <v>0.99</v>
      </c>
      <c r="AO1585" s="137" t="s">
        <v>35</v>
      </c>
      <c r="AP1585" s="137" t="s">
        <v>35</v>
      </c>
      <c r="AQ1585" s="137" t="s">
        <v>35</v>
      </c>
      <c r="AR1585" s="137">
        <v>1</v>
      </c>
      <c r="AS1585" s="158">
        <v>0.110069253262963</v>
      </c>
      <c r="AT1585" s="141">
        <v>0.181818181818182</v>
      </c>
      <c r="AU1585" s="141">
        <v>0.333333333333333</v>
      </c>
      <c r="AV1585" s="141">
        <v>0.333333333333333</v>
      </c>
      <c r="AW1585" s="141">
        <v>0.175977653631285</v>
      </c>
      <c r="AX1585" s="95"/>
      <c r="AY1585" s="93"/>
    </row>
    <row r="1586" ht="14.5" spans="1:51">
      <c r="A1586" s="91"/>
      <c r="B1586" s="95"/>
      <c r="C1586" s="152" t="s">
        <v>1455</v>
      </c>
      <c r="D1586" s="153" t="s">
        <v>25</v>
      </c>
      <c r="E1586" s="130" t="s">
        <v>1456</v>
      </c>
      <c r="F1586" s="171" t="s">
        <v>1618</v>
      </c>
      <c r="G1586" s="171" t="s">
        <v>1618</v>
      </c>
      <c r="H1586" s="171" t="s">
        <v>1618</v>
      </c>
      <c r="I1586" s="171" t="s">
        <v>1618</v>
      </c>
      <c r="J1586" s="132">
        <v>0.9</v>
      </c>
      <c r="K1586" s="133">
        <v>1</v>
      </c>
      <c r="L1586" s="133">
        <v>1</v>
      </c>
      <c r="M1586" s="134">
        <v>1</v>
      </c>
      <c r="N1586" s="133">
        <v>0.983660130718954</v>
      </c>
      <c r="O1586" s="135">
        <v>0.9</v>
      </c>
      <c r="P1586" s="133">
        <v>0.998794454490657</v>
      </c>
      <c r="Q1586" s="133">
        <v>0.999375</v>
      </c>
      <c r="R1586" s="133">
        <v>0.997118155619596</v>
      </c>
      <c r="S1586" s="133">
        <v>0.996034641372966</v>
      </c>
      <c r="T1586" s="135">
        <v>0.9</v>
      </c>
      <c r="U1586" s="133">
        <v>0.93911995177818</v>
      </c>
      <c r="V1586" s="133">
        <v>0.959375</v>
      </c>
      <c r="W1586" s="133">
        <v>0.961959654178674</v>
      </c>
      <c r="X1586" s="133">
        <v>0.930971037020588</v>
      </c>
      <c r="Y1586" s="135">
        <v>0.92</v>
      </c>
      <c r="Z1586" s="135" t="s">
        <v>35</v>
      </c>
      <c r="AA1586" s="135" t="s">
        <v>35</v>
      </c>
      <c r="AB1586" s="135" t="s">
        <v>35</v>
      </c>
      <c r="AC1586" s="135" t="s">
        <v>35</v>
      </c>
      <c r="AD1586" s="135">
        <v>0.92</v>
      </c>
      <c r="AE1586" s="133">
        <v>0.342857142857143</v>
      </c>
      <c r="AF1586" s="133">
        <v>0.205882352941176</v>
      </c>
      <c r="AG1586" s="133">
        <v>0.321428571428571</v>
      </c>
      <c r="AH1586" s="133">
        <v>0.325413223140496</v>
      </c>
      <c r="AI1586" s="135">
        <v>0.92</v>
      </c>
      <c r="AJ1586" s="133">
        <v>0.977697408077155</v>
      </c>
      <c r="AK1586" s="133">
        <v>0.985</v>
      </c>
      <c r="AL1586" s="133">
        <v>0.985590778097983</v>
      </c>
      <c r="AM1586" s="133">
        <v>0.983917015607156</v>
      </c>
      <c r="AN1586" s="132">
        <v>0.99</v>
      </c>
      <c r="AO1586" s="137" t="s">
        <v>35</v>
      </c>
      <c r="AP1586" s="137" t="s">
        <v>35</v>
      </c>
      <c r="AQ1586" s="137">
        <v>1</v>
      </c>
      <c r="AR1586" s="137">
        <v>1</v>
      </c>
      <c r="AS1586" s="158">
        <v>0.110069253262963</v>
      </c>
      <c r="AT1586" s="141">
        <v>0</v>
      </c>
      <c r="AU1586" s="141">
        <v>0.0714285714285714</v>
      </c>
      <c r="AV1586" s="141">
        <v>0.0416666666666667</v>
      </c>
      <c r="AW1586" s="141">
        <v>0.037037037037037</v>
      </c>
      <c r="AX1586" s="95"/>
      <c r="AY1586" s="93"/>
    </row>
    <row r="1587" ht="14.5" spans="1:51">
      <c r="A1587" s="91"/>
      <c r="B1587" s="95"/>
      <c r="C1587" s="152" t="s">
        <v>1455</v>
      </c>
      <c r="D1587" s="153" t="s">
        <v>25</v>
      </c>
      <c r="E1587" s="130" t="s">
        <v>1456</v>
      </c>
      <c r="F1587" s="171" t="s">
        <v>1619</v>
      </c>
      <c r="G1587" s="171" t="s">
        <v>1619</v>
      </c>
      <c r="H1587" s="171" t="s">
        <v>1619</v>
      </c>
      <c r="I1587" s="171" t="s">
        <v>1619</v>
      </c>
      <c r="J1587" s="132">
        <v>0.9</v>
      </c>
      <c r="K1587" s="133">
        <v>0.297297297297297</v>
      </c>
      <c r="L1587" s="133">
        <v>0.447368421052632</v>
      </c>
      <c r="M1587" s="134">
        <v>0.342857142857143</v>
      </c>
      <c r="N1587" s="133">
        <v>0.419402985074627</v>
      </c>
      <c r="O1587" s="135">
        <v>0.9</v>
      </c>
      <c r="P1587" s="133">
        <v>0.984301412872841</v>
      </c>
      <c r="Q1587" s="133">
        <v>0.985407066052227</v>
      </c>
      <c r="R1587" s="133">
        <v>0.974984558369364</v>
      </c>
      <c r="S1587" s="133">
        <v>0.978050390582022</v>
      </c>
      <c r="T1587" s="135">
        <v>0.9</v>
      </c>
      <c r="U1587" s="133">
        <v>0.891904014352994</v>
      </c>
      <c r="V1587" s="133">
        <v>0.866615463389657</v>
      </c>
      <c r="W1587" s="133">
        <v>0.899629400864731</v>
      </c>
      <c r="X1587" s="133">
        <v>0.899590163934426</v>
      </c>
      <c r="Y1587" s="135">
        <v>0.92</v>
      </c>
      <c r="Z1587" s="135" t="s">
        <v>35</v>
      </c>
      <c r="AA1587" s="135" t="s">
        <v>35</v>
      </c>
      <c r="AB1587" s="135" t="s">
        <v>35</v>
      </c>
      <c r="AC1587" s="135">
        <v>0</v>
      </c>
      <c r="AD1587" s="135">
        <v>0.92</v>
      </c>
      <c r="AE1587" s="133">
        <v>0.466666666666667</v>
      </c>
      <c r="AF1587" s="133">
        <v>0.970588235294118</v>
      </c>
      <c r="AG1587" s="133">
        <v>0.884297520661157</v>
      </c>
      <c r="AH1587" s="133">
        <v>0.95122967903293</v>
      </c>
      <c r="AI1587" s="135">
        <v>0.92</v>
      </c>
      <c r="AJ1587" s="133">
        <v>0.937654182552142</v>
      </c>
      <c r="AK1587" s="133">
        <v>0.935227854582693</v>
      </c>
      <c r="AL1587" s="133">
        <v>0.953366275478691</v>
      </c>
      <c r="AM1587" s="133">
        <v>0.965659982946888</v>
      </c>
      <c r="AN1587" s="132">
        <v>0.99</v>
      </c>
      <c r="AO1587" s="137">
        <v>1</v>
      </c>
      <c r="AP1587" s="137">
        <v>1</v>
      </c>
      <c r="AQ1587" s="137">
        <v>1</v>
      </c>
      <c r="AR1587" s="137">
        <v>1</v>
      </c>
      <c r="AS1587" s="158">
        <v>0.110069253262963</v>
      </c>
      <c r="AT1587" s="141">
        <v>0.157894736842105</v>
      </c>
      <c r="AU1587" s="141">
        <v>0.208333333333333</v>
      </c>
      <c r="AV1587" s="141">
        <v>0.176470588235294</v>
      </c>
      <c r="AW1587" s="141">
        <v>0.138248847926267</v>
      </c>
      <c r="AX1587" s="95"/>
      <c r="AY1587" s="93"/>
    </row>
    <row r="1588" ht="14.5" spans="1:51">
      <c r="A1588" s="91"/>
      <c r="B1588" s="95"/>
      <c r="C1588" s="152" t="s">
        <v>1455</v>
      </c>
      <c r="D1588" s="153" t="s">
        <v>25</v>
      </c>
      <c r="E1588" s="130" t="s">
        <v>1456</v>
      </c>
      <c r="F1588" s="171" t="s">
        <v>1620</v>
      </c>
      <c r="G1588" s="171" t="s">
        <v>1620</v>
      </c>
      <c r="H1588" s="171" t="s">
        <v>1620</v>
      </c>
      <c r="I1588" s="171" t="s">
        <v>1620</v>
      </c>
      <c r="J1588" s="132">
        <v>0.9</v>
      </c>
      <c r="K1588" s="133">
        <v>0.684210526315789</v>
      </c>
      <c r="L1588" s="133">
        <v>0.736842105263158</v>
      </c>
      <c r="M1588" s="134">
        <v>0.631578947368421</v>
      </c>
      <c r="N1588" s="133">
        <v>0.730113636363636</v>
      </c>
      <c r="O1588" s="135">
        <v>0.9</v>
      </c>
      <c r="P1588" s="133">
        <v>0.930922827846735</v>
      </c>
      <c r="Q1588" s="133">
        <v>0.999336870026525</v>
      </c>
      <c r="R1588" s="133">
        <v>0.999401913875598</v>
      </c>
      <c r="S1588" s="133">
        <v>0.977909562638992</v>
      </c>
      <c r="T1588" s="135">
        <v>0.9</v>
      </c>
      <c r="U1588" s="133">
        <v>0.927684835402051</v>
      </c>
      <c r="V1588" s="133">
        <v>0.942307692307692</v>
      </c>
      <c r="W1588" s="133">
        <v>0.967703349282297</v>
      </c>
      <c r="X1588" s="133">
        <v>0.950333580429948</v>
      </c>
      <c r="Y1588" s="135">
        <v>0.92</v>
      </c>
      <c r="Z1588" s="135" t="s">
        <v>35</v>
      </c>
      <c r="AA1588" s="135" t="s">
        <v>35</v>
      </c>
      <c r="AB1588" s="135" t="s">
        <v>35</v>
      </c>
      <c r="AC1588" s="135" t="s">
        <v>35</v>
      </c>
      <c r="AD1588" s="135">
        <v>0.92</v>
      </c>
      <c r="AE1588" s="133">
        <v>0</v>
      </c>
      <c r="AF1588" s="133">
        <v>0</v>
      </c>
      <c r="AG1588" s="133">
        <v>0</v>
      </c>
      <c r="AH1588" s="133">
        <v>0.148148148148148</v>
      </c>
      <c r="AI1588" s="135">
        <v>0.92</v>
      </c>
      <c r="AJ1588" s="133">
        <v>0.961004273504274</v>
      </c>
      <c r="AK1588" s="133">
        <v>0.964426877470356</v>
      </c>
      <c r="AL1588" s="133">
        <v>0.975536992840095</v>
      </c>
      <c r="AM1588" s="133">
        <v>0.973503434739941</v>
      </c>
      <c r="AN1588" s="132">
        <v>0.99</v>
      </c>
      <c r="AO1588" s="137">
        <v>1</v>
      </c>
      <c r="AP1588" s="137" t="s">
        <v>35</v>
      </c>
      <c r="AQ1588" s="137" t="s">
        <v>35</v>
      </c>
      <c r="AR1588" s="137">
        <v>1</v>
      </c>
      <c r="AS1588" s="158">
        <v>0.110069253262963</v>
      </c>
      <c r="AT1588" s="141">
        <v>0.05</v>
      </c>
      <c r="AU1588" s="141">
        <v>0.148148148148148</v>
      </c>
      <c r="AV1588" s="141">
        <v>0.05</v>
      </c>
      <c r="AW1588" s="141">
        <v>0.0784313725490196</v>
      </c>
      <c r="AX1588" s="95"/>
      <c r="AY1588" s="93"/>
    </row>
    <row r="1589" ht="14.5" spans="1:51">
      <c r="A1589" s="91"/>
      <c r="B1589" s="95"/>
      <c r="C1589" s="152" t="s">
        <v>1455</v>
      </c>
      <c r="D1589" s="153" t="s">
        <v>25</v>
      </c>
      <c r="E1589" s="130" t="s">
        <v>1456</v>
      </c>
      <c r="F1589" s="171" t="s">
        <v>1621</v>
      </c>
      <c r="G1589" s="171" t="s">
        <v>1621</v>
      </c>
      <c r="H1589" s="171" t="s">
        <v>1621</v>
      </c>
      <c r="I1589" s="171" t="s">
        <v>1621</v>
      </c>
      <c r="J1589" s="132">
        <v>0.9</v>
      </c>
      <c r="K1589" s="133">
        <v>0.458333333333333</v>
      </c>
      <c r="L1589" s="133">
        <v>0.391304347826087</v>
      </c>
      <c r="M1589" s="134">
        <v>0.5</v>
      </c>
      <c r="N1589" s="133">
        <v>0.598958333333333</v>
      </c>
      <c r="O1589" s="135">
        <v>0.9</v>
      </c>
      <c r="P1589" s="133" t="s">
        <v>35</v>
      </c>
      <c r="Q1589" s="133">
        <v>0</v>
      </c>
      <c r="R1589" s="133">
        <v>0</v>
      </c>
      <c r="S1589" s="133">
        <v>0</v>
      </c>
      <c r="T1589" s="135">
        <v>0.9</v>
      </c>
      <c r="U1589" s="133" t="s">
        <v>35</v>
      </c>
      <c r="V1589" s="133">
        <v>0</v>
      </c>
      <c r="W1589" s="133">
        <v>0</v>
      </c>
      <c r="X1589" s="133">
        <v>0</v>
      </c>
      <c r="Y1589" s="135">
        <v>0.92</v>
      </c>
      <c r="Z1589" s="135" t="s">
        <v>35</v>
      </c>
      <c r="AA1589" s="135" t="s">
        <v>35</v>
      </c>
      <c r="AB1589" s="135" t="s">
        <v>35</v>
      </c>
      <c r="AC1589" s="135" t="s">
        <v>35</v>
      </c>
      <c r="AD1589" s="135">
        <v>0.92</v>
      </c>
      <c r="AE1589" s="133">
        <v>0.0526315789473684</v>
      </c>
      <c r="AF1589" s="133">
        <v>0</v>
      </c>
      <c r="AG1589" s="133">
        <v>0</v>
      </c>
      <c r="AH1589" s="133">
        <v>0.387267904509284</v>
      </c>
      <c r="AI1589" s="135">
        <v>0.92</v>
      </c>
      <c r="AJ1589" s="133">
        <v>0.739626950894557</v>
      </c>
      <c r="AK1589" s="133">
        <v>0.677405311275577</v>
      </c>
      <c r="AL1589" s="133">
        <v>0.690810465858328</v>
      </c>
      <c r="AM1589" s="133">
        <v>0.724414374753817</v>
      </c>
      <c r="AN1589" s="132">
        <v>0.99</v>
      </c>
      <c r="AO1589" s="137">
        <v>1</v>
      </c>
      <c r="AP1589" s="137" t="s">
        <v>35</v>
      </c>
      <c r="AQ1589" s="137" t="s">
        <v>35</v>
      </c>
      <c r="AR1589" s="137">
        <v>1</v>
      </c>
      <c r="AS1589" s="158">
        <v>0.110069253262963</v>
      </c>
      <c r="AT1589" s="141">
        <v>0.0344827586206897</v>
      </c>
      <c r="AU1589" s="141">
        <v>0.291666666666667</v>
      </c>
      <c r="AV1589" s="141">
        <v>0.0588235294117647</v>
      </c>
      <c r="AW1589" s="141">
        <v>0.0978260869565217</v>
      </c>
      <c r="AX1589" s="95"/>
      <c r="AY1589" s="93"/>
    </row>
    <row r="1590" ht="14.5" spans="1:51">
      <c r="A1590" s="91"/>
      <c r="B1590" s="95"/>
      <c r="C1590" s="152" t="s">
        <v>1455</v>
      </c>
      <c r="D1590" s="153" t="s">
        <v>25</v>
      </c>
      <c r="E1590" s="130" t="s">
        <v>1456</v>
      </c>
      <c r="F1590" s="171" t="s">
        <v>1622</v>
      </c>
      <c r="G1590" s="171" t="s">
        <v>1622</v>
      </c>
      <c r="H1590" s="171" t="s">
        <v>1622</v>
      </c>
      <c r="I1590" s="171" t="s">
        <v>1622</v>
      </c>
      <c r="J1590" s="132">
        <v>0.9</v>
      </c>
      <c r="K1590" s="133">
        <v>1</v>
      </c>
      <c r="L1590" s="133">
        <v>0.967741935483871</v>
      </c>
      <c r="M1590" s="134">
        <v>0.96875</v>
      </c>
      <c r="N1590" s="133">
        <v>0.986463620981388</v>
      </c>
      <c r="O1590" s="135">
        <v>0.9</v>
      </c>
      <c r="P1590" s="133">
        <v>0.996647670130741</v>
      </c>
      <c r="Q1590" s="133">
        <v>0.99366852886406</v>
      </c>
      <c r="R1590" s="133">
        <v>0.997866504114599</v>
      </c>
      <c r="S1590" s="133">
        <v>0.995884773662551</v>
      </c>
      <c r="T1590" s="135">
        <v>0.9</v>
      </c>
      <c r="U1590" s="133">
        <v>0.895407308079115</v>
      </c>
      <c r="V1590" s="133">
        <v>0.889385474860335</v>
      </c>
      <c r="W1590" s="133">
        <v>0.943614751600122</v>
      </c>
      <c r="X1590" s="133">
        <v>0.927065265449104</v>
      </c>
      <c r="Y1590" s="135">
        <v>0.92</v>
      </c>
      <c r="Z1590" s="135" t="s">
        <v>35</v>
      </c>
      <c r="AA1590" s="135" t="s">
        <v>35</v>
      </c>
      <c r="AB1590" s="135" t="s">
        <v>35</v>
      </c>
      <c r="AC1590" s="135" t="s">
        <v>35</v>
      </c>
      <c r="AD1590" s="135">
        <v>0.92</v>
      </c>
      <c r="AE1590" s="133">
        <v>1</v>
      </c>
      <c r="AF1590" s="133">
        <v>0.997835497835498</v>
      </c>
      <c r="AG1590" s="133">
        <v>1</v>
      </c>
      <c r="AH1590" s="133">
        <v>0.995469330855019</v>
      </c>
      <c r="AI1590" s="135">
        <v>0.92</v>
      </c>
      <c r="AJ1590" s="133">
        <v>0.96714716728126</v>
      </c>
      <c r="AK1590" s="133">
        <v>0.936685288640596</v>
      </c>
      <c r="AL1590" s="133">
        <v>0.969826272477903</v>
      </c>
      <c r="AM1590" s="133">
        <v>0.977162194333911</v>
      </c>
      <c r="AN1590" s="132">
        <v>0.99</v>
      </c>
      <c r="AO1590" s="137">
        <v>1</v>
      </c>
      <c r="AP1590" s="137">
        <v>1</v>
      </c>
      <c r="AQ1590" s="137">
        <v>1</v>
      </c>
      <c r="AR1590" s="137">
        <v>1</v>
      </c>
      <c r="AS1590" s="158">
        <v>0.110069253262963</v>
      </c>
      <c r="AT1590" s="141">
        <v>0.08</v>
      </c>
      <c r="AU1590" s="141">
        <v>0.166666666666667</v>
      </c>
      <c r="AV1590" s="141">
        <v>0.0333333333333333</v>
      </c>
      <c r="AW1590" s="141">
        <v>0.0910815939278937</v>
      </c>
      <c r="AX1590" s="95"/>
      <c r="AY1590" s="93"/>
    </row>
    <row r="1591" ht="14.5" spans="1:51">
      <c r="A1591" s="91"/>
      <c r="B1591" s="95"/>
      <c r="C1591" s="152" t="s">
        <v>1455</v>
      </c>
      <c r="D1591" s="153" t="s">
        <v>25</v>
      </c>
      <c r="E1591" s="130" t="s">
        <v>1456</v>
      </c>
      <c r="F1591" s="171" t="s">
        <v>1623</v>
      </c>
      <c r="G1591" s="171" t="s">
        <v>1623</v>
      </c>
      <c r="H1591" s="171" t="s">
        <v>1623</v>
      </c>
      <c r="I1591" s="171" t="s">
        <v>1623</v>
      </c>
      <c r="J1591" s="132">
        <v>0.9</v>
      </c>
      <c r="K1591" s="133">
        <v>0.84</v>
      </c>
      <c r="L1591" s="133">
        <v>1</v>
      </c>
      <c r="M1591" s="134">
        <v>0.958333333333333</v>
      </c>
      <c r="N1591" s="133">
        <v>0.964705882352941</v>
      </c>
      <c r="O1591" s="135">
        <v>0.9</v>
      </c>
      <c r="P1591" s="133">
        <v>0.992110453648915</v>
      </c>
      <c r="Q1591" s="133">
        <v>0.992505854800937</v>
      </c>
      <c r="R1591" s="133">
        <v>0.95141065830721</v>
      </c>
      <c r="S1591" s="133">
        <v>0.982734153263955</v>
      </c>
      <c r="T1591" s="135">
        <v>0.9</v>
      </c>
      <c r="U1591" s="133">
        <v>0.885207100591716</v>
      </c>
      <c r="V1591" s="133">
        <v>0.903512880562061</v>
      </c>
      <c r="W1591" s="133">
        <v>0.887539184952978</v>
      </c>
      <c r="X1591" s="133">
        <v>0.905177603853101</v>
      </c>
      <c r="Y1591" s="135">
        <v>0.92</v>
      </c>
      <c r="Z1591" s="135" t="s">
        <v>35</v>
      </c>
      <c r="AA1591" s="135">
        <v>1</v>
      </c>
      <c r="AB1591" s="135" t="s">
        <v>35</v>
      </c>
      <c r="AC1591" s="135">
        <v>1</v>
      </c>
      <c r="AD1591" s="135">
        <v>0.92</v>
      </c>
      <c r="AE1591" s="133">
        <v>0.997395833333333</v>
      </c>
      <c r="AF1591" s="133">
        <v>1</v>
      </c>
      <c r="AG1591" s="133">
        <v>0.983974358974359</v>
      </c>
      <c r="AH1591" s="133">
        <v>0.889198708541239</v>
      </c>
      <c r="AI1591" s="135">
        <v>0.92</v>
      </c>
      <c r="AJ1591" s="133">
        <v>0.95069033530572</v>
      </c>
      <c r="AK1591" s="133">
        <v>0.949906367041198</v>
      </c>
      <c r="AL1591" s="133">
        <v>0.960815047021944</v>
      </c>
      <c r="AM1591" s="133">
        <v>0.967597669268314</v>
      </c>
      <c r="AN1591" s="132">
        <v>0.99</v>
      </c>
      <c r="AO1591" s="137">
        <v>1</v>
      </c>
      <c r="AP1591" s="137">
        <v>1</v>
      </c>
      <c r="AQ1591" s="137">
        <v>1</v>
      </c>
      <c r="AR1591" s="137">
        <v>1</v>
      </c>
      <c r="AS1591" s="158">
        <v>0.110069253262963</v>
      </c>
      <c r="AT1591" s="141">
        <v>0.0357142857142857</v>
      </c>
      <c r="AU1591" s="141">
        <v>0.0454545454545455</v>
      </c>
      <c r="AV1591" s="141">
        <v>0.0416666666666667</v>
      </c>
      <c r="AW1591" s="141">
        <v>0.0551724137931034</v>
      </c>
      <c r="AX1591" s="95"/>
      <c r="AY1591" s="93"/>
    </row>
    <row r="1592" ht="14.5" spans="1:51">
      <c r="A1592" s="91"/>
      <c r="B1592" s="95"/>
      <c r="C1592" s="152" t="s">
        <v>1455</v>
      </c>
      <c r="D1592" s="153" t="s">
        <v>25</v>
      </c>
      <c r="E1592" s="130" t="s">
        <v>1456</v>
      </c>
      <c r="F1592" s="171" t="s">
        <v>1624</v>
      </c>
      <c r="G1592" s="171" t="s">
        <v>1624</v>
      </c>
      <c r="H1592" s="171" t="s">
        <v>1624</v>
      </c>
      <c r="I1592" s="171" t="s">
        <v>1624</v>
      </c>
      <c r="J1592" s="132">
        <v>0.9</v>
      </c>
      <c r="K1592" s="133">
        <v>1</v>
      </c>
      <c r="L1592" s="133">
        <v>0.978723404255319</v>
      </c>
      <c r="M1592" s="134">
        <v>0.958333333333333</v>
      </c>
      <c r="N1592" s="133">
        <v>0.983796296296296</v>
      </c>
      <c r="O1592" s="135">
        <v>0.9</v>
      </c>
      <c r="P1592" s="133">
        <v>0.980260707635009</v>
      </c>
      <c r="Q1592" s="133">
        <v>0.957246376811594</v>
      </c>
      <c r="R1592" s="133">
        <v>0.980067854113656</v>
      </c>
      <c r="S1592" s="133">
        <v>0.971428571428571</v>
      </c>
      <c r="T1592" s="135">
        <v>0.9</v>
      </c>
      <c r="U1592" s="133">
        <v>0.77951582867784</v>
      </c>
      <c r="V1592" s="133">
        <v>0.783333333333333</v>
      </c>
      <c r="W1592" s="133">
        <v>0.750212044105174</v>
      </c>
      <c r="X1592" s="133">
        <v>0.777896341463415</v>
      </c>
      <c r="Y1592" s="135">
        <v>0.92</v>
      </c>
      <c r="Z1592" s="135">
        <v>0.872015915119363</v>
      </c>
      <c r="AA1592" s="135">
        <v>0.884088964927288</v>
      </c>
      <c r="AB1592" s="135">
        <v>0.884336099585062</v>
      </c>
      <c r="AC1592" s="135">
        <v>0.905403500859712</v>
      </c>
      <c r="AD1592" s="135">
        <v>0.92</v>
      </c>
      <c r="AE1592" s="133">
        <v>1</v>
      </c>
      <c r="AF1592" s="133">
        <v>0.847826086956522</v>
      </c>
      <c r="AG1592" s="133">
        <v>1</v>
      </c>
      <c r="AH1592" s="133">
        <v>0.930084745762712</v>
      </c>
      <c r="AI1592" s="135">
        <v>0.92</v>
      </c>
      <c r="AJ1592" s="133">
        <v>0.912017167381974</v>
      </c>
      <c r="AK1592" s="133">
        <v>0.911730090231463</v>
      </c>
      <c r="AL1592" s="133">
        <v>0.919972001866542</v>
      </c>
      <c r="AM1592" s="133">
        <v>0.932004962962053</v>
      </c>
      <c r="AN1592" s="132">
        <v>0.99</v>
      </c>
      <c r="AO1592" s="137">
        <v>1</v>
      </c>
      <c r="AP1592" s="137">
        <v>1</v>
      </c>
      <c r="AQ1592" s="137">
        <v>1</v>
      </c>
      <c r="AR1592" s="137">
        <v>1</v>
      </c>
      <c r="AS1592" s="158">
        <v>0.110069253262963</v>
      </c>
      <c r="AT1592" s="141">
        <v>0.0714285714285714</v>
      </c>
      <c r="AU1592" s="141">
        <v>0</v>
      </c>
      <c r="AV1592" s="141">
        <v>0.0909090909090909</v>
      </c>
      <c r="AW1592" s="141">
        <v>0.088145896656535</v>
      </c>
      <c r="AX1592" s="95"/>
      <c r="AY1592" s="93"/>
    </row>
    <row r="1593" ht="14.5" spans="1:51">
      <c r="A1593" s="91"/>
      <c r="B1593" s="95"/>
      <c r="C1593" s="152" t="s">
        <v>1455</v>
      </c>
      <c r="D1593" s="153" t="s">
        <v>25</v>
      </c>
      <c r="E1593" s="130" t="s">
        <v>1456</v>
      </c>
      <c r="F1593" s="171" t="s">
        <v>1625</v>
      </c>
      <c r="G1593" s="171" t="s">
        <v>1625</v>
      </c>
      <c r="H1593" s="171" t="s">
        <v>1625</v>
      </c>
      <c r="I1593" s="171" t="s">
        <v>1625</v>
      </c>
      <c r="J1593" s="132">
        <v>0.9</v>
      </c>
      <c r="K1593" s="133">
        <v>0.88</v>
      </c>
      <c r="L1593" s="133">
        <v>0.96</v>
      </c>
      <c r="M1593" s="134">
        <v>0.91304347826087</v>
      </c>
      <c r="N1593" s="133">
        <v>0.96551724137931</v>
      </c>
      <c r="O1593" s="135">
        <v>0.9</v>
      </c>
      <c r="P1593" s="133">
        <v>0.957317073170732</v>
      </c>
      <c r="Q1593" s="133">
        <v>0.981760507533703</v>
      </c>
      <c r="R1593" s="133">
        <v>0.954545454545455</v>
      </c>
      <c r="S1593" s="133">
        <v>0.960147281784709</v>
      </c>
      <c r="T1593" s="135">
        <v>0.9</v>
      </c>
      <c r="U1593" s="133">
        <v>0.740853658536585</v>
      </c>
      <c r="V1593" s="133">
        <v>0.698651863600317</v>
      </c>
      <c r="W1593" s="133">
        <v>0.717068645640074</v>
      </c>
      <c r="X1593" s="133">
        <v>0.730431015811133</v>
      </c>
      <c r="Y1593" s="135">
        <v>0.92</v>
      </c>
      <c r="Z1593" s="135">
        <v>0.88625</v>
      </c>
      <c r="AA1593" s="135">
        <v>0.859024012393493</v>
      </c>
      <c r="AB1593" s="135">
        <v>0.854625550660793</v>
      </c>
      <c r="AC1593" s="135">
        <v>0.88878453038674</v>
      </c>
      <c r="AD1593" s="135">
        <v>0.92</v>
      </c>
      <c r="AE1593" s="133">
        <v>1</v>
      </c>
      <c r="AF1593" s="133">
        <v>0.836363636363636</v>
      </c>
      <c r="AG1593" s="133">
        <v>0.986842105263158</v>
      </c>
      <c r="AH1593" s="133">
        <v>0.895941727367326</v>
      </c>
      <c r="AI1593" s="135">
        <v>0.92</v>
      </c>
      <c r="AJ1593" s="133">
        <v>0.905776515151515</v>
      </c>
      <c r="AK1593" s="133">
        <v>0.880877742946709</v>
      </c>
      <c r="AL1593" s="133">
        <v>0.897784491440081</v>
      </c>
      <c r="AM1593" s="133">
        <v>0.918038358824958</v>
      </c>
      <c r="AN1593" s="132">
        <v>0.99</v>
      </c>
      <c r="AO1593" s="137">
        <v>1</v>
      </c>
      <c r="AP1593" s="137">
        <v>1</v>
      </c>
      <c r="AQ1593" s="137">
        <v>1</v>
      </c>
      <c r="AR1593" s="137">
        <v>1</v>
      </c>
      <c r="AS1593" s="158">
        <v>0.110069253262963</v>
      </c>
      <c r="AT1593" s="141">
        <v>0</v>
      </c>
      <c r="AU1593" s="141">
        <v>0.166666666666667</v>
      </c>
      <c r="AV1593" s="141">
        <v>0</v>
      </c>
      <c r="AW1593" s="141">
        <v>0.0833333333333333</v>
      </c>
      <c r="AX1593" s="95"/>
      <c r="AY1593" s="93"/>
    </row>
    <row r="1594" ht="14.5" spans="1:51">
      <c r="A1594" s="91"/>
      <c r="B1594" s="95"/>
      <c r="C1594" s="152" t="s">
        <v>1455</v>
      </c>
      <c r="D1594" s="153" t="s">
        <v>25</v>
      </c>
      <c r="E1594" s="130" t="s">
        <v>1456</v>
      </c>
      <c r="F1594" s="171" t="s">
        <v>1626</v>
      </c>
      <c r="G1594" s="171" t="s">
        <v>1626</v>
      </c>
      <c r="H1594" s="171" t="s">
        <v>1626</v>
      </c>
      <c r="I1594" s="171" t="s">
        <v>1626</v>
      </c>
      <c r="J1594" s="132">
        <v>0.9</v>
      </c>
      <c r="K1594" s="133">
        <v>0.935483870967742</v>
      </c>
      <c r="L1594" s="133">
        <v>0.9375</v>
      </c>
      <c r="M1594" s="134">
        <v>0.967741935483871</v>
      </c>
      <c r="N1594" s="133">
        <v>0.906810035842294</v>
      </c>
      <c r="O1594" s="135">
        <v>0.9</v>
      </c>
      <c r="P1594" s="133">
        <v>0.843358395989975</v>
      </c>
      <c r="Q1594" s="133">
        <v>0.849214659685864</v>
      </c>
      <c r="R1594" s="133">
        <v>0.92775974025974</v>
      </c>
      <c r="S1594" s="133">
        <v>0.742614678032093</v>
      </c>
      <c r="T1594" s="135">
        <v>0.9</v>
      </c>
      <c r="U1594" s="133">
        <v>0.673245614035088</v>
      </c>
      <c r="V1594" s="133">
        <v>0.712041884816754</v>
      </c>
      <c r="W1594" s="133">
        <v>0.694805194805195</v>
      </c>
      <c r="X1594" s="133">
        <v>0.702867187057022</v>
      </c>
      <c r="Y1594" s="135">
        <v>0.92</v>
      </c>
      <c r="Z1594" s="135" t="s">
        <v>35</v>
      </c>
      <c r="AA1594" s="135" t="s">
        <v>35</v>
      </c>
      <c r="AB1594" s="135" t="s">
        <v>35</v>
      </c>
      <c r="AC1594" s="135">
        <v>0</v>
      </c>
      <c r="AD1594" s="135">
        <v>0.92</v>
      </c>
      <c r="AE1594" s="133">
        <v>1</v>
      </c>
      <c r="AF1594" s="133">
        <v>1</v>
      </c>
      <c r="AG1594" s="133">
        <v>1</v>
      </c>
      <c r="AH1594" s="133">
        <v>0.971264367816092</v>
      </c>
      <c r="AI1594" s="135">
        <v>0.92</v>
      </c>
      <c r="AJ1594" s="133">
        <v>0.913847117794486</v>
      </c>
      <c r="AK1594" s="133">
        <v>0.945200698080279</v>
      </c>
      <c r="AL1594" s="133">
        <v>0.954545454545455</v>
      </c>
      <c r="AM1594" s="133">
        <v>0.948119448119448</v>
      </c>
      <c r="AN1594" s="132">
        <v>0.99</v>
      </c>
      <c r="AO1594" s="137">
        <v>1</v>
      </c>
      <c r="AP1594" s="137">
        <v>1</v>
      </c>
      <c r="AQ1594" s="137">
        <v>1</v>
      </c>
      <c r="AR1594" s="137">
        <v>1</v>
      </c>
      <c r="AS1594" s="158">
        <v>0.110069253262963</v>
      </c>
      <c r="AT1594" s="141">
        <v>0</v>
      </c>
      <c r="AU1594" s="141">
        <v>0.25</v>
      </c>
      <c r="AV1594" s="141">
        <v>0.0588235294117647</v>
      </c>
      <c r="AW1594" s="141">
        <v>0.075</v>
      </c>
      <c r="AX1594" s="95"/>
      <c r="AY1594" s="93"/>
    </row>
    <row r="1595" ht="14.5" spans="1:51">
      <c r="A1595" s="91"/>
      <c r="B1595" s="95"/>
      <c r="C1595" s="152" t="s">
        <v>1455</v>
      </c>
      <c r="D1595" s="153" t="s">
        <v>25</v>
      </c>
      <c r="E1595" s="130" t="s">
        <v>1456</v>
      </c>
      <c r="F1595" s="171" t="s">
        <v>1627</v>
      </c>
      <c r="G1595" s="171" t="s">
        <v>1627</v>
      </c>
      <c r="H1595" s="171" t="s">
        <v>1627</v>
      </c>
      <c r="I1595" s="171" t="s">
        <v>1627</v>
      </c>
      <c r="J1595" s="132">
        <v>0.9</v>
      </c>
      <c r="K1595" s="133">
        <v>1</v>
      </c>
      <c r="L1595" s="133">
        <v>1</v>
      </c>
      <c r="M1595" s="134">
        <v>1</v>
      </c>
      <c r="N1595" s="133">
        <v>1</v>
      </c>
      <c r="O1595" s="135">
        <v>0.9</v>
      </c>
      <c r="P1595" s="133">
        <v>1</v>
      </c>
      <c r="Q1595" s="133">
        <v>0.998466257668712</v>
      </c>
      <c r="R1595" s="133">
        <v>0.998540145985401</v>
      </c>
      <c r="S1595" s="133">
        <v>0.998735667262502</v>
      </c>
      <c r="T1595" s="135">
        <v>0.9</v>
      </c>
      <c r="U1595" s="133">
        <v>0.918781725888325</v>
      </c>
      <c r="V1595" s="133">
        <v>0.950153374233129</v>
      </c>
      <c r="W1595" s="133">
        <v>0.961313868613139</v>
      </c>
      <c r="X1595" s="133">
        <v>0.956751100841435</v>
      </c>
      <c r="Y1595" s="135">
        <v>0.92</v>
      </c>
      <c r="Z1595" s="135" t="s">
        <v>35</v>
      </c>
      <c r="AA1595" s="135" t="s">
        <v>35</v>
      </c>
      <c r="AB1595" s="135" t="s">
        <v>35</v>
      </c>
      <c r="AC1595" s="135" t="s">
        <v>35</v>
      </c>
      <c r="AD1595" s="135">
        <v>0.92</v>
      </c>
      <c r="AE1595" s="133">
        <v>1</v>
      </c>
      <c r="AF1595" s="133">
        <v>1</v>
      </c>
      <c r="AG1595" s="133">
        <v>1</v>
      </c>
      <c r="AH1595" s="133">
        <v>0.993772241992883</v>
      </c>
      <c r="AI1595" s="135">
        <v>0.92</v>
      </c>
      <c r="AJ1595" s="133">
        <v>0.94077834179357</v>
      </c>
      <c r="AK1595" s="133">
        <v>0.979294478527607</v>
      </c>
      <c r="AL1595" s="133">
        <v>0.981021897810219</v>
      </c>
      <c r="AM1595" s="133">
        <v>0.978157562017701</v>
      </c>
      <c r="AN1595" s="132">
        <v>0.99</v>
      </c>
      <c r="AO1595" s="137">
        <v>1</v>
      </c>
      <c r="AP1595" s="137">
        <v>1</v>
      </c>
      <c r="AQ1595" s="137">
        <v>1</v>
      </c>
      <c r="AR1595" s="137">
        <v>1</v>
      </c>
      <c r="AS1595" s="158">
        <v>0.110069253262963</v>
      </c>
      <c r="AT1595" s="141">
        <v>0</v>
      </c>
      <c r="AU1595" s="141">
        <v>0.0666666666666667</v>
      </c>
      <c r="AV1595" s="141">
        <v>0</v>
      </c>
      <c r="AW1595" s="141">
        <v>0.0637450199203187</v>
      </c>
      <c r="AX1595" s="95"/>
      <c r="AY1595" s="93"/>
    </row>
    <row r="1596" ht="14.5" spans="1:51">
      <c r="A1596" s="91"/>
      <c r="B1596" s="95"/>
      <c r="C1596" s="152" t="s">
        <v>1455</v>
      </c>
      <c r="D1596" s="153" t="s">
        <v>25</v>
      </c>
      <c r="E1596" s="130" t="s">
        <v>1456</v>
      </c>
      <c r="F1596" s="171" t="s">
        <v>1628</v>
      </c>
      <c r="G1596" s="171" t="s">
        <v>1628</v>
      </c>
      <c r="H1596" s="171" t="s">
        <v>1628</v>
      </c>
      <c r="I1596" s="171" t="s">
        <v>1628</v>
      </c>
      <c r="J1596" s="132">
        <v>0.9</v>
      </c>
      <c r="K1596" s="133">
        <v>0.928571428571429</v>
      </c>
      <c r="L1596" s="133">
        <v>0.933333333333333</v>
      </c>
      <c r="M1596" s="134">
        <v>0.928571428571429</v>
      </c>
      <c r="N1596" s="133">
        <v>0.896694214876033</v>
      </c>
      <c r="O1596" s="135">
        <v>0.9</v>
      </c>
      <c r="P1596" s="133">
        <v>0.854473386183465</v>
      </c>
      <c r="Q1596" s="133">
        <v>0.86899918633035</v>
      </c>
      <c r="R1596" s="133">
        <v>0.940026954177898</v>
      </c>
      <c r="S1596" s="133">
        <v>0.904367980032091</v>
      </c>
      <c r="T1596" s="135">
        <v>0.9</v>
      </c>
      <c r="U1596" s="133">
        <v>0.806908267270668</v>
      </c>
      <c r="V1596" s="133">
        <v>0.831570382424736</v>
      </c>
      <c r="W1596" s="133">
        <v>0.902291105121294</v>
      </c>
      <c r="X1596" s="133">
        <v>0.877981814940275</v>
      </c>
      <c r="Y1596" s="135">
        <v>0.92</v>
      </c>
      <c r="Z1596" s="135">
        <v>0.91830985915493</v>
      </c>
      <c r="AA1596" s="135">
        <v>0.907621247113164</v>
      </c>
      <c r="AB1596" s="135">
        <v>0.893177737881508</v>
      </c>
      <c r="AC1596" s="135">
        <v>0.938767948124132</v>
      </c>
      <c r="AD1596" s="135">
        <v>0.92</v>
      </c>
      <c r="AE1596" s="133">
        <v>0.634920634920635</v>
      </c>
      <c r="AF1596" s="133">
        <v>0.888888888888889</v>
      </c>
      <c r="AG1596" s="133">
        <v>0.909677419354839</v>
      </c>
      <c r="AH1596" s="133">
        <v>0.897188417960554</v>
      </c>
      <c r="AI1596" s="135">
        <v>0.92</v>
      </c>
      <c r="AJ1596" s="133">
        <v>0.921275736778361</v>
      </c>
      <c r="AK1596" s="133">
        <v>0.908396946564885</v>
      </c>
      <c r="AL1596" s="133">
        <v>0.928791377983064</v>
      </c>
      <c r="AM1596" s="133">
        <v>0.951813053988719</v>
      </c>
      <c r="AN1596" s="132">
        <v>0.99</v>
      </c>
      <c r="AO1596" s="137">
        <v>1</v>
      </c>
      <c r="AP1596" s="137" t="s">
        <v>35</v>
      </c>
      <c r="AQ1596" s="137">
        <v>1</v>
      </c>
      <c r="AR1596" s="137">
        <v>1</v>
      </c>
      <c r="AS1596" s="158">
        <v>0.110069253262963</v>
      </c>
      <c r="AT1596" s="141">
        <v>0</v>
      </c>
      <c r="AU1596" s="141">
        <v>0</v>
      </c>
      <c r="AV1596" s="141">
        <v>0.0555555555555556</v>
      </c>
      <c r="AW1596" s="141">
        <v>0.0830188679245283</v>
      </c>
      <c r="AX1596" s="95"/>
      <c r="AY1596" s="93"/>
    </row>
    <row r="1597" ht="14.5" spans="1:51">
      <c r="A1597" s="91"/>
      <c r="B1597" s="95"/>
      <c r="C1597" s="152" t="s">
        <v>1455</v>
      </c>
      <c r="D1597" s="153" t="s">
        <v>25</v>
      </c>
      <c r="E1597" s="130" t="s">
        <v>1456</v>
      </c>
      <c r="F1597" s="171" t="s">
        <v>1629</v>
      </c>
      <c r="G1597" s="171" t="s">
        <v>1629</v>
      </c>
      <c r="H1597" s="171" t="s">
        <v>1629</v>
      </c>
      <c r="I1597" s="171" t="s">
        <v>1629</v>
      </c>
      <c r="J1597" s="132">
        <v>0.9</v>
      </c>
      <c r="K1597" s="133">
        <v>1</v>
      </c>
      <c r="L1597" s="133">
        <v>0.956521739130435</v>
      </c>
      <c r="M1597" s="134">
        <v>0.98</v>
      </c>
      <c r="N1597" s="133">
        <v>0.965909090909091</v>
      </c>
      <c r="O1597" s="135">
        <v>0.9</v>
      </c>
      <c r="P1597" s="133">
        <v>0.905145413870246</v>
      </c>
      <c r="Q1597" s="133">
        <v>0.951121076233184</v>
      </c>
      <c r="R1597" s="133">
        <v>0.947817836812144</v>
      </c>
      <c r="S1597" s="133">
        <v>0.932781203981532</v>
      </c>
      <c r="T1597" s="135">
        <v>0.9</v>
      </c>
      <c r="U1597" s="133">
        <v>0.923266219239374</v>
      </c>
      <c r="V1597" s="133">
        <v>0.929820627802691</v>
      </c>
      <c r="W1597" s="133">
        <v>0.969829222011385</v>
      </c>
      <c r="X1597" s="133">
        <v>0.946532767917446</v>
      </c>
      <c r="Y1597" s="135">
        <v>0.92</v>
      </c>
      <c r="Z1597" s="135">
        <v>0</v>
      </c>
      <c r="AA1597" s="135">
        <v>0</v>
      </c>
      <c r="AB1597" s="135" t="s">
        <v>35</v>
      </c>
      <c r="AC1597" s="135">
        <v>0.153846153846154</v>
      </c>
      <c r="AD1597" s="135">
        <v>0.92</v>
      </c>
      <c r="AE1597" s="133">
        <v>0.995864208168189</v>
      </c>
      <c r="AF1597" s="133">
        <v>0.879807692307692</v>
      </c>
      <c r="AG1597" s="133">
        <v>0.919463087248322</v>
      </c>
      <c r="AH1597" s="133">
        <v>0.869467830385417</v>
      </c>
      <c r="AI1597" s="135">
        <v>0.92</v>
      </c>
      <c r="AJ1597" s="133">
        <v>0.945649742786849</v>
      </c>
      <c r="AK1597" s="133">
        <v>0.942863544700874</v>
      </c>
      <c r="AL1597" s="133">
        <v>0.976091081593928</v>
      </c>
      <c r="AM1597" s="133">
        <v>0.972578627492223</v>
      </c>
      <c r="AN1597" s="132">
        <v>0.99</v>
      </c>
      <c r="AO1597" s="137" t="s">
        <v>35</v>
      </c>
      <c r="AP1597" s="137" t="s">
        <v>35</v>
      </c>
      <c r="AQ1597" s="137">
        <v>1</v>
      </c>
      <c r="AR1597" s="137">
        <v>1</v>
      </c>
      <c r="AS1597" s="158">
        <v>0.110069253262963</v>
      </c>
      <c r="AT1597" s="141">
        <v>0.027027027027027</v>
      </c>
      <c r="AU1597" s="141">
        <v>0</v>
      </c>
      <c r="AV1597" s="141">
        <v>0.172413793103448</v>
      </c>
      <c r="AW1597" s="141">
        <v>0.0616883116883117</v>
      </c>
      <c r="AX1597" s="95"/>
      <c r="AY1597" s="93"/>
    </row>
    <row r="1598" ht="14.5" spans="1:51">
      <c r="A1598" s="91"/>
      <c r="B1598" s="95"/>
      <c r="C1598" s="152" t="s">
        <v>1455</v>
      </c>
      <c r="D1598" s="153" t="s">
        <v>25</v>
      </c>
      <c r="E1598" s="130" t="s">
        <v>1456</v>
      </c>
      <c r="F1598" s="171" t="s">
        <v>1630</v>
      </c>
      <c r="G1598" s="171" t="s">
        <v>1630</v>
      </c>
      <c r="H1598" s="171" t="s">
        <v>1630</v>
      </c>
      <c r="I1598" s="171" t="s">
        <v>1630</v>
      </c>
      <c r="J1598" s="132">
        <v>0.9</v>
      </c>
      <c r="K1598" s="133">
        <v>0.75</v>
      </c>
      <c r="L1598" s="133">
        <v>0.75</v>
      </c>
      <c r="M1598" s="134">
        <v>0.814814814814815</v>
      </c>
      <c r="N1598" s="133">
        <v>0.752598752598753</v>
      </c>
      <c r="O1598" s="135">
        <v>0.9</v>
      </c>
      <c r="P1598" s="133">
        <v>0.80036855036855</v>
      </c>
      <c r="Q1598" s="133">
        <v>0.811410459587956</v>
      </c>
      <c r="R1598" s="133">
        <v>0.914951573849879</v>
      </c>
      <c r="S1598" s="133">
        <v>0.693826949384405</v>
      </c>
      <c r="T1598" s="135">
        <v>0.9</v>
      </c>
      <c r="U1598" s="133">
        <v>0.451167076167076</v>
      </c>
      <c r="V1598" s="133">
        <v>0.489434759640782</v>
      </c>
      <c r="W1598" s="133">
        <v>0.574152542372881</v>
      </c>
      <c r="X1598" s="133">
        <v>0.546882124943</v>
      </c>
      <c r="Y1598" s="135">
        <v>0.92</v>
      </c>
      <c r="Z1598" s="135">
        <v>0</v>
      </c>
      <c r="AA1598" s="135">
        <v>0</v>
      </c>
      <c r="AB1598" s="135" t="s">
        <v>35</v>
      </c>
      <c r="AC1598" s="135">
        <v>0.307692307692308</v>
      </c>
      <c r="AD1598" s="135">
        <v>0.92</v>
      </c>
      <c r="AE1598" s="133">
        <v>0.8</v>
      </c>
      <c r="AF1598" s="133">
        <v>0.866666666666667</v>
      </c>
      <c r="AG1598" s="133">
        <v>0.953125</v>
      </c>
      <c r="AH1598" s="133">
        <v>0.951576576576577</v>
      </c>
      <c r="AI1598" s="135">
        <v>0.92</v>
      </c>
      <c r="AJ1598" s="133">
        <v>0.871739797483891</v>
      </c>
      <c r="AK1598" s="133">
        <v>0.808920559514384</v>
      </c>
      <c r="AL1598" s="133">
        <v>0.88771186440678</v>
      </c>
      <c r="AM1598" s="133">
        <v>0.880608072489991</v>
      </c>
      <c r="AN1598" s="132">
        <v>0.99</v>
      </c>
      <c r="AO1598" s="137">
        <v>1</v>
      </c>
      <c r="AP1598" s="137">
        <v>1</v>
      </c>
      <c r="AQ1598" s="137">
        <v>1</v>
      </c>
      <c r="AR1598" s="137">
        <v>1</v>
      </c>
      <c r="AS1598" s="158">
        <v>0.110069253262963</v>
      </c>
      <c r="AT1598" s="141">
        <v>0</v>
      </c>
      <c r="AU1598" s="141">
        <v>0.05</v>
      </c>
      <c r="AV1598" s="141">
        <v>0.0769230769230769</v>
      </c>
      <c r="AW1598" s="141">
        <v>0.0746268656716418</v>
      </c>
      <c r="AX1598" s="95"/>
      <c r="AY1598" s="93"/>
    </row>
    <row r="1599" ht="14.5" spans="1:51">
      <c r="A1599" s="91"/>
      <c r="B1599" s="95"/>
      <c r="C1599" s="152" t="s">
        <v>1455</v>
      </c>
      <c r="D1599" s="153" t="s">
        <v>125</v>
      </c>
      <c r="E1599" s="130" t="s">
        <v>1456</v>
      </c>
      <c r="F1599" s="171" t="s">
        <v>1631</v>
      </c>
      <c r="G1599" s="171" t="s">
        <v>1631</v>
      </c>
      <c r="H1599" s="171" t="s">
        <v>1631</v>
      </c>
      <c r="I1599" s="171" t="s">
        <v>1631</v>
      </c>
      <c r="J1599" s="132">
        <v>0.9</v>
      </c>
      <c r="K1599" s="133" t="s">
        <v>35</v>
      </c>
      <c r="L1599" s="133" t="s">
        <v>35</v>
      </c>
      <c r="M1599" s="134" t="s">
        <v>35</v>
      </c>
      <c r="N1599" s="133" t="s">
        <v>35</v>
      </c>
      <c r="O1599" s="135">
        <v>0.9</v>
      </c>
      <c r="P1599" s="133" t="s">
        <v>35</v>
      </c>
      <c r="Q1599" s="133" t="s">
        <v>35</v>
      </c>
      <c r="R1599" s="133">
        <v>0</v>
      </c>
      <c r="S1599" s="133">
        <v>0</v>
      </c>
      <c r="T1599" s="135">
        <v>0.9</v>
      </c>
      <c r="U1599" s="133" t="s">
        <v>35</v>
      </c>
      <c r="V1599" s="133" t="s">
        <v>35</v>
      </c>
      <c r="W1599" s="133">
        <v>1</v>
      </c>
      <c r="X1599" s="133">
        <v>1</v>
      </c>
      <c r="Y1599" s="135">
        <v>0.92</v>
      </c>
      <c r="Z1599" s="135" t="s">
        <v>35</v>
      </c>
      <c r="AA1599" s="135" t="s">
        <v>35</v>
      </c>
      <c r="AB1599" s="135" t="s">
        <v>35</v>
      </c>
      <c r="AC1599" s="135" t="s">
        <v>35</v>
      </c>
      <c r="AD1599" s="135">
        <v>0.92</v>
      </c>
      <c r="AE1599" s="133">
        <v>0.991379310344828</v>
      </c>
      <c r="AF1599" s="133">
        <v>1</v>
      </c>
      <c r="AG1599" s="133">
        <v>0.424242424242424</v>
      </c>
      <c r="AH1599" s="133">
        <v>0.767977528089888</v>
      </c>
      <c r="AI1599" s="135">
        <v>0.92</v>
      </c>
      <c r="AJ1599" s="133" t="s">
        <v>35</v>
      </c>
      <c r="AK1599" s="133" t="s">
        <v>35</v>
      </c>
      <c r="AL1599" s="133">
        <v>1</v>
      </c>
      <c r="AM1599" s="133">
        <v>1</v>
      </c>
      <c r="AN1599" s="132">
        <v>0.99</v>
      </c>
      <c r="AO1599" s="137">
        <v>1</v>
      </c>
      <c r="AP1599" s="137">
        <v>1</v>
      </c>
      <c r="AQ1599" s="137">
        <v>1</v>
      </c>
      <c r="AR1599" s="137">
        <v>1</v>
      </c>
      <c r="AS1599" s="158">
        <v>0.110069253262963</v>
      </c>
      <c r="AT1599" s="141" t="s">
        <v>35</v>
      </c>
      <c r="AU1599" s="141" t="s">
        <v>35</v>
      </c>
      <c r="AV1599" s="141" t="s">
        <v>35</v>
      </c>
      <c r="AW1599" s="141" t="s">
        <v>35</v>
      </c>
      <c r="AX1599" s="95"/>
      <c r="AY1599" s="93"/>
    </row>
    <row r="1600" ht="14.5" spans="1:51">
      <c r="A1600" s="91"/>
      <c r="B1600" s="95"/>
      <c r="C1600" s="152" t="s">
        <v>1455</v>
      </c>
      <c r="D1600" s="153" t="s">
        <v>125</v>
      </c>
      <c r="E1600" s="130" t="s">
        <v>1456</v>
      </c>
      <c r="F1600" s="171" t="s">
        <v>1632</v>
      </c>
      <c r="G1600" s="171" t="s">
        <v>1632</v>
      </c>
      <c r="H1600" s="171" t="s">
        <v>1632</v>
      </c>
      <c r="I1600" s="171" t="s">
        <v>1632</v>
      </c>
      <c r="J1600" s="132">
        <v>0.9</v>
      </c>
      <c r="K1600" s="133" t="s">
        <v>35</v>
      </c>
      <c r="L1600" s="133" t="s">
        <v>35</v>
      </c>
      <c r="M1600" s="134" t="s">
        <v>35</v>
      </c>
      <c r="N1600" s="133" t="s">
        <v>35</v>
      </c>
      <c r="O1600" s="135">
        <v>0.9</v>
      </c>
      <c r="P1600" s="133">
        <v>0</v>
      </c>
      <c r="Q1600" s="133" t="s">
        <v>35</v>
      </c>
      <c r="R1600" s="133" t="s">
        <v>35</v>
      </c>
      <c r="S1600" s="133">
        <v>0</v>
      </c>
      <c r="T1600" s="135">
        <v>0.9</v>
      </c>
      <c r="U1600" s="133">
        <v>0</v>
      </c>
      <c r="V1600" s="133" t="s">
        <v>35</v>
      </c>
      <c r="W1600" s="133" t="s">
        <v>35</v>
      </c>
      <c r="X1600" s="133">
        <v>0</v>
      </c>
      <c r="Y1600" s="135">
        <v>0.92</v>
      </c>
      <c r="Z1600" s="135" t="s">
        <v>35</v>
      </c>
      <c r="AA1600" s="135" t="s">
        <v>35</v>
      </c>
      <c r="AB1600" s="135" t="s">
        <v>35</v>
      </c>
      <c r="AC1600" s="135" t="s">
        <v>35</v>
      </c>
      <c r="AD1600" s="135">
        <v>0.92</v>
      </c>
      <c r="AE1600" s="133">
        <v>1</v>
      </c>
      <c r="AF1600" s="133">
        <v>1</v>
      </c>
      <c r="AG1600" s="133">
        <v>0.944444444444444</v>
      </c>
      <c r="AH1600" s="133">
        <v>0.952691953445533</v>
      </c>
      <c r="AI1600" s="135">
        <v>0.92</v>
      </c>
      <c r="AJ1600" s="133">
        <v>0</v>
      </c>
      <c r="AK1600" s="133" t="s">
        <v>35</v>
      </c>
      <c r="AL1600" s="133" t="s">
        <v>35</v>
      </c>
      <c r="AM1600" s="133">
        <v>0.5</v>
      </c>
      <c r="AN1600" s="132">
        <v>0.99</v>
      </c>
      <c r="AO1600" s="137">
        <v>1</v>
      </c>
      <c r="AP1600" s="137">
        <v>1</v>
      </c>
      <c r="AQ1600" s="137">
        <v>1</v>
      </c>
      <c r="AR1600" s="137">
        <v>1</v>
      </c>
      <c r="AS1600" s="158">
        <v>0.110069253262963</v>
      </c>
      <c r="AT1600" s="141" t="s">
        <v>35</v>
      </c>
      <c r="AU1600" s="141" t="s">
        <v>35</v>
      </c>
      <c r="AV1600" s="141" t="s">
        <v>35</v>
      </c>
      <c r="AW1600" s="141" t="s">
        <v>35</v>
      </c>
      <c r="AX1600" s="95"/>
      <c r="AY1600" s="93"/>
    </row>
    <row r="1601" ht="14.5" spans="1:51">
      <c r="A1601" s="91"/>
      <c r="B1601" s="95"/>
      <c r="C1601" s="152" t="s">
        <v>1455</v>
      </c>
      <c r="D1601" s="153" t="s">
        <v>125</v>
      </c>
      <c r="E1601" s="130" t="s">
        <v>1456</v>
      </c>
      <c r="F1601" s="171" t="s">
        <v>1633</v>
      </c>
      <c r="G1601" s="171" t="s">
        <v>1633</v>
      </c>
      <c r="H1601" s="171" t="s">
        <v>1633</v>
      </c>
      <c r="I1601" s="171" t="s">
        <v>1633</v>
      </c>
      <c r="J1601" s="132">
        <v>0.9</v>
      </c>
      <c r="K1601" s="133" t="s">
        <v>35</v>
      </c>
      <c r="L1601" s="133" t="s">
        <v>35</v>
      </c>
      <c r="M1601" s="134" t="s">
        <v>35</v>
      </c>
      <c r="N1601" s="133" t="s">
        <v>35</v>
      </c>
      <c r="O1601" s="135">
        <v>0.9</v>
      </c>
      <c r="P1601" s="133" t="s">
        <v>35</v>
      </c>
      <c r="Q1601" s="133" t="s">
        <v>35</v>
      </c>
      <c r="R1601" s="133" t="s">
        <v>35</v>
      </c>
      <c r="S1601" s="133">
        <v>0</v>
      </c>
      <c r="T1601" s="135">
        <v>0.9</v>
      </c>
      <c r="U1601" s="133" t="s">
        <v>35</v>
      </c>
      <c r="V1601" s="133" t="s">
        <v>35</v>
      </c>
      <c r="W1601" s="133" t="s">
        <v>35</v>
      </c>
      <c r="X1601" s="133">
        <v>1</v>
      </c>
      <c r="Y1601" s="135">
        <v>0.92</v>
      </c>
      <c r="Z1601" s="135" t="s">
        <v>35</v>
      </c>
      <c r="AA1601" s="135" t="s">
        <v>35</v>
      </c>
      <c r="AB1601" s="135" t="s">
        <v>35</v>
      </c>
      <c r="AC1601" s="135" t="s">
        <v>35</v>
      </c>
      <c r="AD1601" s="135">
        <v>0.92</v>
      </c>
      <c r="AE1601" s="133">
        <v>1</v>
      </c>
      <c r="AF1601" s="133">
        <v>0.873417721518987</v>
      </c>
      <c r="AG1601" s="133">
        <v>0.992753623188406</v>
      </c>
      <c r="AH1601" s="133">
        <v>0.829713292788879</v>
      </c>
      <c r="AI1601" s="135">
        <v>0.92</v>
      </c>
      <c r="AJ1601" s="133" t="s">
        <v>35</v>
      </c>
      <c r="AK1601" s="133" t="s">
        <v>35</v>
      </c>
      <c r="AL1601" s="133" t="s">
        <v>35</v>
      </c>
      <c r="AM1601" s="133">
        <v>1</v>
      </c>
      <c r="AN1601" s="132">
        <v>0.99</v>
      </c>
      <c r="AO1601" s="137" t="s">
        <v>35</v>
      </c>
      <c r="AP1601" s="137">
        <v>1</v>
      </c>
      <c r="AQ1601" s="137">
        <v>1</v>
      </c>
      <c r="AR1601" s="137">
        <v>1</v>
      </c>
      <c r="AS1601" s="158">
        <v>0.110069253262963</v>
      </c>
      <c r="AT1601" s="141" t="s">
        <v>35</v>
      </c>
      <c r="AU1601" s="141" t="s">
        <v>35</v>
      </c>
      <c r="AV1601" s="141" t="s">
        <v>35</v>
      </c>
      <c r="AW1601" s="141" t="s">
        <v>35</v>
      </c>
      <c r="AX1601" s="95"/>
      <c r="AY1601" s="93"/>
    </row>
    <row r="1602" ht="14.5" spans="1:51">
      <c r="A1602" s="91"/>
      <c r="B1602" s="95"/>
      <c r="C1602" s="152" t="s">
        <v>1455</v>
      </c>
      <c r="D1602" s="153" t="s">
        <v>125</v>
      </c>
      <c r="E1602" s="130" t="s">
        <v>1456</v>
      </c>
      <c r="F1602" s="171" t="s">
        <v>1634</v>
      </c>
      <c r="G1602" s="171" t="s">
        <v>1634</v>
      </c>
      <c r="H1602" s="171" t="s">
        <v>1634</v>
      </c>
      <c r="I1602" s="171" t="s">
        <v>1634</v>
      </c>
      <c r="J1602" s="132">
        <v>0.9</v>
      </c>
      <c r="K1602" s="133" t="s">
        <v>35</v>
      </c>
      <c r="L1602" s="133" t="s">
        <v>35</v>
      </c>
      <c r="M1602" s="134" t="s">
        <v>35</v>
      </c>
      <c r="N1602" s="133" t="s">
        <v>35</v>
      </c>
      <c r="O1602" s="135">
        <v>0.9</v>
      </c>
      <c r="P1602" s="133" t="s">
        <v>35</v>
      </c>
      <c r="Q1602" s="133" t="s">
        <v>35</v>
      </c>
      <c r="R1602" s="133" t="s">
        <v>35</v>
      </c>
      <c r="S1602" s="133">
        <v>0</v>
      </c>
      <c r="T1602" s="135">
        <v>0.9</v>
      </c>
      <c r="U1602" s="133" t="s">
        <v>35</v>
      </c>
      <c r="V1602" s="133" t="s">
        <v>35</v>
      </c>
      <c r="W1602" s="133" t="s">
        <v>35</v>
      </c>
      <c r="X1602" s="133">
        <v>0.5</v>
      </c>
      <c r="Y1602" s="135">
        <v>0.92</v>
      </c>
      <c r="Z1602" s="135" t="s">
        <v>35</v>
      </c>
      <c r="AA1602" s="135" t="s">
        <v>35</v>
      </c>
      <c r="AB1602" s="135" t="s">
        <v>35</v>
      </c>
      <c r="AC1602" s="135" t="s">
        <v>35</v>
      </c>
      <c r="AD1602" s="135">
        <v>0.92</v>
      </c>
      <c r="AE1602" s="133">
        <v>1</v>
      </c>
      <c r="AF1602" s="133">
        <v>0.971428571428571</v>
      </c>
      <c r="AG1602" s="133">
        <v>1</v>
      </c>
      <c r="AH1602" s="133">
        <v>0.975268633805219</v>
      </c>
      <c r="AI1602" s="135">
        <v>0.92</v>
      </c>
      <c r="AJ1602" s="133" t="s">
        <v>35</v>
      </c>
      <c r="AK1602" s="133" t="s">
        <v>35</v>
      </c>
      <c r="AL1602" s="133" t="s">
        <v>35</v>
      </c>
      <c r="AM1602" s="133">
        <v>0.5</v>
      </c>
      <c r="AN1602" s="132">
        <v>0.99</v>
      </c>
      <c r="AO1602" s="137" t="s">
        <v>35</v>
      </c>
      <c r="AP1602" s="137" t="s">
        <v>35</v>
      </c>
      <c r="AQ1602" s="137" t="s">
        <v>35</v>
      </c>
      <c r="AR1602" s="137">
        <v>1</v>
      </c>
      <c r="AS1602" s="158">
        <v>0.110069253262963</v>
      </c>
      <c r="AT1602" s="141" t="s">
        <v>35</v>
      </c>
      <c r="AU1602" s="141" t="s">
        <v>35</v>
      </c>
      <c r="AV1602" s="141" t="s">
        <v>35</v>
      </c>
      <c r="AW1602" s="141" t="s">
        <v>35</v>
      </c>
      <c r="AX1602" s="95"/>
      <c r="AY1602" s="93"/>
    </row>
    <row r="1603" ht="14.5" spans="1:51">
      <c r="A1603" s="91"/>
      <c r="B1603" s="95"/>
      <c r="C1603" s="152" t="s">
        <v>1455</v>
      </c>
      <c r="D1603" s="153" t="s">
        <v>25</v>
      </c>
      <c r="E1603" s="130" t="s">
        <v>1456</v>
      </c>
      <c r="F1603" s="171" t="s">
        <v>1635</v>
      </c>
      <c r="G1603" s="171" t="s">
        <v>1635</v>
      </c>
      <c r="H1603" s="171" t="s">
        <v>1635</v>
      </c>
      <c r="I1603" s="171" t="s">
        <v>1635</v>
      </c>
      <c r="J1603" s="132">
        <v>0.9</v>
      </c>
      <c r="K1603" s="133">
        <v>1</v>
      </c>
      <c r="L1603" s="133">
        <v>0.941176470588235</v>
      </c>
      <c r="M1603" s="134">
        <v>1</v>
      </c>
      <c r="N1603" s="133">
        <v>0.983582089552239</v>
      </c>
      <c r="O1603" s="135">
        <v>0.9</v>
      </c>
      <c r="P1603" s="133">
        <v>0.9584229390681</v>
      </c>
      <c r="Q1603" s="133">
        <v>0.958070704302549</v>
      </c>
      <c r="R1603" s="133">
        <v>0.991529525653437</v>
      </c>
      <c r="S1603" s="133">
        <v>0.973851212794098</v>
      </c>
      <c r="T1603" s="135">
        <v>0.9</v>
      </c>
      <c r="U1603" s="133">
        <v>0.962962962962963</v>
      </c>
      <c r="V1603" s="133">
        <v>0.966566182515758</v>
      </c>
      <c r="W1603" s="133">
        <v>0.972652468538238</v>
      </c>
      <c r="X1603" s="133">
        <v>0.973390120490699</v>
      </c>
      <c r="Y1603" s="135">
        <v>0.92</v>
      </c>
      <c r="Z1603" s="135" t="s">
        <v>35</v>
      </c>
      <c r="AA1603" s="135">
        <v>1</v>
      </c>
      <c r="AB1603" s="135">
        <v>0</v>
      </c>
      <c r="AC1603" s="135">
        <v>0.186666666666667</v>
      </c>
      <c r="AD1603" s="135">
        <v>0.92</v>
      </c>
      <c r="AE1603" s="133">
        <v>1</v>
      </c>
      <c r="AF1603" s="133">
        <v>0.975609756097561</v>
      </c>
      <c r="AG1603" s="133">
        <v>1</v>
      </c>
      <c r="AH1603" s="133">
        <v>0.934838709677419</v>
      </c>
      <c r="AI1603" s="135">
        <v>0.92</v>
      </c>
      <c r="AJ1603" s="133">
        <v>0.975866188769415</v>
      </c>
      <c r="AK1603" s="133">
        <v>0.981095890410959</v>
      </c>
      <c r="AL1603" s="133">
        <v>0.986211901306241</v>
      </c>
      <c r="AM1603" s="133">
        <v>0.986810522487574</v>
      </c>
      <c r="AN1603" s="132">
        <v>0.99</v>
      </c>
      <c r="AO1603" s="137">
        <v>1</v>
      </c>
      <c r="AP1603" s="137">
        <v>1</v>
      </c>
      <c r="AQ1603" s="137">
        <v>1</v>
      </c>
      <c r="AR1603" s="137">
        <v>1</v>
      </c>
      <c r="AS1603" s="158">
        <v>0.110069253262963</v>
      </c>
      <c r="AT1603" s="141">
        <v>0.0344827586206897</v>
      </c>
      <c r="AU1603" s="141">
        <v>0.16</v>
      </c>
      <c r="AV1603" s="141">
        <v>0.142857142857143</v>
      </c>
      <c r="AW1603" s="141">
        <v>0.0589519650655022</v>
      </c>
      <c r="AX1603" s="95"/>
      <c r="AY1603" s="93"/>
    </row>
    <row r="1604" ht="14.5" spans="1:51">
      <c r="A1604" s="91"/>
      <c r="B1604" s="95"/>
      <c r="C1604" s="152" t="s">
        <v>1455</v>
      </c>
      <c r="D1604" s="153" t="s">
        <v>125</v>
      </c>
      <c r="E1604" s="130" t="s">
        <v>1456</v>
      </c>
      <c r="F1604" s="171" t="s">
        <v>1636</v>
      </c>
      <c r="G1604" s="171" t="s">
        <v>1636</v>
      </c>
      <c r="H1604" s="171" t="s">
        <v>1636</v>
      </c>
      <c r="I1604" s="171" t="s">
        <v>1636</v>
      </c>
      <c r="J1604" s="132">
        <v>0.9</v>
      </c>
      <c r="K1604" s="133" t="s">
        <v>35</v>
      </c>
      <c r="L1604" s="133" t="s">
        <v>35</v>
      </c>
      <c r="M1604" s="134" t="s">
        <v>35</v>
      </c>
      <c r="N1604" s="133" t="s">
        <v>35</v>
      </c>
      <c r="O1604" s="135">
        <v>0.9</v>
      </c>
      <c r="P1604" s="133" t="s">
        <v>35</v>
      </c>
      <c r="Q1604" s="133" t="s">
        <v>35</v>
      </c>
      <c r="R1604" s="133" t="s">
        <v>35</v>
      </c>
      <c r="S1604" s="133" t="s">
        <v>35</v>
      </c>
      <c r="T1604" s="135">
        <v>0.9</v>
      </c>
      <c r="U1604" s="133" t="s">
        <v>35</v>
      </c>
      <c r="V1604" s="133" t="s">
        <v>35</v>
      </c>
      <c r="W1604" s="133" t="s">
        <v>35</v>
      </c>
      <c r="X1604" s="133" t="s">
        <v>35</v>
      </c>
      <c r="Y1604" s="135">
        <v>0.92</v>
      </c>
      <c r="Z1604" s="135" t="s">
        <v>35</v>
      </c>
      <c r="AA1604" s="135" t="s">
        <v>35</v>
      </c>
      <c r="AB1604" s="135" t="s">
        <v>35</v>
      </c>
      <c r="AC1604" s="135" t="s">
        <v>35</v>
      </c>
      <c r="AD1604" s="135">
        <v>0.92</v>
      </c>
      <c r="AE1604" s="133">
        <v>0.917073170731707</v>
      </c>
      <c r="AF1604" s="133">
        <v>0.935483870967742</v>
      </c>
      <c r="AG1604" s="133">
        <v>1</v>
      </c>
      <c r="AH1604" s="133">
        <v>0.926336375488918</v>
      </c>
      <c r="AI1604" s="135">
        <v>0.92</v>
      </c>
      <c r="AJ1604" s="133" t="s">
        <v>35</v>
      </c>
      <c r="AK1604" s="133" t="s">
        <v>35</v>
      </c>
      <c r="AL1604" s="133" t="s">
        <v>35</v>
      </c>
      <c r="AM1604" s="133" t="s">
        <v>35</v>
      </c>
      <c r="AN1604" s="132">
        <v>0.99</v>
      </c>
      <c r="AO1604" s="137" t="s">
        <v>35</v>
      </c>
      <c r="AP1604" s="137" t="s">
        <v>35</v>
      </c>
      <c r="AQ1604" s="137">
        <v>1</v>
      </c>
      <c r="AR1604" s="137">
        <v>1</v>
      </c>
      <c r="AS1604" s="158">
        <v>0.110069253262963</v>
      </c>
      <c r="AT1604" s="141" t="s">
        <v>35</v>
      </c>
      <c r="AU1604" s="141" t="s">
        <v>35</v>
      </c>
      <c r="AV1604" s="141" t="s">
        <v>35</v>
      </c>
      <c r="AW1604" s="141" t="s">
        <v>35</v>
      </c>
      <c r="AX1604" s="95"/>
      <c r="AY1604" s="93"/>
    </row>
    <row r="1605" ht="14.5" spans="1:51">
      <c r="A1605" s="91"/>
      <c r="B1605" s="95"/>
      <c r="C1605" s="152" t="s">
        <v>1455</v>
      </c>
      <c r="D1605" s="153" t="s">
        <v>25</v>
      </c>
      <c r="E1605" s="130" t="s">
        <v>1456</v>
      </c>
      <c r="F1605" s="171" t="s">
        <v>1637</v>
      </c>
      <c r="G1605" s="171" t="s">
        <v>1637</v>
      </c>
      <c r="H1605" s="171" t="s">
        <v>1637</v>
      </c>
      <c r="I1605" s="171" t="s">
        <v>1637</v>
      </c>
      <c r="J1605" s="132">
        <v>0.9</v>
      </c>
      <c r="K1605" s="133">
        <v>0.980769230769231</v>
      </c>
      <c r="L1605" s="133">
        <v>0.928571428571429</v>
      </c>
      <c r="M1605" s="134">
        <v>0.9</v>
      </c>
      <c r="N1605" s="133">
        <v>0.939110070257611</v>
      </c>
      <c r="O1605" s="135">
        <v>0.9</v>
      </c>
      <c r="P1605" s="133">
        <v>0.994393833216538</v>
      </c>
      <c r="Q1605" s="133">
        <v>0.991958762886598</v>
      </c>
      <c r="R1605" s="133">
        <v>0.99165120593692</v>
      </c>
      <c r="S1605" s="133">
        <v>0.991437699680511</v>
      </c>
      <c r="T1605" s="135">
        <v>0.9</v>
      </c>
      <c r="U1605" s="133">
        <v>0.666783461807989</v>
      </c>
      <c r="V1605" s="133">
        <v>0.697113402061856</v>
      </c>
      <c r="W1605" s="133">
        <v>0.848423005565863</v>
      </c>
      <c r="X1605" s="133">
        <v>0.795755362848015</v>
      </c>
      <c r="Y1605" s="135">
        <v>0.92</v>
      </c>
      <c r="Z1605" s="135">
        <v>0</v>
      </c>
      <c r="AA1605" s="135">
        <v>0</v>
      </c>
      <c r="AB1605" s="135">
        <v>0</v>
      </c>
      <c r="AC1605" s="135">
        <v>0</v>
      </c>
      <c r="AD1605" s="135">
        <v>0.92</v>
      </c>
      <c r="AE1605" s="133">
        <v>1</v>
      </c>
      <c r="AF1605" s="133">
        <v>1</v>
      </c>
      <c r="AG1605" s="133">
        <v>1</v>
      </c>
      <c r="AH1605" s="133">
        <v>0.925963488843813</v>
      </c>
      <c r="AI1605" s="135">
        <v>0.92</v>
      </c>
      <c r="AJ1605" s="133">
        <v>0.893151164827465</v>
      </c>
      <c r="AK1605" s="133">
        <v>0.837826713315497</v>
      </c>
      <c r="AL1605" s="133">
        <v>0.914550509731233</v>
      </c>
      <c r="AM1605" s="133">
        <v>0.923216549761477</v>
      </c>
      <c r="AN1605" s="132">
        <v>0.99</v>
      </c>
      <c r="AO1605" s="137" t="s">
        <v>35</v>
      </c>
      <c r="AP1605" s="137" t="s">
        <v>35</v>
      </c>
      <c r="AQ1605" s="137">
        <v>1</v>
      </c>
      <c r="AR1605" s="137">
        <v>1</v>
      </c>
      <c r="AS1605" s="158">
        <v>0.110069253262963</v>
      </c>
      <c r="AT1605" s="141">
        <v>0.08</v>
      </c>
      <c r="AU1605" s="141">
        <v>0.02</v>
      </c>
      <c r="AV1605" s="141">
        <v>0.0789473684210526</v>
      </c>
      <c r="AW1605" s="141">
        <v>0.0575461454940282</v>
      </c>
      <c r="AX1605" s="95"/>
      <c r="AY1605" s="93"/>
    </row>
    <row r="1606" ht="14.5" spans="1:51">
      <c r="A1606" s="91"/>
      <c r="B1606" s="95"/>
      <c r="C1606" s="152" t="s">
        <v>1455</v>
      </c>
      <c r="D1606" s="153" t="s">
        <v>25</v>
      </c>
      <c r="E1606" s="130" t="s">
        <v>1456</v>
      </c>
      <c r="F1606" s="171" t="s">
        <v>1638</v>
      </c>
      <c r="G1606" s="171" t="s">
        <v>1638</v>
      </c>
      <c r="H1606" s="171" t="s">
        <v>1638</v>
      </c>
      <c r="I1606" s="171" t="s">
        <v>1638</v>
      </c>
      <c r="J1606" s="132">
        <v>0.9</v>
      </c>
      <c r="K1606" s="133">
        <v>0.864864864864865</v>
      </c>
      <c r="L1606" s="133">
        <v>0.918918918918919</v>
      </c>
      <c r="M1606" s="134">
        <v>0.9375</v>
      </c>
      <c r="N1606" s="133">
        <v>0.905844155844156</v>
      </c>
      <c r="O1606" s="135">
        <v>0.9</v>
      </c>
      <c r="P1606" s="133">
        <v>0.991129509166174</v>
      </c>
      <c r="Q1606" s="133">
        <v>0.955895589558956</v>
      </c>
      <c r="R1606" s="133">
        <v>0.987962962962963</v>
      </c>
      <c r="S1606" s="133">
        <v>0.967513946938849</v>
      </c>
      <c r="T1606" s="135">
        <v>0.9</v>
      </c>
      <c r="U1606" s="133">
        <v>0.511531638083974</v>
      </c>
      <c r="V1606" s="133">
        <v>0.579057905790579</v>
      </c>
      <c r="W1606" s="133">
        <v>0.593055555555556</v>
      </c>
      <c r="X1606" s="133">
        <v>0.546181857319676</v>
      </c>
      <c r="Y1606" s="135">
        <v>0.92</v>
      </c>
      <c r="Z1606" s="135">
        <v>0.83978397839784</v>
      </c>
      <c r="AA1606" s="135">
        <v>0.779944289693593</v>
      </c>
      <c r="AB1606" s="135">
        <v>0.852872215709261</v>
      </c>
      <c r="AC1606" s="135">
        <v>0.855756395995551</v>
      </c>
      <c r="AD1606" s="135">
        <v>0.92</v>
      </c>
      <c r="AE1606" s="133">
        <v>0.988636363636364</v>
      </c>
      <c r="AF1606" s="133">
        <v>1</v>
      </c>
      <c r="AG1606" s="133">
        <v>1</v>
      </c>
      <c r="AH1606" s="133">
        <v>0.993784959602237</v>
      </c>
      <c r="AI1606" s="135">
        <v>0.92</v>
      </c>
      <c r="AJ1606" s="133">
        <v>0.865183537263626</v>
      </c>
      <c r="AK1606" s="133">
        <v>0.838095238095238</v>
      </c>
      <c r="AL1606" s="133">
        <v>0.856884525962284</v>
      </c>
      <c r="AM1606" s="133">
        <v>0.886427045642792</v>
      </c>
      <c r="AN1606" s="132">
        <v>0.99</v>
      </c>
      <c r="AO1606" s="137" t="s">
        <v>35</v>
      </c>
      <c r="AP1606" s="137">
        <v>1</v>
      </c>
      <c r="AQ1606" s="137" t="s">
        <v>35</v>
      </c>
      <c r="AR1606" s="137">
        <v>1</v>
      </c>
      <c r="AS1606" s="158">
        <v>0.110069253262963</v>
      </c>
      <c r="AT1606" s="141">
        <v>0.0454545454545455</v>
      </c>
      <c r="AU1606" s="141">
        <v>0.142857142857143</v>
      </c>
      <c r="AV1606" s="141">
        <v>0.125</v>
      </c>
      <c r="AW1606" s="141">
        <v>0.0804828973843058</v>
      </c>
      <c r="AX1606" s="95"/>
      <c r="AY1606" s="93"/>
    </row>
    <row r="1607" ht="14.5" spans="1:51">
      <c r="A1607" s="91"/>
      <c r="B1607" s="95"/>
      <c r="C1607" s="152" t="s">
        <v>1455</v>
      </c>
      <c r="D1607" s="153" t="s">
        <v>125</v>
      </c>
      <c r="E1607" s="130" t="s">
        <v>1456</v>
      </c>
      <c r="F1607" s="171" t="s">
        <v>1639</v>
      </c>
      <c r="G1607" s="171" t="s">
        <v>1639</v>
      </c>
      <c r="H1607" s="171" t="s">
        <v>1639</v>
      </c>
      <c r="I1607" s="171" t="s">
        <v>1639</v>
      </c>
      <c r="J1607" s="132">
        <v>0.9</v>
      </c>
      <c r="K1607" s="133" t="s">
        <v>35</v>
      </c>
      <c r="L1607" s="133" t="s">
        <v>35</v>
      </c>
      <c r="M1607" s="134" t="s">
        <v>35</v>
      </c>
      <c r="N1607" s="133" t="s">
        <v>35</v>
      </c>
      <c r="O1607" s="135">
        <v>0.9</v>
      </c>
      <c r="P1607" s="133" t="s">
        <v>35</v>
      </c>
      <c r="Q1607" s="133" t="s">
        <v>35</v>
      </c>
      <c r="R1607" s="133" t="s">
        <v>35</v>
      </c>
      <c r="S1607" s="133">
        <v>0</v>
      </c>
      <c r="T1607" s="135">
        <v>0.9</v>
      </c>
      <c r="U1607" s="133" t="s">
        <v>35</v>
      </c>
      <c r="V1607" s="133" t="s">
        <v>35</v>
      </c>
      <c r="W1607" s="133" t="s">
        <v>35</v>
      </c>
      <c r="X1607" s="133">
        <v>0</v>
      </c>
      <c r="Y1607" s="135">
        <v>0.92</v>
      </c>
      <c r="Z1607" s="135" t="s">
        <v>35</v>
      </c>
      <c r="AA1607" s="135" t="s">
        <v>35</v>
      </c>
      <c r="AB1607" s="135" t="s">
        <v>35</v>
      </c>
      <c r="AC1607" s="135" t="s">
        <v>35</v>
      </c>
      <c r="AD1607" s="135">
        <v>0.92</v>
      </c>
      <c r="AE1607" s="133">
        <v>0.962962962962963</v>
      </c>
      <c r="AF1607" s="133">
        <v>0.636796949475691</v>
      </c>
      <c r="AG1607" s="133">
        <v>1</v>
      </c>
      <c r="AH1607" s="133">
        <v>0.883797544174903</v>
      </c>
      <c r="AI1607" s="135">
        <v>0.92</v>
      </c>
      <c r="AJ1607" s="133" t="s">
        <v>35</v>
      </c>
      <c r="AK1607" s="133" t="s">
        <v>35</v>
      </c>
      <c r="AL1607" s="133" t="s">
        <v>35</v>
      </c>
      <c r="AM1607" s="133">
        <v>0</v>
      </c>
      <c r="AN1607" s="132">
        <v>0.99</v>
      </c>
      <c r="AO1607" s="137">
        <v>1</v>
      </c>
      <c r="AP1607" s="137">
        <v>1</v>
      </c>
      <c r="AQ1607" s="137" t="s">
        <v>35</v>
      </c>
      <c r="AR1607" s="137">
        <v>1</v>
      </c>
      <c r="AS1607" s="158">
        <v>0.110069253262963</v>
      </c>
      <c r="AT1607" s="141" t="s">
        <v>35</v>
      </c>
      <c r="AU1607" s="141" t="s">
        <v>35</v>
      </c>
      <c r="AV1607" s="141" t="s">
        <v>35</v>
      </c>
      <c r="AW1607" s="141" t="s">
        <v>35</v>
      </c>
      <c r="AX1607" s="95"/>
      <c r="AY1607" s="93"/>
    </row>
    <row r="1608" ht="14.5" spans="1:51">
      <c r="A1608" s="91"/>
      <c r="B1608" s="95"/>
      <c r="C1608" s="152" t="s">
        <v>1455</v>
      </c>
      <c r="D1608" s="153" t="s">
        <v>125</v>
      </c>
      <c r="E1608" s="130" t="s">
        <v>1456</v>
      </c>
      <c r="F1608" s="171" t="s">
        <v>1640</v>
      </c>
      <c r="G1608" s="171" t="s">
        <v>1640</v>
      </c>
      <c r="H1608" s="171" t="s">
        <v>1640</v>
      </c>
      <c r="I1608" s="171" t="s">
        <v>1640</v>
      </c>
      <c r="J1608" s="132">
        <v>0.9</v>
      </c>
      <c r="K1608" s="133" t="s">
        <v>35</v>
      </c>
      <c r="L1608" s="133" t="s">
        <v>35</v>
      </c>
      <c r="M1608" s="134" t="s">
        <v>35</v>
      </c>
      <c r="N1608" s="133" t="s">
        <v>35</v>
      </c>
      <c r="O1608" s="135">
        <v>0.9</v>
      </c>
      <c r="P1608" s="133" t="s">
        <v>35</v>
      </c>
      <c r="Q1608" s="133">
        <v>0</v>
      </c>
      <c r="R1608" s="133">
        <v>0</v>
      </c>
      <c r="S1608" s="133">
        <v>0</v>
      </c>
      <c r="T1608" s="135">
        <v>0.9</v>
      </c>
      <c r="U1608" s="133" t="s">
        <v>35</v>
      </c>
      <c r="V1608" s="133">
        <v>0</v>
      </c>
      <c r="W1608" s="133">
        <v>0.5</v>
      </c>
      <c r="X1608" s="133">
        <v>0.571428571428571</v>
      </c>
      <c r="Y1608" s="135">
        <v>0.92</v>
      </c>
      <c r="Z1608" s="135" t="s">
        <v>35</v>
      </c>
      <c r="AA1608" s="135" t="s">
        <v>35</v>
      </c>
      <c r="AB1608" s="135" t="s">
        <v>35</v>
      </c>
      <c r="AC1608" s="135" t="s">
        <v>35</v>
      </c>
      <c r="AD1608" s="135">
        <v>0.92</v>
      </c>
      <c r="AE1608" s="133">
        <v>0.365034965034965</v>
      </c>
      <c r="AF1608" s="133">
        <v>0.916279069767442</v>
      </c>
      <c r="AG1608" s="133">
        <v>0.460714285714286</v>
      </c>
      <c r="AH1608" s="133">
        <v>0.607493085240131</v>
      </c>
      <c r="AI1608" s="135">
        <v>0.92</v>
      </c>
      <c r="AJ1608" s="133" t="s">
        <v>35</v>
      </c>
      <c r="AK1608" s="133">
        <v>1</v>
      </c>
      <c r="AL1608" s="133">
        <v>0.5</v>
      </c>
      <c r="AM1608" s="133">
        <v>0.857142857142857</v>
      </c>
      <c r="AN1608" s="132">
        <v>0.99</v>
      </c>
      <c r="AO1608" s="137">
        <v>1</v>
      </c>
      <c r="AP1608" s="137">
        <v>1</v>
      </c>
      <c r="AQ1608" s="137">
        <v>1</v>
      </c>
      <c r="AR1608" s="137">
        <v>1</v>
      </c>
      <c r="AS1608" s="158">
        <v>0.110069253262963</v>
      </c>
      <c r="AT1608" s="141" t="s">
        <v>35</v>
      </c>
      <c r="AU1608" s="141" t="s">
        <v>35</v>
      </c>
      <c r="AV1608" s="141" t="s">
        <v>35</v>
      </c>
      <c r="AW1608" s="141" t="s">
        <v>35</v>
      </c>
      <c r="AX1608" s="95"/>
      <c r="AY1608" s="93"/>
    </row>
    <row r="1609" ht="14.5" spans="1:51">
      <c r="A1609" s="91"/>
      <c r="B1609" s="95"/>
      <c r="C1609" s="152" t="s">
        <v>1455</v>
      </c>
      <c r="D1609" s="153" t="s">
        <v>25</v>
      </c>
      <c r="E1609" s="130" t="s">
        <v>1456</v>
      </c>
      <c r="F1609" s="171" t="s">
        <v>1641</v>
      </c>
      <c r="G1609" s="171" t="s">
        <v>1641</v>
      </c>
      <c r="H1609" s="171" t="s">
        <v>1641</v>
      </c>
      <c r="I1609" s="171" t="s">
        <v>1641</v>
      </c>
      <c r="J1609" s="132">
        <v>0.9</v>
      </c>
      <c r="K1609" s="133">
        <v>1</v>
      </c>
      <c r="L1609" s="133">
        <v>0.979166666666667</v>
      </c>
      <c r="M1609" s="134">
        <v>1</v>
      </c>
      <c r="N1609" s="133">
        <v>0.977751756440281</v>
      </c>
      <c r="O1609" s="135">
        <v>0.9</v>
      </c>
      <c r="P1609" s="133">
        <v>0.97714972940469</v>
      </c>
      <c r="Q1609" s="133">
        <v>0.963329452852154</v>
      </c>
      <c r="R1609" s="133">
        <v>0.974464579901153</v>
      </c>
      <c r="S1609" s="133">
        <v>0.95775298465037</v>
      </c>
      <c r="T1609" s="135">
        <v>0.9</v>
      </c>
      <c r="U1609" s="133">
        <v>0.880336740829826</v>
      </c>
      <c r="V1609" s="133">
        <v>0.835855646100116</v>
      </c>
      <c r="W1609" s="133">
        <v>0.8500823723229</v>
      </c>
      <c r="X1609" s="133">
        <v>0.852863843092666</v>
      </c>
      <c r="Y1609" s="135">
        <v>0.92</v>
      </c>
      <c r="Z1609" s="135">
        <v>0.927852348993289</v>
      </c>
      <c r="AA1609" s="135">
        <v>0.921974522292994</v>
      </c>
      <c r="AB1609" s="135">
        <v>0.926624737945493</v>
      </c>
      <c r="AC1609" s="135">
        <v>0.933808975834292</v>
      </c>
      <c r="AD1609" s="135">
        <v>0.92</v>
      </c>
      <c r="AE1609" s="133">
        <v>0.384</v>
      </c>
      <c r="AF1609" s="133">
        <v>0.991452991452991</v>
      </c>
      <c r="AG1609" s="133">
        <v>1</v>
      </c>
      <c r="AH1609" s="133">
        <v>0.942763397739701</v>
      </c>
      <c r="AI1609" s="135">
        <v>0.92</v>
      </c>
      <c r="AJ1609" s="133">
        <v>0.951769911504425</v>
      </c>
      <c r="AK1609" s="133">
        <v>0.94075021312873</v>
      </c>
      <c r="AL1609" s="133">
        <v>0.939170506912442</v>
      </c>
      <c r="AM1609" s="133">
        <v>0.948825284915977</v>
      </c>
      <c r="AN1609" s="132">
        <v>0.99</v>
      </c>
      <c r="AO1609" s="137">
        <v>1</v>
      </c>
      <c r="AP1609" s="137">
        <v>1</v>
      </c>
      <c r="AQ1609" s="137">
        <v>1</v>
      </c>
      <c r="AR1609" s="137">
        <v>1</v>
      </c>
      <c r="AS1609" s="158">
        <v>0.110069253262963</v>
      </c>
      <c r="AT1609" s="141">
        <v>0.0625</v>
      </c>
      <c r="AU1609" s="141">
        <v>0.0526315789473684</v>
      </c>
      <c r="AV1609" s="141">
        <v>0</v>
      </c>
      <c r="AW1609" s="141">
        <v>0.0566037735849057</v>
      </c>
      <c r="AX1609" s="95"/>
      <c r="AY1609" s="93"/>
    </row>
    <row r="1610" ht="14.5" spans="1:51">
      <c r="A1610" s="91"/>
      <c r="B1610" s="95"/>
      <c r="C1610" s="152" t="s">
        <v>1455</v>
      </c>
      <c r="D1610" s="153" t="s">
        <v>125</v>
      </c>
      <c r="E1610" s="130" t="s">
        <v>1456</v>
      </c>
      <c r="F1610" s="171" t="s">
        <v>1642</v>
      </c>
      <c r="G1610" s="171" t="s">
        <v>1642</v>
      </c>
      <c r="H1610" s="171" t="s">
        <v>1642</v>
      </c>
      <c r="I1610" s="171" t="s">
        <v>1642</v>
      </c>
      <c r="J1610" s="132">
        <v>0.9</v>
      </c>
      <c r="K1610" s="133" t="s">
        <v>35</v>
      </c>
      <c r="L1610" s="133" t="s">
        <v>35</v>
      </c>
      <c r="M1610" s="134" t="s">
        <v>35</v>
      </c>
      <c r="N1610" s="133" t="s">
        <v>35</v>
      </c>
      <c r="O1610" s="135">
        <v>0.9</v>
      </c>
      <c r="P1610" s="133">
        <v>0</v>
      </c>
      <c r="Q1610" s="133" t="s">
        <v>35</v>
      </c>
      <c r="R1610" s="133" t="s">
        <v>35</v>
      </c>
      <c r="S1610" s="133">
        <v>0</v>
      </c>
      <c r="T1610" s="135">
        <v>0.9</v>
      </c>
      <c r="U1610" s="133">
        <v>0.5</v>
      </c>
      <c r="V1610" s="133" t="s">
        <v>35</v>
      </c>
      <c r="W1610" s="133" t="s">
        <v>35</v>
      </c>
      <c r="X1610" s="133">
        <v>0.833333333333333</v>
      </c>
      <c r="Y1610" s="135">
        <v>0.92</v>
      </c>
      <c r="Z1610" s="135" t="s">
        <v>35</v>
      </c>
      <c r="AA1610" s="135">
        <v>1</v>
      </c>
      <c r="AB1610" s="135" t="s">
        <v>35</v>
      </c>
      <c r="AC1610" s="135">
        <v>1</v>
      </c>
      <c r="AD1610" s="135">
        <v>0.92</v>
      </c>
      <c r="AE1610" s="133">
        <v>0.956521739130435</v>
      </c>
      <c r="AF1610" s="133">
        <v>0.973776223776224</v>
      </c>
      <c r="AG1610" s="133">
        <v>0.979907264296754</v>
      </c>
      <c r="AH1610" s="133">
        <v>0.984605424070211</v>
      </c>
      <c r="AI1610" s="135">
        <v>0.92</v>
      </c>
      <c r="AJ1610" s="133">
        <v>1</v>
      </c>
      <c r="AK1610" s="133">
        <v>1</v>
      </c>
      <c r="AL1610" s="133">
        <v>1</v>
      </c>
      <c r="AM1610" s="133">
        <v>0.904761904761905</v>
      </c>
      <c r="AN1610" s="132">
        <v>0.99</v>
      </c>
      <c r="AO1610" s="137">
        <v>1</v>
      </c>
      <c r="AP1610" s="137">
        <v>1</v>
      </c>
      <c r="AQ1610" s="137">
        <v>1</v>
      </c>
      <c r="AR1610" s="137">
        <v>1</v>
      </c>
      <c r="AS1610" s="158">
        <v>0.110069253262963</v>
      </c>
      <c r="AT1610" s="141" t="s">
        <v>35</v>
      </c>
      <c r="AU1610" s="141" t="s">
        <v>35</v>
      </c>
      <c r="AV1610" s="141" t="s">
        <v>35</v>
      </c>
      <c r="AW1610" s="141" t="s">
        <v>35</v>
      </c>
      <c r="AX1610" s="95"/>
      <c r="AY1610" s="93"/>
    </row>
    <row r="1611" ht="14.5" spans="1:51">
      <c r="A1611" s="91"/>
      <c r="B1611" s="95"/>
      <c r="C1611" s="152" t="s">
        <v>1455</v>
      </c>
      <c r="D1611" s="153" t="s">
        <v>125</v>
      </c>
      <c r="E1611" s="130" t="s">
        <v>1456</v>
      </c>
      <c r="F1611" s="171" t="s">
        <v>1643</v>
      </c>
      <c r="G1611" s="171" t="s">
        <v>1643</v>
      </c>
      <c r="H1611" s="171" t="s">
        <v>1643</v>
      </c>
      <c r="I1611" s="171" t="s">
        <v>1643</v>
      </c>
      <c r="J1611" s="132">
        <v>0.9</v>
      </c>
      <c r="K1611" s="133" t="s">
        <v>35</v>
      </c>
      <c r="L1611" s="133" t="s">
        <v>35</v>
      </c>
      <c r="M1611" s="134" t="s">
        <v>35</v>
      </c>
      <c r="N1611" s="133" t="s">
        <v>35</v>
      </c>
      <c r="O1611" s="135">
        <v>0.9</v>
      </c>
      <c r="P1611" s="133" t="s">
        <v>35</v>
      </c>
      <c r="Q1611" s="133" t="s">
        <v>35</v>
      </c>
      <c r="R1611" s="133">
        <v>0</v>
      </c>
      <c r="S1611" s="133">
        <v>0</v>
      </c>
      <c r="T1611" s="135">
        <v>0.9</v>
      </c>
      <c r="U1611" s="133" t="s">
        <v>35</v>
      </c>
      <c r="V1611" s="133" t="s">
        <v>35</v>
      </c>
      <c r="W1611" s="133">
        <v>1</v>
      </c>
      <c r="X1611" s="133">
        <v>1</v>
      </c>
      <c r="Y1611" s="135">
        <v>0.92</v>
      </c>
      <c r="Z1611" s="135" t="s">
        <v>35</v>
      </c>
      <c r="AA1611" s="135" t="s">
        <v>35</v>
      </c>
      <c r="AB1611" s="135" t="s">
        <v>35</v>
      </c>
      <c r="AC1611" s="135" t="s">
        <v>35</v>
      </c>
      <c r="AD1611" s="135">
        <v>0.92</v>
      </c>
      <c r="AE1611" s="133">
        <v>0.818461538461538</v>
      </c>
      <c r="AF1611" s="133">
        <v>0.888198757763975</v>
      </c>
      <c r="AG1611" s="133">
        <v>0.974452554744526</v>
      </c>
      <c r="AH1611" s="133">
        <v>0.9273531269741</v>
      </c>
      <c r="AI1611" s="135">
        <v>0.92</v>
      </c>
      <c r="AJ1611" s="133" t="s">
        <v>35</v>
      </c>
      <c r="AK1611" s="133" t="s">
        <v>35</v>
      </c>
      <c r="AL1611" s="133">
        <v>1</v>
      </c>
      <c r="AM1611" s="133">
        <v>1</v>
      </c>
      <c r="AN1611" s="132">
        <v>0.99</v>
      </c>
      <c r="AO1611" s="137">
        <v>1</v>
      </c>
      <c r="AP1611" s="137">
        <v>1</v>
      </c>
      <c r="AQ1611" s="137">
        <v>1</v>
      </c>
      <c r="AR1611" s="137">
        <v>1</v>
      </c>
      <c r="AS1611" s="158">
        <v>0.110069253262963</v>
      </c>
      <c r="AT1611" s="141" t="s">
        <v>35</v>
      </c>
      <c r="AU1611" s="141" t="s">
        <v>35</v>
      </c>
      <c r="AV1611" s="141" t="s">
        <v>35</v>
      </c>
      <c r="AW1611" s="141" t="s">
        <v>35</v>
      </c>
      <c r="AX1611" s="95"/>
      <c r="AY1611" s="93"/>
    </row>
    <row r="1612" ht="14.5" spans="1:51">
      <c r="A1612" s="91"/>
      <c r="B1612" s="95"/>
      <c r="C1612" s="152" t="s">
        <v>1455</v>
      </c>
      <c r="D1612" s="153" t="s">
        <v>125</v>
      </c>
      <c r="E1612" s="130" t="s">
        <v>1456</v>
      </c>
      <c r="F1612" s="171" t="s">
        <v>1644</v>
      </c>
      <c r="G1612" s="171" t="s">
        <v>1644</v>
      </c>
      <c r="H1612" s="171" t="s">
        <v>1644</v>
      </c>
      <c r="I1612" s="171" t="s">
        <v>1644</v>
      </c>
      <c r="J1612" s="132">
        <v>0.9</v>
      </c>
      <c r="K1612" s="133" t="s">
        <v>35</v>
      </c>
      <c r="L1612" s="133" t="s">
        <v>35</v>
      </c>
      <c r="M1612" s="134" t="s">
        <v>35</v>
      </c>
      <c r="N1612" s="133" t="s">
        <v>35</v>
      </c>
      <c r="O1612" s="135">
        <v>0.9</v>
      </c>
      <c r="P1612" s="133" t="s">
        <v>35</v>
      </c>
      <c r="Q1612" s="133" t="s">
        <v>35</v>
      </c>
      <c r="R1612" s="133" t="s">
        <v>35</v>
      </c>
      <c r="S1612" s="133" t="s">
        <v>35</v>
      </c>
      <c r="T1612" s="135">
        <v>0.9</v>
      </c>
      <c r="U1612" s="133" t="s">
        <v>35</v>
      </c>
      <c r="V1612" s="133" t="s">
        <v>35</v>
      </c>
      <c r="W1612" s="133" t="s">
        <v>35</v>
      </c>
      <c r="X1612" s="133" t="s">
        <v>35</v>
      </c>
      <c r="Y1612" s="135">
        <v>0.92</v>
      </c>
      <c r="Z1612" s="135" t="s">
        <v>35</v>
      </c>
      <c r="AA1612" s="135" t="s">
        <v>35</v>
      </c>
      <c r="AB1612" s="135" t="s">
        <v>35</v>
      </c>
      <c r="AC1612" s="135" t="s">
        <v>35</v>
      </c>
      <c r="AD1612" s="135">
        <v>0.92</v>
      </c>
      <c r="AE1612" s="133">
        <v>0.981132075471698</v>
      </c>
      <c r="AF1612" s="133">
        <v>0.997955010224949</v>
      </c>
      <c r="AG1612" s="133">
        <v>0.934210526315789</v>
      </c>
      <c r="AH1612" s="133">
        <v>0.992830029523408</v>
      </c>
      <c r="AI1612" s="135">
        <v>0.92</v>
      </c>
      <c r="AJ1612" s="133" t="s">
        <v>35</v>
      </c>
      <c r="AK1612" s="133" t="s">
        <v>35</v>
      </c>
      <c r="AL1612" s="133" t="s">
        <v>35</v>
      </c>
      <c r="AM1612" s="133" t="s">
        <v>35</v>
      </c>
      <c r="AN1612" s="132">
        <v>0.99</v>
      </c>
      <c r="AO1612" s="137">
        <v>1</v>
      </c>
      <c r="AP1612" s="137" t="s">
        <v>35</v>
      </c>
      <c r="AQ1612" s="137">
        <v>1</v>
      </c>
      <c r="AR1612" s="137">
        <v>1</v>
      </c>
      <c r="AS1612" s="158">
        <v>0.110069253262963</v>
      </c>
      <c r="AT1612" s="141" t="s">
        <v>35</v>
      </c>
      <c r="AU1612" s="141" t="s">
        <v>35</v>
      </c>
      <c r="AV1612" s="141" t="s">
        <v>35</v>
      </c>
      <c r="AW1612" s="141" t="s">
        <v>35</v>
      </c>
      <c r="AX1612" s="95"/>
      <c r="AY1612" s="93"/>
    </row>
    <row r="1613" ht="14.5" spans="1:51">
      <c r="A1613" s="91"/>
      <c r="B1613" s="95"/>
      <c r="C1613" s="152" t="s">
        <v>1455</v>
      </c>
      <c r="D1613" s="153" t="s">
        <v>125</v>
      </c>
      <c r="E1613" s="130" t="s">
        <v>1456</v>
      </c>
      <c r="F1613" s="171" t="s">
        <v>1645</v>
      </c>
      <c r="G1613" s="171" t="s">
        <v>1645</v>
      </c>
      <c r="H1613" s="171" t="s">
        <v>1645</v>
      </c>
      <c r="I1613" s="171" t="s">
        <v>1645</v>
      </c>
      <c r="J1613" s="132">
        <v>0.9</v>
      </c>
      <c r="K1613" s="133" t="s">
        <v>35</v>
      </c>
      <c r="L1613" s="133" t="s">
        <v>35</v>
      </c>
      <c r="M1613" s="134" t="s">
        <v>35</v>
      </c>
      <c r="N1613" s="133" t="s">
        <v>35</v>
      </c>
      <c r="O1613" s="135">
        <v>0.9</v>
      </c>
      <c r="P1613" s="133" t="s">
        <v>35</v>
      </c>
      <c r="Q1613" s="133" t="s">
        <v>35</v>
      </c>
      <c r="R1613" s="133">
        <v>0</v>
      </c>
      <c r="S1613" s="133">
        <v>0</v>
      </c>
      <c r="T1613" s="135">
        <v>0.9</v>
      </c>
      <c r="U1613" s="133" t="s">
        <v>35</v>
      </c>
      <c r="V1613" s="133" t="s">
        <v>35</v>
      </c>
      <c r="W1613" s="133">
        <v>0.5</v>
      </c>
      <c r="X1613" s="133">
        <v>0.666666666666667</v>
      </c>
      <c r="Y1613" s="135">
        <v>0.92</v>
      </c>
      <c r="Z1613" s="135" t="s">
        <v>35</v>
      </c>
      <c r="AA1613" s="135" t="s">
        <v>35</v>
      </c>
      <c r="AB1613" s="135" t="s">
        <v>35</v>
      </c>
      <c r="AC1613" s="135" t="s">
        <v>35</v>
      </c>
      <c r="AD1613" s="135">
        <v>0.92</v>
      </c>
      <c r="AE1613" s="133">
        <v>0.78968253968254</v>
      </c>
      <c r="AF1613" s="133">
        <v>0.98576512455516</v>
      </c>
      <c r="AG1613" s="133">
        <v>1</v>
      </c>
      <c r="AH1613" s="133">
        <v>0.950813953488372</v>
      </c>
      <c r="AI1613" s="135">
        <v>0.92</v>
      </c>
      <c r="AJ1613" s="133" t="s">
        <v>35</v>
      </c>
      <c r="AK1613" s="133" t="s">
        <v>35</v>
      </c>
      <c r="AL1613" s="133">
        <v>1</v>
      </c>
      <c r="AM1613" s="133">
        <v>1</v>
      </c>
      <c r="AN1613" s="132">
        <v>0.99</v>
      </c>
      <c r="AO1613" s="137">
        <v>1</v>
      </c>
      <c r="AP1613" s="137">
        <v>1</v>
      </c>
      <c r="AQ1613" s="137">
        <v>1</v>
      </c>
      <c r="AR1613" s="137">
        <v>1</v>
      </c>
      <c r="AS1613" s="158">
        <v>0.110069253262963</v>
      </c>
      <c r="AT1613" s="141" t="s">
        <v>35</v>
      </c>
      <c r="AU1613" s="141" t="s">
        <v>35</v>
      </c>
      <c r="AV1613" s="141" t="s">
        <v>35</v>
      </c>
      <c r="AW1613" s="141" t="s">
        <v>35</v>
      </c>
      <c r="AX1613" s="95"/>
      <c r="AY1613" s="93"/>
    </row>
    <row r="1614" ht="14.5" spans="1:51">
      <c r="A1614" s="91"/>
      <c r="B1614" s="95"/>
      <c r="C1614" s="152" t="s">
        <v>1455</v>
      </c>
      <c r="D1614" s="153" t="s">
        <v>125</v>
      </c>
      <c r="E1614" s="130" t="s">
        <v>1456</v>
      </c>
      <c r="F1614" s="171" t="s">
        <v>1646</v>
      </c>
      <c r="G1614" s="171" t="s">
        <v>1646</v>
      </c>
      <c r="H1614" s="171" t="s">
        <v>1646</v>
      </c>
      <c r="I1614" s="171" t="s">
        <v>1646</v>
      </c>
      <c r="J1614" s="132">
        <v>0.9</v>
      </c>
      <c r="K1614" s="133" t="s">
        <v>35</v>
      </c>
      <c r="L1614" s="133" t="s">
        <v>35</v>
      </c>
      <c r="M1614" s="134" t="s">
        <v>35</v>
      </c>
      <c r="N1614" s="133" t="s">
        <v>35</v>
      </c>
      <c r="O1614" s="135">
        <v>0.9</v>
      </c>
      <c r="P1614" s="133" t="s">
        <v>35</v>
      </c>
      <c r="Q1614" s="133" t="s">
        <v>35</v>
      </c>
      <c r="R1614" s="133" t="s">
        <v>35</v>
      </c>
      <c r="S1614" s="133" t="s">
        <v>35</v>
      </c>
      <c r="T1614" s="135">
        <v>0.9</v>
      </c>
      <c r="U1614" s="133" t="s">
        <v>35</v>
      </c>
      <c r="V1614" s="133" t="s">
        <v>35</v>
      </c>
      <c r="W1614" s="133" t="s">
        <v>35</v>
      </c>
      <c r="X1614" s="133" t="s">
        <v>35</v>
      </c>
      <c r="Y1614" s="135">
        <v>0.92</v>
      </c>
      <c r="Z1614" s="135" t="s">
        <v>35</v>
      </c>
      <c r="AA1614" s="135" t="s">
        <v>35</v>
      </c>
      <c r="AB1614" s="135" t="s">
        <v>35</v>
      </c>
      <c r="AC1614" s="135" t="s">
        <v>35</v>
      </c>
      <c r="AD1614" s="135">
        <v>0.92</v>
      </c>
      <c r="AE1614" s="133">
        <v>0.962800875273523</v>
      </c>
      <c r="AF1614" s="133">
        <v>0.772819472616633</v>
      </c>
      <c r="AG1614" s="133">
        <v>1</v>
      </c>
      <c r="AH1614" s="133">
        <v>0.825063825063825</v>
      </c>
      <c r="AI1614" s="135">
        <v>0.92</v>
      </c>
      <c r="AJ1614" s="133" t="s">
        <v>35</v>
      </c>
      <c r="AK1614" s="133" t="s">
        <v>35</v>
      </c>
      <c r="AL1614" s="133" t="s">
        <v>35</v>
      </c>
      <c r="AM1614" s="133" t="s">
        <v>35</v>
      </c>
      <c r="AN1614" s="132">
        <v>0.99</v>
      </c>
      <c r="AO1614" s="137">
        <v>1</v>
      </c>
      <c r="AP1614" s="137">
        <v>1</v>
      </c>
      <c r="AQ1614" s="137">
        <v>1</v>
      </c>
      <c r="AR1614" s="137">
        <v>1</v>
      </c>
      <c r="AS1614" s="158">
        <v>0.110069253262963</v>
      </c>
      <c r="AT1614" s="141" t="s">
        <v>35</v>
      </c>
      <c r="AU1614" s="141" t="s">
        <v>35</v>
      </c>
      <c r="AV1614" s="141" t="s">
        <v>35</v>
      </c>
      <c r="AW1614" s="141" t="s">
        <v>35</v>
      </c>
      <c r="AX1614" s="95"/>
      <c r="AY1614" s="93"/>
    </row>
    <row r="1615" ht="14.5" spans="1:51">
      <c r="A1615" s="91"/>
      <c r="B1615" s="95"/>
      <c r="C1615" s="152" t="s">
        <v>1455</v>
      </c>
      <c r="D1615" s="153" t="s">
        <v>125</v>
      </c>
      <c r="E1615" s="130" t="s">
        <v>1456</v>
      </c>
      <c r="F1615" s="171" t="s">
        <v>1647</v>
      </c>
      <c r="G1615" s="171" t="s">
        <v>1647</v>
      </c>
      <c r="H1615" s="171" t="s">
        <v>1647</v>
      </c>
      <c r="I1615" s="171" t="s">
        <v>1647</v>
      </c>
      <c r="J1615" s="132">
        <v>0.9</v>
      </c>
      <c r="K1615" s="133" t="s">
        <v>35</v>
      </c>
      <c r="L1615" s="133" t="s">
        <v>35</v>
      </c>
      <c r="M1615" s="134" t="s">
        <v>35</v>
      </c>
      <c r="N1615" s="133" t="s">
        <v>35</v>
      </c>
      <c r="O1615" s="135">
        <v>0.9</v>
      </c>
      <c r="P1615" s="133" t="s">
        <v>35</v>
      </c>
      <c r="Q1615" s="133" t="s">
        <v>35</v>
      </c>
      <c r="R1615" s="133" t="s">
        <v>35</v>
      </c>
      <c r="S1615" s="133" t="s">
        <v>35</v>
      </c>
      <c r="T1615" s="135">
        <v>0.9</v>
      </c>
      <c r="U1615" s="133" t="s">
        <v>35</v>
      </c>
      <c r="V1615" s="133" t="s">
        <v>35</v>
      </c>
      <c r="W1615" s="133" t="s">
        <v>35</v>
      </c>
      <c r="X1615" s="133" t="s">
        <v>35</v>
      </c>
      <c r="Y1615" s="135">
        <v>0.92</v>
      </c>
      <c r="Z1615" s="135" t="s">
        <v>35</v>
      </c>
      <c r="AA1615" s="135" t="s">
        <v>35</v>
      </c>
      <c r="AB1615" s="135" t="s">
        <v>35</v>
      </c>
      <c r="AC1615" s="135" t="s">
        <v>35</v>
      </c>
      <c r="AD1615" s="135">
        <v>0.92</v>
      </c>
      <c r="AE1615" s="133">
        <v>1</v>
      </c>
      <c r="AF1615" s="133">
        <v>0.995698924731183</v>
      </c>
      <c r="AG1615" s="133">
        <v>0.997395833333333</v>
      </c>
      <c r="AH1615" s="133">
        <v>0.998802600068423</v>
      </c>
      <c r="AI1615" s="135">
        <v>0.92</v>
      </c>
      <c r="AJ1615" s="133" t="s">
        <v>35</v>
      </c>
      <c r="AK1615" s="133" t="s">
        <v>35</v>
      </c>
      <c r="AL1615" s="133" t="s">
        <v>35</v>
      </c>
      <c r="AM1615" s="133">
        <v>1</v>
      </c>
      <c r="AN1615" s="132">
        <v>0.99</v>
      </c>
      <c r="AO1615" s="137">
        <v>1</v>
      </c>
      <c r="AP1615" s="137">
        <v>1</v>
      </c>
      <c r="AQ1615" s="137">
        <v>1</v>
      </c>
      <c r="AR1615" s="137">
        <v>1</v>
      </c>
      <c r="AS1615" s="158">
        <v>0.110069253262963</v>
      </c>
      <c r="AT1615" s="141" t="s">
        <v>35</v>
      </c>
      <c r="AU1615" s="141" t="s">
        <v>35</v>
      </c>
      <c r="AV1615" s="141" t="s">
        <v>35</v>
      </c>
      <c r="AW1615" s="141" t="s">
        <v>35</v>
      </c>
      <c r="AX1615" s="95"/>
      <c r="AY1615" s="93"/>
    </row>
    <row r="1616" ht="14.5" spans="1:51">
      <c r="A1616" s="91"/>
      <c r="B1616" s="95"/>
      <c r="C1616" s="152" t="s">
        <v>1455</v>
      </c>
      <c r="D1616" s="153" t="s">
        <v>125</v>
      </c>
      <c r="E1616" s="130" t="s">
        <v>1456</v>
      </c>
      <c r="F1616" s="171" t="s">
        <v>1648</v>
      </c>
      <c r="G1616" s="171" t="s">
        <v>1648</v>
      </c>
      <c r="H1616" s="171" t="s">
        <v>1648</v>
      </c>
      <c r="I1616" s="171" t="s">
        <v>1648</v>
      </c>
      <c r="J1616" s="132">
        <v>0.9</v>
      </c>
      <c r="K1616" s="133" t="s">
        <v>35</v>
      </c>
      <c r="L1616" s="133" t="s">
        <v>35</v>
      </c>
      <c r="M1616" s="134" t="s">
        <v>35</v>
      </c>
      <c r="N1616" s="133" t="s">
        <v>35</v>
      </c>
      <c r="O1616" s="135">
        <v>0.9</v>
      </c>
      <c r="P1616" s="133" t="s">
        <v>35</v>
      </c>
      <c r="Q1616" s="133" t="s">
        <v>35</v>
      </c>
      <c r="R1616" s="133" t="s">
        <v>35</v>
      </c>
      <c r="S1616" s="133" t="s">
        <v>35</v>
      </c>
      <c r="T1616" s="135">
        <v>0.9</v>
      </c>
      <c r="U1616" s="133" t="s">
        <v>35</v>
      </c>
      <c r="V1616" s="133" t="s">
        <v>35</v>
      </c>
      <c r="W1616" s="133" t="s">
        <v>35</v>
      </c>
      <c r="X1616" s="133" t="s">
        <v>35</v>
      </c>
      <c r="Y1616" s="135">
        <v>0.92</v>
      </c>
      <c r="Z1616" s="135" t="s">
        <v>35</v>
      </c>
      <c r="AA1616" s="135" t="s">
        <v>35</v>
      </c>
      <c r="AB1616" s="135" t="s">
        <v>35</v>
      </c>
      <c r="AC1616" s="135" t="s">
        <v>35</v>
      </c>
      <c r="AD1616" s="135">
        <v>0.92</v>
      </c>
      <c r="AE1616" s="133">
        <v>0.278625954198473</v>
      </c>
      <c r="AF1616" s="133">
        <v>1</v>
      </c>
      <c r="AG1616" s="133">
        <v>1</v>
      </c>
      <c r="AH1616" s="133">
        <v>0.705308352849336</v>
      </c>
      <c r="AI1616" s="135">
        <v>0.92</v>
      </c>
      <c r="AJ1616" s="133" t="s">
        <v>35</v>
      </c>
      <c r="AK1616" s="133" t="s">
        <v>35</v>
      </c>
      <c r="AL1616" s="133" t="s">
        <v>35</v>
      </c>
      <c r="AM1616" s="133" t="s">
        <v>35</v>
      </c>
      <c r="AN1616" s="132">
        <v>0.99</v>
      </c>
      <c r="AO1616" s="137">
        <v>1</v>
      </c>
      <c r="AP1616" s="137">
        <v>1</v>
      </c>
      <c r="AQ1616" s="137">
        <v>1</v>
      </c>
      <c r="AR1616" s="137">
        <v>1</v>
      </c>
      <c r="AS1616" s="158">
        <v>0.110069253262963</v>
      </c>
      <c r="AT1616" s="141" t="s">
        <v>35</v>
      </c>
      <c r="AU1616" s="141" t="s">
        <v>35</v>
      </c>
      <c r="AV1616" s="141" t="s">
        <v>35</v>
      </c>
      <c r="AW1616" s="141" t="s">
        <v>35</v>
      </c>
      <c r="AX1616" s="95"/>
      <c r="AY1616" s="93"/>
    </row>
    <row r="1617" ht="14.5" spans="1:51">
      <c r="A1617" s="91"/>
      <c r="B1617" s="95"/>
      <c r="C1617" s="152" t="s">
        <v>1455</v>
      </c>
      <c r="D1617" s="153" t="s">
        <v>125</v>
      </c>
      <c r="E1617" s="130" t="s">
        <v>1456</v>
      </c>
      <c r="F1617" s="171" t="s">
        <v>1649</v>
      </c>
      <c r="G1617" s="171" t="s">
        <v>1649</v>
      </c>
      <c r="H1617" s="171" t="s">
        <v>1649</v>
      </c>
      <c r="I1617" s="171" t="s">
        <v>1649</v>
      </c>
      <c r="J1617" s="132">
        <v>0.9</v>
      </c>
      <c r="K1617" s="133" t="s">
        <v>35</v>
      </c>
      <c r="L1617" s="133" t="s">
        <v>35</v>
      </c>
      <c r="M1617" s="134" t="s">
        <v>35</v>
      </c>
      <c r="N1617" s="133" t="s">
        <v>35</v>
      </c>
      <c r="O1617" s="135">
        <v>0.9</v>
      </c>
      <c r="P1617" s="133" t="s">
        <v>35</v>
      </c>
      <c r="Q1617" s="133" t="s">
        <v>35</v>
      </c>
      <c r="R1617" s="133" t="s">
        <v>35</v>
      </c>
      <c r="S1617" s="133" t="s">
        <v>35</v>
      </c>
      <c r="T1617" s="135">
        <v>0.9</v>
      </c>
      <c r="U1617" s="133" t="s">
        <v>35</v>
      </c>
      <c r="V1617" s="133" t="s">
        <v>35</v>
      </c>
      <c r="W1617" s="133" t="s">
        <v>35</v>
      </c>
      <c r="X1617" s="133" t="s">
        <v>35</v>
      </c>
      <c r="Y1617" s="135">
        <v>0.92</v>
      </c>
      <c r="Z1617" s="135" t="s">
        <v>35</v>
      </c>
      <c r="AA1617" s="135" t="s">
        <v>35</v>
      </c>
      <c r="AB1617" s="135" t="s">
        <v>35</v>
      </c>
      <c r="AC1617" s="135" t="s">
        <v>35</v>
      </c>
      <c r="AD1617" s="135">
        <v>0.92</v>
      </c>
      <c r="AE1617" s="133">
        <v>0.995238095238095</v>
      </c>
      <c r="AF1617" s="133">
        <v>1</v>
      </c>
      <c r="AG1617" s="133">
        <v>1</v>
      </c>
      <c r="AH1617" s="133">
        <v>0.998402045381911</v>
      </c>
      <c r="AI1617" s="135">
        <v>0.92</v>
      </c>
      <c r="AJ1617" s="133" t="s">
        <v>35</v>
      </c>
      <c r="AK1617" s="133" t="s">
        <v>35</v>
      </c>
      <c r="AL1617" s="133" t="s">
        <v>35</v>
      </c>
      <c r="AM1617" s="133" t="s">
        <v>35</v>
      </c>
      <c r="AN1617" s="132">
        <v>0.99</v>
      </c>
      <c r="AO1617" s="137">
        <v>1</v>
      </c>
      <c r="AP1617" s="137">
        <v>1</v>
      </c>
      <c r="AQ1617" s="137">
        <v>1</v>
      </c>
      <c r="AR1617" s="137">
        <v>1</v>
      </c>
      <c r="AS1617" s="158">
        <v>0.110069253262963</v>
      </c>
      <c r="AT1617" s="141" t="s">
        <v>35</v>
      </c>
      <c r="AU1617" s="141" t="s">
        <v>35</v>
      </c>
      <c r="AV1617" s="141" t="s">
        <v>35</v>
      </c>
      <c r="AW1617" s="141" t="s">
        <v>35</v>
      </c>
      <c r="AX1617" s="95"/>
      <c r="AY1617" s="93"/>
    </row>
    <row r="1618" ht="14.5" spans="1:51">
      <c r="A1618" s="91"/>
      <c r="B1618" s="95"/>
      <c r="C1618" s="152" t="s">
        <v>1455</v>
      </c>
      <c r="D1618" s="153" t="s">
        <v>125</v>
      </c>
      <c r="E1618" s="130" t="s">
        <v>1456</v>
      </c>
      <c r="F1618" s="171" t="s">
        <v>1650</v>
      </c>
      <c r="G1618" s="171" t="s">
        <v>1650</v>
      </c>
      <c r="H1618" s="171" t="s">
        <v>1650</v>
      </c>
      <c r="I1618" s="171" t="s">
        <v>1650</v>
      </c>
      <c r="J1618" s="132">
        <v>0.9</v>
      </c>
      <c r="K1618" s="133" t="s">
        <v>35</v>
      </c>
      <c r="L1618" s="133" t="s">
        <v>35</v>
      </c>
      <c r="M1618" s="134" t="s">
        <v>35</v>
      </c>
      <c r="N1618" s="133" t="s">
        <v>35</v>
      </c>
      <c r="O1618" s="135">
        <v>0.9</v>
      </c>
      <c r="P1618" s="133" t="s">
        <v>35</v>
      </c>
      <c r="Q1618" s="133" t="s">
        <v>35</v>
      </c>
      <c r="R1618" s="133" t="s">
        <v>35</v>
      </c>
      <c r="S1618" s="133">
        <v>0</v>
      </c>
      <c r="T1618" s="135">
        <v>0.9</v>
      </c>
      <c r="U1618" s="133" t="s">
        <v>35</v>
      </c>
      <c r="V1618" s="133" t="s">
        <v>35</v>
      </c>
      <c r="W1618" s="133" t="s">
        <v>35</v>
      </c>
      <c r="X1618" s="133">
        <v>1</v>
      </c>
      <c r="Y1618" s="135">
        <v>0.92</v>
      </c>
      <c r="Z1618" s="135" t="s">
        <v>35</v>
      </c>
      <c r="AA1618" s="135" t="s">
        <v>35</v>
      </c>
      <c r="AB1618" s="135" t="s">
        <v>35</v>
      </c>
      <c r="AC1618" s="135" t="s">
        <v>35</v>
      </c>
      <c r="AD1618" s="135">
        <v>0.92</v>
      </c>
      <c r="AE1618" s="133">
        <v>0.94017094017094</v>
      </c>
      <c r="AF1618" s="133">
        <v>0.933962264150943</v>
      </c>
      <c r="AG1618" s="133">
        <v>1</v>
      </c>
      <c r="AH1618" s="133">
        <v>0.990562913907285</v>
      </c>
      <c r="AI1618" s="135">
        <v>0.92</v>
      </c>
      <c r="AJ1618" s="133" t="s">
        <v>35</v>
      </c>
      <c r="AK1618" s="133" t="s">
        <v>35</v>
      </c>
      <c r="AL1618" s="133" t="s">
        <v>35</v>
      </c>
      <c r="AM1618" s="133">
        <v>1</v>
      </c>
      <c r="AN1618" s="132">
        <v>0.99</v>
      </c>
      <c r="AO1618" s="137">
        <v>1</v>
      </c>
      <c r="AP1618" s="137">
        <v>1</v>
      </c>
      <c r="AQ1618" s="137">
        <v>1</v>
      </c>
      <c r="AR1618" s="137">
        <v>1</v>
      </c>
      <c r="AS1618" s="158">
        <v>0.110069253262963</v>
      </c>
      <c r="AT1618" s="141" t="s">
        <v>35</v>
      </c>
      <c r="AU1618" s="141" t="s">
        <v>35</v>
      </c>
      <c r="AV1618" s="141" t="s">
        <v>35</v>
      </c>
      <c r="AW1618" s="141" t="s">
        <v>35</v>
      </c>
      <c r="AX1618" s="95"/>
      <c r="AY1618" s="93"/>
    </row>
    <row r="1619" ht="14.5" spans="1:51">
      <c r="A1619" s="91"/>
      <c r="B1619" s="95"/>
      <c r="C1619" s="152" t="s">
        <v>1455</v>
      </c>
      <c r="D1619" s="153" t="s">
        <v>25</v>
      </c>
      <c r="E1619" s="130" t="s">
        <v>1456</v>
      </c>
      <c r="F1619" s="171" t="s">
        <v>1651</v>
      </c>
      <c r="G1619" s="171" t="s">
        <v>1651</v>
      </c>
      <c r="H1619" s="171" t="s">
        <v>1651</v>
      </c>
      <c r="I1619" s="171" t="s">
        <v>1651</v>
      </c>
      <c r="J1619" s="132">
        <v>0.9</v>
      </c>
      <c r="K1619" s="133">
        <v>1</v>
      </c>
      <c r="L1619" s="133">
        <v>0.978260869565217</v>
      </c>
      <c r="M1619" s="134">
        <v>0.953488372093023</v>
      </c>
      <c r="N1619" s="133">
        <v>0.973815461346633</v>
      </c>
      <c r="O1619" s="135">
        <v>0.9</v>
      </c>
      <c r="P1619" s="133">
        <v>0.919068413391558</v>
      </c>
      <c r="Q1619" s="133">
        <v>0.960103329506315</v>
      </c>
      <c r="R1619" s="133">
        <v>0.921014139444174</v>
      </c>
      <c r="S1619" s="133">
        <v>0.950626512886231</v>
      </c>
      <c r="T1619" s="135">
        <v>0.9</v>
      </c>
      <c r="U1619" s="133">
        <v>0.515574963609898</v>
      </c>
      <c r="V1619" s="133">
        <v>0.545924225028703</v>
      </c>
      <c r="W1619" s="133">
        <v>0.529985372988786</v>
      </c>
      <c r="X1619" s="133">
        <v>0.539673216574114</v>
      </c>
      <c r="Y1619" s="135">
        <v>0.92</v>
      </c>
      <c r="Z1619" s="135">
        <v>0.900293255131965</v>
      </c>
      <c r="AA1619" s="135">
        <v>0.839301310043668</v>
      </c>
      <c r="AB1619" s="135">
        <v>0.884918549658434</v>
      </c>
      <c r="AC1619" s="135">
        <v>0.87032846806077</v>
      </c>
      <c r="AD1619" s="135">
        <v>0.92</v>
      </c>
      <c r="AE1619" s="133">
        <v>1</v>
      </c>
      <c r="AF1619" s="133">
        <v>1</v>
      </c>
      <c r="AG1619" s="133">
        <v>1</v>
      </c>
      <c r="AH1619" s="133">
        <v>0.989816700610998</v>
      </c>
      <c r="AI1619" s="135">
        <v>0.92</v>
      </c>
      <c r="AJ1619" s="133">
        <v>0.91373202750573</v>
      </c>
      <c r="AK1619" s="133">
        <v>0.912724130481745</v>
      </c>
      <c r="AL1619" s="133">
        <v>0.905989385898408</v>
      </c>
      <c r="AM1619" s="133">
        <v>0.911709805873569</v>
      </c>
      <c r="AN1619" s="132">
        <v>0.99</v>
      </c>
      <c r="AO1619" s="137" t="s">
        <v>35</v>
      </c>
      <c r="AP1619" s="137" t="s">
        <v>35</v>
      </c>
      <c r="AQ1619" s="137">
        <v>1</v>
      </c>
      <c r="AR1619" s="137">
        <v>1</v>
      </c>
      <c r="AS1619" s="158">
        <v>0.110069253262963</v>
      </c>
      <c r="AT1619" s="141">
        <v>0.166666666666667</v>
      </c>
      <c r="AU1619" s="141">
        <v>0.130434782608696</v>
      </c>
      <c r="AV1619" s="141">
        <v>0.037037037037037</v>
      </c>
      <c r="AW1619" s="141">
        <v>0.103074141048825</v>
      </c>
      <c r="AX1619" s="95"/>
      <c r="AY1619" s="93"/>
    </row>
    <row r="1620" ht="14.5" spans="1:51">
      <c r="A1620" s="91"/>
      <c r="B1620" s="95"/>
      <c r="C1620" s="152" t="s">
        <v>1455</v>
      </c>
      <c r="D1620" s="153" t="s">
        <v>125</v>
      </c>
      <c r="E1620" s="130" t="s">
        <v>1456</v>
      </c>
      <c r="F1620" s="171" t="s">
        <v>1652</v>
      </c>
      <c r="G1620" s="171" t="s">
        <v>1652</v>
      </c>
      <c r="H1620" s="171" t="s">
        <v>1652</v>
      </c>
      <c r="I1620" s="171" t="s">
        <v>1652</v>
      </c>
      <c r="J1620" s="132">
        <v>0.9</v>
      </c>
      <c r="K1620" s="133" t="s">
        <v>35</v>
      </c>
      <c r="L1620" s="133" t="s">
        <v>35</v>
      </c>
      <c r="M1620" s="134" t="s">
        <v>35</v>
      </c>
      <c r="N1620" s="133" t="s">
        <v>35</v>
      </c>
      <c r="O1620" s="135">
        <v>0.9</v>
      </c>
      <c r="P1620" s="133">
        <v>0</v>
      </c>
      <c r="Q1620" s="133" t="s">
        <v>35</v>
      </c>
      <c r="R1620" s="133">
        <v>0</v>
      </c>
      <c r="S1620" s="133">
        <v>0</v>
      </c>
      <c r="T1620" s="135">
        <v>0.9</v>
      </c>
      <c r="U1620" s="133">
        <v>0</v>
      </c>
      <c r="V1620" s="133" t="s">
        <v>35</v>
      </c>
      <c r="W1620" s="133">
        <v>1</v>
      </c>
      <c r="X1620" s="133">
        <v>0.75</v>
      </c>
      <c r="Y1620" s="135">
        <v>0.92</v>
      </c>
      <c r="Z1620" s="135" t="s">
        <v>35</v>
      </c>
      <c r="AA1620" s="135" t="s">
        <v>35</v>
      </c>
      <c r="AB1620" s="135" t="s">
        <v>35</v>
      </c>
      <c r="AC1620" s="135" t="s">
        <v>35</v>
      </c>
      <c r="AD1620" s="135">
        <v>0.92</v>
      </c>
      <c r="AE1620" s="133">
        <v>0.993808049535604</v>
      </c>
      <c r="AF1620" s="133">
        <v>0.984375</v>
      </c>
      <c r="AG1620" s="133">
        <v>0.985239852398524</v>
      </c>
      <c r="AH1620" s="133">
        <v>0.900335195530726</v>
      </c>
      <c r="AI1620" s="135">
        <v>0.92</v>
      </c>
      <c r="AJ1620" s="133">
        <v>0</v>
      </c>
      <c r="AK1620" s="133" t="s">
        <v>35</v>
      </c>
      <c r="AL1620" s="133">
        <v>1</v>
      </c>
      <c r="AM1620" s="133">
        <v>0.75</v>
      </c>
      <c r="AN1620" s="132">
        <v>0.99</v>
      </c>
      <c r="AO1620" s="137">
        <v>1</v>
      </c>
      <c r="AP1620" s="137">
        <v>1</v>
      </c>
      <c r="AQ1620" s="137">
        <v>1</v>
      </c>
      <c r="AR1620" s="137">
        <v>1</v>
      </c>
      <c r="AS1620" s="158">
        <v>0.110069253262963</v>
      </c>
      <c r="AT1620" s="141" t="s">
        <v>35</v>
      </c>
      <c r="AU1620" s="141" t="s">
        <v>35</v>
      </c>
      <c r="AV1620" s="141" t="s">
        <v>35</v>
      </c>
      <c r="AW1620" s="141" t="s">
        <v>35</v>
      </c>
      <c r="AX1620" s="95"/>
      <c r="AY1620" s="93"/>
    </row>
    <row r="1621" ht="14.5" spans="1:51">
      <c r="A1621" s="91"/>
      <c r="B1621" s="95"/>
      <c r="C1621" s="152" t="s">
        <v>1455</v>
      </c>
      <c r="D1621" s="153" t="s">
        <v>125</v>
      </c>
      <c r="E1621" s="130" t="s">
        <v>1456</v>
      </c>
      <c r="F1621" s="171" t="s">
        <v>1653</v>
      </c>
      <c r="G1621" s="171" t="s">
        <v>1653</v>
      </c>
      <c r="H1621" s="171" t="s">
        <v>1653</v>
      </c>
      <c r="I1621" s="171" t="s">
        <v>1653</v>
      </c>
      <c r="J1621" s="132">
        <v>0.9</v>
      </c>
      <c r="K1621" s="133" t="s">
        <v>35</v>
      </c>
      <c r="L1621" s="133" t="s">
        <v>35</v>
      </c>
      <c r="M1621" s="134" t="s">
        <v>35</v>
      </c>
      <c r="N1621" s="133" t="s">
        <v>35</v>
      </c>
      <c r="O1621" s="135">
        <v>0.9</v>
      </c>
      <c r="P1621" s="133" t="s">
        <v>35</v>
      </c>
      <c r="Q1621" s="133" t="s">
        <v>35</v>
      </c>
      <c r="R1621" s="133" t="s">
        <v>35</v>
      </c>
      <c r="S1621" s="133" t="s">
        <v>35</v>
      </c>
      <c r="T1621" s="135">
        <v>0.9</v>
      </c>
      <c r="U1621" s="133" t="s">
        <v>35</v>
      </c>
      <c r="V1621" s="133" t="s">
        <v>35</v>
      </c>
      <c r="W1621" s="133" t="s">
        <v>35</v>
      </c>
      <c r="X1621" s="133" t="s">
        <v>35</v>
      </c>
      <c r="Y1621" s="135">
        <v>0.92</v>
      </c>
      <c r="Z1621" s="135" t="s">
        <v>35</v>
      </c>
      <c r="AA1621" s="135" t="s">
        <v>35</v>
      </c>
      <c r="AB1621" s="135" t="s">
        <v>35</v>
      </c>
      <c r="AC1621" s="135" t="s">
        <v>35</v>
      </c>
      <c r="AD1621" s="135">
        <v>0.92</v>
      </c>
      <c r="AE1621" s="133">
        <v>0.99438202247191</v>
      </c>
      <c r="AF1621" s="133">
        <v>1</v>
      </c>
      <c r="AG1621" s="133">
        <v>1</v>
      </c>
      <c r="AH1621" s="133">
        <v>0.990207050923335</v>
      </c>
      <c r="AI1621" s="135">
        <v>0.92</v>
      </c>
      <c r="AJ1621" s="133" t="s">
        <v>35</v>
      </c>
      <c r="AK1621" s="133" t="s">
        <v>35</v>
      </c>
      <c r="AL1621" s="133" t="s">
        <v>35</v>
      </c>
      <c r="AM1621" s="133" t="s">
        <v>35</v>
      </c>
      <c r="AN1621" s="132">
        <v>0.99</v>
      </c>
      <c r="AO1621" s="137">
        <v>1</v>
      </c>
      <c r="AP1621" s="137" t="s">
        <v>35</v>
      </c>
      <c r="AQ1621" s="137">
        <v>1</v>
      </c>
      <c r="AR1621" s="137">
        <v>1</v>
      </c>
      <c r="AS1621" s="158">
        <v>0.110069253262963</v>
      </c>
      <c r="AT1621" s="141" t="s">
        <v>35</v>
      </c>
      <c r="AU1621" s="141" t="s">
        <v>35</v>
      </c>
      <c r="AV1621" s="141" t="s">
        <v>35</v>
      </c>
      <c r="AW1621" s="141" t="s">
        <v>35</v>
      </c>
      <c r="AX1621" s="95"/>
      <c r="AY1621" s="93"/>
    </row>
    <row r="1622" ht="14.5" spans="1:51">
      <c r="A1622" s="91"/>
      <c r="B1622" s="95"/>
      <c r="C1622" s="152" t="s">
        <v>1455</v>
      </c>
      <c r="D1622" s="153" t="s">
        <v>125</v>
      </c>
      <c r="E1622" s="130" t="s">
        <v>1456</v>
      </c>
      <c r="F1622" s="171" t="s">
        <v>1654</v>
      </c>
      <c r="G1622" s="171" t="s">
        <v>1654</v>
      </c>
      <c r="H1622" s="171" t="s">
        <v>1654</v>
      </c>
      <c r="I1622" s="171" t="s">
        <v>1654</v>
      </c>
      <c r="J1622" s="132">
        <v>0.9</v>
      </c>
      <c r="K1622" s="133" t="s">
        <v>35</v>
      </c>
      <c r="L1622" s="133" t="s">
        <v>35</v>
      </c>
      <c r="M1622" s="134" t="s">
        <v>35</v>
      </c>
      <c r="N1622" s="133" t="s">
        <v>35</v>
      </c>
      <c r="O1622" s="135">
        <v>0.9</v>
      </c>
      <c r="P1622" s="133">
        <v>0</v>
      </c>
      <c r="Q1622" s="133" t="s">
        <v>35</v>
      </c>
      <c r="R1622" s="133">
        <v>0</v>
      </c>
      <c r="S1622" s="133">
        <v>0</v>
      </c>
      <c r="T1622" s="135">
        <v>0.9</v>
      </c>
      <c r="U1622" s="133">
        <v>1</v>
      </c>
      <c r="V1622" s="133" t="s">
        <v>35</v>
      </c>
      <c r="W1622" s="133">
        <v>1</v>
      </c>
      <c r="X1622" s="133">
        <v>1</v>
      </c>
      <c r="Y1622" s="135">
        <v>0.92</v>
      </c>
      <c r="Z1622" s="135" t="s">
        <v>35</v>
      </c>
      <c r="AA1622" s="135" t="s">
        <v>35</v>
      </c>
      <c r="AB1622" s="135" t="s">
        <v>35</v>
      </c>
      <c r="AC1622" s="135">
        <v>1</v>
      </c>
      <c r="AD1622" s="135">
        <v>0.92</v>
      </c>
      <c r="AE1622" s="133">
        <v>1</v>
      </c>
      <c r="AF1622" s="133">
        <v>0.983870967741935</v>
      </c>
      <c r="AG1622" s="133">
        <v>0.995525727069351</v>
      </c>
      <c r="AH1622" s="133">
        <v>0.997597078046905</v>
      </c>
      <c r="AI1622" s="135">
        <v>0.92</v>
      </c>
      <c r="AJ1622" s="133">
        <v>1</v>
      </c>
      <c r="AK1622" s="133" t="s">
        <v>35</v>
      </c>
      <c r="AL1622" s="133">
        <v>1</v>
      </c>
      <c r="AM1622" s="133">
        <v>1</v>
      </c>
      <c r="AN1622" s="132">
        <v>0.99</v>
      </c>
      <c r="AO1622" s="137">
        <v>1</v>
      </c>
      <c r="AP1622" s="137">
        <v>1</v>
      </c>
      <c r="AQ1622" s="137">
        <v>1</v>
      </c>
      <c r="AR1622" s="137">
        <v>1</v>
      </c>
      <c r="AS1622" s="158">
        <v>0.110069253262963</v>
      </c>
      <c r="AT1622" s="141" t="s">
        <v>35</v>
      </c>
      <c r="AU1622" s="141" t="s">
        <v>35</v>
      </c>
      <c r="AV1622" s="141" t="s">
        <v>35</v>
      </c>
      <c r="AW1622" s="141" t="s">
        <v>35</v>
      </c>
      <c r="AX1622" s="95"/>
      <c r="AY1622" s="93"/>
    </row>
    <row r="1623" ht="14.5" spans="1:51">
      <c r="A1623" s="91"/>
      <c r="B1623" s="95"/>
      <c r="C1623" s="152" t="s">
        <v>1455</v>
      </c>
      <c r="D1623" s="153" t="s">
        <v>25</v>
      </c>
      <c r="E1623" s="130" t="s">
        <v>1456</v>
      </c>
      <c r="F1623" s="171" t="s">
        <v>1655</v>
      </c>
      <c r="G1623" s="171" t="s">
        <v>1655</v>
      </c>
      <c r="H1623" s="171" t="s">
        <v>1655</v>
      </c>
      <c r="I1623" s="171" t="s">
        <v>1655</v>
      </c>
      <c r="J1623" s="132">
        <v>0.9</v>
      </c>
      <c r="K1623" s="133">
        <v>0.970588235294118</v>
      </c>
      <c r="L1623" s="133">
        <v>0.935483870967742</v>
      </c>
      <c r="M1623" s="134">
        <v>0.9</v>
      </c>
      <c r="N1623" s="133">
        <v>0.946218487394958</v>
      </c>
      <c r="O1623" s="135">
        <v>0.9</v>
      </c>
      <c r="P1623" s="133">
        <v>0.883154537547115</v>
      </c>
      <c r="Q1623" s="133">
        <v>0.994569433669511</v>
      </c>
      <c r="R1623" s="133">
        <v>0.898444252376837</v>
      </c>
      <c r="S1623" s="133">
        <v>0.904152193230471</v>
      </c>
      <c r="T1623" s="135">
        <v>0.9</v>
      </c>
      <c r="U1623" s="133">
        <v>0.967526819367933</v>
      </c>
      <c r="V1623" s="133">
        <v>0.976984742694595</v>
      </c>
      <c r="W1623" s="133">
        <v>0.975151253241141</v>
      </c>
      <c r="X1623" s="133">
        <v>0.988502033012898</v>
      </c>
      <c r="Y1623" s="135">
        <v>0.92</v>
      </c>
      <c r="Z1623" s="135">
        <v>0.333333333333333</v>
      </c>
      <c r="AA1623" s="135">
        <v>0</v>
      </c>
      <c r="AB1623" s="135">
        <v>0</v>
      </c>
      <c r="AC1623" s="135">
        <v>0.42962962962963</v>
      </c>
      <c r="AD1623" s="135">
        <v>0.92</v>
      </c>
      <c r="AE1623" s="133">
        <v>0.990825688073395</v>
      </c>
      <c r="AF1623" s="133">
        <v>0.944444444444444</v>
      </c>
      <c r="AG1623" s="133">
        <v>0.990476190476191</v>
      </c>
      <c r="AH1623" s="133">
        <v>0.982683982683983</v>
      </c>
      <c r="AI1623" s="135">
        <v>0.92</v>
      </c>
      <c r="AJ1623" s="133">
        <v>0.978273464658169</v>
      </c>
      <c r="AK1623" s="133">
        <v>0.985271317829457</v>
      </c>
      <c r="AL1623" s="133">
        <v>0.983595942154112</v>
      </c>
      <c r="AM1623" s="133">
        <v>0.992528689295601</v>
      </c>
      <c r="AN1623" s="132">
        <v>0.99</v>
      </c>
      <c r="AO1623" s="137">
        <v>1</v>
      </c>
      <c r="AP1623" s="137">
        <v>1</v>
      </c>
      <c r="AQ1623" s="137">
        <v>1</v>
      </c>
      <c r="AR1623" s="137">
        <v>1</v>
      </c>
      <c r="AS1623" s="158">
        <v>0.110069253262963</v>
      </c>
      <c r="AT1623" s="141">
        <v>0.0454545454545455</v>
      </c>
      <c r="AU1623" s="141">
        <v>0.0833333333333333</v>
      </c>
      <c r="AV1623" s="141">
        <v>0.0833333333333333</v>
      </c>
      <c r="AW1623" s="141">
        <v>0.0642857142857143</v>
      </c>
      <c r="AX1623" s="95"/>
      <c r="AY1623" s="93"/>
    </row>
    <row r="1624" ht="14.5" spans="1:51">
      <c r="A1624" s="91"/>
      <c r="B1624" s="95"/>
      <c r="C1624" s="152" t="s">
        <v>1455</v>
      </c>
      <c r="D1624" s="153" t="s">
        <v>125</v>
      </c>
      <c r="E1624" s="130" t="s">
        <v>1456</v>
      </c>
      <c r="F1624" s="171" t="s">
        <v>1656</v>
      </c>
      <c r="G1624" s="171" t="s">
        <v>1656</v>
      </c>
      <c r="H1624" s="171" t="s">
        <v>1656</v>
      </c>
      <c r="I1624" s="171" t="s">
        <v>1656</v>
      </c>
      <c r="J1624" s="132">
        <v>0.9</v>
      </c>
      <c r="K1624" s="133" t="s">
        <v>35</v>
      </c>
      <c r="L1624" s="133" t="s">
        <v>35</v>
      </c>
      <c r="M1624" s="134" t="s">
        <v>35</v>
      </c>
      <c r="N1624" s="133" t="s">
        <v>35</v>
      </c>
      <c r="O1624" s="135">
        <v>0.9</v>
      </c>
      <c r="P1624" s="133" t="s">
        <v>35</v>
      </c>
      <c r="Q1624" s="133">
        <v>0</v>
      </c>
      <c r="R1624" s="133" t="s">
        <v>35</v>
      </c>
      <c r="S1624" s="133">
        <v>0</v>
      </c>
      <c r="T1624" s="135">
        <v>0.9</v>
      </c>
      <c r="U1624" s="133" t="s">
        <v>35</v>
      </c>
      <c r="V1624" s="133">
        <v>0</v>
      </c>
      <c r="W1624" s="133" t="s">
        <v>35</v>
      </c>
      <c r="X1624" s="133">
        <v>0.5</v>
      </c>
      <c r="Y1624" s="135">
        <v>0.92</v>
      </c>
      <c r="Z1624" s="135">
        <v>0</v>
      </c>
      <c r="AA1624" s="135" t="s">
        <v>35</v>
      </c>
      <c r="AB1624" s="135" t="s">
        <v>35</v>
      </c>
      <c r="AC1624" s="135">
        <v>0</v>
      </c>
      <c r="AD1624" s="135">
        <v>0.92</v>
      </c>
      <c r="AE1624" s="133">
        <v>0.954802259887006</v>
      </c>
      <c r="AF1624" s="133">
        <v>1</v>
      </c>
      <c r="AG1624" s="133">
        <v>1</v>
      </c>
      <c r="AH1624" s="133">
        <v>0.975414078674948</v>
      </c>
      <c r="AI1624" s="135">
        <v>0.92</v>
      </c>
      <c r="AJ1624" s="133">
        <v>0</v>
      </c>
      <c r="AK1624" s="133">
        <v>0</v>
      </c>
      <c r="AL1624" s="133" t="s">
        <v>35</v>
      </c>
      <c r="AM1624" s="133">
        <v>0.5</v>
      </c>
      <c r="AN1624" s="132">
        <v>0.99</v>
      </c>
      <c r="AO1624" s="137">
        <v>1</v>
      </c>
      <c r="AP1624" s="137">
        <v>1</v>
      </c>
      <c r="AQ1624" s="137">
        <v>1</v>
      </c>
      <c r="AR1624" s="137">
        <v>1</v>
      </c>
      <c r="AS1624" s="158">
        <v>0.110069253262963</v>
      </c>
      <c r="AT1624" s="141" t="s">
        <v>35</v>
      </c>
      <c r="AU1624" s="141" t="s">
        <v>35</v>
      </c>
      <c r="AV1624" s="141" t="s">
        <v>35</v>
      </c>
      <c r="AW1624" s="141" t="s">
        <v>35</v>
      </c>
      <c r="AX1624" s="95"/>
      <c r="AY1624" s="93"/>
    </row>
    <row r="1625" ht="14.5" spans="1:51">
      <c r="A1625" s="91"/>
      <c r="B1625" s="95"/>
      <c r="C1625" s="152" t="s">
        <v>1455</v>
      </c>
      <c r="D1625" s="153" t="s">
        <v>125</v>
      </c>
      <c r="E1625" s="130" t="s">
        <v>1456</v>
      </c>
      <c r="F1625" s="171" t="s">
        <v>1657</v>
      </c>
      <c r="G1625" s="171" t="s">
        <v>1657</v>
      </c>
      <c r="H1625" s="171" t="s">
        <v>1657</v>
      </c>
      <c r="I1625" s="171" t="s">
        <v>1657</v>
      </c>
      <c r="J1625" s="132">
        <v>0.9</v>
      </c>
      <c r="K1625" s="133" t="s">
        <v>35</v>
      </c>
      <c r="L1625" s="133" t="s">
        <v>35</v>
      </c>
      <c r="M1625" s="134" t="s">
        <v>35</v>
      </c>
      <c r="N1625" s="133" t="s">
        <v>35</v>
      </c>
      <c r="O1625" s="135">
        <v>0.9</v>
      </c>
      <c r="P1625" s="133" t="s">
        <v>35</v>
      </c>
      <c r="Q1625" s="133" t="s">
        <v>35</v>
      </c>
      <c r="R1625" s="133" t="s">
        <v>35</v>
      </c>
      <c r="S1625" s="133">
        <v>0</v>
      </c>
      <c r="T1625" s="135">
        <v>0.9</v>
      </c>
      <c r="U1625" s="133" t="s">
        <v>35</v>
      </c>
      <c r="V1625" s="133" t="s">
        <v>35</v>
      </c>
      <c r="W1625" s="133" t="s">
        <v>35</v>
      </c>
      <c r="X1625" s="133">
        <v>1</v>
      </c>
      <c r="Y1625" s="135">
        <v>0.92</v>
      </c>
      <c r="Z1625" s="135" t="s">
        <v>35</v>
      </c>
      <c r="AA1625" s="135" t="s">
        <v>35</v>
      </c>
      <c r="AB1625" s="135" t="s">
        <v>35</v>
      </c>
      <c r="AC1625" s="135" t="s">
        <v>35</v>
      </c>
      <c r="AD1625" s="135">
        <v>0.92</v>
      </c>
      <c r="AE1625" s="133">
        <v>1</v>
      </c>
      <c r="AF1625" s="133">
        <v>1</v>
      </c>
      <c r="AG1625" s="133">
        <v>0.990338164251208</v>
      </c>
      <c r="AH1625" s="133">
        <v>0.983593595572247</v>
      </c>
      <c r="AI1625" s="135">
        <v>0.92</v>
      </c>
      <c r="AJ1625" s="133">
        <v>1</v>
      </c>
      <c r="AK1625" s="133" t="s">
        <v>35</v>
      </c>
      <c r="AL1625" s="133" t="s">
        <v>35</v>
      </c>
      <c r="AM1625" s="133">
        <v>1</v>
      </c>
      <c r="AN1625" s="132">
        <v>0.99</v>
      </c>
      <c r="AO1625" s="137">
        <v>1</v>
      </c>
      <c r="AP1625" s="137">
        <v>1</v>
      </c>
      <c r="AQ1625" s="137">
        <v>1</v>
      </c>
      <c r="AR1625" s="137">
        <v>1</v>
      </c>
      <c r="AS1625" s="158">
        <v>0.110069253262963</v>
      </c>
      <c r="AT1625" s="141" t="s">
        <v>35</v>
      </c>
      <c r="AU1625" s="141" t="s">
        <v>35</v>
      </c>
      <c r="AV1625" s="141" t="s">
        <v>35</v>
      </c>
      <c r="AW1625" s="141" t="s">
        <v>35</v>
      </c>
      <c r="AX1625" s="95"/>
      <c r="AY1625" s="93"/>
    </row>
    <row r="1626" ht="14.5" spans="1:51">
      <c r="A1626" s="91"/>
      <c r="B1626" s="95"/>
      <c r="C1626" s="152" t="s">
        <v>1455</v>
      </c>
      <c r="D1626" s="153" t="s">
        <v>125</v>
      </c>
      <c r="E1626" s="130" t="s">
        <v>1456</v>
      </c>
      <c r="F1626" s="171" t="s">
        <v>1658</v>
      </c>
      <c r="G1626" s="171" t="s">
        <v>1658</v>
      </c>
      <c r="H1626" s="171" t="s">
        <v>1658</v>
      </c>
      <c r="I1626" s="171" t="s">
        <v>1658</v>
      </c>
      <c r="J1626" s="132">
        <v>0.9</v>
      </c>
      <c r="K1626" s="133" t="s">
        <v>35</v>
      </c>
      <c r="L1626" s="133" t="s">
        <v>35</v>
      </c>
      <c r="M1626" s="134" t="s">
        <v>35</v>
      </c>
      <c r="N1626" s="133" t="s">
        <v>35</v>
      </c>
      <c r="O1626" s="135">
        <v>0.9</v>
      </c>
      <c r="P1626" s="133" t="s">
        <v>35</v>
      </c>
      <c r="Q1626" s="133" t="s">
        <v>35</v>
      </c>
      <c r="R1626" s="133" t="s">
        <v>35</v>
      </c>
      <c r="S1626" s="133">
        <v>0</v>
      </c>
      <c r="T1626" s="135">
        <v>0.9</v>
      </c>
      <c r="U1626" s="133" t="s">
        <v>35</v>
      </c>
      <c r="V1626" s="133" t="s">
        <v>35</v>
      </c>
      <c r="W1626" s="133" t="s">
        <v>35</v>
      </c>
      <c r="X1626" s="133">
        <v>1</v>
      </c>
      <c r="Y1626" s="135">
        <v>0.92</v>
      </c>
      <c r="Z1626" s="135" t="s">
        <v>35</v>
      </c>
      <c r="AA1626" s="135" t="s">
        <v>35</v>
      </c>
      <c r="AB1626" s="135" t="s">
        <v>35</v>
      </c>
      <c r="AC1626" s="135" t="s">
        <v>35</v>
      </c>
      <c r="AD1626" s="135">
        <v>0.92</v>
      </c>
      <c r="AE1626" s="133">
        <v>0.942446043165468</v>
      </c>
      <c r="AF1626" s="133">
        <v>0.953703703703704</v>
      </c>
      <c r="AG1626" s="133">
        <v>1</v>
      </c>
      <c r="AH1626" s="133">
        <v>0.990287953654796</v>
      </c>
      <c r="AI1626" s="135">
        <v>0.92</v>
      </c>
      <c r="AJ1626" s="133" t="s">
        <v>35</v>
      </c>
      <c r="AK1626" s="133" t="s">
        <v>35</v>
      </c>
      <c r="AL1626" s="133">
        <v>1</v>
      </c>
      <c r="AM1626" s="133">
        <v>0.875</v>
      </c>
      <c r="AN1626" s="132">
        <v>0.99</v>
      </c>
      <c r="AO1626" s="137">
        <v>1</v>
      </c>
      <c r="AP1626" s="137">
        <v>1</v>
      </c>
      <c r="AQ1626" s="137">
        <v>1</v>
      </c>
      <c r="AR1626" s="137">
        <v>1</v>
      </c>
      <c r="AS1626" s="158">
        <v>0.110069253262963</v>
      </c>
      <c r="AT1626" s="141" t="s">
        <v>35</v>
      </c>
      <c r="AU1626" s="141" t="s">
        <v>35</v>
      </c>
      <c r="AV1626" s="141" t="s">
        <v>35</v>
      </c>
      <c r="AW1626" s="141" t="s">
        <v>35</v>
      </c>
      <c r="AX1626" s="95"/>
      <c r="AY1626" s="93"/>
    </row>
    <row r="1627" ht="14.5" spans="1:51">
      <c r="A1627" s="91"/>
      <c r="B1627" s="95"/>
      <c r="C1627" s="152" t="s">
        <v>1455</v>
      </c>
      <c r="D1627" s="153" t="s">
        <v>125</v>
      </c>
      <c r="E1627" s="130" t="s">
        <v>1456</v>
      </c>
      <c r="F1627" s="171" t="s">
        <v>1659</v>
      </c>
      <c r="G1627" s="171" t="s">
        <v>1659</v>
      </c>
      <c r="H1627" s="171" t="s">
        <v>1659</v>
      </c>
      <c r="I1627" s="171" t="s">
        <v>1659</v>
      </c>
      <c r="J1627" s="132">
        <v>0.9</v>
      </c>
      <c r="K1627" s="133" t="s">
        <v>35</v>
      </c>
      <c r="L1627" s="133" t="s">
        <v>35</v>
      </c>
      <c r="M1627" s="134" t="s">
        <v>35</v>
      </c>
      <c r="N1627" s="133" t="s">
        <v>35</v>
      </c>
      <c r="O1627" s="135">
        <v>0.9</v>
      </c>
      <c r="P1627" s="133" t="s">
        <v>35</v>
      </c>
      <c r="Q1627" s="133">
        <v>0</v>
      </c>
      <c r="R1627" s="133" t="s">
        <v>35</v>
      </c>
      <c r="S1627" s="133">
        <v>0.333333333333333</v>
      </c>
      <c r="T1627" s="135">
        <v>0.9</v>
      </c>
      <c r="U1627" s="133" t="s">
        <v>35</v>
      </c>
      <c r="V1627" s="133">
        <v>0</v>
      </c>
      <c r="W1627" s="133" t="s">
        <v>35</v>
      </c>
      <c r="X1627" s="133">
        <v>0.333333333333333</v>
      </c>
      <c r="Y1627" s="135">
        <v>0.92</v>
      </c>
      <c r="Z1627" s="135" t="s">
        <v>35</v>
      </c>
      <c r="AA1627" s="135" t="s">
        <v>35</v>
      </c>
      <c r="AB1627" s="135" t="s">
        <v>35</v>
      </c>
      <c r="AC1627" s="135" t="s">
        <v>35</v>
      </c>
      <c r="AD1627" s="135">
        <v>0.92</v>
      </c>
      <c r="AE1627" s="133">
        <v>0.997624703087886</v>
      </c>
      <c r="AF1627" s="133">
        <v>0.981220657276995</v>
      </c>
      <c r="AG1627" s="133">
        <v>0.987012987012987</v>
      </c>
      <c r="AH1627" s="133">
        <v>0.991661455076089</v>
      </c>
      <c r="AI1627" s="135">
        <v>0.92</v>
      </c>
      <c r="AJ1627" s="133" t="s">
        <v>35</v>
      </c>
      <c r="AK1627" s="133">
        <v>0</v>
      </c>
      <c r="AL1627" s="133" t="s">
        <v>35</v>
      </c>
      <c r="AM1627" s="133">
        <v>0.333333333333333</v>
      </c>
      <c r="AN1627" s="132">
        <v>0.99</v>
      </c>
      <c r="AO1627" s="137" t="s">
        <v>35</v>
      </c>
      <c r="AP1627" s="137">
        <v>1</v>
      </c>
      <c r="AQ1627" s="137">
        <v>1</v>
      </c>
      <c r="AR1627" s="137">
        <v>1</v>
      </c>
      <c r="AS1627" s="158">
        <v>0.110069253262963</v>
      </c>
      <c r="AT1627" s="141" t="s">
        <v>35</v>
      </c>
      <c r="AU1627" s="141" t="s">
        <v>35</v>
      </c>
      <c r="AV1627" s="141" t="s">
        <v>35</v>
      </c>
      <c r="AW1627" s="141" t="s">
        <v>35</v>
      </c>
      <c r="AX1627" s="95"/>
      <c r="AY1627" s="93"/>
    </row>
    <row r="1628" ht="14.5" spans="1:51">
      <c r="A1628" s="91"/>
      <c r="B1628" s="95"/>
      <c r="C1628" s="152" t="s">
        <v>1455</v>
      </c>
      <c r="D1628" s="153" t="s">
        <v>125</v>
      </c>
      <c r="E1628" s="130" t="s">
        <v>1456</v>
      </c>
      <c r="F1628" s="171" t="s">
        <v>1660</v>
      </c>
      <c r="G1628" s="171" t="s">
        <v>1660</v>
      </c>
      <c r="H1628" s="171" t="s">
        <v>1660</v>
      </c>
      <c r="I1628" s="171" t="s">
        <v>1660</v>
      </c>
      <c r="J1628" s="132">
        <v>0.9</v>
      </c>
      <c r="K1628" s="133" t="s">
        <v>35</v>
      </c>
      <c r="L1628" s="133" t="s">
        <v>35</v>
      </c>
      <c r="M1628" s="134" t="s">
        <v>35</v>
      </c>
      <c r="N1628" s="133" t="s">
        <v>35</v>
      </c>
      <c r="O1628" s="135">
        <v>0.9</v>
      </c>
      <c r="P1628" s="133">
        <v>0</v>
      </c>
      <c r="Q1628" s="133" t="s">
        <v>35</v>
      </c>
      <c r="R1628" s="133" t="s">
        <v>35</v>
      </c>
      <c r="S1628" s="133">
        <v>0</v>
      </c>
      <c r="T1628" s="135">
        <v>0.9</v>
      </c>
      <c r="U1628" s="133">
        <v>0</v>
      </c>
      <c r="V1628" s="133" t="s">
        <v>35</v>
      </c>
      <c r="W1628" s="133" t="s">
        <v>35</v>
      </c>
      <c r="X1628" s="133">
        <v>0.6</v>
      </c>
      <c r="Y1628" s="135">
        <v>0.92</v>
      </c>
      <c r="Z1628" s="135" t="s">
        <v>35</v>
      </c>
      <c r="AA1628" s="135" t="s">
        <v>35</v>
      </c>
      <c r="AB1628" s="135" t="s">
        <v>35</v>
      </c>
      <c r="AC1628" s="135">
        <v>0</v>
      </c>
      <c r="AD1628" s="135">
        <v>0.92</v>
      </c>
      <c r="AE1628" s="133">
        <v>0.915690866510539</v>
      </c>
      <c r="AF1628" s="133">
        <v>0.906976744186046</v>
      </c>
      <c r="AG1628" s="133">
        <v>0.99501246882793</v>
      </c>
      <c r="AH1628" s="133">
        <v>0.938482485456121</v>
      </c>
      <c r="AI1628" s="135">
        <v>0.92</v>
      </c>
      <c r="AJ1628" s="133">
        <v>0</v>
      </c>
      <c r="AK1628" s="133" t="s">
        <v>35</v>
      </c>
      <c r="AL1628" s="133">
        <v>0</v>
      </c>
      <c r="AM1628" s="133">
        <v>0.5</v>
      </c>
      <c r="AN1628" s="132">
        <v>0.99</v>
      </c>
      <c r="AO1628" s="137">
        <v>1</v>
      </c>
      <c r="AP1628" s="137">
        <v>1</v>
      </c>
      <c r="AQ1628" s="137">
        <v>1</v>
      </c>
      <c r="AR1628" s="137">
        <v>1</v>
      </c>
      <c r="AS1628" s="158">
        <v>0.110069253262963</v>
      </c>
      <c r="AT1628" s="141" t="s">
        <v>35</v>
      </c>
      <c r="AU1628" s="141" t="s">
        <v>35</v>
      </c>
      <c r="AV1628" s="141" t="s">
        <v>35</v>
      </c>
      <c r="AW1628" s="141" t="s">
        <v>35</v>
      </c>
      <c r="AX1628" s="95"/>
      <c r="AY1628" s="93"/>
    </row>
    <row r="1629" ht="14.5" spans="1:51">
      <c r="A1629" s="91"/>
      <c r="B1629" s="95"/>
      <c r="C1629" s="152" t="s">
        <v>1455</v>
      </c>
      <c r="D1629" s="153" t="s">
        <v>25</v>
      </c>
      <c r="E1629" s="130" t="s">
        <v>1456</v>
      </c>
      <c r="F1629" s="171" t="s">
        <v>1661</v>
      </c>
      <c r="G1629" s="171" t="s">
        <v>1661</v>
      </c>
      <c r="H1629" s="171" t="s">
        <v>1661</v>
      </c>
      <c r="I1629" s="171" t="s">
        <v>1661</v>
      </c>
      <c r="J1629" s="132">
        <v>0.9</v>
      </c>
      <c r="K1629" s="133">
        <v>0.774193548387097</v>
      </c>
      <c r="L1629" s="133">
        <v>0.78125</v>
      </c>
      <c r="M1629" s="134">
        <v>0.814814814814815</v>
      </c>
      <c r="N1629" s="133">
        <v>0.78003696857671</v>
      </c>
      <c r="O1629" s="135">
        <v>0.9</v>
      </c>
      <c r="P1629" s="133">
        <v>0.982269503546099</v>
      </c>
      <c r="Q1629" s="133">
        <v>0.976412506856829</v>
      </c>
      <c r="R1629" s="133">
        <v>0.951524628616106</v>
      </c>
      <c r="S1629" s="133">
        <v>0.969086183971957</v>
      </c>
      <c r="T1629" s="135">
        <v>0.9</v>
      </c>
      <c r="U1629" s="133">
        <v>0.419452887537994</v>
      </c>
      <c r="V1629" s="133">
        <v>0.485463521667581</v>
      </c>
      <c r="W1629" s="133">
        <v>0.404222048475371</v>
      </c>
      <c r="X1629" s="133">
        <v>0.399099480236915</v>
      </c>
      <c r="Y1629" s="135">
        <v>0.92</v>
      </c>
      <c r="Z1629" s="135">
        <v>0.474123539232053</v>
      </c>
      <c r="AA1629" s="135">
        <v>0.493827160493827</v>
      </c>
      <c r="AB1629" s="135">
        <v>0.518241347053321</v>
      </c>
      <c r="AC1629" s="135">
        <v>0.596515509240414</v>
      </c>
      <c r="AD1629" s="135">
        <v>0.92</v>
      </c>
      <c r="AE1629" s="133">
        <v>0.964912280701754</v>
      </c>
      <c r="AF1629" s="133">
        <v>1</v>
      </c>
      <c r="AG1629" s="133">
        <v>0.977272727272727</v>
      </c>
      <c r="AH1629" s="133">
        <v>0.878256750355282</v>
      </c>
      <c r="AI1629" s="135">
        <v>0.92</v>
      </c>
      <c r="AJ1629" s="133">
        <v>0.700970873786408</v>
      </c>
      <c r="AK1629" s="133">
        <v>0.658183241973375</v>
      </c>
      <c r="AL1629" s="133">
        <v>0.623083475298126</v>
      </c>
      <c r="AM1629" s="133">
        <v>0.687017872310919</v>
      </c>
      <c r="AN1629" s="132">
        <v>0.99</v>
      </c>
      <c r="AO1629" s="137" t="s">
        <v>35</v>
      </c>
      <c r="AP1629" s="137">
        <v>1</v>
      </c>
      <c r="AQ1629" s="137" t="s">
        <v>35</v>
      </c>
      <c r="AR1629" s="137">
        <v>1</v>
      </c>
      <c r="AS1629" s="158">
        <v>0.110069253262963</v>
      </c>
      <c r="AT1629" s="141">
        <v>0.0833333333333333</v>
      </c>
      <c r="AU1629" s="141">
        <v>0.0416666666666667</v>
      </c>
      <c r="AV1629" s="141">
        <v>0.2</v>
      </c>
      <c r="AW1629" s="141">
        <v>0.116858237547893</v>
      </c>
      <c r="AX1629" s="95"/>
      <c r="AY1629" s="93"/>
    </row>
    <row r="1630" ht="14.5" spans="1:51">
      <c r="A1630" s="91"/>
      <c r="B1630" s="95"/>
      <c r="C1630" s="152" t="s">
        <v>1455</v>
      </c>
      <c r="D1630" s="153" t="s">
        <v>125</v>
      </c>
      <c r="E1630" s="130" t="s">
        <v>1456</v>
      </c>
      <c r="F1630" s="171" t="s">
        <v>1662</v>
      </c>
      <c r="G1630" s="171" t="s">
        <v>1662</v>
      </c>
      <c r="H1630" s="171" t="s">
        <v>1662</v>
      </c>
      <c r="I1630" s="171" t="s">
        <v>1662</v>
      </c>
      <c r="J1630" s="132">
        <v>0.9</v>
      </c>
      <c r="K1630" s="133" t="s">
        <v>35</v>
      </c>
      <c r="L1630" s="133" t="s">
        <v>35</v>
      </c>
      <c r="M1630" s="134" t="s">
        <v>35</v>
      </c>
      <c r="N1630" s="133" t="s">
        <v>35</v>
      </c>
      <c r="O1630" s="135">
        <v>0.9</v>
      </c>
      <c r="P1630" s="133" t="s">
        <v>35</v>
      </c>
      <c r="Q1630" s="133">
        <v>0</v>
      </c>
      <c r="R1630" s="133" t="s">
        <v>35</v>
      </c>
      <c r="S1630" s="133">
        <v>0</v>
      </c>
      <c r="T1630" s="135">
        <v>0.9</v>
      </c>
      <c r="U1630" s="133" t="s">
        <v>35</v>
      </c>
      <c r="V1630" s="133">
        <v>1</v>
      </c>
      <c r="W1630" s="133" t="s">
        <v>35</v>
      </c>
      <c r="X1630" s="133">
        <v>1</v>
      </c>
      <c r="Y1630" s="135">
        <v>0.92</v>
      </c>
      <c r="Z1630" s="135" t="s">
        <v>35</v>
      </c>
      <c r="AA1630" s="135" t="s">
        <v>35</v>
      </c>
      <c r="AB1630" s="135" t="s">
        <v>35</v>
      </c>
      <c r="AC1630" s="135">
        <v>0</v>
      </c>
      <c r="AD1630" s="135">
        <v>0.92</v>
      </c>
      <c r="AE1630" s="133">
        <v>1</v>
      </c>
      <c r="AF1630" s="133">
        <v>0.994186046511628</v>
      </c>
      <c r="AG1630" s="133">
        <v>0.99112426035503</v>
      </c>
      <c r="AH1630" s="133">
        <v>0.996072727272727</v>
      </c>
      <c r="AI1630" s="135">
        <v>0.92</v>
      </c>
      <c r="AJ1630" s="133" t="s">
        <v>35</v>
      </c>
      <c r="AK1630" s="133">
        <v>1</v>
      </c>
      <c r="AL1630" s="133" t="s">
        <v>35</v>
      </c>
      <c r="AM1630" s="133">
        <v>0.875</v>
      </c>
      <c r="AN1630" s="132">
        <v>0.99</v>
      </c>
      <c r="AO1630" s="137" t="s">
        <v>35</v>
      </c>
      <c r="AP1630" s="137" t="s">
        <v>35</v>
      </c>
      <c r="AQ1630" s="137">
        <v>1</v>
      </c>
      <c r="AR1630" s="137">
        <v>1</v>
      </c>
      <c r="AS1630" s="158">
        <v>0.110069253262963</v>
      </c>
      <c r="AT1630" s="141" t="s">
        <v>35</v>
      </c>
      <c r="AU1630" s="141" t="s">
        <v>35</v>
      </c>
      <c r="AV1630" s="141" t="s">
        <v>35</v>
      </c>
      <c r="AW1630" s="141" t="s">
        <v>35</v>
      </c>
      <c r="AX1630" s="95"/>
      <c r="AY1630" s="93"/>
    </row>
    <row r="1631" ht="14.5" spans="1:51">
      <c r="A1631" s="91"/>
      <c r="B1631" s="95"/>
      <c r="C1631" s="152" t="s">
        <v>1455</v>
      </c>
      <c r="D1631" s="153" t="s">
        <v>25</v>
      </c>
      <c r="E1631" s="130" t="s">
        <v>1456</v>
      </c>
      <c r="F1631" s="171" t="s">
        <v>1663</v>
      </c>
      <c r="G1631" s="171" t="s">
        <v>1663</v>
      </c>
      <c r="H1631" s="171" t="s">
        <v>1663</v>
      </c>
      <c r="I1631" s="171" t="s">
        <v>1663</v>
      </c>
      <c r="J1631" s="132">
        <v>0.9</v>
      </c>
      <c r="K1631" s="133">
        <v>1</v>
      </c>
      <c r="L1631" s="133">
        <v>0.923076923076923</v>
      </c>
      <c r="M1631" s="134">
        <v>0.923076923076923</v>
      </c>
      <c r="N1631" s="133">
        <v>0.960526315789474</v>
      </c>
      <c r="O1631" s="135">
        <v>0.9</v>
      </c>
      <c r="P1631" s="133">
        <v>0.985804416403785</v>
      </c>
      <c r="Q1631" s="133">
        <v>0.995344506517691</v>
      </c>
      <c r="R1631" s="133">
        <v>0.995983935742972</v>
      </c>
      <c r="S1631" s="133">
        <v>0.983950724386224</v>
      </c>
      <c r="T1631" s="135">
        <v>0.9</v>
      </c>
      <c r="U1631" s="133">
        <v>0.904574132492114</v>
      </c>
      <c r="V1631" s="133">
        <v>0.955307262569832</v>
      </c>
      <c r="W1631" s="133">
        <v>0.93574297188755</v>
      </c>
      <c r="X1631" s="133">
        <v>0.919319857725341</v>
      </c>
      <c r="Y1631" s="135">
        <v>0.92</v>
      </c>
      <c r="Z1631" s="135" t="s">
        <v>35</v>
      </c>
      <c r="AA1631" s="135" t="s">
        <v>35</v>
      </c>
      <c r="AB1631" s="135" t="s">
        <v>35</v>
      </c>
      <c r="AC1631" s="135" t="s">
        <v>35</v>
      </c>
      <c r="AD1631" s="135">
        <v>0.92</v>
      </c>
      <c r="AE1631" s="133">
        <v>1</v>
      </c>
      <c r="AF1631" s="133">
        <v>0.885714285714286</v>
      </c>
      <c r="AG1631" s="133">
        <v>1</v>
      </c>
      <c r="AH1631" s="133">
        <v>0.95047619047619</v>
      </c>
      <c r="AI1631" s="135">
        <v>0.92</v>
      </c>
      <c r="AJ1631" s="133">
        <v>0.952681388012618</v>
      </c>
      <c r="AK1631" s="133">
        <v>0.978584729981378</v>
      </c>
      <c r="AL1631" s="133">
        <v>0.980722891566265</v>
      </c>
      <c r="AM1631" s="133">
        <v>0.976576732888002</v>
      </c>
      <c r="AN1631" s="132">
        <v>0.99</v>
      </c>
      <c r="AO1631" s="137">
        <v>1</v>
      </c>
      <c r="AP1631" s="137">
        <v>1</v>
      </c>
      <c r="AQ1631" s="137" t="s">
        <v>35</v>
      </c>
      <c r="AR1631" s="137">
        <v>1</v>
      </c>
      <c r="AS1631" s="158">
        <v>0.110069253262963</v>
      </c>
      <c r="AT1631" s="141">
        <v>0.0425531914893617</v>
      </c>
      <c r="AU1631" s="141">
        <v>0.0377358490566038</v>
      </c>
      <c r="AV1631" s="141">
        <v>0.0204081632653061</v>
      </c>
      <c r="AW1631" s="141">
        <v>0.0470139771283355</v>
      </c>
      <c r="AX1631" s="95"/>
      <c r="AY1631" s="93"/>
    </row>
    <row r="1632" ht="14.5" spans="1:51">
      <c r="A1632" s="91"/>
      <c r="B1632" s="95"/>
      <c r="C1632" s="152" t="s">
        <v>1455</v>
      </c>
      <c r="D1632" s="153" t="s">
        <v>25</v>
      </c>
      <c r="E1632" s="130" t="s">
        <v>1456</v>
      </c>
      <c r="F1632" s="171" t="s">
        <v>1664</v>
      </c>
      <c r="G1632" s="171" t="s">
        <v>1664</v>
      </c>
      <c r="H1632" s="171" t="s">
        <v>1664</v>
      </c>
      <c r="I1632" s="171" t="s">
        <v>1664</v>
      </c>
      <c r="J1632" s="132">
        <v>0.9</v>
      </c>
      <c r="K1632" s="133">
        <v>0.875</v>
      </c>
      <c r="L1632" s="133">
        <v>1</v>
      </c>
      <c r="M1632" s="134">
        <v>0.826086956521739</v>
      </c>
      <c r="N1632" s="133">
        <v>0.947727272727273</v>
      </c>
      <c r="O1632" s="135">
        <v>0.9</v>
      </c>
      <c r="P1632" s="133">
        <v>0.944814462416746</v>
      </c>
      <c r="Q1632" s="133">
        <v>0.98846495119787</v>
      </c>
      <c r="R1632" s="133">
        <v>0.983122362869198</v>
      </c>
      <c r="S1632" s="133">
        <v>0.969933375092535</v>
      </c>
      <c r="T1632" s="135">
        <v>0.9</v>
      </c>
      <c r="U1632" s="133">
        <v>0.451950523311132</v>
      </c>
      <c r="V1632" s="133">
        <v>0.455190771960958</v>
      </c>
      <c r="W1632" s="133">
        <v>0.526722925457103</v>
      </c>
      <c r="X1632" s="133">
        <v>0.477563920050111</v>
      </c>
      <c r="Y1632" s="135">
        <v>0.92</v>
      </c>
      <c r="Z1632" s="135">
        <v>0.653032440056417</v>
      </c>
      <c r="AA1632" s="135">
        <v>0.692307692307692</v>
      </c>
      <c r="AB1632" s="135">
        <v>0.652401746724891</v>
      </c>
      <c r="AC1632" s="135">
        <v>0.708408095138744</v>
      </c>
      <c r="AD1632" s="135">
        <v>0.92</v>
      </c>
      <c r="AE1632" s="133">
        <v>1</v>
      </c>
      <c r="AF1632" s="133">
        <v>1</v>
      </c>
      <c r="AG1632" s="133">
        <v>1</v>
      </c>
      <c r="AH1632" s="133">
        <v>0.940639269406393</v>
      </c>
      <c r="AI1632" s="135">
        <v>0.92</v>
      </c>
      <c r="AJ1632" s="133">
        <v>0.798648167911775</v>
      </c>
      <c r="AK1632" s="133">
        <v>0.831372549019608</v>
      </c>
      <c r="AL1632" s="133">
        <v>0.766056831451927</v>
      </c>
      <c r="AM1632" s="133">
        <v>0.816991473812424</v>
      </c>
      <c r="AN1632" s="132">
        <v>0.99</v>
      </c>
      <c r="AO1632" s="137">
        <v>1</v>
      </c>
      <c r="AP1632" s="137" t="s">
        <v>35</v>
      </c>
      <c r="AQ1632" s="137">
        <v>1</v>
      </c>
      <c r="AR1632" s="137">
        <v>1</v>
      </c>
      <c r="AS1632" s="158">
        <v>0.110069253262963</v>
      </c>
      <c r="AT1632" s="141">
        <v>0.375</v>
      </c>
      <c r="AU1632" s="141">
        <v>0.2</v>
      </c>
      <c r="AV1632" s="141">
        <v>0.0666666666666667</v>
      </c>
      <c r="AW1632" s="141">
        <v>0.0739299610894942</v>
      </c>
      <c r="AX1632" s="95"/>
      <c r="AY1632" s="93"/>
    </row>
    <row r="1633" ht="14.5" spans="1:51">
      <c r="A1633" s="91"/>
      <c r="B1633" s="95"/>
      <c r="C1633" s="152" t="s">
        <v>1455</v>
      </c>
      <c r="D1633" s="153" t="s">
        <v>25</v>
      </c>
      <c r="E1633" s="130" t="s">
        <v>1456</v>
      </c>
      <c r="F1633" s="171" t="s">
        <v>1665</v>
      </c>
      <c r="G1633" s="171" t="s">
        <v>1665</v>
      </c>
      <c r="H1633" s="171" t="s">
        <v>1665</v>
      </c>
      <c r="I1633" s="171" t="s">
        <v>1665</v>
      </c>
      <c r="J1633" s="132">
        <v>0.9</v>
      </c>
      <c r="K1633" s="133">
        <v>1</v>
      </c>
      <c r="L1633" s="133">
        <v>1</v>
      </c>
      <c r="M1633" s="134">
        <v>1</v>
      </c>
      <c r="N1633" s="133">
        <v>0.984674329501916</v>
      </c>
      <c r="O1633" s="135">
        <v>0.9</v>
      </c>
      <c r="P1633" s="133">
        <v>0.903066812705367</v>
      </c>
      <c r="Q1633" s="133">
        <v>0.829339143064633</v>
      </c>
      <c r="R1633" s="133">
        <v>0.941709844559586</v>
      </c>
      <c r="S1633" s="133">
        <v>0.872205447280935</v>
      </c>
      <c r="T1633" s="135">
        <v>0.9</v>
      </c>
      <c r="U1633" s="133">
        <v>0.921686746987952</v>
      </c>
      <c r="V1633" s="133">
        <v>0.872912127814089</v>
      </c>
      <c r="W1633" s="133">
        <v>0.923575129533679</v>
      </c>
      <c r="X1633" s="133">
        <v>0.898343855796505</v>
      </c>
      <c r="Y1633" s="135">
        <v>0.92</v>
      </c>
      <c r="Z1633" s="135">
        <v>0.9625</v>
      </c>
      <c r="AA1633" s="135">
        <v>0.862212943632568</v>
      </c>
      <c r="AB1633" s="135">
        <v>0.756290438533429</v>
      </c>
      <c r="AC1633" s="135">
        <v>0.780331733602762</v>
      </c>
      <c r="AD1633" s="135">
        <v>0.92</v>
      </c>
      <c r="AE1633" s="133">
        <v>0.990291262135922</v>
      </c>
      <c r="AF1633" s="133">
        <v>0.83974358974359</v>
      </c>
      <c r="AG1633" s="133">
        <v>1</v>
      </c>
      <c r="AH1633" s="133">
        <v>0.84546925566343</v>
      </c>
      <c r="AI1633" s="135">
        <v>0.92</v>
      </c>
      <c r="AJ1633" s="133">
        <v>0.971081307627829</v>
      </c>
      <c r="AK1633" s="133">
        <v>0.914346895074946</v>
      </c>
      <c r="AL1633" s="133">
        <v>0.86473594548552</v>
      </c>
      <c r="AM1633" s="133">
        <v>0.891311652253877</v>
      </c>
      <c r="AN1633" s="132">
        <v>0.99</v>
      </c>
      <c r="AO1633" s="137">
        <v>1</v>
      </c>
      <c r="AP1633" s="137">
        <v>1</v>
      </c>
      <c r="AQ1633" s="137">
        <v>1</v>
      </c>
      <c r="AR1633" s="137">
        <v>1</v>
      </c>
      <c r="AS1633" s="158">
        <v>0.110069253262963</v>
      </c>
      <c r="AT1633" s="141">
        <v>0.3125</v>
      </c>
      <c r="AU1633" s="141">
        <v>0</v>
      </c>
      <c r="AV1633" s="141">
        <v>0</v>
      </c>
      <c r="AW1633" s="141">
        <v>0.0660377358490566</v>
      </c>
      <c r="AX1633" s="95"/>
      <c r="AY1633" s="93"/>
    </row>
    <row r="1634" ht="14.5" spans="1:51">
      <c r="A1634" s="91"/>
      <c r="B1634" s="95"/>
      <c r="C1634" s="152" t="s">
        <v>1455</v>
      </c>
      <c r="D1634" s="153" t="s">
        <v>25</v>
      </c>
      <c r="E1634" s="130" t="s">
        <v>1456</v>
      </c>
      <c r="F1634" s="171" t="s">
        <v>1666</v>
      </c>
      <c r="G1634" s="171" t="s">
        <v>1666</v>
      </c>
      <c r="H1634" s="171" t="s">
        <v>1666</v>
      </c>
      <c r="I1634" s="171" t="s">
        <v>1666</v>
      </c>
      <c r="J1634" s="132">
        <v>0.9</v>
      </c>
      <c r="K1634" s="133">
        <v>0.964285714285714</v>
      </c>
      <c r="L1634" s="133">
        <v>0.96</v>
      </c>
      <c r="M1634" s="134">
        <v>0.962962962962963</v>
      </c>
      <c r="N1634" s="133">
        <v>0.932631578947368</v>
      </c>
      <c r="O1634" s="135">
        <v>0.9</v>
      </c>
      <c r="P1634" s="133">
        <v>0.982380579483164</v>
      </c>
      <c r="Q1634" s="133">
        <v>0.979267116682739</v>
      </c>
      <c r="R1634" s="133">
        <v>0.990883868410622</v>
      </c>
      <c r="S1634" s="133">
        <v>0.976905453504071</v>
      </c>
      <c r="T1634" s="135">
        <v>0.9</v>
      </c>
      <c r="U1634" s="133">
        <v>0.898590446358653</v>
      </c>
      <c r="V1634" s="133">
        <v>0.92526518804243</v>
      </c>
      <c r="W1634" s="133">
        <v>0.939754260800634</v>
      </c>
      <c r="X1634" s="133">
        <v>0.918074704414352</v>
      </c>
      <c r="Y1634" s="135">
        <v>0.92</v>
      </c>
      <c r="Z1634" s="135" t="s">
        <v>35</v>
      </c>
      <c r="AA1634" s="135">
        <v>0</v>
      </c>
      <c r="AB1634" s="135">
        <v>0</v>
      </c>
      <c r="AC1634" s="135">
        <v>0</v>
      </c>
      <c r="AD1634" s="135">
        <v>0.92</v>
      </c>
      <c r="AE1634" s="133">
        <v>1</v>
      </c>
      <c r="AF1634" s="133">
        <v>1</v>
      </c>
      <c r="AG1634" s="133">
        <v>1</v>
      </c>
      <c r="AH1634" s="133">
        <v>0.950180795500201</v>
      </c>
      <c r="AI1634" s="135">
        <v>0.92</v>
      </c>
      <c r="AJ1634" s="133">
        <v>0.956147220046985</v>
      </c>
      <c r="AK1634" s="133">
        <v>0.955202312138728</v>
      </c>
      <c r="AL1634" s="133">
        <v>0.965162311955661</v>
      </c>
      <c r="AM1634" s="133">
        <v>0.967691836109124</v>
      </c>
      <c r="AN1634" s="132">
        <v>0.99</v>
      </c>
      <c r="AO1634" s="137" t="s">
        <v>35</v>
      </c>
      <c r="AP1634" s="137" t="s">
        <v>35</v>
      </c>
      <c r="AQ1634" s="137" t="s">
        <v>35</v>
      </c>
      <c r="AR1634" s="137">
        <v>1</v>
      </c>
      <c r="AS1634" s="158">
        <v>0.110069253262963</v>
      </c>
      <c r="AT1634" s="141">
        <v>0.04</v>
      </c>
      <c r="AU1634" s="141">
        <v>0</v>
      </c>
      <c r="AV1634" s="141">
        <v>0</v>
      </c>
      <c r="AW1634" s="141">
        <v>0.0483870967741935</v>
      </c>
      <c r="AX1634" s="95"/>
      <c r="AY1634" s="93"/>
    </row>
    <row r="1635" ht="14.5" spans="1:51">
      <c r="A1635" s="91"/>
      <c r="B1635" s="95"/>
      <c r="C1635" s="152" t="s">
        <v>1455</v>
      </c>
      <c r="D1635" s="153" t="s">
        <v>25</v>
      </c>
      <c r="E1635" s="130" t="s">
        <v>1456</v>
      </c>
      <c r="F1635" s="171" t="s">
        <v>1667</v>
      </c>
      <c r="G1635" s="171" t="s">
        <v>1667</v>
      </c>
      <c r="H1635" s="171" t="s">
        <v>1667</v>
      </c>
      <c r="I1635" s="171" t="s">
        <v>1667</v>
      </c>
      <c r="J1635" s="132">
        <v>0.9</v>
      </c>
      <c r="K1635" s="133">
        <v>0.904761904761905</v>
      </c>
      <c r="L1635" s="133">
        <v>0.904761904761905</v>
      </c>
      <c r="M1635" s="134">
        <v>0.948717948717949</v>
      </c>
      <c r="N1635" s="133">
        <v>0.890560875512996</v>
      </c>
      <c r="O1635" s="135">
        <v>0.9</v>
      </c>
      <c r="P1635" s="133">
        <v>0.977592496091714</v>
      </c>
      <c r="Q1635" s="133">
        <v>0.972304382898629</v>
      </c>
      <c r="R1635" s="133">
        <v>0.986648501362398</v>
      </c>
      <c r="S1635" s="133">
        <v>0.977028066128412</v>
      </c>
      <c r="T1635" s="135">
        <v>0.9</v>
      </c>
      <c r="U1635" s="133">
        <v>0.942417926003127</v>
      </c>
      <c r="V1635" s="133">
        <v>0.948910997579995</v>
      </c>
      <c r="W1635" s="133">
        <v>0.953405994550409</v>
      </c>
      <c r="X1635" s="133">
        <v>0.96373647498215</v>
      </c>
      <c r="Y1635" s="135">
        <v>0.92</v>
      </c>
      <c r="Z1635" s="135">
        <v>0</v>
      </c>
      <c r="AA1635" s="135">
        <v>0</v>
      </c>
      <c r="AB1635" s="135">
        <v>0</v>
      </c>
      <c r="AC1635" s="135">
        <v>0.214285714285714</v>
      </c>
      <c r="AD1635" s="135">
        <v>0.92</v>
      </c>
      <c r="AE1635" s="133">
        <v>0.633333333333333</v>
      </c>
      <c r="AF1635" s="133">
        <v>0.7</v>
      </c>
      <c r="AG1635" s="133">
        <v>1</v>
      </c>
      <c r="AH1635" s="133">
        <v>0.850340136054422</v>
      </c>
      <c r="AI1635" s="135">
        <v>0.92</v>
      </c>
      <c r="AJ1635" s="133">
        <v>0.96121811556481</v>
      </c>
      <c r="AK1635" s="133">
        <v>0.967213114754098</v>
      </c>
      <c r="AL1635" s="133">
        <v>0.972214655407246</v>
      </c>
      <c r="AM1635" s="133">
        <v>0.981343181131765</v>
      </c>
      <c r="AN1635" s="132">
        <v>0.99</v>
      </c>
      <c r="AO1635" s="137" t="s">
        <v>35</v>
      </c>
      <c r="AP1635" s="137" t="s">
        <v>35</v>
      </c>
      <c r="AQ1635" s="137">
        <v>1</v>
      </c>
      <c r="AR1635" s="137">
        <v>1</v>
      </c>
      <c r="AS1635" s="158">
        <v>0.110069253262963</v>
      </c>
      <c r="AT1635" s="141">
        <v>0.032258064516129</v>
      </c>
      <c r="AU1635" s="141">
        <v>0.0512820512820513</v>
      </c>
      <c r="AV1635" s="141">
        <v>0.130434782608696</v>
      </c>
      <c r="AW1635" s="141">
        <v>0.0778210116731518</v>
      </c>
      <c r="AX1635" s="95"/>
      <c r="AY1635" s="93"/>
    </row>
    <row r="1636" ht="14.5" spans="1:51">
      <c r="A1636" s="91"/>
      <c r="B1636" s="95"/>
      <c r="C1636" s="152" t="s">
        <v>1455</v>
      </c>
      <c r="D1636" s="153" t="s">
        <v>25</v>
      </c>
      <c r="E1636" s="130" t="s">
        <v>1456</v>
      </c>
      <c r="F1636" s="171" t="s">
        <v>1668</v>
      </c>
      <c r="G1636" s="171" t="s">
        <v>1668</v>
      </c>
      <c r="H1636" s="171" t="s">
        <v>1668</v>
      </c>
      <c r="I1636" s="171" t="s">
        <v>1668</v>
      </c>
      <c r="J1636" s="132">
        <v>0.9</v>
      </c>
      <c r="K1636" s="133">
        <v>1</v>
      </c>
      <c r="L1636" s="133">
        <v>1</v>
      </c>
      <c r="M1636" s="134">
        <v>0.961538461538462</v>
      </c>
      <c r="N1636" s="133">
        <v>0.995859213250518</v>
      </c>
      <c r="O1636" s="135">
        <v>0.9</v>
      </c>
      <c r="P1636" s="133">
        <v>0.96483267158253</v>
      </c>
      <c r="Q1636" s="133">
        <v>0.766044340723454</v>
      </c>
      <c r="R1636" s="133">
        <v>0.903769045709703</v>
      </c>
      <c r="S1636" s="133">
        <v>0.93470422334083</v>
      </c>
      <c r="T1636" s="135">
        <v>0.9</v>
      </c>
      <c r="U1636" s="133">
        <v>0.719228587634714</v>
      </c>
      <c r="V1636" s="133">
        <v>0.745624270711785</v>
      </c>
      <c r="W1636" s="133">
        <v>0.790697674418605</v>
      </c>
      <c r="X1636" s="133">
        <v>0.770625825568527</v>
      </c>
      <c r="Y1636" s="135">
        <v>0.92</v>
      </c>
      <c r="Z1636" s="135">
        <v>0.815642458100559</v>
      </c>
      <c r="AA1636" s="135">
        <v>0.856012658227848</v>
      </c>
      <c r="AB1636" s="135">
        <v>0.822838847385272</v>
      </c>
      <c r="AC1636" s="135">
        <v>0.86844517342853</v>
      </c>
      <c r="AD1636" s="135">
        <v>0.92</v>
      </c>
      <c r="AE1636" s="133">
        <v>0.995495495495496</v>
      </c>
      <c r="AF1636" s="133">
        <v>0.917293233082707</v>
      </c>
      <c r="AG1636" s="133">
        <v>0.931506849315068</v>
      </c>
      <c r="AH1636" s="133">
        <v>0.99043659043659</v>
      </c>
      <c r="AI1636" s="135">
        <v>0.92</v>
      </c>
      <c r="AJ1636" s="133">
        <v>0.903478260869565</v>
      </c>
      <c r="AK1636" s="133">
        <v>0.894288150042626</v>
      </c>
      <c r="AL1636" s="133">
        <v>0.872252747252747</v>
      </c>
      <c r="AM1636" s="133">
        <v>0.903941593864074</v>
      </c>
      <c r="AN1636" s="132">
        <v>0.99</v>
      </c>
      <c r="AO1636" s="137">
        <v>1</v>
      </c>
      <c r="AP1636" s="137">
        <v>1</v>
      </c>
      <c r="AQ1636" s="137" t="s">
        <v>35</v>
      </c>
      <c r="AR1636" s="137">
        <v>1</v>
      </c>
      <c r="AS1636" s="158">
        <v>0.110069253262963</v>
      </c>
      <c r="AT1636" s="141">
        <v>0</v>
      </c>
      <c r="AU1636" s="141">
        <v>0.05</v>
      </c>
      <c r="AV1636" s="141">
        <v>0.130434782608696</v>
      </c>
      <c r="AW1636" s="141">
        <v>0.0696324951644101</v>
      </c>
      <c r="AX1636" s="95"/>
      <c r="AY1636" s="93"/>
    </row>
    <row r="1637" ht="14.5" spans="1:51">
      <c r="A1637" s="91"/>
      <c r="B1637" s="95"/>
      <c r="C1637" s="152" t="s">
        <v>1455</v>
      </c>
      <c r="D1637" s="153" t="s">
        <v>25</v>
      </c>
      <c r="E1637" s="130" t="s">
        <v>1456</v>
      </c>
      <c r="F1637" s="171" t="s">
        <v>1669</v>
      </c>
      <c r="G1637" s="171" t="s">
        <v>1669</v>
      </c>
      <c r="H1637" s="171" t="s">
        <v>1669</v>
      </c>
      <c r="I1637" s="171" t="s">
        <v>1669</v>
      </c>
      <c r="J1637" s="132">
        <v>0.9</v>
      </c>
      <c r="K1637" s="133">
        <v>0.96</v>
      </c>
      <c r="L1637" s="133">
        <v>1</v>
      </c>
      <c r="M1637" s="134">
        <v>0.954545454545455</v>
      </c>
      <c r="N1637" s="133">
        <v>0.982062780269058</v>
      </c>
      <c r="O1637" s="135">
        <v>0.9</v>
      </c>
      <c r="P1637" s="133">
        <v>0.895283427087841</v>
      </c>
      <c r="Q1637" s="133">
        <v>0.862576687116564</v>
      </c>
      <c r="R1637" s="133">
        <v>0.859395532194481</v>
      </c>
      <c r="S1637" s="133">
        <v>0.876490941522856</v>
      </c>
      <c r="T1637" s="135">
        <v>0.9</v>
      </c>
      <c r="U1637" s="133">
        <v>0.835569017741238</v>
      </c>
      <c r="V1637" s="133">
        <v>0.776278118609407</v>
      </c>
      <c r="W1637" s="133">
        <v>0.848007008322383</v>
      </c>
      <c r="X1637" s="133">
        <v>0.851969654638843</v>
      </c>
      <c r="Y1637" s="135">
        <v>0.92</v>
      </c>
      <c r="Z1637" s="135">
        <v>0.75</v>
      </c>
      <c r="AA1637" s="135">
        <v>0.555555555555556</v>
      </c>
      <c r="AB1637" s="135">
        <v>0.6</v>
      </c>
      <c r="AC1637" s="135">
        <v>0.543478260869565</v>
      </c>
      <c r="AD1637" s="135">
        <v>0.92</v>
      </c>
      <c r="AE1637" s="133">
        <v>1</v>
      </c>
      <c r="AF1637" s="133">
        <v>0.923076923076923</v>
      </c>
      <c r="AG1637" s="133">
        <v>1</v>
      </c>
      <c r="AH1637" s="133">
        <v>0.962264150943396</v>
      </c>
      <c r="AI1637" s="135">
        <v>0.92</v>
      </c>
      <c r="AJ1637" s="133">
        <v>0.934885726606296</v>
      </c>
      <c r="AK1637" s="133">
        <v>0.899348003259984</v>
      </c>
      <c r="AL1637" s="133">
        <v>0.934469200524246</v>
      </c>
      <c r="AM1637" s="133">
        <v>0.955481214616572</v>
      </c>
      <c r="AN1637" s="132">
        <v>0.99</v>
      </c>
      <c r="AO1637" s="137">
        <v>1</v>
      </c>
      <c r="AP1637" s="137">
        <v>1</v>
      </c>
      <c r="AQ1637" s="137">
        <v>1</v>
      </c>
      <c r="AR1637" s="137">
        <v>1</v>
      </c>
      <c r="AS1637" s="158">
        <v>0.110069253262963</v>
      </c>
      <c r="AT1637" s="141">
        <v>0.105263157894737</v>
      </c>
      <c r="AU1637" s="141">
        <v>0.0833333333333333</v>
      </c>
      <c r="AV1637" s="141">
        <v>0.0555555555555556</v>
      </c>
      <c r="AW1637" s="141">
        <v>0.050314465408805</v>
      </c>
      <c r="AX1637" s="95"/>
      <c r="AY1637" s="93"/>
    </row>
    <row r="1638" ht="14.5" spans="1:51">
      <c r="A1638" s="91"/>
      <c r="B1638" s="95"/>
      <c r="C1638" s="152" t="s">
        <v>1455</v>
      </c>
      <c r="D1638" s="153" t="s">
        <v>25</v>
      </c>
      <c r="E1638" s="130" t="s">
        <v>1456</v>
      </c>
      <c r="F1638" s="171" t="s">
        <v>1670</v>
      </c>
      <c r="G1638" s="171" t="s">
        <v>1670</v>
      </c>
      <c r="H1638" s="171" t="s">
        <v>1670</v>
      </c>
      <c r="I1638" s="171" t="s">
        <v>1670</v>
      </c>
      <c r="J1638" s="132">
        <v>0.9</v>
      </c>
      <c r="K1638" s="133">
        <v>1</v>
      </c>
      <c r="L1638" s="133">
        <v>1</v>
      </c>
      <c r="M1638" s="134">
        <v>1</v>
      </c>
      <c r="N1638" s="133">
        <v>0.9846547314578</v>
      </c>
      <c r="O1638" s="135">
        <v>0.9</v>
      </c>
      <c r="P1638" s="133">
        <v>0.99692118226601</v>
      </c>
      <c r="Q1638" s="133">
        <v>0.99869109947644</v>
      </c>
      <c r="R1638" s="133">
        <v>0.994693396226415</v>
      </c>
      <c r="S1638" s="133">
        <v>0.993335419274093</v>
      </c>
      <c r="T1638" s="135">
        <v>0.9</v>
      </c>
      <c r="U1638" s="133">
        <v>0.916871921182266</v>
      </c>
      <c r="V1638" s="133">
        <v>0.931282722513089</v>
      </c>
      <c r="W1638" s="133">
        <v>0.949292452830189</v>
      </c>
      <c r="X1638" s="133">
        <v>0.937578222778473</v>
      </c>
      <c r="Y1638" s="135">
        <v>0.92</v>
      </c>
      <c r="Z1638" s="135" t="s">
        <v>35</v>
      </c>
      <c r="AA1638" s="135" t="s">
        <v>35</v>
      </c>
      <c r="AB1638" s="135" t="s">
        <v>35</v>
      </c>
      <c r="AC1638" s="135" t="s">
        <v>35</v>
      </c>
      <c r="AD1638" s="135">
        <v>0.92</v>
      </c>
      <c r="AE1638" s="133">
        <v>0.979591836734694</v>
      </c>
      <c r="AF1638" s="133">
        <v>0.622950819672131</v>
      </c>
      <c r="AG1638" s="133">
        <v>1</v>
      </c>
      <c r="AH1638" s="133">
        <v>0.955673758865248</v>
      </c>
      <c r="AI1638" s="135">
        <v>0.92</v>
      </c>
      <c r="AJ1638" s="133">
        <v>0.952586206896552</v>
      </c>
      <c r="AK1638" s="133">
        <v>0.967277486910995</v>
      </c>
      <c r="AL1638" s="133">
        <v>0.981132075471698</v>
      </c>
      <c r="AM1638" s="133">
        <v>0.97662703379224</v>
      </c>
      <c r="AN1638" s="132">
        <v>0.99</v>
      </c>
      <c r="AO1638" s="137">
        <v>1</v>
      </c>
      <c r="AP1638" s="137">
        <v>1</v>
      </c>
      <c r="AQ1638" s="137">
        <v>1</v>
      </c>
      <c r="AR1638" s="137">
        <v>1</v>
      </c>
      <c r="AS1638" s="158">
        <v>0.110069253262963</v>
      </c>
      <c r="AT1638" s="141">
        <v>0</v>
      </c>
      <c r="AU1638" s="141">
        <v>0</v>
      </c>
      <c r="AV1638" s="141">
        <v>0.1</v>
      </c>
      <c r="AW1638" s="141">
        <v>0.0610169491525424</v>
      </c>
      <c r="AX1638" s="95"/>
      <c r="AY1638" s="93"/>
    </row>
    <row r="1639" ht="14.5" spans="1:51">
      <c r="A1639" s="91"/>
      <c r="B1639" s="95"/>
      <c r="C1639" s="152" t="s">
        <v>1455</v>
      </c>
      <c r="D1639" s="153" t="s">
        <v>25</v>
      </c>
      <c r="E1639" s="130" t="s">
        <v>1456</v>
      </c>
      <c r="F1639" s="171" t="s">
        <v>1671</v>
      </c>
      <c r="G1639" s="171" t="s">
        <v>1671</v>
      </c>
      <c r="H1639" s="171" t="s">
        <v>1671</v>
      </c>
      <c r="I1639" s="171" t="s">
        <v>1671</v>
      </c>
      <c r="J1639" s="132">
        <v>0.9</v>
      </c>
      <c r="K1639" s="133">
        <v>0.96</v>
      </c>
      <c r="L1639" s="133">
        <v>0.978723404255319</v>
      </c>
      <c r="M1639" s="134">
        <v>0.954545454545455</v>
      </c>
      <c r="N1639" s="133">
        <v>0.971764705882353</v>
      </c>
      <c r="O1639" s="135">
        <v>0.9</v>
      </c>
      <c r="P1639" s="133">
        <v>0.917699553792762</v>
      </c>
      <c r="Q1639" s="133">
        <v>0.924636886818306</v>
      </c>
      <c r="R1639" s="133">
        <v>0.974152240929571</v>
      </c>
      <c r="S1639" s="133">
        <v>0.937032115463049</v>
      </c>
      <c r="T1639" s="135">
        <v>0.9</v>
      </c>
      <c r="U1639" s="133">
        <v>0.812345066931086</v>
      </c>
      <c r="V1639" s="133">
        <v>0.816662099205262</v>
      </c>
      <c r="W1639" s="133">
        <v>0.898743182357126</v>
      </c>
      <c r="X1639" s="133">
        <v>0.881181996395069</v>
      </c>
      <c r="Y1639" s="135">
        <v>0.92</v>
      </c>
      <c r="Z1639" s="135" t="s">
        <v>35</v>
      </c>
      <c r="AA1639" s="135" t="s">
        <v>35</v>
      </c>
      <c r="AB1639" s="135" t="s">
        <v>35</v>
      </c>
      <c r="AC1639" s="135">
        <v>1</v>
      </c>
      <c r="AD1639" s="135">
        <v>0.92</v>
      </c>
      <c r="AE1639" s="133">
        <v>0.896634615384615</v>
      </c>
      <c r="AF1639" s="133">
        <v>0.965087281795511</v>
      </c>
      <c r="AG1639" s="133">
        <v>0.890547263681592</v>
      </c>
      <c r="AH1639" s="133">
        <v>0.94202552785399</v>
      </c>
      <c r="AI1639" s="135">
        <v>0.92</v>
      </c>
      <c r="AJ1639" s="133">
        <v>0.902354399008674</v>
      </c>
      <c r="AK1639" s="133">
        <v>0.869041095890411</v>
      </c>
      <c r="AL1639" s="133">
        <v>0.933127815982926</v>
      </c>
      <c r="AM1639" s="133">
        <v>0.938218655440074</v>
      </c>
      <c r="AN1639" s="132">
        <v>0.99</v>
      </c>
      <c r="AO1639" s="137">
        <v>1</v>
      </c>
      <c r="AP1639" s="137">
        <v>1</v>
      </c>
      <c r="AQ1639" s="137">
        <v>1</v>
      </c>
      <c r="AR1639" s="137">
        <v>1</v>
      </c>
      <c r="AS1639" s="158">
        <v>0.110069253262963</v>
      </c>
      <c r="AT1639" s="141">
        <v>0.1</v>
      </c>
      <c r="AU1639" s="141">
        <v>0</v>
      </c>
      <c r="AV1639" s="141">
        <v>0.0645161290322581</v>
      </c>
      <c r="AW1639" s="141">
        <v>0.0502431118314425</v>
      </c>
      <c r="AX1639" s="95"/>
      <c r="AY1639" s="93"/>
    </row>
    <row r="1640" ht="14.5" spans="1:51">
      <c r="A1640" s="91"/>
      <c r="B1640" s="95"/>
      <c r="C1640" s="152" t="s">
        <v>1455</v>
      </c>
      <c r="D1640" s="153" t="s">
        <v>25</v>
      </c>
      <c r="E1640" s="130" t="s">
        <v>1456</v>
      </c>
      <c r="F1640" s="171" t="s">
        <v>1672</v>
      </c>
      <c r="G1640" s="171" t="s">
        <v>1672</v>
      </c>
      <c r="H1640" s="171" t="s">
        <v>1672</v>
      </c>
      <c r="I1640" s="171" t="s">
        <v>1672</v>
      </c>
      <c r="J1640" s="132">
        <v>0.9</v>
      </c>
      <c r="K1640" s="133">
        <v>1</v>
      </c>
      <c r="L1640" s="133">
        <v>0.925925925925926</v>
      </c>
      <c r="M1640" s="134">
        <v>0.875</v>
      </c>
      <c r="N1640" s="133">
        <v>0.943548387096774</v>
      </c>
      <c r="O1640" s="135">
        <v>0.9</v>
      </c>
      <c r="P1640" s="133">
        <v>0.858403529883674</v>
      </c>
      <c r="Q1640" s="133">
        <v>0.909836065573771</v>
      </c>
      <c r="R1640" s="133">
        <v>0.968135326514555</v>
      </c>
      <c r="S1640" s="133">
        <v>0.917024409465149</v>
      </c>
      <c r="T1640" s="135">
        <v>0.9</v>
      </c>
      <c r="U1640" s="133">
        <v>0.773365423184918</v>
      </c>
      <c r="V1640" s="133">
        <v>0.830457290767903</v>
      </c>
      <c r="W1640" s="133">
        <v>0.920535011801731</v>
      </c>
      <c r="X1640" s="133">
        <v>0.848752566415728</v>
      </c>
      <c r="Y1640" s="135">
        <v>0.92</v>
      </c>
      <c r="Z1640" s="135" t="s">
        <v>35</v>
      </c>
      <c r="AA1640" s="135" t="s">
        <v>35</v>
      </c>
      <c r="AB1640" s="135" t="s">
        <v>35</v>
      </c>
      <c r="AC1640" s="135" t="s">
        <v>35</v>
      </c>
      <c r="AD1640" s="135">
        <v>0.92</v>
      </c>
      <c r="AE1640" s="133">
        <v>1</v>
      </c>
      <c r="AF1640" s="133">
        <v>0.986842105263158</v>
      </c>
      <c r="AG1640" s="133">
        <v>1</v>
      </c>
      <c r="AH1640" s="133">
        <v>0.980604045441951</v>
      </c>
      <c r="AI1640" s="135">
        <v>0.92</v>
      </c>
      <c r="AJ1640" s="133">
        <v>0.881267549137585</v>
      </c>
      <c r="AK1640" s="133">
        <v>0.879637618636756</v>
      </c>
      <c r="AL1640" s="133">
        <v>0.947285601888277</v>
      </c>
      <c r="AM1640" s="133">
        <v>0.919846536706761</v>
      </c>
      <c r="AN1640" s="132">
        <v>0.99</v>
      </c>
      <c r="AO1640" s="137">
        <v>1</v>
      </c>
      <c r="AP1640" s="137">
        <v>1</v>
      </c>
      <c r="AQ1640" s="137">
        <v>1</v>
      </c>
      <c r="AR1640" s="137">
        <v>1</v>
      </c>
      <c r="AS1640" s="158">
        <v>0.110069253262963</v>
      </c>
      <c r="AT1640" s="141">
        <v>0.0625</v>
      </c>
      <c r="AU1640" s="141">
        <v>0.0769230769230769</v>
      </c>
      <c r="AV1640" s="141">
        <v>0.0769230769230769</v>
      </c>
      <c r="AW1640" s="141">
        <v>0.0650887573964497</v>
      </c>
      <c r="AX1640" s="95"/>
      <c r="AY1640" s="93"/>
    </row>
    <row r="1641" ht="14.5" spans="1:51">
      <c r="A1641" s="91"/>
      <c r="B1641" s="95"/>
      <c r="C1641" s="152" t="s">
        <v>1455</v>
      </c>
      <c r="D1641" s="153" t="s">
        <v>25</v>
      </c>
      <c r="E1641" s="130" t="s">
        <v>1456</v>
      </c>
      <c r="F1641" s="171" t="s">
        <v>1673</v>
      </c>
      <c r="G1641" s="171" t="s">
        <v>1673</v>
      </c>
      <c r="H1641" s="171" t="s">
        <v>1673</v>
      </c>
      <c r="I1641" s="171" t="s">
        <v>1673</v>
      </c>
      <c r="J1641" s="132">
        <v>0.9</v>
      </c>
      <c r="K1641" s="133">
        <v>1</v>
      </c>
      <c r="L1641" s="133">
        <v>0.954545454545455</v>
      </c>
      <c r="M1641" s="134">
        <v>1</v>
      </c>
      <c r="N1641" s="133">
        <v>0.950749464668094</v>
      </c>
      <c r="O1641" s="135">
        <v>0.9</v>
      </c>
      <c r="P1641" s="133">
        <v>0.939015939015939</v>
      </c>
      <c r="Q1641" s="133">
        <v>0.911301859799714</v>
      </c>
      <c r="R1641" s="133">
        <v>0.952674897119342</v>
      </c>
      <c r="S1641" s="133">
        <v>0.924198885405782</v>
      </c>
      <c r="T1641" s="135">
        <v>0.9</v>
      </c>
      <c r="U1641" s="133">
        <v>0.693693693693694</v>
      </c>
      <c r="V1641" s="133">
        <v>0.623748211731044</v>
      </c>
      <c r="W1641" s="133">
        <v>0.726337448559671</v>
      </c>
      <c r="X1641" s="133">
        <v>0.709204110066179</v>
      </c>
      <c r="Y1641" s="135">
        <v>0.92</v>
      </c>
      <c r="Z1641" s="135">
        <v>0.881235154394299</v>
      </c>
      <c r="AA1641" s="135">
        <v>0.822898032200358</v>
      </c>
      <c r="AB1641" s="135">
        <v>0.858990944372574</v>
      </c>
      <c r="AC1641" s="135">
        <v>0.880459379950215</v>
      </c>
      <c r="AD1641" s="135">
        <v>0.92</v>
      </c>
      <c r="AE1641" s="133">
        <v>1</v>
      </c>
      <c r="AF1641" s="133">
        <v>1</v>
      </c>
      <c r="AG1641" s="133">
        <v>0.987654320987654</v>
      </c>
      <c r="AH1641" s="133">
        <v>0.969601677148847</v>
      </c>
      <c r="AI1641" s="135">
        <v>0.92</v>
      </c>
      <c r="AJ1641" s="133">
        <v>0.900804289544236</v>
      </c>
      <c r="AK1641" s="133">
        <v>0.846782431052094</v>
      </c>
      <c r="AL1641" s="133">
        <v>0.870635374928449</v>
      </c>
      <c r="AM1641" s="133">
        <v>0.900932973238399</v>
      </c>
      <c r="AN1641" s="132">
        <v>0.99</v>
      </c>
      <c r="AO1641" s="137">
        <v>1</v>
      </c>
      <c r="AP1641" s="137" t="s">
        <v>35</v>
      </c>
      <c r="AQ1641" s="137">
        <v>1</v>
      </c>
      <c r="AR1641" s="137">
        <v>1</v>
      </c>
      <c r="AS1641" s="158">
        <v>0.110069253262963</v>
      </c>
      <c r="AT1641" s="141">
        <v>0.0555555555555556</v>
      </c>
      <c r="AU1641" s="141">
        <v>0</v>
      </c>
      <c r="AV1641" s="141">
        <v>0.0625</v>
      </c>
      <c r="AW1641" s="141">
        <v>0.0703883495145631</v>
      </c>
      <c r="AX1641" s="95"/>
      <c r="AY1641" s="93"/>
    </row>
    <row r="1642" ht="14.5" spans="1:51">
      <c r="A1642" s="91"/>
      <c r="B1642" s="95"/>
      <c r="C1642" s="152" t="s">
        <v>1455</v>
      </c>
      <c r="D1642" s="153" t="s">
        <v>25</v>
      </c>
      <c r="E1642" s="130" t="s">
        <v>1456</v>
      </c>
      <c r="F1642" s="171" t="s">
        <v>1674</v>
      </c>
      <c r="G1642" s="171" t="s">
        <v>1674</v>
      </c>
      <c r="H1642" s="171" t="s">
        <v>1674</v>
      </c>
      <c r="I1642" s="171" t="s">
        <v>1674</v>
      </c>
      <c r="J1642" s="132">
        <v>0.9</v>
      </c>
      <c r="K1642" s="133">
        <v>0.96969696969697</v>
      </c>
      <c r="L1642" s="133">
        <v>0.941176470588235</v>
      </c>
      <c r="M1642" s="134">
        <v>1</v>
      </c>
      <c r="N1642" s="133">
        <v>0.963934426229508</v>
      </c>
      <c r="O1642" s="135">
        <v>0.9</v>
      </c>
      <c r="P1642" s="133">
        <v>0.808223795079205</v>
      </c>
      <c r="Q1642" s="133">
        <v>0.65553235908142</v>
      </c>
      <c r="R1642" s="133">
        <v>0.722923238696109</v>
      </c>
      <c r="S1642" s="133">
        <v>0.771615774003919</v>
      </c>
      <c r="T1642" s="135">
        <v>0.9</v>
      </c>
      <c r="U1642" s="133">
        <v>0.573980451634648</v>
      </c>
      <c r="V1642" s="133">
        <v>0.614126652748782</v>
      </c>
      <c r="W1642" s="133">
        <v>0.595688748685594</v>
      </c>
      <c r="X1642" s="133">
        <v>0.61791721097322</v>
      </c>
      <c r="Y1642" s="135">
        <v>0.92</v>
      </c>
      <c r="Z1642" s="135">
        <v>0.713991769547325</v>
      </c>
      <c r="AA1642" s="135">
        <v>0.72210953346856</v>
      </c>
      <c r="AB1642" s="135">
        <v>0.660727542687454</v>
      </c>
      <c r="AC1642" s="135">
        <v>0.75348673922063</v>
      </c>
      <c r="AD1642" s="135">
        <v>0.92</v>
      </c>
      <c r="AE1642" s="133">
        <v>0.772727272727273</v>
      </c>
      <c r="AF1642" s="133">
        <v>0.58974358974359</v>
      </c>
      <c r="AG1642" s="133">
        <v>0.976190476190476</v>
      </c>
      <c r="AH1642" s="133">
        <v>0.938375350140056</v>
      </c>
      <c r="AI1642" s="135">
        <v>0.92</v>
      </c>
      <c r="AJ1642" s="133">
        <v>0.821782178217822</v>
      </c>
      <c r="AK1642" s="133">
        <v>0.823148627654065</v>
      </c>
      <c r="AL1642" s="133">
        <v>0.73160972606956</v>
      </c>
      <c r="AM1642" s="133">
        <v>0.83003185347402</v>
      </c>
      <c r="AN1642" s="132">
        <v>0.99</v>
      </c>
      <c r="AO1642" s="137" t="s">
        <v>35</v>
      </c>
      <c r="AP1642" s="137">
        <v>1</v>
      </c>
      <c r="AQ1642" s="137" t="s">
        <v>35</v>
      </c>
      <c r="AR1642" s="137">
        <v>1</v>
      </c>
      <c r="AS1642" s="158">
        <v>0.110069253262963</v>
      </c>
      <c r="AT1642" s="141">
        <v>0.125</v>
      </c>
      <c r="AU1642" s="141">
        <v>0.129032258064516</v>
      </c>
      <c r="AV1642" s="141">
        <v>0.125</v>
      </c>
      <c r="AW1642" s="141">
        <v>0.121593291404612</v>
      </c>
      <c r="AX1642" s="95"/>
      <c r="AY1642" s="93"/>
    </row>
    <row r="1643" ht="14.5" spans="1:51">
      <c r="A1643" s="91"/>
      <c r="B1643" s="95"/>
      <c r="C1643" s="152" t="s">
        <v>1455</v>
      </c>
      <c r="D1643" s="153" t="s">
        <v>25</v>
      </c>
      <c r="E1643" s="130" t="s">
        <v>1456</v>
      </c>
      <c r="F1643" s="171" t="s">
        <v>1675</v>
      </c>
      <c r="G1643" s="171" t="s">
        <v>1675</v>
      </c>
      <c r="H1643" s="171" t="s">
        <v>1675</v>
      </c>
      <c r="I1643" s="171" t="s">
        <v>1675</v>
      </c>
      <c r="J1643" s="132">
        <v>0.9</v>
      </c>
      <c r="K1643" s="133">
        <v>1</v>
      </c>
      <c r="L1643" s="133">
        <v>1</v>
      </c>
      <c r="M1643" s="134">
        <v>1</v>
      </c>
      <c r="N1643" s="133">
        <v>0.981418918918919</v>
      </c>
      <c r="O1643" s="135">
        <v>0.9</v>
      </c>
      <c r="P1643" s="133">
        <v>0.888827433628319</v>
      </c>
      <c r="Q1643" s="133">
        <v>0.872611464968153</v>
      </c>
      <c r="R1643" s="133">
        <v>0.785394515948517</v>
      </c>
      <c r="S1643" s="133">
        <v>0.890517953776024</v>
      </c>
      <c r="T1643" s="135">
        <v>0.9</v>
      </c>
      <c r="U1643" s="133">
        <v>0.829922566371681</v>
      </c>
      <c r="V1643" s="133">
        <v>0.82828025477707</v>
      </c>
      <c r="W1643" s="133">
        <v>0.872971460548405</v>
      </c>
      <c r="X1643" s="133">
        <v>0.820475568469597</v>
      </c>
      <c r="Y1643" s="135">
        <v>0.92</v>
      </c>
      <c r="Z1643" s="135">
        <v>0</v>
      </c>
      <c r="AA1643" s="135">
        <v>0.333333333333333</v>
      </c>
      <c r="AB1643" s="135">
        <v>0</v>
      </c>
      <c r="AC1643" s="135">
        <v>0.103030303030303</v>
      </c>
      <c r="AD1643" s="135">
        <v>0.92</v>
      </c>
      <c r="AE1643" s="133">
        <v>0.0415512465373961</v>
      </c>
      <c r="AF1643" s="133">
        <v>0.4625</v>
      </c>
      <c r="AG1643" s="133">
        <v>0.984375</v>
      </c>
      <c r="AH1643" s="133">
        <v>0.728978007761966</v>
      </c>
      <c r="AI1643" s="135">
        <v>0.92</v>
      </c>
      <c r="AJ1643" s="133">
        <v>0.981752833840199</v>
      </c>
      <c r="AK1643" s="133">
        <v>0.963085539714868</v>
      </c>
      <c r="AL1643" s="133">
        <v>0.961216517857143</v>
      </c>
      <c r="AM1643" s="133">
        <v>0.96354838280845</v>
      </c>
      <c r="AN1643" s="132">
        <v>0.99</v>
      </c>
      <c r="AO1643" s="137">
        <v>1</v>
      </c>
      <c r="AP1643" s="137">
        <v>1</v>
      </c>
      <c r="AQ1643" s="137">
        <v>1</v>
      </c>
      <c r="AR1643" s="137">
        <v>1</v>
      </c>
      <c r="AS1643" s="158">
        <v>0.110069253262963</v>
      </c>
      <c r="AT1643" s="141">
        <v>0.142857142857143</v>
      </c>
      <c r="AU1643" s="141">
        <v>0</v>
      </c>
      <c r="AV1643" s="141">
        <v>0</v>
      </c>
      <c r="AW1643" s="141">
        <v>0.087719298245614</v>
      </c>
      <c r="AX1643" s="95"/>
      <c r="AY1643" s="93"/>
    </row>
    <row r="1644" ht="14.5" spans="1:51">
      <c r="A1644" s="91"/>
      <c r="B1644" s="95"/>
      <c r="C1644" s="152" t="s">
        <v>1455</v>
      </c>
      <c r="D1644" s="153" t="s">
        <v>25</v>
      </c>
      <c r="E1644" s="130" t="s">
        <v>1456</v>
      </c>
      <c r="F1644" s="171" t="s">
        <v>1676</v>
      </c>
      <c r="G1644" s="171" t="s">
        <v>1676</v>
      </c>
      <c r="H1644" s="171" t="s">
        <v>1676</v>
      </c>
      <c r="I1644" s="171" t="s">
        <v>1676</v>
      </c>
      <c r="J1644" s="132">
        <v>0.9</v>
      </c>
      <c r="K1644" s="133">
        <v>0.957446808510638</v>
      </c>
      <c r="L1644" s="133">
        <v>0.928571428571429</v>
      </c>
      <c r="M1644" s="134">
        <v>0.954545454545455</v>
      </c>
      <c r="N1644" s="133">
        <v>0.917396745932415</v>
      </c>
      <c r="O1644" s="135">
        <v>0.9</v>
      </c>
      <c r="P1644" s="133">
        <v>0.831930693069307</v>
      </c>
      <c r="Q1644" s="133">
        <v>0.763186221743811</v>
      </c>
      <c r="R1644" s="133">
        <v>0.870613511577942</v>
      </c>
      <c r="S1644" s="133">
        <v>0.8258654562699</v>
      </c>
      <c r="T1644" s="135">
        <v>0.9</v>
      </c>
      <c r="U1644" s="133">
        <v>0.716089108910891</v>
      </c>
      <c r="V1644" s="133">
        <v>0.700753498385361</v>
      </c>
      <c r="W1644" s="133">
        <v>0.776080210074003</v>
      </c>
      <c r="X1644" s="133">
        <v>0.728731115778064</v>
      </c>
      <c r="Y1644" s="135">
        <v>0.92</v>
      </c>
      <c r="Z1644" s="135" t="s">
        <v>35</v>
      </c>
      <c r="AA1644" s="135" t="s">
        <v>35</v>
      </c>
      <c r="AB1644" s="135" t="s">
        <v>35</v>
      </c>
      <c r="AC1644" s="135" t="s">
        <v>35</v>
      </c>
      <c r="AD1644" s="135">
        <v>0.92</v>
      </c>
      <c r="AE1644" s="133">
        <v>0.911308203991131</v>
      </c>
      <c r="AF1644" s="133">
        <v>0.99748743718593</v>
      </c>
      <c r="AG1644" s="133">
        <v>0.989769820971867</v>
      </c>
      <c r="AH1644" s="133">
        <v>0.936563169164882</v>
      </c>
      <c r="AI1644" s="135">
        <v>0.92</v>
      </c>
      <c r="AJ1644" s="133">
        <v>0.837871287128713</v>
      </c>
      <c r="AK1644" s="133">
        <v>0.814585575888052</v>
      </c>
      <c r="AL1644" s="133">
        <v>0.844831702076868</v>
      </c>
      <c r="AM1644" s="133">
        <v>0.866336969040038</v>
      </c>
      <c r="AN1644" s="132">
        <v>0.99</v>
      </c>
      <c r="AO1644" s="137">
        <v>1</v>
      </c>
      <c r="AP1644" s="137" t="s">
        <v>35</v>
      </c>
      <c r="AQ1644" s="137">
        <v>1</v>
      </c>
      <c r="AR1644" s="137">
        <v>1</v>
      </c>
      <c r="AS1644" s="158">
        <v>0.110069253262963</v>
      </c>
      <c r="AT1644" s="141">
        <v>0.0967741935483871</v>
      </c>
      <c r="AU1644" s="141">
        <v>0.24</v>
      </c>
      <c r="AV1644" s="141">
        <v>0.0833333333333333</v>
      </c>
      <c r="AW1644" s="141">
        <v>0.117416829745597</v>
      </c>
      <c r="AX1644" s="95"/>
      <c r="AY1644" s="93"/>
    </row>
    <row r="1645" ht="14.5" spans="1:51">
      <c r="A1645" s="91"/>
      <c r="B1645" s="95"/>
      <c r="C1645" s="152" t="s">
        <v>1455</v>
      </c>
      <c r="D1645" s="153" t="s">
        <v>25</v>
      </c>
      <c r="E1645" s="130" t="s">
        <v>1456</v>
      </c>
      <c r="F1645" s="171" t="s">
        <v>1677</v>
      </c>
      <c r="G1645" s="171" t="s">
        <v>1677</v>
      </c>
      <c r="H1645" s="171" t="s">
        <v>1677</v>
      </c>
      <c r="I1645" s="171" t="s">
        <v>1677</v>
      </c>
      <c r="J1645" s="132">
        <v>0.9</v>
      </c>
      <c r="K1645" s="133">
        <v>0.923076923076923</v>
      </c>
      <c r="L1645" s="133">
        <v>0.961538461538462</v>
      </c>
      <c r="M1645" s="134">
        <v>1</v>
      </c>
      <c r="N1645" s="133">
        <v>0.967078189300412</v>
      </c>
      <c r="O1645" s="135">
        <v>0.9</v>
      </c>
      <c r="P1645" s="133">
        <v>0.866666666666667</v>
      </c>
      <c r="Q1645" s="133">
        <v>0.827247742442089</v>
      </c>
      <c r="R1645" s="133">
        <v>0.807576409814895</v>
      </c>
      <c r="S1645" s="133">
        <v>0.819633248371566</v>
      </c>
      <c r="T1645" s="135">
        <v>0.9</v>
      </c>
      <c r="U1645" s="133">
        <v>0.7957805907173</v>
      </c>
      <c r="V1645" s="133">
        <v>0.820180604632901</v>
      </c>
      <c r="W1645" s="133">
        <v>0.868273783900129</v>
      </c>
      <c r="X1645" s="133">
        <v>0.824359246672331</v>
      </c>
      <c r="Y1645" s="135">
        <v>0.92</v>
      </c>
      <c r="Z1645" s="135">
        <v>0</v>
      </c>
      <c r="AA1645" s="135">
        <v>0</v>
      </c>
      <c r="AB1645" s="135">
        <v>0.428571428571429</v>
      </c>
      <c r="AC1645" s="135">
        <v>0.189655172413793</v>
      </c>
      <c r="AD1645" s="135">
        <v>0.92</v>
      </c>
      <c r="AE1645" s="133">
        <v>1</v>
      </c>
      <c r="AF1645" s="133">
        <v>1</v>
      </c>
      <c r="AG1645" s="133">
        <v>0.966666666666667</v>
      </c>
      <c r="AH1645" s="133">
        <v>0.9852045256745</v>
      </c>
      <c r="AI1645" s="135">
        <v>0.92</v>
      </c>
      <c r="AJ1645" s="133">
        <v>0.951075495571489</v>
      </c>
      <c r="AK1645" s="133">
        <v>0.942330325617889</v>
      </c>
      <c r="AL1645" s="133">
        <v>0.939914163090129</v>
      </c>
      <c r="AM1645" s="133">
        <v>0.965243805520725</v>
      </c>
      <c r="AN1645" s="132">
        <v>0.99</v>
      </c>
      <c r="AO1645" s="137">
        <v>1</v>
      </c>
      <c r="AP1645" s="137">
        <v>1</v>
      </c>
      <c r="AQ1645" s="137">
        <v>1</v>
      </c>
      <c r="AR1645" s="137">
        <v>1</v>
      </c>
      <c r="AS1645" s="158">
        <v>0.110069253262963</v>
      </c>
      <c r="AT1645" s="141">
        <v>0.142857142857143</v>
      </c>
      <c r="AU1645" s="141">
        <v>0</v>
      </c>
      <c r="AV1645" s="141">
        <v>0.0625</v>
      </c>
      <c r="AW1645" s="141">
        <v>0.0427927927927928</v>
      </c>
      <c r="AX1645" s="95"/>
      <c r="AY1645" s="93"/>
    </row>
    <row r="1646" ht="14.5" spans="1:51">
      <c r="A1646" s="91"/>
      <c r="B1646" s="95"/>
      <c r="C1646" s="152" t="s">
        <v>1455</v>
      </c>
      <c r="D1646" s="153" t="s">
        <v>25</v>
      </c>
      <c r="E1646" s="130" t="s">
        <v>1456</v>
      </c>
      <c r="F1646" s="171" t="s">
        <v>1678</v>
      </c>
      <c r="G1646" s="171" t="s">
        <v>1678</v>
      </c>
      <c r="H1646" s="171" t="s">
        <v>1678</v>
      </c>
      <c r="I1646" s="171" t="s">
        <v>1678</v>
      </c>
      <c r="J1646" s="132">
        <v>0.9</v>
      </c>
      <c r="K1646" s="133">
        <v>0.958333333333333</v>
      </c>
      <c r="L1646" s="133">
        <v>0.96</v>
      </c>
      <c r="M1646" s="134">
        <v>1</v>
      </c>
      <c r="N1646" s="133">
        <v>0.95353982300885</v>
      </c>
      <c r="O1646" s="135">
        <v>0.9</v>
      </c>
      <c r="P1646" s="133">
        <v>0.983829236739974</v>
      </c>
      <c r="Q1646" s="133">
        <v>0.985244802146211</v>
      </c>
      <c r="R1646" s="133">
        <v>0.982309124767225</v>
      </c>
      <c r="S1646" s="133">
        <v>0.96548203416454</v>
      </c>
      <c r="T1646" s="135">
        <v>0.9</v>
      </c>
      <c r="U1646" s="133">
        <v>0.78783958602846</v>
      </c>
      <c r="V1646" s="133">
        <v>0.811535881958417</v>
      </c>
      <c r="W1646" s="133">
        <v>0.866852886405959</v>
      </c>
      <c r="X1646" s="133">
        <v>0.758845474180247</v>
      </c>
      <c r="Y1646" s="135">
        <v>0.92</v>
      </c>
      <c r="Z1646" s="135">
        <v>0.780104712041885</v>
      </c>
      <c r="AA1646" s="135">
        <v>0.775167785234899</v>
      </c>
      <c r="AB1646" s="135">
        <v>0.801255230125523</v>
      </c>
      <c r="AC1646" s="135">
        <v>0.851035371049242</v>
      </c>
      <c r="AD1646" s="135">
        <v>0.92</v>
      </c>
      <c r="AE1646" s="133">
        <v>0.941176470588235</v>
      </c>
      <c r="AF1646" s="133">
        <v>0.861111111111111</v>
      </c>
      <c r="AG1646" s="133">
        <v>1</v>
      </c>
      <c r="AH1646" s="133">
        <v>0.966666666666667</v>
      </c>
      <c r="AI1646" s="135">
        <v>0.92</v>
      </c>
      <c r="AJ1646" s="133">
        <v>0.868806040585182</v>
      </c>
      <c r="AK1646" s="133">
        <v>0.86487781504552</v>
      </c>
      <c r="AL1646" s="133">
        <v>0.863054187192118</v>
      </c>
      <c r="AM1646" s="133">
        <v>0.900683131897005</v>
      </c>
      <c r="AN1646" s="132">
        <v>0.99</v>
      </c>
      <c r="AO1646" s="137">
        <v>1</v>
      </c>
      <c r="AP1646" s="137">
        <v>1</v>
      </c>
      <c r="AQ1646" s="137" t="s">
        <v>35</v>
      </c>
      <c r="AR1646" s="137">
        <v>1</v>
      </c>
      <c r="AS1646" s="158">
        <v>0.110069253262963</v>
      </c>
      <c r="AT1646" s="141">
        <v>0.0555555555555556</v>
      </c>
      <c r="AU1646" s="141">
        <v>0.0909090909090909</v>
      </c>
      <c r="AV1646" s="141">
        <v>0.181818181818182</v>
      </c>
      <c r="AW1646" s="141">
        <v>0.0654205607476635</v>
      </c>
      <c r="AX1646" s="95"/>
      <c r="AY1646" s="93"/>
    </row>
    <row r="1647" ht="14.5" spans="1:51">
      <c r="A1647" s="91"/>
      <c r="B1647" s="95"/>
      <c r="C1647" s="152" t="s">
        <v>1455</v>
      </c>
      <c r="D1647" s="153" t="s">
        <v>25</v>
      </c>
      <c r="E1647" s="130" t="s">
        <v>1456</v>
      </c>
      <c r="F1647" s="171" t="s">
        <v>1679</v>
      </c>
      <c r="G1647" s="171" t="s">
        <v>1679</v>
      </c>
      <c r="H1647" s="171" t="s">
        <v>1679</v>
      </c>
      <c r="I1647" s="171" t="s">
        <v>1679</v>
      </c>
      <c r="J1647" s="132">
        <v>0.9</v>
      </c>
      <c r="K1647" s="133">
        <v>0.964285714285714</v>
      </c>
      <c r="L1647" s="133">
        <v>1</v>
      </c>
      <c r="M1647" s="134">
        <v>0.884615384615385</v>
      </c>
      <c r="N1647" s="133">
        <v>0.942</v>
      </c>
      <c r="O1647" s="135">
        <v>0.9</v>
      </c>
      <c r="P1647" s="133">
        <v>0.976111111111111</v>
      </c>
      <c r="Q1647" s="133">
        <v>0.96955223880597</v>
      </c>
      <c r="R1647" s="133">
        <v>0.967848309975268</v>
      </c>
      <c r="S1647" s="133">
        <v>0.968601692000825</v>
      </c>
      <c r="T1647" s="135">
        <v>0.9</v>
      </c>
      <c r="U1647" s="133">
        <v>0.603888888888889</v>
      </c>
      <c r="V1647" s="133">
        <v>0.605970149253731</v>
      </c>
      <c r="W1647" s="133">
        <v>0.579554822753504</v>
      </c>
      <c r="X1647" s="133">
        <v>0.613934933626797</v>
      </c>
      <c r="Y1647" s="135">
        <v>0.92</v>
      </c>
      <c r="Z1647" s="135">
        <v>0.704028021015762</v>
      </c>
      <c r="AA1647" s="135">
        <v>0.53968253968254</v>
      </c>
      <c r="AB1647" s="135">
        <v>0.565052231718898</v>
      </c>
      <c r="AC1647" s="135">
        <v>0.726878480781521</v>
      </c>
      <c r="AD1647" s="135">
        <v>0.92</v>
      </c>
      <c r="AE1647" s="133">
        <v>1</v>
      </c>
      <c r="AF1647" s="133">
        <v>0.91025641025641</v>
      </c>
      <c r="AG1647" s="133">
        <v>0</v>
      </c>
      <c r="AH1647" s="133">
        <v>0.608219178082192</v>
      </c>
      <c r="AI1647" s="135">
        <v>0.92</v>
      </c>
      <c r="AJ1647" s="133">
        <v>0.823777403035413</v>
      </c>
      <c r="AK1647" s="133">
        <v>0.719305856832972</v>
      </c>
      <c r="AL1647" s="133">
        <v>0.660493827160494</v>
      </c>
      <c r="AM1647" s="133">
        <v>0.807803156553279</v>
      </c>
      <c r="AN1647" s="132">
        <v>0.99</v>
      </c>
      <c r="AO1647" s="137">
        <v>1</v>
      </c>
      <c r="AP1647" s="137">
        <v>1</v>
      </c>
      <c r="AQ1647" s="137">
        <v>1</v>
      </c>
      <c r="AR1647" s="137">
        <v>1</v>
      </c>
      <c r="AS1647" s="158">
        <v>0.110069253262963</v>
      </c>
      <c r="AT1647" s="141">
        <v>0.0526315789473684</v>
      </c>
      <c r="AU1647" s="141">
        <v>0.125</v>
      </c>
      <c r="AV1647" s="141">
        <v>0.0909090909090909</v>
      </c>
      <c r="AW1647" s="141">
        <v>0.0968660968660969</v>
      </c>
      <c r="AX1647" s="95"/>
      <c r="AY1647" s="93"/>
    </row>
    <row r="1648" ht="14.5" spans="1:51">
      <c r="A1648" s="91"/>
      <c r="B1648" s="95"/>
      <c r="C1648" s="152" t="s">
        <v>1455</v>
      </c>
      <c r="D1648" s="153" t="s">
        <v>25</v>
      </c>
      <c r="E1648" s="130" t="s">
        <v>1456</v>
      </c>
      <c r="F1648" s="171" t="s">
        <v>1680</v>
      </c>
      <c r="G1648" s="171" t="s">
        <v>1680</v>
      </c>
      <c r="H1648" s="171" t="s">
        <v>1680</v>
      </c>
      <c r="I1648" s="171" t="s">
        <v>1680</v>
      </c>
      <c r="J1648" s="132">
        <v>0.9</v>
      </c>
      <c r="K1648" s="133">
        <v>0.966666666666667</v>
      </c>
      <c r="L1648" s="133">
        <v>0.935483870967742</v>
      </c>
      <c r="M1648" s="134">
        <v>1</v>
      </c>
      <c r="N1648" s="133">
        <v>0.944223107569721</v>
      </c>
      <c r="O1648" s="135">
        <v>0.9</v>
      </c>
      <c r="P1648" s="133">
        <v>0.852768326631612</v>
      </c>
      <c r="Q1648" s="133">
        <v>0.847571189279732</v>
      </c>
      <c r="R1648" s="133">
        <v>0.805658056580566</v>
      </c>
      <c r="S1648" s="133">
        <v>0.791092622413073</v>
      </c>
      <c r="T1648" s="135">
        <v>0.9</v>
      </c>
      <c r="U1648" s="133">
        <v>0.648004948963811</v>
      </c>
      <c r="V1648" s="133">
        <v>0.705192629815745</v>
      </c>
      <c r="W1648" s="133">
        <v>0.717712177121771</v>
      </c>
      <c r="X1648" s="133">
        <v>0.667531460607145</v>
      </c>
      <c r="Y1648" s="135">
        <v>0.92</v>
      </c>
      <c r="Z1648" s="135">
        <v>1</v>
      </c>
      <c r="AA1648" s="135">
        <v>0.2</v>
      </c>
      <c r="AB1648" s="135">
        <v>0.2</v>
      </c>
      <c r="AC1648" s="135">
        <v>0.0714285714285714</v>
      </c>
      <c r="AD1648" s="135">
        <v>0.92</v>
      </c>
      <c r="AE1648" s="133">
        <v>0.863636363636364</v>
      </c>
      <c r="AF1648" s="133">
        <v>0.72</v>
      </c>
      <c r="AG1648" s="133">
        <v>1</v>
      </c>
      <c r="AH1648" s="133">
        <v>0.909825033647376</v>
      </c>
      <c r="AI1648" s="135">
        <v>0.92</v>
      </c>
      <c r="AJ1648" s="133">
        <v>0.90982087708462</v>
      </c>
      <c r="AK1648" s="133">
        <v>0.891552829662671</v>
      </c>
      <c r="AL1648" s="133">
        <v>0.884863371200491</v>
      </c>
      <c r="AM1648" s="133">
        <v>0.89970532206215</v>
      </c>
      <c r="AN1648" s="132">
        <v>0.99</v>
      </c>
      <c r="AO1648" s="137">
        <v>1</v>
      </c>
      <c r="AP1648" s="137">
        <v>1</v>
      </c>
      <c r="AQ1648" s="137">
        <v>1</v>
      </c>
      <c r="AR1648" s="137">
        <v>1</v>
      </c>
      <c r="AS1648" s="158">
        <v>0.110069253262963</v>
      </c>
      <c r="AT1648" s="141">
        <v>0.0526315789473684</v>
      </c>
      <c r="AU1648" s="141">
        <v>0.125</v>
      </c>
      <c r="AV1648" s="141">
        <v>0.142857142857143</v>
      </c>
      <c r="AW1648" s="141">
        <v>0.097799511002445</v>
      </c>
      <c r="AX1648" s="95"/>
      <c r="AY1648" s="93"/>
    </row>
    <row r="1649" ht="14.5" spans="1:51">
      <c r="A1649" s="91"/>
      <c r="B1649" s="95"/>
      <c r="C1649" s="152" t="s">
        <v>1455</v>
      </c>
      <c r="D1649" s="153" t="s">
        <v>25</v>
      </c>
      <c r="E1649" s="130" t="s">
        <v>1456</v>
      </c>
      <c r="F1649" s="171" t="s">
        <v>1681</v>
      </c>
      <c r="G1649" s="171" t="s">
        <v>1681</v>
      </c>
      <c r="H1649" s="171" t="s">
        <v>1681</v>
      </c>
      <c r="I1649" s="171" t="s">
        <v>1681</v>
      </c>
      <c r="J1649" s="132">
        <v>0.9</v>
      </c>
      <c r="K1649" s="133">
        <v>0.970588235294118</v>
      </c>
      <c r="L1649" s="133">
        <v>0.921052631578947</v>
      </c>
      <c r="M1649" s="134">
        <v>0.96969696969697</v>
      </c>
      <c r="N1649" s="133">
        <v>0.948170731707317</v>
      </c>
      <c r="O1649" s="135">
        <v>0.9</v>
      </c>
      <c r="P1649" s="133">
        <v>0.974693554764729</v>
      </c>
      <c r="Q1649" s="133">
        <v>0.958453311394488</v>
      </c>
      <c r="R1649" s="133">
        <v>0.944033790918691</v>
      </c>
      <c r="S1649" s="133">
        <v>0.947676427896689</v>
      </c>
      <c r="T1649" s="135">
        <v>0.9</v>
      </c>
      <c r="U1649" s="133">
        <v>0.474100434954527</v>
      </c>
      <c r="V1649" s="133">
        <v>0.46524064171123</v>
      </c>
      <c r="W1649" s="133">
        <v>0.492608236536431</v>
      </c>
      <c r="X1649" s="133">
        <v>0.479068267170472</v>
      </c>
      <c r="Y1649" s="135">
        <v>0.92</v>
      </c>
      <c r="Z1649" s="135">
        <v>0.707676130389064</v>
      </c>
      <c r="AA1649" s="135">
        <v>0.75296442687747</v>
      </c>
      <c r="AB1649" s="135">
        <v>0.746031746031746</v>
      </c>
      <c r="AC1649" s="135">
        <v>0.717549542019294</v>
      </c>
      <c r="AD1649" s="135">
        <v>0.92</v>
      </c>
      <c r="AE1649" s="133">
        <v>1</v>
      </c>
      <c r="AF1649" s="133">
        <v>0.972222222222222</v>
      </c>
      <c r="AG1649" s="133">
        <v>0.961538461538462</v>
      </c>
      <c r="AH1649" s="133">
        <v>0.921397379912664</v>
      </c>
      <c r="AI1649" s="135">
        <v>0.92</v>
      </c>
      <c r="AJ1649" s="133">
        <v>0.813218390804598</v>
      </c>
      <c r="AK1649" s="133">
        <v>0.830380482137671</v>
      </c>
      <c r="AL1649" s="133">
        <v>0.793481571733171</v>
      </c>
      <c r="AM1649" s="133">
        <v>0.801607650197491</v>
      </c>
      <c r="AN1649" s="132">
        <v>0.99</v>
      </c>
      <c r="AO1649" s="137">
        <v>1</v>
      </c>
      <c r="AP1649" s="137" t="s">
        <v>35</v>
      </c>
      <c r="AQ1649" s="137">
        <v>1</v>
      </c>
      <c r="AR1649" s="137">
        <v>1</v>
      </c>
      <c r="AS1649" s="158">
        <v>0.110069253262963</v>
      </c>
      <c r="AT1649" s="141">
        <v>0</v>
      </c>
      <c r="AU1649" s="141">
        <v>0.0645161290322581</v>
      </c>
      <c r="AV1649" s="141">
        <v>0.0769230769230769</v>
      </c>
      <c r="AW1649" s="141">
        <v>0.0978723404255319</v>
      </c>
      <c r="AX1649" s="95"/>
      <c r="AY1649" s="93"/>
    </row>
    <row r="1650" ht="14.5" spans="1:51">
      <c r="A1650" s="91"/>
      <c r="B1650" s="95"/>
      <c r="C1650" s="152" t="s">
        <v>1455</v>
      </c>
      <c r="D1650" s="153" t="s">
        <v>25</v>
      </c>
      <c r="E1650" s="130" t="s">
        <v>1456</v>
      </c>
      <c r="F1650" s="171" t="s">
        <v>1682</v>
      </c>
      <c r="G1650" s="171" t="s">
        <v>1682</v>
      </c>
      <c r="H1650" s="171" t="s">
        <v>1682</v>
      </c>
      <c r="I1650" s="171" t="s">
        <v>1682</v>
      </c>
      <c r="J1650" s="132">
        <v>0.9</v>
      </c>
      <c r="K1650" s="133">
        <v>0.914285714285714</v>
      </c>
      <c r="L1650" s="133">
        <v>0.885714285714286</v>
      </c>
      <c r="M1650" s="134">
        <v>0.833333333333333</v>
      </c>
      <c r="N1650" s="133">
        <v>0.877742946708464</v>
      </c>
      <c r="O1650" s="135">
        <v>0.9</v>
      </c>
      <c r="P1650" s="133">
        <v>0.864812668984164</v>
      </c>
      <c r="Q1650" s="133">
        <v>0.794101682648815</v>
      </c>
      <c r="R1650" s="133">
        <v>0.835864225100491</v>
      </c>
      <c r="S1650" s="133">
        <v>0.886685666929436</v>
      </c>
      <c r="T1650" s="135">
        <v>0.9</v>
      </c>
      <c r="U1650" s="133">
        <v>0.526651216685979</v>
      </c>
      <c r="V1650" s="133">
        <v>0.635607020083228</v>
      </c>
      <c r="W1650" s="133">
        <v>0.704778919160339</v>
      </c>
      <c r="X1650" s="133">
        <v>0.721949346107978</v>
      </c>
      <c r="Y1650" s="135">
        <v>0.92</v>
      </c>
      <c r="Z1650" s="135" t="s">
        <v>35</v>
      </c>
      <c r="AA1650" s="135" t="s">
        <v>35</v>
      </c>
      <c r="AB1650" s="135" t="s">
        <v>35</v>
      </c>
      <c r="AC1650" s="135">
        <v>0</v>
      </c>
      <c r="AD1650" s="135">
        <v>0.92</v>
      </c>
      <c r="AE1650" s="133">
        <v>1</v>
      </c>
      <c r="AF1650" s="133">
        <v>1</v>
      </c>
      <c r="AG1650" s="133">
        <v>0.994444444444444</v>
      </c>
      <c r="AH1650" s="133">
        <v>0.949425287356322</v>
      </c>
      <c r="AI1650" s="135">
        <v>0.92</v>
      </c>
      <c r="AJ1650" s="133">
        <v>0.899382000772499</v>
      </c>
      <c r="AK1650" s="133">
        <v>0.881309933055907</v>
      </c>
      <c r="AL1650" s="133">
        <v>0.915140687807057</v>
      </c>
      <c r="AM1650" s="133">
        <v>0.939979787771602</v>
      </c>
      <c r="AN1650" s="132">
        <v>0.99</v>
      </c>
      <c r="AO1650" s="137" t="s">
        <v>35</v>
      </c>
      <c r="AP1650" s="137" t="s">
        <v>35</v>
      </c>
      <c r="AQ1650" s="137">
        <v>1</v>
      </c>
      <c r="AR1650" s="137">
        <v>1</v>
      </c>
      <c r="AS1650" s="158">
        <v>0.110069253262963</v>
      </c>
      <c r="AT1650" s="141">
        <v>0.148148148148148</v>
      </c>
      <c r="AU1650" s="141">
        <v>0.0740740740740741</v>
      </c>
      <c r="AV1650" s="141">
        <v>0</v>
      </c>
      <c r="AW1650" s="141">
        <v>0.0965250965250965</v>
      </c>
      <c r="AX1650" s="95"/>
      <c r="AY1650" s="93"/>
    </row>
    <row r="1651" ht="14.5" spans="1:51">
      <c r="A1651" s="91"/>
      <c r="B1651" s="95"/>
      <c r="C1651" s="152" t="s">
        <v>1455</v>
      </c>
      <c r="D1651" s="153" t="s">
        <v>25</v>
      </c>
      <c r="E1651" s="130" t="s">
        <v>1456</v>
      </c>
      <c r="F1651" s="171" t="s">
        <v>1683</v>
      </c>
      <c r="G1651" s="171" t="s">
        <v>1683</v>
      </c>
      <c r="H1651" s="171" t="s">
        <v>1683</v>
      </c>
      <c r="I1651" s="171" t="s">
        <v>1683</v>
      </c>
      <c r="J1651" s="132">
        <v>0.9</v>
      </c>
      <c r="K1651" s="133">
        <v>0.918918918918919</v>
      </c>
      <c r="L1651" s="133">
        <v>0.842105263157895</v>
      </c>
      <c r="M1651" s="134">
        <v>0.888888888888889</v>
      </c>
      <c r="N1651" s="133">
        <v>0.83048433048433</v>
      </c>
      <c r="O1651" s="135">
        <v>0.9</v>
      </c>
      <c r="P1651" s="133">
        <v>0.979018553840818</v>
      </c>
      <c r="Q1651" s="133">
        <v>0.897284275076654</v>
      </c>
      <c r="R1651" s="133">
        <v>0.990712627254867</v>
      </c>
      <c r="S1651" s="133">
        <v>0.982251550145059</v>
      </c>
      <c r="T1651" s="135">
        <v>0.9</v>
      </c>
      <c r="U1651" s="133">
        <v>0.888676955089301</v>
      </c>
      <c r="V1651" s="133">
        <v>0.859614542268944</v>
      </c>
      <c r="W1651" s="133">
        <v>0.904090016074299</v>
      </c>
      <c r="X1651" s="133">
        <v>0.892618085973794</v>
      </c>
      <c r="Y1651" s="135">
        <v>0.92</v>
      </c>
      <c r="Z1651" s="135" t="s">
        <v>35</v>
      </c>
      <c r="AA1651" s="135">
        <v>0</v>
      </c>
      <c r="AB1651" s="135">
        <v>0</v>
      </c>
      <c r="AC1651" s="135">
        <v>0</v>
      </c>
      <c r="AD1651" s="135">
        <v>0.92</v>
      </c>
      <c r="AE1651" s="133">
        <v>1</v>
      </c>
      <c r="AF1651" s="133">
        <v>1</v>
      </c>
      <c r="AG1651" s="133">
        <v>1</v>
      </c>
      <c r="AH1651" s="133">
        <v>0.895833333333333</v>
      </c>
      <c r="AI1651" s="135">
        <v>0.92</v>
      </c>
      <c r="AJ1651" s="133">
        <v>0.939309866481706</v>
      </c>
      <c r="AK1651" s="133">
        <v>0.941099189840158</v>
      </c>
      <c r="AL1651" s="133">
        <v>0.959121742234916</v>
      </c>
      <c r="AM1651" s="133">
        <v>0.962074750940785</v>
      </c>
      <c r="AN1651" s="132">
        <v>0.99</v>
      </c>
      <c r="AO1651" s="137" t="s">
        <v>35</v>
      </c>
      <c r="AP1651" s="137">
        <v>1</v>
      </c>
      <c r="AQ1651" s="137">
        <v>1</v>
      </c>
      <c r="AR1651" s="137">
        <v>1</v>
      </c>
      <c r="AS1651" s="158">
        <v>0.110069253262963</v>
      </c>
      <c r="AT1651" s="141">
        <v>0.186046511627907</v>
      </c>
      <c r="AU1651" s="141">
        <v>0.0681818181818182</v>
      </c>
      <c r="AV1651" s="141">
        <v>0.1875</v>
      </c>
      <c r="AW1651" s="141">
        <v>0.0817236255572065</v>
      </c>
      <c r="AX1651" s="95"/>
      <c r="AY1651" s="93"/>
    </row>
    <row r="1652" ht="14.5" spans="1:51">
      <c r="A1652" s="91"/>
      <c r="B1652" s="95"/>
      <c r="C1652" s="152" t="s">
        <v>1455</v>
      </c>
      <c r="D1652" s="153" t="s">
        <v>25</v>
      </c>
      <c r="E1652" s="130" t="s">
        <v>1456</v>
      </c>
      <c r="F1652" s="171" t="s">
        <v>1684</v>
      </c>
      <c r="G1652" s="171" t="s">
        <v>1684</v>
      </c>
      <c r="H1652" s="171" t="s">
        <v>1684</v>
      </c>
      <c r="I1652" s="171" t="s">
        <v>1684</v>
      </c>
      <c r="J1652" s="132">
        <v>0.9</v>
      </c>
      <c r="K1652" s="133">
        <v>1</v>
      </c>
      <c r="L1652" s="133">
        <v>0.921052631578947</v>
      </c>
      <c r="M1652" s="134">
        <v>0.941176470588235</v>
      </c>
      <c r="N1652" s="133">
        <v>0.933641975308642</v>
      </c>
      <c r="O1652" s="135">
        <v>0.9</v>
      </c>
      <c r="P1652" s="133">
        <v>0.979481641468683</v>
      </c>
      <c r="Q1652" s="133">
        <v>0.97378640776699</v>
      </c>
      <c r="R1652" s="133">
        <v>0.972910216718266</v>
      </c>
      <c r="S1652" s="133">
        <v>0.973423563576022</v>
      </c>
      <c r="T1652" s="135">
        <v>0.9</v>
      </c>
      <c r="U1652" s="133">
        <v>0.81317494600432</v>
      </c>
      <c r="V1652" s="133">
        <v>0.778640776699029</v>
      </c>
      <c r="W1652" s="133">
        <v>0.76702786377709</v>
      </c>
      <c r="X1652" s="133">
        <v>0.76169363202655</v>
      </c>
      <c r="Y1652" s="135">
        <v>0.92</v>
      </c>
      <c r="Z1652" s="135">
        <v>0.912718204488778</v>
      </c>
      <c r="AA1652" s="135">
        <v>0.891625615763547</v>
      </c>
      <c r="AB1652" s="135">
        <v>0.87041564792176</v>
      </c>
      <c r="AC1652" s="135">
        <v>0.917139119058003</v>
      </c>
      <c r="AD1652" s="135">
        <v>0.92</v>
      </c>
      <c r="AE1652" s="133">
        <v>0.997658079625293</v>
      </c>
      <c r="AF1652" s="133">
        <v>1</v>
      </c>
      <c r="AG1652" s="133">
        <v>1</v>
      </c>
      <c r="AH1652" s="133">
        <v>0.998690756742603</v>
      </c>
      <c r="AI1652" s="135">
        <v>0.92</v>
      </c>
      <c r="AJ1652" s="133">
        <v>0.937829691032404</v>
      </c>
      <c r="AK1652" s="133">
        <v>0.917130919220056</v>
      </c>
      <c r="AL1652" s="133">
        <v>0.894005557761016</v>
      </c>
      <c r="AM1652" s="133">
        <v>0.935398953069684</v>
      </c>
      <c r="AN1652" s="132">
        <v>0.99</v>
      </c>
      <c r="AO1652" s="137">
        <v>1</v>
      </c>
      <c r="AP1652" s="137">
        <v>1</v>
      </c>
      <c r="AQ1652" s="137">
        <v>1</v>
      </c>
      <c r="AR1652" s="137">
        <v>1</v>
      </c>
      <c r="AS1652" s="158">
        <v>0.110069253262963</v>
      </c>
      <c r="AT1652" s="141">
        <v>0.0909090909090909</v>
      </c>
      <c r="AU1652" s="141">
        <v>0.0512820512820513</v>
      </c>
      <c r="AV1652" s="141">
        <v>0.176470588235294</v>
      </c>
      <c r="AW1652" s="141">
        <v>0.0716845878136201</v>
      </c>
      <c r="AX1652" s="95"/>
      <c r="AY1652" s="93"/>
    </row>
    <row r="1653" ht="14.5" spans="1:51">
      <c r="A1653" s="91"/>
      <c r="B1653" s="95"/>
      <c r="C1653" s="152" t="s">
        <v>1455</v>
      </c>
      <c r="D1653" s="153" t="s">
        <v>25</v>
      </c>
      <c r="E1653" s="130" t="s">
        <v>1456</v>
      </c>
      <c r="F1653" s="171" t="s">
        <v>1685</v>
      </c>
      <c r="G1653" s="171" t="s">
        <v>1685</v>
      </c>
      <c r="H1653" s="171" t="s">
        <v>1685</v>
      </c>
      <c r="I1653" s="171" t="s">
        <v>1685</v>
      </c>
      <c r="J1653" s="132">
        <v>0.9</v>
      </c>
      <c r="K1653" s="133">
        <v>1</v>
      </c>
      <c r="L1653" s="133">
        <v>0.974358974358974</v>
      </c>
      <c r="M1653" s="134">
        <v>1</v>
      </c>
      <c r="N1653" s="133">
        <v>0.984825493171472</v>
      </c>
      <c r="O1653" s="135">
        <v>0.9</v>
      </c>
      <c r="P1653" s="133">
        <v>0.994542146755609</v>
      </c>
      <c r="Q1653" s="133">
        <v>0.988033298647242</v>
      </c>
      <c r="R1653" s="133">
        <v>0.994396332144676</v>
      </c>
      <c r="S1653" s="133">
        <v>0.991445175373905</v>
      </c>
      <c r="T1653" s="135">
        <v>0.9</v>
      </c>
      <c r="U1653" s="133">
        <v>0.915706488781079</v>
      </c>
      <c r="V1653" s="133">
        <v>0.90582726326743</v>
      </c>
      <c r="W1653" s="133">
        <v>0.965359144167091</v>
      </c>
      <c r="X1653" s="133">
        <v>0.940617717336795</v>
      </c>
      <c r="Y1653" s="135">
        <v>0.92</v>
      </c>
      <c r="Z1653" s="135">
        <v>0.959776536312849</v>
      </c>
      <c r="AA1653" s="135">
        <v>0.937651821862348</v>
      </c>
      <c r="AB1653" s="135">
        <v>0.919167176974893</v>
      </c>
      <c r="AC1653" s="135">
        <v>0.943841350929474</v>
      </c>
      <c r="AD1653" s="135">
        <v>0.92</v>
      </c>
      <c r="AE1653" s="133">
        <v>0.957627118644068</v>
      </c>
      <c r="AF1653" s="133">
        <v>1</v>
      </c>
      <c r="AG1653" s="133">
        <v>0.994186046511628</v>
      </c>
      <c r="AH1653" s="133">
        <v>0.994152046783626</v>
      </c>
      <c r="AI1653" s="135">
        <v>0.92</v>
      </c>
      <c r="AJ1653" s="133">
        <v>0.962657232704403</v>
      </c>
      <c r="AK1653" s="133">
        <v>0.940449794108331</v>
      </c>
      <c r="AL1653" s="133">
        <v>0.955506117908788</v>
      </c>
      <c r="AM1653" s="133">
        <v>0.961043562283598</v>
      </c>
      <c r="AN1653" s="132">
        <v>0.99</v>
      </c>
      <c r="AO1653" s="137">
        <v>1</v>
      </c>
      <c r="AP1653" s="137">
        <v>1</v>
      </c>
      <c r="AQ1653" s="137">
        <v>1</v>
      </c>
      <c r="AR1653" s="137">
        <v>1</v>
      </c>
      <c r="AS1653" s="158">
        <v>0.110069253262963</v>
      </c>
      <c r="AT1653" s="141">
        <v>0</v>
      </c>
      <c r="AU1653" s="141">
        <v>0.16</v>
      </c>
      <c r="AV1653" s="141">
        <v>0.105263157894737</v>
      </c>
      <c r="AW1653" s="141">
        <v>0.0885826771653543</v>
      </c>
      <c r="AX1653" s="95"/>
      <c r="AY1653" s="93"/>
    </row>
    <row r="1654" ht="14.5" spans="1:51">
      <c r="A1654" s="91"/>
      <c r="B1654" s="95"/>
      <c r="C1654" s="152" t="s">
        <v>1455</v>
      </c>
      <c r="D1654" s="153" t="s">
        <v>922</v>
      </c>
      <c r="E1654" s="130" t="s">
        <v>1456</v>
      </c>
      <c r="F1654" s="171" t="s">
        <v>1686</v>
      </c>
      <c r="G1654" s="171" t="s">
        <v>1686</v>
      </c>
      <c r="H1654" s="171" t="s">
        <v>1686</v>
      </c>
      <c r="I1654" s="171" t="s">
        <v>1686</v>
      </c>
      <c r="J1654" s="132">
        <v>0.9</v>
      </c>
      <c r="K1654" s="133" t="s">
        <v>35</v>
      </c>
      <c r="L1654" s="133" t="s">
        <v>35</v>
      </c>
      <c r="M1654" s="134" t="s">
        <v>35</v>
      </c>
      <c r="N1654" s="133" t="s">
        <v>35</v>
      </c>
      <c r="O1654" s="135">
        <v>0.9</v>
      </c>
      <c r="P1654" s="133" t="s">
        <v>35</v>
      </c>
      <c r="Q1654" s="133" t="s">
        <v>35</v>
      </c>
      <c r="R1654" s="133" t="s">
        <v>35</v>
      </c>
      <c r="S1654" s="133" t="s">
        <v>35</v>
      </c>
      <c r="T1654" s="135">
        <v>0.9</v>
      </c>
      <c r="U1654" s="133" t="s">
        <v>35</v>
      </c>
      <c r="V1654" s="133" t="s">
        <v>35</v>
      </c>
      <c r="W1654" s="133" t="s">
        <v>35</v>
      </c>
      <c r="X1654" s="133" t="s">
        <v>35</v>
      </c>
      <c r="Y1654" s="135">
        <v>0.92</v>
      </c>
      <c r="Z1654" s="135" t="s">
        <v>35</v>
      </c>
      <c r="AA1654" s="135" t="s">
        <v>35</v>
      </c>
      <c r="AB1654" s="135" t="s">
        <v>35</v>
      </c>
      <c r="AC1654" s="135" t="s">
        <v>35</v>
      </c>
      <c r="AD1654" s="135">
        <v>0.92</v>
      </c>
      <c r="AE1654" s="133" t="s">
        <v>35</v>
      </c>
      <c r="AF1654" s="133" t="s">
        <v>35</v>
      </c>
      <c r="AG1654" s="133" t="s">
        <v>35</v>
      </c>
      <c r="AH1654" s="133" t="s">
        <v>35</v>
      </c>
      <c r="AI1654" s="135">
        <v>0.92</v>
      </c>
      <c r="AJ1654" s="133" t="s">
        <v>35</v>
      </c>
      <c r="AK1654" s="133" t="s">
        <v>35</v>
      </c>
      <c r="AL1654" s="133" t="s">
        <v>35</v>
      </c>
      <c r="AM1654" s="133" t="s">
        <v>35</v>
      </c>
      <c r="AN1654" s="132">
        <v>0.99</v>
      </c>
      <c r="AO1654" s="137" t="s">
        <v>35</v>
      </c>
      <c r="AP1654" s="137" t="s">
        <v>35</v>
      </c>
      <c r="AQ1654" s="137" t="s">
        <v>35</v>
      </c>
      <c r="AR1654" s="137" t="s">
        <v>35</v>
      </c>
      <c r="AS1654" s="158">
        <v>0.110069253262963</v>
      </c>
      <c r="AT1654" s="141" t="s">
        <v>35</v>
      </c>
      <c r="AU1654" s="141" t="s">
        <v>35</v>
      </c>
      <c r="AV1654" s="141" t="s">
        <v>35</v>
      </c>
      <c r="AW1654" s="141" t="s">
        <v>35</v>
      </c>
      <c r="AX1654" s="95"/>
      <c r="AY1654" s="93"/>
    </row>
    <row r="1655" ht="14.5" spans="1:51">
      <c r="A1655" s="91"/>
      <c r="B1655" s="95"/>
      <c r="C1655" s="152" t="s">
        <v>1455</v>
      </c>
      <c r="D1655" s="153" t="s">
        <v>922</v>
      </c>
      <c r="E1655" s="130" t="s">
        <v>1456</v>
      </c>
      <c r="F1655" s="171" t="s">
        <v>1687</v>
      </c>
      <c r="G1655" s="171" t="s">
        <v>1687</v>
      </c>
      <c r="H1655" s="171" t="s">
        <v>1687</v>
      </c>
      <c r="I1655" s="171" t="s">
        <v>1687</v>
      </c>
      <c r="J1655" s="132">
        <v>0.9</v>
      </c>
      <c r="K1655" s="133" t="s">
        <v>35</v>
      </c>
      <c r="L1655" s="133" t="s">
        <v>35</v>
      </c>
      <c r="M1655" s="134" t="s">
        <v>35</v>
      </c>
      <c r="N1655" s="133" t="s">
        <v>35</v>
      </c>
      <c r="O1655" s="135">
        <v>0.9</v>
      </c>
      <c r="P1655" s="133" t="s">
        <v>35</v>
      </c>
      <c r="Q1655" s="133" t="s">
        <v>35</v>
      </c>
      <c r="R1655" s="133" t="s">
        <v>35</v>
      </c>
      <c r="S1655" s="133" t="s">
        <v>35</v>
      </c>
      <c r="T1655" s="135">
        <v>0.9</v>
      </c>
      <c r="U1655" s="133" t="s">
        <v>35</v>
      </c>
      <c r="V1655" s="133" t="s">
        <v>35</v>
      </c>
      <c r="W1655" s="133" t="s">
        <v>35</v>
      </c>
      <c r="X1655" s="133" t="s">
        <v>35</v>
      </c>
      <c r="Y1655" s="135">
        <v>0.92</v>
      </c>
      <c r="Z1655" s="135" t="s">
        <v>35</v>
      </c>
      <c r="AA1655" s="135" t="s">
        <v>35</v>
      </c>
      <c r="AB1655" s="135" t="s">
        <v>35</v>
      </c>
      <c r="AC1655" s="135" t="s">
        <v>35</v>
      </c>
      <c r="AD1655" s="135">
        <v>0.92</v>
      </c>
      <c r="AE1655" s="133" t="s">
        <v>35</v>
      </c>
      <c r="AF1655" s="133" t="s">
        <v>35</v>
      </c>
      <c r="AG1655" s="133" t="s">
        <v>35</v>
      </c>
      <c r="AH1655" s="133" t="s">
        <v>35</v>
      </c>
      <c r="AI1655" s="135">
        <v>0.92</v>
      </c>
      <c r="AJ1655" s="133" t="s">
        <v>35</v>
      </c>
      <c r="AK1655" s="133" t="s">
        <v>35</v>
      </c>
      <c r="AL1655" s="133" t="s">
        <v>35</v>
      </c>
      <c r="AM1655" s="133" t="s">
        <v>35</v>
      </c>
      <c r="AN1655" s="132">
        <v>0.99</v>
      </c>
      <c r="AO1655" s="137" t="s">
        <v>35</v>
      </c>
      <c r="AP1655" s="137" t="s">
        <v>35</v>
      </c>
      <c r="AQ1655" s="137" t="s">
        <v>35</v>
      </c>
      <c r="AR1655" s="137" t="s">
        <v>35</v>
      </c>
      <c r="AS1655" s="158">
        <v>0.110069253262963</v>
      </c>
      <c r="AT1655" s="141" t="s">
        <v>35</v>
      </c>
      <c r="AU1655" s="141" t="s">
        <v>35</v>
      </c>
      <c r="AV1655" s="141" t="s">
        <v>35</v>
      </c>
      <c r="AW1655" s="141" t="s">
        <v>35</v>
      </c>
      <c r="AX1655" s="95"/>
      <c r="AY1655" s="93"/>
    </row>
    <row r="1656" ht="14.5" spans="1:51">
      <c r="A1656" s="91"/>
      <c r="B1656" s="95"/>
      <c r="C1656" s="152" t="s">
        <v>1455</v>
      </c>
      <c r="D1656" s="153" t="s">
        <v>125</v>
      </c>
      <c r="E1656" s="130" t="s">
        <v>1456</v>
      </c>
      <c r="F1656" s="171" t="s">
        <v>1688</v>
      </c>
      <c r="G1656" s="171" t="s">
        <v>1688</v>
      </c>
      <c r="H1656" s="171" t="s">
        <v>1688</v>
      </c>
      <c r="I1656" s="171" t="s">
        <v>1688</v>
      </c>
      <c r="J1656" s="132">
        <v>0.9</v>
      </c>
      <c r="K1656" s="133" t="s">
        <v>35</v>
      </c>
      <c r="L1656" s="133" t="s">
        <v>35</v>
      </c>
      <c r="M1656" s="134" t="s">
        <v>35</v>
      </c>
      <c r="N1656" s="133" t="s">
        <v>35</v>
      </c>
      <c r="O1656" s="135">
        <v>0.9</v>
      </c>
      <c r="P1656" s="133" t="s">
        <v>35</v>
      </c>
      <c r="Q1656" s="133" t="s">
        <v>35</v>
      </c>
      <c r="R1656" s="133" t="s">
        <v>35</v>
      </c>
      <c r="S1656" s="133" t="s">
        <v>35</v>
      </c>
      <c r="T1656" s="135">
        <v>0.9</v>
      </c>
      <c r="U1656" s="133" t="s">
        <v>35</v>
      </c>
      <c r="V1656" s="133" t="s">
        <v>35</v>
      </c>
      <c r="W1656" s="133" t="s">
        <v>35</v>
      </c>
      <c r="X1656" s="133" t="s">
        <v>35</v>
      </c>
      <c r="Y1656" s="135">
        <v>0.92</v>
      </c>
      <c r="Z1656" s="135" t="s">
        <v>35</v>
      </c>
      <c r="AA1656" s="135" t="s">
        <v>35</v>
      </c>
      <c r="AB1656" s="135" t="s">
        <v>35</v>
      </c>
      <c r="AC1656" s="135" t="s">
        <v>35</v>
      </c>
      <c r="AD1656" s="135">
        <v>0.92</v>
      </c>
      <c r="AE1656" s="133" t="s">
        <v>35</v>
      </c>
      <c r="AF1656" s="133" t="s">
        <v>35</v>
      </c>
      <c r="AG1656" s="133" t="s">
        <v>35</v>
      </c>
      <c r="AH1656" s="133" t="s">
        <v>35</v>
      </c>
      <c r="AI1656" s="135">
        <v>0.92</v>
      </c>
      <c r="AJ1656" s="133" t="s">
        <v>35</v>
      </c>
      <c r="AK1656" s="133" t="s">
        <v>35</v>
      </c>
      <c r="AL1656" s="133" t="s">
        <v>35</v>
      </c>
      <c r="AM1656" s="133" t="s">
        <v>35</v>
      </c>
      <c r="AN1656" s="132">
        <v>0.99</v>
      </c>
      <c r="AO1656" s="137" t="s">
        <v>35</v>
      </c>
      <c r="AP1656" s="137" t="s">
        <v>35</v>
      </c>
      <c r="AQ1656" s="137" t="s">
        <v>35</v>
      </c>
      <c r="AR1656" s="137" t="s">
        <v>35</v>
      </c>
      <c r="AS1656" s="158">
        <v>0.110069253262963</v>
      </c>
      <c r="AT1656" s="141" t="s">
        <v>35</v>
      </c>
      <c r="AU1656" s="141" t="s">
        <v>35</v>
      </c>
      <c r="AV1656" s="141" t="s">
        <v>35</v>
      </c>
      <c r="AW1656" s="141" t="s">
        <v>35</v>
      </c>
      <c r="AX1656" s="95"/>
      <c r="AY1656" s="93"/>
    </row>
    <row r="1657" ht="14.5" spans="1:51">
      <c r="A1657" s="91"/>
      <c r="B1657" s="95"/>
      <c r="C1657" s="152" t="s">
        <v>1455</v>
      </c>
      <c r="D1657" s="153" t="s">
        <v>25</v>
      </c>
      <c r="E1657" s="130" t="s">
        <v>1456</v>
      </c>
      <c r="F1657" s="171" t="s">
        <v>1689</v>
      </c>
      <c r="G1657" s="171" t="s">
        <v>1689</v>
      </c>
      <c r="H1657" s="171" t="s">
        <v>1689</v>
      </c>
      <c r="I1657" s="171" t="s">
        <v>1689</v>
      </c>
      <c r="J1657" s="132">
        <v>0.9</v>
      </c>
      <c r="K1657" s="133">
        <v>0.952380952380952</v>
      </c>
      <c r="L1657" s="133">
        <v>0.956521739130435</v>
      </c>
      <c r="M1657" s="134">
        <v>0.869565217391304</v>
      </c>
      <c r="N1657" s="133">
        <v>0.922352941176471</v>
      </c>
      <c r="O1657" s="135">
        <v>0.9</v>
      </c>
      <c r="P1657" s="133">
        <v>0.9825</v>
      </c>
      <c r="Q1657" s="133">
        <v>0.963197969543147</v>
      </c>
      <c r="R1657" s="133">
        <v>0.982075471698113</v>
      </c>
      <c r="S1657" s="133">
        <v>0.971505669954062</v>
      </c>
      <c r="T1657" s="135">
        <v>0.9</v>
      </c>
      <c r="U1657" s="133">
        <v>0.75</v>
      </c>
      <c r="V1657" s="133">
        <v>0.784263959390863</v>
      </c>
      <c r="W1657" s="133">
        <v>0.839622641509434</v>
      </c>
      <c r="X1657" s="133">
        <v>0.717241157762858</v>
      </c>
      <c r="Y1657" s="135">
        <v>0.92</v>
      </c>
      <c r="Z1657" s="135">
        <v>0.853088480801336</v>
      </c>
      <c r="AA1657" s="135">
        <v>0.874425727411945</v>
      </c>
      <c r="AB1657" s="135">
        <v>0.87229862475442</v>
      </c>
      <c r="AC1657" s="135">
        <v>0.897211015611296</v>
      </c>
      <c r="AD1657" s="135">
        <v>0.92</v>
      </c>
      <c r="AE1657" s="133">
        <v>0.927835051546392</v>
      </c>
      <c r="AF1657" s="133">
        <v>0.739130434782609</v>
      </c>
      <c r="AG1657" s="133">
        <v>1</v>
      </c>
      <c r="AH1657" s="133">
        <v>0.946601941747573</v>
      </c>
      <c r="AI1657" s="135">
        <v>0.92</v>
      </c>
      <c r="AJ1657" s="133">
        <v>0.887676216462028</v>
      </c>
      <c r="AK1657" s="133">
        <v>0.922835352175864</v>
      </c>
      <c r="AL1657" s="133">
        <v>0.908128908128908</v>
      </c>
      <c r="AM1657" s="133">
        <v>0.92598702502317</v>
      </c>
      <c r="AN1657" s="132">
        <v>0.99</v>
      </c>
      <c r="AO1657" s="137" t="s">
        <v>35</v>
      </c>
      <c r="AP1657" s="137">
        <v>1</v>
      </c>
      <c r="AQ1657" s="137" t="s">
        <v>35</v>
      </c>
      <c r="AR1657" s="137">
        <v>1</v>
      </c>
      <c r="AS1657" s="158">
        <v>0.110069253262963</v>
      </c>
      <c r="AT1657" s="141">
        <v>0.142857142857143</v>
      </c>
      <c r="AU1657" s="141">
        <v>0.125</v>
      </c>
      <c r="AV1657" s="141">
        <v>0</v>
      </c>
      <c r="AW1657" s="141">
        <v>0.0780487804878049</v>
      </c>
      <c r="AX1657" s="95"/>
      <c r="AY1657" s="93"/>
    </row>
    <row r="1658" ht="14.5" spans="1:51">
      <c r="A1658" s="91"/>
      <c r="B1658" s="95"/>
      <c r="C1658" s="152" t="s">
        <v>1455</v>
      </c>
      <c r="D1658" s="153" t="s">
        <v>125</v>
      </c>
      <c r="E1658" s="130" t="s">
        <v>1456</v>
      </c>
      <c r="F1658" s="171" t="s">
        <v>1690</v>
      </c>
      <c r="G1658" s="171" t="s">
        <v>1690</v>
      </c>
      <c r="H1658" s="171" t="s">
        <v>1690</v>
      </c>
      <c r="I1658" s="171" t="s">
        <v>1690</v>
      </c>
      <c r="J1658" s="132">
        <v>0.9</v>
      </c>
      <c r="K1658" s="133" t="s">
        <v>35</v>
      </c>
      <c r="L1658" s="133" t="s">
        <v>35</v>
      </c>
      <c r="M1658" s="134" t="s">
        <v>35</v>
      </c>
      <c r="N1658" s="133" t="s">
        <v>35</v>
      </c>
      <c r="O1658" s="135">
        <v>0.9</v>
      </c>
      <c r="P1658" s="133" t="s">
        <v>35</v>
      </c>
      <c r="Q1658" s="133" t="s">
        <v>35</v>
      </c>
      <c r="R1658" s="133" t="s">
        <v>35</v>
      </c>
      <c r="S1658" s="133" t="s">
        <v>35</v>
      </c>
      <c r="T1658" s="135">
        <v>0.9</v>
      </c>
      <c r="U1658" s="133" t="s">
        <v>35</v>
      </c>
      <c r="V1658" s="133" t="s">
        <v>35</v>
      </c>
      <c r="W1658" s="133" t="s">
        <v>35</v>
      </c>
      <c r="X1658" s="133" t="s">
        <v>35</v>
      </c>
      <c r="Y1658" s="135">
        <v>0.92</v>
      </c>
      <c r="Z1658" s="135" t="s">
        <v>35</v>
      </c>
      <c r="AA1658" s="135" t="s">
        <v>35</v>
      </c>
      <c r="AB1658" s="135" t="s">
        <v>35</v>
      </c>
      <c r="AC1658" s="135" t="s">
        <v>35</v>
      </c>
      <c r="AD1658" s="135">
        <v>0.92</v>
      </c>
      <c r="AE1658" s="133">
        <v>1</v>
      </c>
      <c r="AF1658" s="133">
        <v>1</v>
      </c>
      <c r="AG1658" s="133">
        <v>1</v>
      </c>
      <c r="AH1658" s="133">
        <v>0.996323529411765</v>
      </c>
      <c r="AI1658" s="135">
        <v>0.92</v>
      </c>
      <c r="AJ1658" s="133" t="s">
        <v>35</v>
      </c>
      <c r="AK1658" s="133" t="s">
        <v>35</v>
      </c>
      <c r="AL1658" s="133" t="s">
        <v>35</v>
      </c>
      <c r="AM1658" s="133" t="s">
        <v>35</v>
      </c>
      <c r="AN1658" s="132">
        <v>0.99</v>
      </c>
      <c r="AO1658" s="137">
        <v>1</v>
      </c>
      <c r="AP1658" s="137">
        <v>1</v>
      </c>
      <c r="AQ1658" s="137">
        <v>1</v>
      </c>
      <c r="AR1658" s="137">
        <v>1</v>
      </c>
      <c r="AS1658" s="158">
        <v>0.110069253262963</v>
      </c>
      <c r="AT1658" s="141" t="s">
        <v>35</v>
      </c>
      <c r="AU1658" s="141" t="s">
        <v>35</v>
      </c>
      <c r="AV1658" s="141" t="s">
        <v>35</v>
      </c>
      <c r="AW1658" s="141" t="s">
        <v>35</v>
      </c>
      <c r="AX1658" s="95"/>
      <c r="AY1658" s="93"/>
    </row>
    <row r="1659" ht="14.5" spans="1:51">
      <c r="A1659" s="91"/>
      <c r="B1659" s="95"/>
      <c r="C1659" s="152" t="s">
        <v>1455</v>
      </c>
      <c r="D1659" s="153" t="s">
        <v>25</v>
      </c>
      <c r="E1659" s="130" t="s">
        <v>1456</v>
      </c>
      <c r="F1659" s="171" t="s">
        <v>1691</v>
      </c>
      <c r="G1659" s="171" t="s">
        <v>1691</v>
      </c>
      <c r="H1659" s="171" t="s">
        <v>1691</v>
      </c>
      <c r="I1659" s="171" t="s">
        <v>1691</v>
      </c>
      <c r="J1659" s="132">
        <v>0.9</v>
      </c>
      <c r="K1659" s="133">
        <v>0.735294117647059</v>
      </c>
      <c r="L1659" s="133">
        <v>0.65625</v>
      </c>
      <c r="M1659" s="134">
        <v>0.75</v>
      </c>
      <c r="N1659" s="133">
        <v>0.743500866551127</v>
      </c>
      <c r="O1659" s="135">
        <v>0.9</v>
      </c>
      <c r="P1659" s="133">
        <v>0.98601083032491</v>
      </c>
      <c r="Q1659" s="133">
        <v>0.978295394388565</v>
      </c>
      <c r="R1659" s="133">
        <v>0.984712230215827</v>
      </c>
      <c r="S1659" s="133">
        <v>0.987909889536401</v>
      </c>
      <c r="T1659" s="135">
        <v>0.9</v>
      </c>
      <c r="U1659" s="133">
        <v>0.753610108303249</v>
      </c>
      <c r="V1659" s="133">
        <v>0.781630492323981</v>
      </c>
      <c r="W1659" s="133">
        <v>0.802158273381295</v>
      </c>
      <c r="X1659" s="133">
        <v>0.786043564159594</v>
      </c>
      <c r="Y1659" s="135">
        <v>0.92</v>
      </c>
      <c r="Z1659" s="135">
        <v>0</v>
      </c>
      <c r="AA1659" s="135">
        <v>0</v>
      </c>
      <c r="AB1659" s="135">
        <v>0</v>
      </c>
      <c r="AC1659" s="135">
        <v>0.0740740740740741</v>
      </c>
      <c r="AD1659" s="135">
        <v>0.92</v>
      </c>
      <c r="AE1659" s="133">
        <v>0.470588235294118</v>
      </c>
      <c r="AF1659" s="133">
        <v>0.893939393939394</v>
      </c>
      <c r="AG1659" s="133">
        <v>0.934065934065934</v>
      </c>
      <c r="AH1659" s="133">
        <v>0.827094474153298</v>
      </c>
      <c r="AI1659" s="135">
        <v>0.92</v>
      </c>
      <c r="AJ1659" s="133">
        <v>0.854340473506201</v>
      </c>
      <c r="AK1659" s="133">
        <v>0.86984126984127</v>
      </c>
      <c r="AL1659" s="133">
        <v>0.885220125786163</v>
      </c>
      <c r="AM1659" s="133">
        <v>0.883300623556008</v>
      </c>
      <c r="AN1659" s="132">
        <v>0.99</v>
      </c>
      <c r="AO1659" s="137">
        <v>1</v>
      </c>
      <c r="AP1659" s="137">
        <v>1</v>
      </c>
      <c r="AQ1659" s="137">
        <v>1</v>
      </c>
      <c r="AR1659" s="137">
        <v>1</v>
      </c>
      <c r="AS1659" s="158">
        <v>0.110069253262963</v>
      </c>
      <c r="AT1659" s="141">
        <v>0.1</v>
      </c>
      <c r="AU1659" s="141">
        <v>0.0625</v>
      </c>
      <c r="AV1659" s="141">
        <v>0.296296296296296</v>
      </c>
      <c r="AW1659" s="141">
        <v>0.106666666666667</v>
      </c>
      <c r="AX1659" s="95"/>
      <c r="AY1659" s="93"/>
    </row>
    <row r="1660" ht="14.5" spans="1:51">
      <c r="A1660" s="91"/>
      <c r="B1660" s="95"/>
      <c r="C1660" s="152" t="s">
        <v>1455</v>
      </c>
      <c r="D1660" s="153" t="s">
        <v>25</v>
      </c>
      <c r="E1660" s="130" t="s">
        <v>1456</v>
      </c>
      <c r="F1660" s="171" t="s">
        <v>1692</v>
      </c>
      <c r="G1660" s="171" t="s">
        <v>1692</v>
      </c>
      <c r="H1660" s="171" t="s">
        <v>1692</v>
      </c>
      <c r="I1660" s="171" t="s">
        <v>1692</v>
      </c>
      <c r="J1660" s="132">
        <v>0.9</v>
      </c>
      <c r="K1660" s="133">
        <v>0.976190476190476</v>
      </c>
      <c r="L1660" s="133">
        <v>0.974358974358974</v>
      </c>
      <c r="M1660" s="134">
        <v>0.974358974358974</v>
      </c>
      <c r="N1660" s="133">
        <v>0.986130374479889</v>
      </c>
      <c r="O1660" s="135">
        <v>0.9</v>
      </c>
      <c r="P1660" s="133">
        <v>0.969860896445131</v>
      </c>
      <c r="Q1660" s="133">
        <v>0.981370592149035</v>
      </c>
      <c r="R1660" s="133">
        <v>0.983699059561129</v>
      </c>
      <c r="S1660" s="133">
        <v>0.970775732397393</v>
      </c>
      <c r="T1660" s="135">
        <v>0.9</v>
      </c>
      <c r="U1660" s="133">
        <v>0.885625965996909</v>
      </c>
      <c r="V1660" s="133">
        <v>0.898203592814371</v>
      </c>
      <c r="W1660" s="133">
        <v>0.967398119122257</v>
      </c>
      <c r="X1660" s="133">
        <v>0.932777021703316</v>
      </c>
      <c r="Y1660" s="135">
        <v>0.92</v>
      </c>
      <c r="Z1660" s="135">
        <v>0.981186685962373</v>
      </c>
      <c r="AA1660" s="135">
        <v>0.924976258309592</v>
      </c>
      <c r="AB1660" s="135">
        <v>0.948535233570863</v>
      </c>
      <c r="AC1660" s="135">
        <v>0.953859023466737</v>
      </c>
      <c r="AD1660" s="135">
        <v>0.92</v>
      </c>
      <c r="AE1660" s="133">
        <v>0.976190476190476</v>
      </c>
      <c r="AF1660" s="133">
        <v>0.75</v>
      </c>
      <c r="AG1660" s="133">
        <v>1</v>
      </c>
      <c r="AH1660" s="133">
        <v>0.952380952380952</v>
      </c>
      <c r="AI1660" s="135">
        <v>0.92</v>
      </c>
      <c r="AJ1660" s="133">
        <v>0.981863979848867</v>
      </c>
      <c r="AK1660" s="133">
        <v>0.938257131692067</v>
      </c>
      <c r="AL1660" s="133">
        <v>0.969559132260322</v>
      </c>
      <c r="AM1660" s="133">
        <v>0.967346455293862</v>
      </c>
      <c r="AN1660" s="132">
        <v>0.99</v>
      </c>
      <c r="AO1660" s="137">
        <v>1</v>
      </c>
      <c r="AP1660" s="137">
        <v>1</v>
      </c>
      <c r="AQ1660" s="137">
        <v>1</v>
      </c>
      <c r="AR1660" s="137">
        <v>1</v>
      </c>
      <c r="AS1660" s="158">
        <v>0.110069253262963</v>
      </c>
      <c r="AT1660" s="141">
        <v>0.0952380952380952</v>
      </c>
      <c r="AU1660" s="141">
        <v>0.0740740740740741</v>
      </c>
      <c r="AV1660" s="141">
        <v>0</v>
      </c>
      <c r="AW1660" s="141">
        <v>0.0617977528089888</v>
      </c>
      <c r="AX1660" s="95"/>
      <c r="AY1660" s="93"/>
    </row>
    <row r="1661" ht="14.5" spans="1:51">
      <c r="A1661" s="91"/>
      <c r="B1661" s="95"/>
      <c r="C1661" s="152" t="s">
        <v>1455</v>
      </c>
      <c r="D1661" s="153" t="s">
        <v>125</v>
      </c>
      <c r="E1661" s="130" t="s">
        <v>1456</v>
      </c>
      <c r="F1661" s="171" t="s">
        <v>1693</v>
      </c>
      <c r="G1661" s="171" t="s">
        <v>1693</v>
      </c>
      <c r="H1661" s="171" t="s">
        <v>1693</v>
      </c>
      <c r="I1661" s="171" t="s">
        <v>1693</v>
      </c>
      <c r="J1661" s="132">
        <v>0.9</v>
      </c>
      <c r="K1661" s="133" t="s">
        <v>35</v>
      </c>
      <c r="L1661" s="133" t="s">
        <v>35</v>
      </c>
      <c r="M1661" s="134" t="s">
        <v>35</v>
      </c>
      <c r="N1661" s="133" t="s">
        <v>35</v>
      </c>
      <c r="O1661" s="135">
        <v>0.9</v>
      </c>
      <c r="P1661" s="133" t="s">
        <v>35</v>
      </c>
      <c r="Q1661" s="133" t="s">
        <v>35</v>
      </c>
      <c r="R1661" s="133" t="s">
        <v>35</v>
      </c>
      <c r="S1661" s="133" t="s">
        <v>35</v>
      </c>
      <c r="T1661" s="135">
        <v>0.9</v>
      </c>
      <c r="U1661" s="133" t="s">
        <v>35</v>
      </c>
      <c r="V1661" s="133" t="s">
        <v>35</v>
      </c>
      <c r="W1661" s="133" t="s">
        <v>35</v>
      </c>
      <c r="X1661" s="133" t="s">
        <v>35</v>
      </c>
      <c r="Y1661" s="135">
        <v>0.92</v>
      </c>
      <c r="Z1661" s="135" t="s">
        <v>35</v>
      </c>
      <c r="AA1661" s="135" t="s">
        <v>35</v>
      </c>
      <c r="AB1661" s="135" t="s">
        <v>35</v>
      </c>
      <c r="AC1661" s="135" t="s">
        <v>35</v>
      </c>
      <c r="AD1661" s="135">
        <v>0.92</v>
      </c>
      <c r="AE1661" s="133">
        <v>1</v>
      </c>
      <c r="AF1661" s="133">
        <v>1</v>
      </c>
      <c r="AG1661" s="133">
        <v>0.996363636363636</v>
      </c>
      <c r="AH1661" s="133">
        <v>0.970561297919665</v>
      </c>
      <c r="AI1661" s="135">
        <v>0.92</v>
      </c>
      <c r="AJ1661" s="133" t="s">
        <v>35</v>
      </c>
      <c r="AK1661" s="133" t="s">
        <v>35</v>
      </c>
      <c r="AL1661" s="133" t="s">
        <v>35</v>
      </c>
      <c r="AM1661" s="133" t="s">
        <v>35</v>
      </c>
      <c r="AN1661" s="132">
        <v>0.99</v>
      </c>
      <c r="AO1661" s="137" t="s">
        <v>35</v>
      </c>
      <c r="AP1661" s="137" t="s">
        <v>35</v>
      </c>
      <c r="AQ1661" s="137" t="s">
        <v>35</v>
      </c>
      <c r="AR1661" s="137">
        <v>1</v>
      </c>
      <c r="AS1661" s="158">
        <v>0.110069253262963</v>
      </c>
      <c r="AT1661" s="141" t="s">
        <v>35</v>
      </c>
      <c r="AU1661" s="141" t="s">
        <v>35</v>
      </c>
      <c r="AV1661" s="141" t="s">
        <v>35</v>
      </c>
      <c r="AW1661" s="141" t="s">
        <v>35</v>
      </c>
      <c r="AX1661" s="95"/>
      <c r="AY1661" s="93"/>
    </row>
    <row r="1662" ht="14.5" spans="1:51">
      <c r="A1662" s="91"/>
      <c r="B1662" s="95"/>
      <c r="C1662" s="152" t="s">
        <v>1455</v>
      </c>
      <c r="D1662" s="153" t="s">
        <v>125</v>
      </c>
      <c r="E1662" s="130" t="s">
        <v>1456</v>
      </c>
      <c r="F1662" s="171" t="s">
        <v>1694</v>
      </c>
      <c r="G1662" s="171" t="s">
        <v>1694</v>
      </c>
      <c r="H1662" s="171" t="s">
        <v>1694</v>
      </c>
      <c r="I1662" s="171" t="s">
        <v>1694</v>
      </c>
      <c r="J1662" s="132">
        <v>0.9</v>
      </c>
      <c r="K1662" s="133" t="s">
        <v>35</v>
      </c>
      <c r="L1662" s="133" t="s">
        <v>35</v>
      </c>
      <c r="M1662" s="134" t="s">
        <v>35</v>
      </c>
      <c r="N1662" s="133" t="s">
        <v>35</v>
      </c>
      <c r="O1662" s="135">
        <v>0.9</v>
      </c>
      <c r="P1662" s="133" t="s">
        <v>35</v>
      </c>
      <c r="Q1662" s="133" t="s">
        <v>35</v>
      </c>
      <c r="R1662" s="133" t="s">
        <v>35</v>
      </c>
      <c r="S1662" s="133" t="s">
        <v>35</v>
      </c>
      <c r="T1662" s="135">
        <v>0.9</v>
      </c>
      <c r="U1662" s="133" t="s">
        <v>35</v>
      </c>
      <c r="V1662" s="133" t="s">
        <v>35</v>
      </c>
      <c r="W1662" s="133" t="s">
        <v>35</v>
      </c>
      <c r="X1662" s="133" t="s">
        <v>35</v>
      </c>
      <c r="Y1662" s="135">
        <v>0.92</v>
      </c>
      <c r="Z1662" s="135" t="s">
        <v>35</v>
      </c>
      <c r="AA1662" s="135" t="s">
        <v>35</v>
      </c>
      <c r="AB1662" s="135">
        <v>0</v>
      </c>
      <c r="AC1662" s="135">
        <v>0</v>
      </c>
      <c r="AD1662" s="135">
        <v>0.92</v>
      </c>
      <c r="AE1662" s="133">
        <v>1</v>
      </c>
      <c r="AF1662" s="133">
        <v>1</v>
      </c>
      <c r="AG1662" s="133">
        <v>0.994269340974212</v>
      </c>
      <c r="AH1662" s="133">
        <v>0.994195356285028</v>
      </c>
      <c r="AI1662" s="135">
        <v>0.92</v>
      </c>
      <c r="AJ1662" s="133" t="s">
        <v>35</v>
      </c>
      <c r="AK1662" s="133" t="s">
        <v>35</v>
      </c>
      <c r="AL1662" s="133">
        <v>0</v>
      </c>
      <c r="AM1662" s="133">
        <v>0</v>
      </c>
      <c r="AN1662" s="132">
        <v>0.99</v>
      </c>
      <c r="AO1662" s="137">
        <v>1</v>
      </c>
      <c r="AP1662" s="137">
        <v>1</v>
      </c>
      <c r="AQ1662" s="137" t="s">
        <v>35</v>
      </c>
      <c r="AR1662" s="137">
        <v>1</v>
      </c>
      <c r="AS1662" s="158">
        <v>0.110069253262963</v>
      </c>
      <c r="AT1662" s="141" t="s">
        <v>35</v>
      </c>
      <c r="AU1662" s="141" t="s">
        <v>35</v>
      </c>
      <c r="AV1662" s="141" t="s">
        <v>35</v>
      </c>
      <c r="AW1662" s="141" t="s">
        <v>35</v>
      </c>
      <c r="AX1662" s="95"/>
      <c r="AY1662" s="93"/>
    </row>
    <row r="1663" ht="14.5" spans="1:51">
      <c r="A1663" s="91"/>
      <c r="B1663" s="95"/>
      <c r="C1663" s="152" t="s">
        <v>1455</v>
      </c>
      <c r="D1663" s="153" t="s">
        <v>25</v>
      </c>
      <c r="E1663" s="130" t="s">
        <v>1456</v>
      </c>
      <c r="F1663" s="171" t="s">
        <v>1695</v>
      </c>
      <c r="G1663" s="171" t="s">
        <v>1695</v>
      </c>
      <c r="H1663" s="171" t="s">
        <v>1695</v>
      </c>
      <c r="I1663" s="171" t="s">
        <v>1695</v>
      </c>
      <c r="J1663" s="132">
        <v>0.9</v>
      </c>
      <c r="K1663" s="133">
        <v>0.666666666666667</v>
      </c>
      <c r="L1663" s="133">
        <v>0.564102564102564</v>
      </c>
      <c r="M1663" s="134">
        <v>0.757575757575758</v>
      </c>
      <c r="N1663" s="133">
        <v>0.661194029850746</v>
      </c>
      <c r="O1663" s="135">
        <v>0.9</v>
      </c>
      <c r="P1663" s="133">
        <v>0.846285591950332</v>
      </c>
      <c r="Q1663" s="133">
        <v>0.766622516556291</v>
      </c>
      <c r="R1663" s="133">
        <v>0.853330127434479</v>
      </c>
      <c r="S1663" s="133">
        <v>0.847240199407928</v>
      </c>
      <c r="T1663" s="135">
        <v>0.9</v>
      </c>
      <c r="U1663" s="133">
        <v>0.762577606508242</v>
      </c>
      <c r="V1663" s="133">
        <v>0.665165562913907</v>
      </c>
      <c r="W1663" s="133">
        <v>0.69632123106516</v>
      </c>
      <c r="X1663" s="133">
        <v>0.749561071881688</v>
      </c>
      <c r="Y1663" s="135">
        <v>0.92</v>
      </c>
      <c r="Z1663" s="135">
        <v>0.75</v>
      </c>
      <c r="AA1663" s="135">
        <v>1</v>
      </c>
      <c r="AB1663" s="135">
        <v>0.5</v>
      </c>
      <c r="AC1663" s="135">
        <v>0.358208955223881</v>
      </c>
      <c r="AD1663" s="135">
        <v>0.92</v>
      </c>
      <c r="AE1663" s="133">
        <v>0.823529411764706</v>
      </c>
      <c r="AF1663" s="133">
        <v>0.785714285714286</v>
      </c>
      <c r="AG1663" s="133">
        <v>0.888888888888889</v>
      </c>
      <c r="AH1663" s="133">
        <v>0.784522003034901</v>
      </c>
      <c r="AI1663" s="135">
        <v>0.92</v>
      </c>
      <c r="AJ1663" s="133">
        <v>0.845775401069519</v>
      </c>
      <c r="AK1663" s="133">
        <v>0.841089370703332</v>
      </c>
      <c r="AL1663" s="133">
        <v>0.824249699879952</v>
      </c>
      <c r="AM1663" s="133">
        <v>0.881382842509603</v>
      </c>
      <c r="AN1663" s="132">
        <v>0.99</v>
      </c>
      <c r="AO1663" s="137">
        <v>1</v>
      </c>
      <c r="AP1663" s="137">
        <v>1</v>
      </c>
      <c r="AQ1663" s="137">
        <v>1</v>
      </c>
      <c r="AR1663" s="137">
        <v>1</v>
      </c>
      <c r="AS1663" s="158">
        <v>0.110069253262963</v>
      </c>
      <c r="AT1663" s="141">
        <v>0.108108108108108</v>
      </c>
      <c r="AU1663" s="141">
        <v>0.129032258064516</v>
      </c>
      <c r="AV1663" s="141">
        <v>0.173913043478261</v>
      </c>
      <c r="AW1663" s="141">
        <v>0.0968280467445743</v>
      </c>
      <c r="AX1663" s="95"/>
      <c r="AY1663" s="93"/>
    </row>
    <row r="1664" ht="14.5" spans="1:51">
      <c r="A1664" s="91"/>
      <c r="B1664" s="95"/>
      <c r="C1664" s="152" t="s">
        <v>1455</v>
      </c>
      <c r="D1664" s="153" t="s">
        <v>125</v>
      </c>
      <c r="E1664" s="130" t="s">
        <v>1456</v>
      </c>
      <c r="F1664" s="171" t="s">
        <v>1696</v>
      </c>
      <c r="G1664" s="171" t="s">
        <v>1696</v>
      </c>
      <c r="H1664" s="171" t="s">
        <v>1696</v>
      </c>
      <c r="I1664" s="171" t="s">
        <v>1696</v>
      </c>
      <c r="J1664" s="132">
        <v>0.9</v>
      </c>
      <c r="K1664" s="133" t="s">
        <v>35</v>
      </c>
      <c r="L1664" s="133" t="s">
        <v>35</v>
      </c>
      <c r="M1664" s="134" t="s">
        <v>35</v>
      </c>
      <c r="N1664" s="133" t="s">
        <v>35</v>
      </c>
      <c r="O1664" s="135">
        <v>0.9</v>
      </c>
      <c r="P1664" s="133" t="s">
        <v>35</v>
      </c>
      <c r="Q1664" s="133" t="s">
        <v>35</v>
      </c>
      <c r="R1664" s="133" t="s">
        <v>35</v>
      </c>
      <c r="S1664" s="133">
        <v>0</v>
      </c>
      <c r="T1664" s="135">
        <v>0.9</v>
      </c>
      <c r="U1664" s="133" t="s">
        <v>35</v>
      </c>
      <c r="V1664" s="133" t="s">
        <v>35</v>
      </c>
      <c r="W1664" s="133" t="s">
        <v>35</v>
      </c>
      <c r="X1664" s="133">
        <v>0.166666666666667</v>
      </c>
      <c r="Y1664" s="135">
        <v>0.92</v>
      </c>
      <c r="Z1664" s="135" t="s">
        <v>35</v>
      </c>
      <c r="AA1664" s="135" t="s">
        <v>35</v>
      </c>
      <c r="AB1664" s="135" t="s">
        <v>35</v>
      </c>
      <c r="AC1664" s="135" t="s">
        <v>35</v>
      </c>
      <c r="AD1664" s="135">
        <v>0.92</v>
      </c>
      <c r="AE1664" s="133">
        <v>0.925619834710744</v>
      </c>
      <c r="AF1664" s="133">
        <v>0.96039603960396</v>
      </c>
      <c r="AG1664" s="133">
        <v>1</v>
      </c>
      <c r="AH1664" s="133">
        <v>0.969029184038118</v>
      </c>
      <c r="AI1664" s="135">
        <v>0.92</v>
      </c>
      <c r="AJ1664" s="133" t="s">
        <v>35</v>
      </c>
      <c r="AK1664" s="133" t="s">
        <v>35</v>
      </c>
      <c r="AL1664" s="133" t="s">
        <v>35</v>
      </c>
      <c r="AM1664" s="133">
        <v>0.285714285714286</v>
      </c>
      <c r="AN1664" s="132">
        <v>0.99</v>
      </c>
      <c r="AO1664" s="137">
        <v>1</v>
      </c>
      <c r="AP1664" s="137">
        <v>1</v>
      </c>
      <c r="AQ1664" s="137">
        <v>1</v>
      </c>
      <c r="AR1664" s="137">
        <v>1</v>
      </c>
      <c r="AS1664" s="158">
        <v>0.110069253262963</v>
      </c>
      <c r="AT1664" s="141" t="s">
        <v>35</v>
      </c>
      <c r="AU1664" s="141" t="s">
        <v>35</v>
      </c>
      <c r="AV1664" s="141" t="s">
        <v>35</v>
      </c>
      <c r="AW1664" s="141" t="s">
        <v>35</v>
      </c>
      <c r="AX1664" s="95"/>
      <c r="AY1664" s="93"/>
    </row>
    <row r="1665" ht="14.5" spans="1:51">
      <c r="A1665" s="91"/>
      <c r="B1665" s="95"/>
      <c r="C1665" s="152" t="s">
        <v>1455</v>
      </c>
      <c r="D1665" s="153" t="s">
        <v>125</v>
      </c>
      <c r="E1665" s="130" t="s">
        <v>1456</v>
      </c>
      <c r="F1665" s="171" t="s">
        <v>1697</v>
      </c>
      <c r="G1665" s="171" t="s">
        <v>1697</v>
      </c>
      <c r="H1665" s="171" t="s">
        <v>1697</v>
      </c>
      <c r="I1665" s="171" t="s">
        <v>1697</v>
      </c>
      <c r="J1665" s="132">
        <v>0.9</v>
      </c>
      <c r="K1665" s="133" t="s">
        <v>35</v>
      </c>
      <c r="L1665" s="133" t="s">
        <v>35</v>
      </c>
      <c r="M1665" s="134" t="s">
        <v>35</v>
      </c>
      <c r="N1665" s="133" t="s">
        <v>35</v>
      </c>
      <c r="O1665" s="135">
        <v>0.9</v>
      </c>
      <c r="P1665" s="133" t="s">
        <v>35</v>
      </c>
      <c r="Q1665" s="133" t="s">
        <v>35</v>
      </c>
      <c r="R1665" s="133" t="s">
        <v>35</v>
      </c>
      <c r="S1665" s="133">
        <v>0</v>
      </c>
      <c r="T1665" s="135">
        <v>0.9</v>
      </c>
      <c r="U1665" s="133" t="s">
        <v>35</v>
      </c>
      <c r="V1665" s="133" t="s">
        <v>35</v>
      </c>
      <c r="W1665" s="133" t="s">
        <v>35</v>
      </c>
      <c r="X1665" s="133">
        <v>0.8</v>
      </c>
      <c r="Y1665" s="135">
        <v>0.92</v>
      </c>
      <c r="Z1665" s="135" t="s">
        <v>35</v>
      </c>
      <c r="AA1665" s="135" t="s">
        <v>35</v>
      </c>
      <c r="AB1665" s="135" t="s">
        <v>35</v>
      </c>
      <c r="AC1665" s="135" t="s">
        <v>35</v>
      </c>
      <c r="AD1665" s="135">
        <v>0.92</v>
      </c>
      <c r="AE1665" s="133">
        <v>1</v>
      </c>
      <c r="AF1665" s="133">
        <v>0.936170212765957</v>
      </c>
      <c r="AG1665" s="133">
        <v>0.733431516936672</v>
      </c>
      <c r="AH1665" s="133">
        <v>0.873248832555037</v>
      </c>
      <c r="AI1665" s="135">
        <v>0.92</v>
      </c>
      <c r="AJ1665" s="133">
        <v>1</v>
      </c>
      <c r="AK1665" s="133" t="s">
        <v>35</v>
      </c>
      <c r="AL1665" s="133" t="s">
        <v>35</v>
      </c>
      <c r="AM1665" s="133">
        <v>1</v>
      </c>
      <c r="AN1665" s="132">
        <v>0.99</v>
      </c>
      <c r="AO1665" s="137">
        <v>1</v>
      </c>
      <c r="AP1665" s="137">
        <v>1</v>
      </c>
      <c r="AQ1665" s="137">
        <v>1</v>
      </c>
      <c r="AR1665" s="137">
        <v>1</v>
      </c>
      <c r="AS1665" s="158">
        <v>0.110069253262963</v>
      </c>
      <c r="AT1665" s="141" t="s">
        <v>35</v>
      </c>
      <c r="AU1665" s="141" t="s">
        <v>35</v>
      </c>
      <c r="AV1665" s="141" t="s">
        <v>35</v>
      </c>
      <c r="AW1665" s="141" t="s">
        <v>35</v>
      </c>
      <c r="AX1665" s="95"/>
      <c r="AY1665" s="93"/>
    </row>
    <row r="1666" ht="14.5" spans="1:51">
      <c r="A1666" s="91"/>
      <c r="B1666" s="95"/>
      <c r="C1666" s="152" t="s">
        <v>1455</v>
      </c>
      <c r="D1666" s="153" t="s">
        <v>125</v>
      </c>
      <c r="E1666" s="130" t="s">
        <v>1456</v>
      </c>
      <c r="F1666" s="171" t="s">
        <v>1698</v>
      </c>
      <c r="G1666" s="171" t="s">
        <v>1698</v>
      </c>
      <c r="H1666" s="171" t="s">
        <v>1698</v>
      </c>
      <c r="I1666" s="171" t="s">
        <v>1698</v>
      </c>
      <c r="J1666" s="132">
        <v>0.9</v>
      </c>
      <c r="K1666" s="133" t="s">
        <v>35</v>
      </c>
      <c r="L1666" s="133" t="s">
        <v>35</v>
      </c>
      <c r="M1666" s="134" t="s">
        <v>35</v>
      </c>
      <c r="N1666" s="133" t="s">
        <v>35</v>
      </c>
      <c r="O1666" s="135">
        <v>0.9</v>
      </c>
      <c r="P1666" s="133" t="s">
        <v>35</v>
      </c>
      <c r="Q1666" s="133" t="s">
        <v>35</v>
      </c>
      <c r="R1666" s="133" t="s">
        <v>35</v>
      </c>
      <c r="S1666" s="133">
        <v>0</v>
      </c>
      <c r="T1666" s="135">
        <v>0.9</v>
      </c>
      <c r="U1666" s="133" t="s">
        <v>35</v>
      </c>
      <c r="V1666" s="133" t="s">
        <v>35</v>
      </c>
      <c r="W1666" s="133" t="s">
        <v>35</v>
      </c>
      <c r="X1666" s="133">
        <v>0.5</v>
      </c>
      <c r="Y1666" s="135">
        <v>0.92</v>
      </c>
      <c r="Z1666" s="135" t="s">
        <v>35</v>
      </c>
      <c r="AA1666" s="135" t="s">
        <v>35</v>
      </c>
      <c r="AB1666" s="135" t="s">
        <v>35</v>
      </c>
      <c r="AC1666" s="135" t="s">
        <v>35</v>
      </c>
      <c r="AD1666" s="135">
        <v>0.92</v>
      </c>
      <c r="AE1666" s="133">
        <v>1</v>
      </c>
      <c r="AF1666" s="133">
        <v>1</v>
      </c>
      <c r="AG1666" s="133">
        <v>1</v>
      </c>
      <c r="AH1666" s="133">
        <v>0.92670628489105</v>
      </c>
      <c r="AI1666" s="135">
        <v>0.92</v>
      </c>
      <c r="AJ1666" s="133" t="s">
        <v>35</v>
      </c>
      <c r="AK1666" s="133" t="s">
        <v>35</v>
      </c>
      <c r="AL1666" s="133" t="s">
        <v>35</v>
      </c>
      <c r="AM1666" s="133">
        <v>0.666666666666667</v>
      </c>
      <c r="AN1666" s="132">
        <v>0.99</v>
      </c>
      <c r="AO1666" s="137">
        <v>1</v>
      </c>
      <c r="AP1666" s="137">
        <v>1</v>
      </c>
      <c r="AQ1666" s="137">
        <v>1</v>
      </c>
      <c r="AR1666" s="137">
        <v>1</v>
      </c>
      <c r="AS1666" s="158">
        <v>0.110069253262963</v>
      </c>
      <c r="AT1666" s="141" t="s">
        <v>35</v>
      </c>
      <c r="AU1666" s="141" t="s">
        <v>35</v>
      </c>
      <c r="AV1666" s="141" t="s">
        <v>35</v>
      </c>
      <c r="AW1666" s="141" t="s">
        <v>35</v>
      </c>
      <c r="AX1666" s="95"/>
      <c r="AY1666" s="93"/>
    </row>
    <row r="1667" ht="14.5" spans="1:51">
      <c r="A1667" s="91"/>
      <c r="B1667" s="95"/>
      <c r="C1667" s="152" t="s">
        <v>1455</v>
      </c>
      <c r="D1667" s="153" t="s">
        <v>25</v>
      </c>
      <c r="E1667" s="130" t="s">
        <v>1456</v>
      </c>
      <c r="F1667" s="171" t="s">
        <v>1699</v>
      </c>
      <c r="G1667" s="171" t="s">
        <v>1699</v>
      </c>
      <c r="H1667" s="171" t="s">
        <v>1699</v>
      </c>
      <c r="I1667" s="171" t="s">
        <v>1699</v>
      </c>
      <c r="J1667" s="132">
        <v>0.9</v>
      </c>
      <c r="K1667" s="133">
        <v>1</v>
      </c>
      <c r="L1667" s="133">
        <v>0.857142857142857</v>
      </c>
      <c r="M1667" s="134">
        <v>1</v>
      </c>
      <c r="N1667" s="133">
        <v>0.944444444444444</v>
      </c>
      <c r="O1667" s="135">
        <v>0.9</v>
      </c>
      <c r="P1667" s="133">
        <v>1</v>
      </c>
      <c r="Q1667" s="133">
        <v>0.970873786407767</v>
      </c>
      <c r="R1667" s="133">
        <v>0.96969696969697</v>
      </c>
      <c r="S1667" s="133">
        <v>0.202724659417573</v>
      </c>
      <c r="T1667" s="135">
        <v>0.9</v>
      </c>
      <c r="U1667" s="133">
        <v>0.9375</v>
      </c>
      <c r="V1667" s="133">
        <v>0.87378640776699</v>
      </c>
      <c r="W1667" s="133">
        <v>0.757575757575758</v>
      </c>
      <c r="X1667" s="133">
        <v>0.114610673665792</v>
      </c>
      <c r="Y1667" s="135">
        <v>0.92</v>
      </c>
      <c r="Z1667" s="135" t="s">
        <v>35</v>
      </c>
      <c r="AA1667" s="135" t="s">
        <v>35</v>
      </c>
      <c r="AB1667" s="135" t="s">
        <v>35</v>
      </c>
      <c r="AC1667" s="135" t="s">
        <v>35</v>
      </c>
      <c r="AD1667" s="135">
        <v>0.92</v>
      </c>
      <c r="AE1667" s="133">
        <v>1</v>
      </c>
      <c r="AF1667" s="133">
        <v>0</v>
      </c>
      <c r="AG1667" s="133">
        <v>0</v>
      </c>
      <c r="AH1667" s="133">
        <v>0.577777777777778</v>
      </c>
      <c r="AI1667" s="135">
        <v>0.92</v>
      </c>
      <c r="AJ1667" s="133">
        <v>0.430894308943089</v>
      </c>
      <c r="AK1667" s="133">
        <v>0.190070921985816</v>
      </c>
      <c r="AL1667" s="133">
        <v>0.0618705035971223</v>
      </c>
      <c r="AM1667" s="133">
        <v>0.223960622308166</v>
      </c>
      <c r="AN1667" s="132">
        <v>0.99</v>
      </c>
      <c r="AO1667" s="137" t="s">
        <v>35</v>
      </c>
      <c r="AP1667" s="137" t="s">
        <v>35</v>
      </c>
      <c r="AQ1667" s="137" t="s">
        <v>35</v>
      </c>
      <c r="AR1667" s="137" t="s">
        <v>35</v>
      </c>
      <c r="AS1667" s="158">
        <v>0.110069253262963</v>
      </c>
      <c r="AT1667" s="141">
        <v>0</v>
      </c>
      <c r="AU1667" s="141">
        <v>0.0909090909090909</v>
      </c>
      <c r="AV1667" s="141">
        <v>0.1</v>
      </c>
      <c r="AW1667" s="141">
        <v>0.0719257540603248</v>
      </c>
      <c r="AX1667" s="95"/>
      <c r="AY1667" s="93"/>
    </row>
    <row r="1668" ht="14.5" spans="1:51">
      <c r="A1668" s="91"/>
      <c r="B1668" s="95"/>
      <c r="C1668" s="152" t="s">
        <v>1455</v>
      </c>
      <c r="D1668" s="153" t="s">
        <v>25</v>
      </c>
      <c r="E1668" s="130" t="s">
        <v>1456</v>
      </c>
      <c r="F1668" s="171" t="s">
        <v>1700</v>
      </c>
      <c r="G1668" s="171" t="s">
        <v>1700</v>
      </c>
      <c r="H1668" s="171" t="s">
        <v>1700</v>
      </c>
      <c r="I1668" s="171" t="s">
        <v>1700</v>
      </c>
      <c r="J1668" s="132">
        <v>0.9</v>
      </c>
      <c r="K1668" s="133">
        <v>0.966666666666667</v>
      </c>
      <c r="L1668" s="133">
        <v>0.967741935483871</v>
      </c>
      <c r="M1668" s="134">
        <v>0.966666666666667</v>
      </c>
      <c r="N1668" s="133">
        <v>0.97037037037037</v>
      </c>
      <c r="O1668" s="135">
        <v>0.9</v>
      </c>
      <c r="P1668" s="133">
        <v>0.974382716049383</v>
      </c>
      <c r="Q1668" s="133">
        <v>0.980781153130812</v>
      </c>
      <c r="R1668" s="133">
        <v>0.977377165075999</v>
      </c>
      <c r="S1668" s="133">
        <v>0.970569023757535</v>
      </c>
      <c r="T1668" s="135">
        <v>0.9</v>
      </c>
      <c r="U1668" s="133">
        <v>0.510493827160494</v>
      </c>
      <c r="V1668" s="133">
        <v>0.563856168629882</v>
      </c>
      <c r="W1668" s="133">
        <v>0.572640509013786</v>
      </c>
      <c r="X1668" s="133">
        <v>0.548550846350522</v>
      </c>
      <c r="Y1668" s="135">
        <v>0.92</v>
      </c>
      <c r="Z1668" s="135" t="s">
        <v>35</v>
      </c>
      <c r="AA1668" s="135" t="s">
        <v>35</v>
      </c>
      <c r="AB1668" s="135" t="s">
        <v>35</v>
      </c>
      <c r="AC1668" s="135" t="s">
        <v>35</v>
      </c>
      <c r="AD1668" s="135">
        <v>0.92</v>
      </c>
      <c r="AE1668" s="133">
        <v>1</v>
      </c>
      <c r="AF1668" s="133">
        <v>1</v>
      </c>
      <c r="AG1668" s="133">
        <v>1</v>
      </c>
      <c r="AH1668" s="133">
        <v>0.995283018867924</v>
      </c>
      <c r="AI1668" s="135">
        <v>0.92</v>
      </c>
      <c r="AJ1668" s="133">
        <v>0.898148148148148</v>
      </c>
      <c r="AK1668" s="133">
        <v>0.888096714197148</v>
      </c>
      <c r="AL1668" s="133">
        <v>0.900318133616119</v>
      </c>
      <c r="AM1668" s="133">
        <v>0.919302763936323</v>
      </c>
      <c r="AN1668" s="132">
        <v>0.99</v>
      </c>
      <c r="AO1668" s="137">
        <v>1</v>
      </c>
      <c r="AP1668" s="137">
        <v>1</v>
      </c>
      <c r="AQ1668" s="137">
        <v>1</v>
      </c>
      <c r="AR1668" s="137">
        <v>1</v>
      </c>
      <c r="AS1668" s="158">
        <v>0.110069253262963</v>
      </c>
      <c r="AT1668" s="141">
        <v>0.125</v>
      </c>
      <c r="AU1668" s="141">
        <v>0</v>
      </c>
      <c r="AV1668" s="141">
        <v>0</v>
      </c>
      <c r="AW1668" s="141">
        <v>0.0912408759124088</v>
      </c>
      <c r="AX1668" s="95"/>
      <c r="AY1668" s="93"/>
    </row>
    <row r="1669" ht="14.5" spans="1:51">
      <c r="A1669" s="91"/>
      <c r="B1669" s="95"/>
      <c r="C1669" s="152" t="s">
        <v>1455</v>
      </c>
      <c r="D1669" s="153" t="s">
        <v>25</v>
      </c>
      <c r="E1669" s="130" t="s">
        <v>1456</v>
      </c>
      <c r="F1669" s="171" t="s">
        <v>1701</v>
      </c>
      <c r="G1669" s="171" t="s">
        <v>1701</v>
      </c>
      <c r="H1669" s="171" t="s">
        <v>1701</v>
      </c>
      <c r="I1669" s="171" t="s">
        <v>1701</v>
      </c>
      <c r="J1669" s="132">
        <v>0.9</v>
      </c>
      <c r="K1669" s="133" t="s">
        <v>35</v>
      </c>
      <c r="L1669" s="133" t="s">
        <v>35</v>
      </c>
      <c r="M1669" s="134" t="s">
        <v>35</v>
      </c>
      <c r="N1669" s="133" t="s">
        <v>35</v>
      </c>
      <c r="O1669" s="135">
        <v>0.9</v>
      </c>
      <c r="P1669" s="133" t="s">
        <v>35</v>
      </c>
      <c r="Q1669" s="133" t="s">
        <v>35</v>
      </c>
      <c r="R1669" s="133" t="s">
        <v>35</v>
      </c>
      <c r="S1669" s="133" t="s">
        <v>35</v>
      </c>
      <c r="T1669" s="135">
        <v>0.9</v>
      </c>
      <c r="U1669" s="133" t="s">
        <v>35</v>
      </c>
      <c r="V1669" s="133" t="s">
        <v>35</v>
      </c>
      <c r="W1669" s="133" t="s">
        <v>35</v>
      </c>
      <c r="X1669" s="133" t="s">
        <v>35</v>
      </c>
      <c r="Y1669" s="135">
        <v>0.92</v>
      </c>
      <c r="Z1669" s="135" t="s">
        <v>35</v>
      </c>
      <c r="AA1669" s="135" t="s">
        <v>35</v>
      </c>
      <c r="AB1669" s="135" t="s">
        <v>35</v>
      </c>
      <c r="AC1669" s="135" t="s">
        <v>35</v>
      </c>
      <c r="AD1669" s="135">
        <v>0.92</v>
      </c>
      <c r="AE1669" s="133" t="s">
        <v>35</v>
      </c>
      <c r="AF1669" s="133" t="s">
        <v>35</v>
      </c>
      <c r="AG1669" s="133" t="s">
        <v>35</v>
      </c>
      <c r="AH1669" s="133" t="s">
        <v>35</v>
      </c>
      <c r="AI1669" s="135">
        <v>0.92</v>
      </c>
      <c r="AJ1669" s="133" t="s">
        <v>35</v>
      </c>
      <c r="AK1669" s="133" t="s">
        <v>35</v>
      </c>
      <c r="AL1669" s="133" t="s">
        <v>35</v>
      </c>
      <c r="AM1669" s="133" t="s">
        <v>35</v>
      </c>
      <c r="AN1669" s="132">
        <v>0.99</v>
      </c>
      <c r="AO1669" s="137" t="s">
        <v>35</v>
      </c>
      <c r="AP1669" s="137" t="s">
        <v>35</v>
      </c>
      <c r="AQ1669" s="137" t="s">
        <v>35</v>
      </c>
      <c r="AR1669" s="137" t="s">
        <v>35</v>
      </c>
      <c r="AS1669" s="158">
        <v>0.110069253262963</v>
      </c>
      <c r="AT1669" s="141" t="s">
        <v>35</v>
      </c>
      <c r="AU1669" s="141" t="s">
        <v>35</v>
      </c>
      <c r="AV1669" s="141" t="s">
        <v>35</v>
      </c>
      <c r="AW1669" s="141" t="s">
        <v>35</v>
      </c>
      <c r="AX1669" s="95"/>
      <c r="AY1669" s="93"/>
    </row>
    <row r="1670" ht="14.5" spans="1:51">
      <c r="A1670" s="91"/>
      <c r="B1670" s="95"/>
      <c r="C1670" s="152" t="s">
        <v>1455</v>
      </c>
      <c r="D1670" s="153" t="s">
        <v>25</v>
      </c>
      <c r="E1670" s="130" t="s">
        <v>1456</v>
      </c>
      <c r="F1670" s="171" t="s">
        <v>1702</v>
      </c>
      <c r="G1670" s="171" t="s">
        <v>1702</v>
      </c>
      <c r="H1670" s="171" t="s">
        <v>1702</v>
      </c>
      <c r="I1670" s="171" t="s">
        <v>1702</v>
      </c>
      <c r="J1670" s="132">
        <v>0.9</v>
      </c>
      <c r="K1670" s="133" t="s">
        <v>35</v>
      </c>
      <c r="L1670" s="133" t="s">
        <v>35</v>
      </c>
      <c r="M1670" s="134" t="s">
        <v>35</v>
      </c>
      <c r="N1670" s="133" t="s">
        <v>35</v>
      </c>
      <c r="O1670" s="135">
        <v>0.9</v>
      </c>
      <c r="P1670" s="133" t="s">
        <v>35</v>
      </c>
      <c r="Q1670" s="133" t="s">
        <v>35</v>
      </c>
      <c r="R1670" s="133" t="s">
        <v>35</v>
      </c>
      <c r="S1670" s="133" t="s">
        <v>35</v>
      </c>
      <c r="T1670" s="135">
        <v>0.9</v>
      </c>
      <c r="U1670" s="133" t="s">
        <v>35</v>
      </c>
      <c r="V1670" s="133" t="s">
        <v>35</v>
      </c>
      <c r="W1670" s="133" t="s">
        <v>35</v>
      </c>
      <c r="X1670" s="133" t="s">
        <v>35</v>
      </c>
      <c r="Y1670" s="135">
        <v>0.92</v>
      </c>
      <c r="Z1670" s="135" t="s">
        <v>35</v>
      </c>
      <c r="AA1670" s="135" t="s">
        <v>35</v>
      </c>
      <c r="AB1670" s="135" t="s">
        <v>35</v>
      </c>
      <c r="AC1670" s="135" t="s">
        <v>35</v>
      </c>
      <c r="AD1670" s="135">
        <v>0.92</v>
      </c>
      <c r="AE1670" s="133" t="s">
        <v>35</v>
      </c>
      <c r="AF1670" s="133" t="s">
        <v>35</v>
      </c>
      <c r="AG1670" s="133" t="s">
        <v>35</v>
      </c>
      <c r="AH1670" s="133" t="s">
        <v>35</v>
      </c>
      <c r="AI1670" s="135">
        <v>0.92</v>
      </c>
      <c r="AJ1670" s="133" t="s">
        <v>35</v>
      </c>
      <c r="AK1670" s="133" t="s">
        <v>35</v>
      </c>
      <c r="AL1670" s="133" t="s">
        <v>35</v>
      </c>
      <c r="AM1670" s="133" t="s">
        <v>35</v>
      </c>
      <c r="AN1670" s="132">
        <v>0.99</v>
      </c>
      <c r="AO1670" s="137" t="s">
        <v>35</v>
      </c>
      <c r="AP1670" s="137" t="s">
        <v>35</v>
      </c>
      <c r="AQ1670" s="137" t="s">
        <v>35</v>
      </c>
      <c r="AR1670" s="137" t="s">
        <v>35</v>
      </c>
      <c r="AS1670" s="158">
        <v>0.110069253262963</v>
      </c>
      <c r="AT1670" s="141" t="s">
        <v>35</v>
      </c>
      <c r="AU1670" s="141" t="s">
        <v>35</v>
      </c>
      <c r="AV1670" s="141" t="s">
        <v>35</v>
      </c>
      <c r="AW1670" s="141" t="s">
        <v>35</v>
      </c>
      <c r="AX1670" s="95"/>
      <c r="AY1670" s="93"/>
    </row>
    <row r="1671" ht="14.5" spans="1:51">
      <c r="A1671" s="91"/>
      <c r="B1671" s="95"/>
      <c r="C1671" s="152" t="s">
        <v>1455</v>
      </c>
      <c r="D1671" s="153" t="s">
        <v>125</v>
      </c>
      <c r="E1671" s="130" t="s">
        <v>1456</v>
      </c>
      <c r="F1671" s="171" t="s">
        <v>1703</v>
      </c>
      <c r="G1671" s="171" t="s">
        <v>1703</v>
      </c>
      <c r="H1671" s="171" t="s">
        <v>1703</v>
      </c>
      <c r="I1671" s="171" t="s">
        <v>1703</v>
      </c>
      <c r="J1671" s="132">
        <v>0.9</v>
      </c>
      <c r="K1671" s="133" t="s">
        <v>35</v>
      </c>
      <c r="L1671" s="133" t="s">
        <v>35</v>
      </c>
      <c r="M1671" s="134" t="s">
        <v>35</v>
      </c>
      <c r="N1671" s="133" t="s">
        <v>35</v>
      </c>
      <c r="O1671" s="135">
        <v>0.9</v>
      </c>
      <c r="P1671" s="133">
        <v>0</v>
      </c>
      <c r="Q1671" s="133">
        <v>0</v>
      </c>
      <c r="R1671" s="133" t="s">
        <v>35</v>
      </c>
      <c r="S1671" s="133">
        <v>0</v>
      </c>
      <c r="T1671" s="135">
        <v>0.9</v>
      </c>
      <c r="U1671" s="133">
        <v>0</v>
      </c>
      <c r="V1671" s="133">
        <v>0</v>
      </c>
      <c r="W1671" s="133" t="s">
        <v>35</v>
      </c>
      <c r="X1671" s="133">
        <v>0.681818181818182</v>
      </c>
      <c r="Y1671" s="135">
        <v>0.92</v>
      </c>
      <c r="Z1671" s="135" t="s">
        <v>35</v>
      </c>
      <c r="AA1671" s="135" t="s">
        <v>35</v>
      </c>
      <c r="AB1671" s="135" t="s">
        <v>35</v>
      </c>
      <c r="AC1671" s="135" t="s">
        <v>35</v>
      </c>
      <c r="AD1671" s="135">
        <v>0.92</v>
      </c>
      <c r="AE1671" s="133">
        <v>0.99079754601227</v>
      </c>
      <c r="AF1671" s="133">
        <v>1</v>
      </c>
      <c r="AG1671" s="133">
        <v>0.982954545454545</v>
      </c>
      <c r="AH1671" s="133">
        <v>0.983900309259596</v>
      </c>
      <c r="AI1671" s="135">
        <v>0.92</v>
      </c>
      <c r="AJ1671" s="133">
        <v>0</v>
      </c>
      <c r="AK1671" s="133">
        <v>0</v>
      </c>
      <c r="AL1671" s="133" t="s">
        <v>35</v>
      </c>
      <c r="AM1671" s="133">
        <v>0.739130434782609</v>
      </c>
      <c r="AN1671" s="132">
        <v>0.99</v>
      </c>
      <c r="AO1671" s="137">
        <v>1</v>
      </c>
      <c r="AP1671" s="137" t="s">
        <v>35</v>
      </c>
      <c r="AQ1671" s="137" t="s">
        <v>35</v>
      </c>
      <c r="AR1671" s="137">
        <v>1</v>
      </c>
      <c r="AS1671" s="158">
        <v>0.110069253262963</v>
      </c>
      <c r="AT1671" s="141" t="s">
        <v>35</v>
      </c>
      <c r="AU1671" s="141" t="s">
        <v>35</v>
      </c>
      <c r="AV1671" s="141" t="s">
        <v>35</v>
      </c>
      <c r="AW1671" s="141" t="s">
        <v>35</v>
      </c>
      <c r="AX1671" s="95"/>
      <c r="AY1671" s="93"/>
    </row>
    <row r="1672" ht="14.5" spans="1:51">
      <c r="A1672" s="91"/>
      <c r="B1672" s="95"/>
      <c r="C1672" s="152" t="s">
        <v>1455</v>
      </c>
      <c r="D1672" s="153" t="s">
        <v>125</v>
      </c>
      <c r="E1672" s="130" t="s">
        <v>1456</v>
      </c>
      <c r="F1672" s="171" t="s">
        <v>1704</v>
      </c>
      <c r="G1672" s="171" t="s">
        <v>1704</v>
      </c>
      <c r="H1672" s="171" t="s">
        <v>1704</v>
      </c>
      <c r="I1672" s="171" t="s">
        <v>1704</v>
      </c>
      <c r="J1672" s="132">
        <v>0.9</v>
      </c>
      <c r="K1672" s="133" t="s">
        <v>35</v>
      </c>
      <c r="L1672" s="133" t="s">
        <v>35</v>
      </c>
      <c r="M1672" s="134" t="s">
        <v>35</v>
      </c>
      <c r="N1672" s="133" t="s">
        <v>35</v>
      </c>
      <c r="O1672" s="135">
        <v>0.9</v>
      </c>
      <c r="P1672" s="133">
        <v>0</v>
      </c>
      <c r="Q1672" s="133">
        <v>0</v>
      </c>
      <c r="R1672" s="133" t="s">
        <v>35</v>
      </c>
      <c r="S1672" s="133">
        <v>0</v>
      </c>
      <c r="T1672" s="135">
        <v>0.9</v>
      </c>
      <c r="U1672" s="133">
        <v>0.5</v>
      </c>
      <c r="V1672" s="133">
        <v>0.5</v>
      </c>
      <c r="W1672" s="133" t="s">
        <v>35</v>
      </c>
      <c r="X1672" s="133">
        <v>0.5</v>
      </c>
      <c r="Y1672" s="135">
        <v>0.92</v>
      </c>
      <c r="Z1672" s="135" t="s">
        <v>35</v>
      </c>
      <c r="AA1672" s="135" t="s">
        <v>35</v>
      </c>
      <c r="AB1672" s="135" t="s">
        <v>35</v>
      </c>
      <c r="AC1672" s="135" t="s">
        <v>35</v>
      </c>
      <c r="AD1672" s="135">
        <v>0.92</v>
      </c>
      <c r="AE1672" s="133">
        <v>0.962962962962963</v>
      </c>
      <c r="AF1672" s="133">
        <v>1</v>
      </c>
      <c r="AG1672" s="133">
        <v>0.995</v>
      </c>
      <c r="AH1672" s="133">
        <v>0.990740740740741</v>
      </c>
      <c r="AI1672" s="135">
        <v>0.92</v>
      </c>
      <c r="AJ1672" s="133">
        <v>1</v>
      </c>
      <c r="AK1672" s="133">
        <v>0.5</v>
      </c>
      <c r="AL1672" s="133" t="s">
        <v>35</v>
      </c>
      <c r="AM1672" s="133">
        <v>0.75</v>
      </c>
      <c r="AN1672" s="132">
        <v>0.99</v>
      </c>
      <c r="AO1672" s="137">
        <v>1</v>
      </c>
      <c r="AP1672" s="137">
        <v>1</v>
      </c>
      <c r="AQ1672" s="137">
        <v>1</v>
      </c>
      <c r="AR1672" s="137">
        <v>1</v>
      </c>
      <c r="AS1672" s="158">
        <v>0.110069253262963</v>
      </c>
      <c r="AT1672" s="141" t="s">
        <v>35</v>
      </c>
      <c r="AU1672" s="141" t="s">
        <v>35</v>
      </c>
      <c r="AV1672" s="141" t="s">
        <v>35</v>
      </c>
      <c r="AW1672" s="141" t="s">
        <v>35</v>
      </c>
      <c r="AX1672" s="95"/>
      <c r="AY1672" s="93"/>
    </row>
    <row r="1673" ht="14.5" spans="1:51">
      <c r="A1673" s="91"/>
      <c r="B1673" s="95"/>
      <c r="C1673" s="152" t="s">
        <v>1455</v>
      </c>
      <c r="D1673" s="153" t="s">
        <v>25</v>
      </c>
      <c r="E1673" s="130" t="s">
        <v>1456</v>
      </c>
      <c r="F1673" s="171" t="s">
        <v>1705</v>
      </c>
      <c r="G1673" s="171" t="s">
        <v>1705</v>
      </c>
      <c r="H1673" s="171" t="s">
        <v>1705</v>
      </c>
      <c r="I1673" s="171" t="s">
        <v>1705</v>
      </c>
      <c r="J1673" s="132">
        <v>0.9</v>
      </c>
      <c r="K1673" s="133" t="s">
        <v>35</v>
      </c>
      <c r="L1673" s="133" t="s">
        <v>35</v>
      </c>
      <c r="M1673" s="134" t="s">
        <v>35</v>
      </c>
      <c r="N1673" s="133" t="s">
        <v>35</v>
      </c>
      <c r="O1673" s="135">
        <v>0.9</v>
      </c>
      <c r="P1673" s="133">
        <v>0</v>
      </c>
      <c r="Q1673" s="133">
        <v>0</v>
      </c>
      <c r="R1673" s="133" t="s">
        <v>35</v>
      </c>
      <c r="S1673" s="133">
        <v>0</v>
      </c>
      <c r="T1673" s="135">
        <v>0.9</v>
      </c>
      <c r="U1673" s="133">
        <v>0.75</v>
      </c>
      <c r="V1673" s="133">
        <v>0.818181818181818</v>
      </c>
      <c r="W1673" s="133" t="s">
        <v>35</v>
      </c>
      <c r="X1673" s="133">
        <v>0.723809523809524</v>
      </c>
      <c r="Y1673" s="135">
        <v>0.92</v>
      </c>
      <c r="Z1673" s="135" t="s">
        <v>35</v>
      </c>
      <c r="AA1673" s="135" t="s">
        <v>35</v>
      </c>
      <c r="AB1673" s="135" t="s">
        <v>35</v>
      </c>
      <c r="AC1673" s="135" t="s">
        <v>35</v>
      </c>
      <c r="AD1673" s="135">
        <v>0.92</v>
      </c>
      <c r="AE1673" s="133">
        <v>0.996059113300493</v>
      </c>
      <c r="AF1673" s="133">
        <v>0.998727735368957</v>
      </c>
      <c r="AG1673" s="133">
        <v>0.99792531120332</v>
      </c>
      <c r="AH1673" s="133">
        <v>0.990304709141274</v>
      </c>
      <c r="AI1673" s="135">
        <v>0.92</v>
      </c>
      <c r="AJ1673" s="133">
        <v>0.75</v>
      </c>
      <c r="AK1673" s="133">
        <v>0.916666666666667</v>
      </c>
      <c r="AL1673" s="133" t="s">
        <v>35</v>
      </c>
      <c r="AM1673" s="133">
        <v>0.860869565217391</v>
      </c>
      <c r="AN1673" s="132">
        <v>0.99</v>
      </c>
      <c r="AO1673" s="137">
        <v>1</v>
      </c>
      <c r="AP1673" s="137">
        <v>1</v>
      </c>
      <c r="AQ1673" s="137">
        <v>1</v>
      </c>
      <c r="AR1673" s="137">
        <v>1</v>
      </c>
      <c r="AS1673" s="158">
        <v>0.110069253262963</v>
      </c>
      <c r="AT1673" s="141" t="s">
        <v>35</v>
      </c>
      <c r="AU1673" s="141" t="s">
        <v>35</v>
      </c>
      <c r="AV1673" s="141" t="s">
        <v>35</v>
      </c>
      <c r="AW1673" s="141" t="s">
        <v>35</v>
      </c>
      <c r="AX1673" s="95"/>
      <c r="AY1673" s="93"/>
    </row>
    <row r="1674" ht="14.5" spans="1:51">
      <c r="A1674" s="91"/>
      <c r="B1674" s="95"/>
      <c r="C1674" s="152" t="s">
        <v>1455</v>
      </c>
      <c r="D1674" s="153" t="s">
        <v>25</v>
      </c>
      <c r="E1674" s="130" t="s">
        <v>1456</v>
      </c>
      <c r="F1674" s="171" t="s">
        <v>1706</v>
      </c>
      <c r="G1674" s="171" t="s">
        <v>1706</v>
      </c>
      <c r="H1674" s="171" t="s">
        <v>1706</v>
      </c>
      <c r="I1674" s="171" t="s">
        <v>1706</v>
      </c>
      <c r="J1674" s="132">
        <v>0.9</v>
      </c>
      <c r="K1674" s="133">
        <v>1</v>
      </c>
      <c r="L1674" s="133">
        <v>1</v>
      </c>
      <c r="M1674" s="134">
        <v>1</v>
      </c>
      <c r="N1674" s="133">
        <v>0.991525423728814</v>
      </c>
      <c r="O1674" s="135">
        <v>0.9</v>
      </c>
      <c r="P1674" s="133">
        <v>0.975201487910725</v>
      </c>
      <c r="Q1674" s="133">
        <v>0.881972988843218</v>
      </c>
      <c r="R1674" s="133">
        <v>0.961705202312139</v>
      </c>
      <c r="S1674" s="133">
        <v>0.954482705728967</v>
      </c>
      <c r="T1674" s="135">
        <v>0.9</v>
      </c>
      <c r="U1674" s="133">
        <v>0.822070675759454</v>
      </c>
      <c r="V1674" s="133">
        <v>0.803288314738696</v>
      </c>
      <c r="W1674" s="133">
        <v>0.841763005780347</v>
      </c>
      <c r="X1674" s="133">
        <v>0.7244037119411</v>
      </c>
      <c r="Y1674" s="135">
        <v>0.92</v>
      </c>
      <c r="Z1674" s="135" t="s">
        <v>35</v>
      </c>
      <c r="AA1674" s="135" t="s">
        <v>35</v>
      </c>
      <c r="AB1674" s="135" t="s">
        <v>35</v>
      </c>
      <c r="AC1674" s="135" t="s">
        <v>35</v>
      </c>
      <c r="AD1674" s="135">
        <v>0.92</v>
      </c>
      <c r="AE1674" s="133">
        <v>0.846153846153846</v>
      </c>
      <c r="AF1674" s="133">
        <v>1</v>
      </c>
      <c r="AG1674" s="133">
        <v>1</v>
      </c>
      <c r="AH1674" s="133">
        <v>0.982954545454545</v>
      </c>
      <c r="AI1674" s="135">
        <v>0.92</v>
      </c>
      <c r="AJ1674" s="133">
        <v>0.941103533787973</v>
      </c>
      <c r="AK1674" s="133">
        <v>0.940692894891368</v>
      </c>
      <c r="AL1674" s="133">
        <v>0.952312138728324</v>
      </c>
      <c r="AM1674" s="133">
        <v>0.926489761484776</v>
      </c>
      <c r="AN1674" s="132">
        <v>0.99</v>
      </c>
      <c r="AO1674" s="137">
        <v>1</v>
      </c>
      <c r="AP1674" s="137">
        <v>1</v>
      </c>
      <c r="AQ1674" s="137">
        <v>1</v>
      </c>
      <c r="AR1674" s="137">
        <v>1</v>
      </c>
      <c r="AS1674" s="158">
        <v>0.110069253262963</v>
      </c>
      <c r="AT1674" s="141">
        <v>0.25</v>
      </c>
      <c r="AU1674" s="141">
        <v>0</v>
      </c>
      <c r="AV1674" s="141">
        <v>0.142857142857143</v>
      </c>
      <c r="AW1674" s="141">
        <v>0.124137931034483</v>
      </c>
      <c r="AX1674" s="95"/>
      <c r="AY1674" s="93"/>
    </row>
    <row r="1675" ht="14.5" spans="1:51">
      <c r="A1675" s="91"/>
      <c r="B1675" s="95"/>
      <c r="C1675" s="152" t="s">
        <v>1455</v>
      </c>
      <c r="D1675" s="153" t="s">
        <v>25</v>
      </c>
      <c r="E1675" s="130" t="s">
        <v>1456</v>
      </c>
      <c r="F1675" s="171" t="s">
        <v>1707</v>
      </c>
      <c r="G1675" s="171" t="s">
        <v>1707</v>
      </c>
      <c r="H1675" s="171" t="s">
        <v>1707</v>
      </c>
      <c r="I1675" s="171" t="s">
        <v>1707</v>
      </c>
      <c r="J1675" s="132">
        <v>0.9</v>
      </c>
      <c r="K1675" s="133">
        <v>0</v>
      </c>
      <c r="L1675" s="133">
        <v>0.5</v>
      </c>
      <c r="M1675" s="134">
        <v>0.285714285714286</v>
      </c>
      <c r="N1675" s="133">
        <v>0.359223300970874</v>
      </c>
      <c r="O1675" s="135">
        <v>0.9</v>
      </c>
      <c r="P1675" s="133" t="s">
        <v>35</v>
      </c>
      <c r="Q1675" s="133" t="s">
        <v>35</v>
      </c>
      <c r="R1675" s="133">
        <v>0</v>
      </c>
      <c r="S1675" s="133">
        <v>0.5</v>
      </c>
      <c r="T1675" s="135">
        <v>0.9</v>
      </c>
      <c r="U1675" s="133" t="s">
        <v>35</v>
      </c>
      <c r="V1675" s="133" t="s">
        <v>35</v>
      </c>
      <c r="W1675" s="133">
        <v>1</v>
      </c>
      <c r="X1675" s="133">
        <v>0.5</v>
      </c>
      <c r="Y1675" s="135">
        <v>0.92</v>
      </c>
      <c r="Z1675" s="135" t="s">
        <v>35</v>
      </c>
      <c r="AA1675" s="135" t="s">
        <v>35</v>
      </c>
      <c r="AB1675" s="135" t="s">
        <v>35</v>
      </c>
      <c r="AC1675" s="135" t="s">
        <v>35</v>
      </c>
      <c r="AD1675" s="135">
        <v>0.92</v>
      </c>
      <c r="AE1675" s="133" t="s">
        <v>35</v>
      </c>
      <c r="AF1675" s="133">
        <v>0</v>
      </c>
      <c r="AG1675" s="133">
        <v>0</v>
      </c>
      <c r="AH1675" s="133">
        <v>0.538461538461538</v>
      </c>
      <c r="AI1675" s="135">
        <v>0.92</v>
      </c>
      <c r="AJ1675" s="133">
        <v>0.571161048689139</v>
      </c>
      <c r="AK1675" s="133">
        <v>0.690997566909976</v>
      </c>
      <c r="AL1675" s="133">
        <v>0.575682382133995</v>
      </c>
      <c r="AM1675" s="133">
        <v>0.629793009840516</v>
      </c>
      <c r="AN1675" s="132">
        <v>0.99</v>
      </c>
      <c r="AO1675" s="137" t="s">
        <v>35</v>
      </c>
      <c r="AP1675" s="137" t="s">
        <v>35</v>
      </c>
      <c r="AQ1675" s="137" t="s">
        <v>35</v>
      </c>
      <c r="AR1675" s="137">
        <v>1</v>
      </c>
      <c r="AS1675" s="158">
        <v>0.110069253262963</v>
      </c>
      <c r="AT1675" s="141">
        <v>0.3</v>
      </c>
      <c r="AU1675" s="141">
        <v>0.571428571428571</v>
      </c>
      <c r="AV1675" s="141">
        <v>0</v>
      </c>
      <c r="AW1675" s="141">
        <v>0.0995850622406639</v>
      </c>
      <c r="AX1675" s="95"/>
      <c r="AY1675" s="93"/>
    </row>
    <row r="1676" ht="14.5" spans="1:51">
      <c r="A1676" s="91"/>
      <c r="B1676" s="95"/>
      <c r="C1676" s="152" t="s">
        <v>1455</v>
      </c>
      <c r="D1676" s="153" t="s">
        <v>25</v>
      </c>
      <c r="E1676" s="130" t="s">
        <v>1456</v>
      </c>
      <c r="F1676" s="171" t="s">
        <v>1708</v>
      </c>
      <c r="G1676" s="171" t="s">
        <v>1708</v>
      </c>
      <c r="H1676" s="171" t="s">
        <v>1708</v>
      </c>
      <c r="I1676" s="171" t="s">
        <v>1708</v>
      </c>
      <c r="J1676" s="132">
        <v>0.9</v>
      </c>
      <c r="K1676" s="133">
        <v>0.941176470588235</v>
      </c>
      <c r="L1676" s="133">
        <v>1</v>
      </c>
      <c r="M1676" s="134">
        <v>1</v>
      </c>
      <c r="N1676" s="133">
        <v>0.996621621621622</v>
      </c>
      <c r="O1676" s="135">
        <v>0.9</v>
      </c>
      <c r="P1676" s="133">
        <v>0.988567073170732</v>
      </c>
      <c r="Q1676" s="133">
        <v>0.927019982623805</v>
      </c>
      <c r="R1676" s="133">
        <v>0.988390092879257</v>
      </c>
      <c r="S1676" s="133">
        <v>0.963830418025497</v>
      </c>
      <c r="T1676" s="135">
        <v>0.9</v>
      </c>
      <c r="U1676" s="133">
        <v>0.946646341463415</v>
      </c>
      <c r="V1676" s="133">
        <v>0.951346655082537</v>
      </c>
      <c r="W1676" s="133">
        <v>0.978328173374613</v>
      </c>
      <c r="X1676" s="133">
        <v>0.950150353648723</v>
      </c>
      <c r="Y1676" s="135">
        <v>0.92</v>
      </c>
      <c r="Z1676" s="135" t="s">
        <v>35</v>
      </c>
      <c r="AA1676" s="135" t="s">
        <v>35</v>
      </c>
      <c r="AB1676" s="135" t="s">
        <v>35</v>
      </c>
      <c r="AC1676" s="135" t="s">
        <v>35</v>
      </c>
      <c r="AD1676" s="135">
        <v>0.92</v>
      </c>
      <c r="AE1676" s="133">
        <v>1</v>
      </c>
      <c r="AF1676" s="133">
        <v>0.506666666666667</v>
      </c>
      <c r="AG1676" s="133">
        <v>0.660714285714286</v>
      </c>
      <c r="AH1676" s="133">
        <v>0.48577449947313</v>
      </c>
      <c r="AI1676" s="135">
        <v>0.92</v>
      </c>
      <c r="AJ1676" s="133">
        <v>0.965701219512195</v>
      </c>
      <c r="AK1676" s="133">
        <v>0.995655951346655</v>
      </c>
      <c r="AL1676" s="133">
        <v>0.998452012383901</v>
      </c>
      <c r="AM1676" s="133">
        <v>0.989538774300114</v>
      </c>
      <c r="AN1676" s="132">
        <v>0.99</v>
      </c>
      <c r="AO1676" s="137">
        <v>1</v>
      </c>
      <c r="AP1676" s="137">
        <v>1</v>
      </c>
      <c r="AQ1676" s="137">
        <v>1</v>
      </c>
      <c r="AR1676" s="137">
        <v>1</v>
      </c>
      <c r="AS1676" s="158">
        <v>0.110069253262963</v>
      </c>
      <c r="AT1676" s="141">
        <v>0.0833333333333333</v>
      </c>
      <c r="AU1676" s="141">
        <v>0</v>
      </c>
      <c r="AV1676" s="141">
        <v>0.0769230769230769</v>
      </c>
      <c r="AW1676" s="141">
        <v>0.102040816326531</v>
      </c>
      <c r="AX1676" s="95"/>
      <c r="AY1676" s="93"/>
    </row>
    <row r="1677" ht="14.5" spans="1:51">
      <c r="A1677" s="91"/>
      <c r="B1677" s="95"/>
      <c r="C1677" s="152" t="s">
        <v>1455</v>
      </c>
      <c r="D1677" s="153" t="s">
        <v>25</v>
      </c>
      <c r="E1677" s="130" t="s">
        <v>1456</v>
      </c>
      <c r="F1677" s="171" t="s">
        <v>1709</v>
      </c>
      <c r="G1677" s="171" t="s">
        <v>1709</v>
      </c>
      <c r="H1677" s="171" t="s">
        <v>1709</v>
      </c>
      <c r="I1677" s="171" t="s">
        <v>1709</v>
      </c>
      <c r="J1677" s="132">
        <v>0.9</v>
      </c>
      <c r="K1677" s="133">
        <v>0.954545454545455</v>
      </c>
      <c r="L1677" s="133">
        <v>1</v>
      </c>
      <c r="M1677" s="134">
        <v>1</v>
      </c>
      <c r="N1677" s="133">
        <v>0.952908587257618</v>
      </c>
      <c r="O1677" s="135">
        <v>0.9</v>
      </c>
      <c r="P1677" s="133">
        <v>0.964351851851852</v>
      </c>
      <c r="Q1677" s="133">
        <v>0.942885771543086</v>
      </c>
      <c r="R1677" s="133">
        <v>0.97228332600088</v>
      </c>
      <c r="S1677" s="133">
        <v>0.965120367548815</v>
      </c>
      <c r="T1677" s="135">
        <v>0.9</v>
      </c>
      <c r="U1677" s="133">
        <v>0.894907407407407</v>
      </c>
      <c r="V1677" s="133">
        <v>0.899298597194389</v>
      </c>
      <c r="W1677" s="133">
        <v>0.930488341399032</v>
      </c>
      <c r="X1677" s="133">
        <v>0.897892688872741</v>
      </c>
      <c r="Y1677" s="135">
        <v>0.92</v>
      </c>
      <c r="Z1677" s="135" t="s">
        <v>35</v>
      </c>
      <c r="AA1677" s="135" t="s">
        <v>35</v>
      </c>
      <c r="AB1677" s="135" t="s">
        <v>35</v>
      </c>
      <c r="AC1677" s="135" t="s">
        <v>35</v>
      </c>
      <c r="AD1677" s="135">
        <v>0.92</v>
      </c>
      <c r="AE1677" s="133">
        <v>1</v>
      </c>
      <c r="AF1677" s="133">
        <v>1</v>
      </c>
      <c r="AG1677" s="133">
        <v>0.985</v>
      </c>
      <c r="AH1677" s="133">
        <v>0.901234567901235</v>
      </c>
      <c r="AI1677" s="135">
        <v>0.92</v>
      </c>
      <c r="AJ1677" s="133">
        <v>0.939351851851852</v>
      </c>
      <c r="AK1677" s="133">
        <v>0.930861723446894</v>
      </c>
      <c r="AL1677" s="133">
        <v>0.946766388033436</v>
      </c>
      <c r="AM1677" s="133">
        <v>0.945383371228991</v>
      </c>
      <c r="AN1677" s="132">
        <v>0.99</v>
      </c>
      <c r="AO1677" s="137" t="s">
        <v>35</v>
      </c>
      <c r="AP1677" s="137">
        <v>1</v>
      </c>
      <c r="AQ1677" s="137" t="s">
        <v>35</v>
      </c>
      <c r="AR1677" s="137">
        <v>1</v>
      </c>
      <c r="AS1677" s="158">
        <v>0.110069253262963</v>
      </c>
      <c r="AT1677" s="141">
        <v>0.210526315789474</v>
      </c>
      <c r="AU1677" s="141">
        <v>0.25</v>
      </c>
      <c r="AV1677" s="141">
        <v>0.0588235294117647</v>
      </c>
      <c r="AW1677" s="141">
        <v>0.0771349862258953</v>
      </c>
      <c r="AX1677" s="95"/>
      <c r="AY1677" s="93"/>
    </row>
    <row r="1678" ht="14.5" spans="1:51">
      <c r="A1678" s="91"/>
      <c r="B1678" s="95"/>
      <c r="C1678" s="152" t="s">
        <v>1455</v>
      </c>
      <c r="D1678" s="153" t="s">
        <v>25</v>
      </c>
      <c r="E1678" s="130" t="s">
        <v>1456</v>
      </c>
      <c r="F1678" s="171" t="s">
        <v>1710</v>
      </c>
      <c r="G1678" s="171" t="s">
        <v>1710</v>
      </c>
      <c r="H1678" s="171" t="s">
        <v>1710</v>
      </c>
      <c r="I1678" s="171" t="s">
        <v>1710</v>
      </c>
      <c r="J1678" s="132">
        <v>0.9</v>
      </c>
      <c r="K1678" s="133">
        <v>1</v>
      </c>
      <c r="L1678" s="133">
        <v>0.9375</v>
      </c>
      <c r="M1678" s="134">
        <v>0.95</v>
      </c>
      <c r="N1678" s="133">
        <v>0.907738095238095</v>
      </c>
      <c r="O1678" s="135">
        <v>0.9</v>
      </c>
      <c r="P1678" s="133">
        <v>0.788990825688073</v>
      </c>
      <c r="Q1678" s="133">
        <v>0.859188544152745</v>
      </c>
      <c r="R1678" s="133">
        <v>0.882352941176471</v>
      </c>
      <c r="S1678" s="133">
        <v>0.853316326530612</v>
      </c>
      <c r="T1678" s="135">
        <v>0.9</v>
      </c>
      <c r="U1678" s="133">
        <v>0.547760388559093</v>
      </c>
      <c r="V1678" s="133">
        <v>0.625775656324582</v>
      </c>
      <c r="W1678" s="133">
        <v>0.619485294117647</v>
      </c>
      <c r="X1678" s="133">
        <v>0.612366375121477</v>
      </c>
      <c r="Y1678" s="135">
        <v>0.92</v>
      </c>
      <c r="Z1678" s="135" t="s">
        <v>35</v>
      </c>
      <c r="AA1678" s="135" t="s">
        <v>35</v>
      </c>
      <c r="AB1678" s="135" t="s">
        <v>35</v>
      </c>
      <c r="AC1678" s="135" t="s">
        <v>35</v>
      </c>
      <c r="AD1678" s="135">
        <v>0.92</v>
      </c>
      <c r="AE1678" s="133">
        <v>0.846153846153846</v>
      </c>
      <c r="AF1678" s="133">
        <v>0.928571428571429</v>
      </c>
      <c r="AG1678" s="133">
        <v>0.555555555555556</v>
      </c>
      <c r="AH1678" s="133">
        <v>0.496688741721854</v>
      </c>
      <c r="AI1678" s="135">
        <v>0.92</v>
      </c>
      <c r="AJ1678" s="133">
        <v>0.669724770642202</v>
      </c>
      <c r="AK1678" s="133">
        <v>0.714081145584726</v>
      </c>
      <c r="AL1678" s="133">
        <v>0.758272058823529</v>
      </c>
      <c r="AM1678" s="133">
        <v>0.732871720116618</v>
      </c>
      <c r="AN1678" s="132">
        <v>0.99</v>
      </c>
      <c r="AO1678" s="137" t="s">
        <v>35</v>
      </c>
      <c r="AP1678" s="137">
        <v>1</v>
      </c>
      <c r="AQ1678" s="137">
        <v>1</v>
      </c>
      <c r="AR1678" s="137">
        <v>1</v>
      </c>
      <c r="AS1678" s="158">
        <v>0.110069253262963</v>
      </c>
      <c r="AT1678" s="141">
        <v>0.175</v>
      </c>
      <c r="AU1678" s="141">
        <v>0.0666666666666667</v>
      </c>
      <c r="AV1678" s="141">
        <v>0.0571428571428571</v>
      </c>
      <c r="AW1678" s="141">
        <v>0.114068441064639</v>
      </c>
      <c r="AX1678" s="95"/>
      <c r="AY1678" s="93"/>
    </row>
    <row r="1679" ht="14.5" spans="1:51">
      <c r="A1679" s="91"/>
      <c r="B1679" s="95"/>
      <c r="C1679" s="152" t="s">
        <v>1455</v>
      </c>
      <c r="D1679" s="153" t="s">
        <v>25</v>
      </c>
      <c r="E1679" s="130" t="s">
        <v>1456</v>
      </c>
      <c r="F1679" s="171" t="s">
        <v>1711</v>
      </c>
      <c r="G1679" s="171" t="s">
        <v>1711</v>
      </c>
      <c r="H1679" s="171" t="s">
        <v>1711</v>
      </c>
      <c r="I1679" s="171" t="s">
        <v>1711</v>
      </c>
      <c r="J1679" s="132">
        <v>0.9</v>
      </c>
      <c r="K1679" s="133">
        <v>0.8</v>
      </c>
      <c r="L1679" s="133">
        <v>1</v>
      </c>
      <c r="M1679" s="134">
        <v>0.8</v>
      </c>
      <c r="N1679" s="133">
        <v>0.769230769230769</v>
      </c>
      <c r="O1679" s="135">
        <v>0.9</v>
      </c>
      <c r="P1679" s="133">
        <v>1</v>
      </c>
      <c r="Q1679" s="133">
        <v>0.998027613412229</v>
      </c>
      <c r="R1679" s="133">
        <v>0.997663551401869</v>
      </c>
      <c r="S1679" s="133">
        <v>0.990510619069137</v>
      </c>
      <c r="T1679" s="135">
        <v>0.9</v>
      </c>
      <c r="U1679" s="133">
        <v>0.782945736434108</v>
      </c>
      <c r="V1679" s="133">
        <v>0.863905325443787</v>
      </c>
      <c r="W1679" s="133">
        <v>0.88785046728972</v>
      </c>
      <c r="X1679" s="133">
        <v>0.87663804789878</v>
      </c>
      <c r="Y1679" s="135">
        <v>0.92</v>
      </c>
      <c r="Z1679" s="135" t="s">
        <v>35</v>
      </c>
      <c r="AA1679" s="135" t="s">
        <v>35</v>
      </c>
      <c r="AB1679" s="135" t="s">
        <v>35</v>
      </c>
      <c r="AC1679" s="135" t="s">
        <v>35</v>
      </c>
      <c r="AD1679" s="135">
        <v>0.92</v>
      </c>
      <c r="AE1679" s="133">
        <v>0</v>
      </c>
      <c r="AF1679" s="133">
        <v>0</v>
      </c>
      <c r="AG1679" s="133">
        <v>0</v>
      </c>
      <c r="AH1679" s="133">
        <v>0.0810810810810811</v>
      </c>
      <c r="AI1679" s="135">
        <v>0.92</v>
      </c>
      <c r="AJ1679" s="133">
        <v>0.877750611246944</v>
      </c>
      <c r="AK1679" s="133">
        <v>0.896551724137931</v>
      </c>
      <c r="AL1679" s="133">
        <v>0.970046082949309</v>
      </c>
      <c r="AM1679" s="133">
        <v>0.946407113674597</v>
      </c>
      <c r="AN1679" s="132">
        <v>0.99</v>
      </c>
      <c r="AO1679" s="137" t="s">
        <v>35</v>
      </c>
      <c r="AP1679" s="137" t="s">
        <v>35</v>
      </c>
      <c r="AQ1679" s="137" t="s">
        <v>35</v>
      </c>
      <c r="AR1679" s="137" t="s">
        <v>35</v>
      </c>
      <c r="AS1679" s="158">
        <v>0.110069253262963</v>
      </c>
      <c r="AT1679" s="141">
        <v>0.1</v>
      </c>
      <c r="AU1679" s="141">
        <v>0.111111111111111</v>
      </c>
      <c r="AV1679" s="141">
        <v>0</v>
      </c>
      <c r="AW1679" s="141">
        <v>0.087719298245614</v>
      </c>
      <c r="AX1679" s="95"/>
      <c r="AY1679" s="93"/>
    </row>
    <row r="1680" ht="14.5" spans="1:51">
      <c r="A1680" s="91"/>
      <c r="B1680" s="95"/>
      <c r="C1680" s="152" t="s">
        <v>1455</v>
      </c>
      <c r="D1680" s="153" t="s">
        <v>25</v>
      </c>
      <c r="E1680" s="130" t="s">
        <v>1456</v>
      </c>
      <c r="F1680" s="171" t="s">
        <v>1712</v>
      </c>
      <c r="G1680" s="171" t="s">
        <v>1712</v>
      </c>
      <c r="H1680" s="171" t="s">
        <v>1712</v>
      </c>
      <c r="I1680" s="171" t="s">
        <v>1712</v>
      </c>
      <c r="J1680" s="132">
        <v>0.9</v>
      </c>
      <c r="K1680" s="133">
        <v>0.857142857142857</v>
      </c>
      <c r="L1680" s="133">
        <v>1</v>
      </c>
      <c r="M1680" s="134">
        <v>0.923076923076923</v>
      </c>
      <c r="N1680" s="133">
        <v>0.933609958506224</v>
      </c>
      <c r="O1680" s="135">
        <v>0.9</v>
      </c>
      <c r="P1680" s="133" t="s">
        <v>35</v>
      </c>
      <c r="Q1680" s="133">
        <v>0</v>
      </c>
      <c r="R1680" s="133">
        <v>0</v>
      </c>
      <c r="S1680" s="133">
        <v>0.105263157894737</v>
      </c>
      <c r="T1680" s="135">
        <v>0.9</v>
      </c>
      <c r="U1680" s="133" t="s">
        <v>35</v>
      </c>
      <c r="V1680" s="133">
        <v>0</v>
      </c>
      <c r="W1680" s="133">
        <v>1</v>
      </c>
      <c r="X1680" s="133">
        <v>0.157894736842105</v>
      </c>
      <c r="Y1680" s="135">
        <v>0.92</v>
      </c>
      <c r="Z1680" s="135" t="s">
        <v>35</v>
      </c>
      <c r="AA1680" s="135" t="s">
        <v>35</v>
      </c>
      <c r="AB1680" s="135" t="s">
        <v>35</v>
      </c>
      <c r="AC1680" s="135" t="s">
        <v>35</v>
      </c>
      <c r="AD1680" s="135">
        <v>0.92</v>
      </c>
      <c r="AE1680" s="133">
        <v>0.142857142857143</v>
      </c>
      <c r="AF1680" s="133">
        <v>0.1</v>
      </c>
      <c r="AG1680" s="133">
        <v>0</v>
      </c>
      <c r="AH1680" s="133">
        <v>0.183098591549296</v>
      </c>
      <c r="AI1680" s="135">
        <v>0.92</v>
      </c>
      <c r="AJ1680" s="133">
        <v>0.81453154875717</v>
      </c>
      <c r="AK1680" s="133">
        <v>0.872340425531915</v>
      </c>
      <c r="AL1680" s="133">
        <v>0.834061135371179</v>
      </c>
      <c r="AM1680" s="133">
        <v>0.881369464143146</v>
      </c>
      <c r="AN1680" s="132">
        <v>0.99</v>
      </c>
      <c r="AO1680" s="137">
        <v>1</v>
      </c>
      <c r="AP1680" s="137">
        <v>1</v>
      </c>
      <c r="AQ1680" s="137" t="s">
        <v>35</v>
      </c>
      <c r="AR1680" s="137">
        <v>1</v>
      </c>
      <c r="AS1680" s="158">
        <v>0.110069253262963</v>
      </c>
      <c r="AT1680" s="141">
        <v>0.0625</v>
      </c>
      <c r="AU1680" s="141">
        <v>0.375</v>
      </c>
      <c r="AV1680" s="141">
        <v>0.2</v>
      </c>
      <c r="AW1680" s="141">
        <v>0.11</v>
      </c>
      <c r="AX1680" s="95"/>
      <c r="AY1680" s="93"/>
    </row>
    <row r="1681" ht="14.5" spans="1:73">
      <c r="A1681" s="91"/>
      <c r="B1681" s="95"/>
      <c r="C1681" s="152" t="s">
        <v>1455</v>
      </c>
      <c r="D1681" s="153" t="s">
        <v>25</v>
      </c>
      <c r="E1681" s="130" t="s">
        <v>1456</v>
      </c>
      <c r="F1681" s="171" t="s">
        <v>1713</v>
      </c>
      <c r="G1681" s="171" t="s">
        <v>1713</v>
      </c>
      <c r="H1681" s="171" t="s">
        <v>1713</v>
      </c>
      <c r="I1681" s="171" t="s">
        <v>1713</v>
      </c>
      <c r="J1681" s="132">
        <v>0.9</v>
      </c>
      <c r="K1681" s="133">
        <v>0.9375</v>
      </c>
      <c r="L1681" s="133">
        <v>0.933333333333333</v>
      </c>
      <c r="M1681" s="134">
        <v>0.9375</v>
      </c>
      <c r="N1681" s="133">
        <v>0.940878378378378</v>
      </c>
      <c r="O1681" s="135">
        <v>0.9</v>
      </c>
      <c r="P1681" s="133">
        <v>0.186503067484663</v>
      </c>
      <c r="Q1681" s="133">
        <v>0.00641212474497231</v>
      </c>
      <c r="R1681" s="133">
        <v>0.0593637258117416</v>
      </c>
      <c r="S1681" s="133">
        <v>0.184744598476333</v>
      </c>
      <c r="T1681" s="135">
        <v>0.9</v>
      </c>
      <c r="U1681" s="133">
        <v>0.365030674846626</v>
      </c>
      <c r="V1681" s="133">
        <v>0.237540075779656</v>
      </c>
      <c r="W1681" s="133">
        <v>0.329944244014431</v>
      </c>
      <c r="X1681" s="133">
        <v>0.404177594604721</v>
      </c>
      <c r="Y1681" s="135">
        <v>0.92</v>
      </c>
      <c r="Z1681" s="135" t="s">
        <v>35</v>
      </c>
      <c r="AA1681" s="135" t="s">
        <v>35</v>
      </c>
      <c r="AB1681" s="135" t="s">
        <v>35</v>
      </c>
      <c r="AC1681" s="135" t="s">
        <v>35</v>
      </c>
      <c r="AD1681" s="135">
        <v>0.92</v>
      </c>
      <c r="AE1681" s="133">
        <v>0.991525423728814</v>
      </c>
      <c r="AF1681" s="133">
        <v>0.96</v>
      </c>
      <c r="AG1681" s="133">
        <v>0.99290780141844</v>
      </c>
      <c r="AH1681" s="133">
        <v>0.963595505617978</v>
      </c>
      <c r="AI1681" s="135">
        <v>0.92</v>
      </c>
      <c r="AJ1681" s="133">
        <v>0.750920245398773</v>
      </c>
      <c r="AK1681" s="133">
        <v>0.665986592830079</v>
      </c>
      <c r="AL1681" s="133">
        <v>0.678583142013775</v>
      </c>
      <c r="AM1681" s="133">
        <v>0.781160234794555</v>
      </c>
      <c r="AN1681" s="132">
        <v>0.99</v>
      </c>
      <c r="AO1681" s="137">
        <v>1</v>
      </c>
      <c r="AP1681" s="137" t="s">
        <v>35</v>
      </c>
      <c r="AQ1681" s="137">
        <v>1</v>
      </c>
      <c r="AR1681" s="137">
        <v>1</v>
      </c>
      <c r="AS1681" s="158">
        <v>0.110069253262963</v>
      </c>
      <c r="AT1681" s="141">
        <v>0.162162162162162</v>
      </c>
      <c r="AU1681" s="141">
        <v>0.111111111111111</v>
      </c>
      <c r="AV1681" s="141">
        <v>0.148148148148148</v>
      </c>
      <c r="AW1681" s="141">
        <v>0.100409836065574</v>
      </c>
      <c r="AX1681" s="95"/>
      <c r="AY1681" s="93"/>
    </row>
    <row r="1682" ht="14.5" spans="1:73">
      <c r="A1682" s="91"/>
      <c r="B1682" s="95"/>
      <c r="C1682" s="152" t="s">
        <v>1455</v>
      </c>
      <c r="D1682" s="153" t="s">
        <v>25</v>
      </c>
      <c r="E1682" s="130" t="s">
        <v>1456</v>
      </c>
      <c r="F1682" s="171" t="s">
        <v>1714</v>
      </c>
      <c r="G1682" s="171" t="s">
        <v>1714</v>
      </c>
      <c r="H1682" s="171" t="s">
        <v>1714</v>
      </c>
      <c r="I1682" s="171" t="s">
        <v>1714</v>
      </c>
      <c r="J1682" s="132">
        <v>0.9</v>
      </c>
      <c r="K1682" s="133">
        <v>0.956521739130435</v>
      </c>
      <c r="L1682" s="133">
        <v>0.92</v>
      </c>
      <c r="M1682" s="134">
        <v>0.916666666666667</v>
      </c>
      <c r="N1682" s="133">
        <v>0.920634920634921</v>
      </c>
      <c r="O1682" s="135">
        <v>0.9</v>
      </c>
      <c r="P1682" s="133">
        <v>0.833413577274916</v>
      </c>
      <c r="Q1682" s="133">
        <v>0.809173517957594</v>
      </c>
      <c r="R1682" s="133">
        <v>0.90465872156013</v>
      </c>
      <c r="S1682" s="133">
        <v>0.849771142109852</v>
      </c>
      <c r="T1682" s="135">
        <v>0.9</v>
      </c>
      <c r="U1682" s="133">
        <v>0.539239287433799</v>
      </c>
      <c r="V1682" s="133">
        <v>0.568152315015145</v>
      </c>
      <c r="W1682" s="133">
        <v>0.617009750812568</v>
      </c>
      <c r="X1682" s="133">
        <v>0.511688099389712</v>
      </c>
      <c r="Y1682" s="135">
        <v>0.92</v>
      </c>
      <c r="Z1682" s="135" t="s">
        <v>35</v>
      </c>
      <c r="AA1682" s="135" t="s">
        <v>35</v>
      </c>
      <c r="AB1682" s="135" t="s">
        <v>35</v>
      </c>
      <c r="AC1682" s="135" t="s">
        <v>35</v>
      </c>
      <c r="AD1682" s="135">
        <v>0.92</v>
      </c>
      <c r="AE1682" s="133">
        <v>0.106382978723404</v>
      </c>
      <c r="AF1682" s="133">
        <v>0.53125</v>
      </c>
      <c r="AG1682" s="133">
        <v>0.34</v>
      </c>
      <c r="AH1682" s="133">
        <v>0.223684210526316</v>
      </c>
      <c r="AI1682" s="135">
        <v>0.92</v>
      </c>
      <c r="AJ1682" s="133">
        <v>0.847376023110255</v>
      </c>
      <c r="AK1682" s="133">
        <v>0.871916919082648</v>
      </c>
      <c r="AL1682" s="133">
        <v>0.830985915492958</v>
      </c>
      <c r="AM1682" s="133">
        <v>0.85756320836966</v>
      </c>
      <c r="AN1682" s="132">
        <v>0.99</v>
      </c>
      <c r="AO1682" s="137" t="s">
        <v>35</v>
      </c>
      <c r="AP1682" s="137">
        <v>1</v>
      </c>
      <c r="AQ1682" s="137">
        <v>1</v>
      </c>
      <c r="AR1682" s="137">
        <v>1</v>
      </c>
      <c r="AS1682" s="158">
        <v>0.110069253262963</v>
      </c>
      <c r="AT1682" s="141">
        <v>0.05</v>
      </c>
      <c r="AU1682" s="141">
        <v>0</v>
      </c>
      <c r="AV1682" s="141">
        <v>0.161290322580645</v>
      </c>
      <c r="AW1682" s="141">
        <v>0.0650602409638554</v>
      </c>
      <c r="AX1682" s="95"/>
      <c r="AY1682" s="93"/>
    </row>
    <row r="1683" ht="14.5" spans="1:73">
      <c r="A1683" s="91"/>
      <c r="B1683" s="95"/>
      <c r="C1683" s="152" t="s">
        <v>1455</v>
      </c>
      <c r="D1683" s="153" t="s">
        <v>25</v>
      </c>
      <c r="E1683" s="130" t="s">
        <v>1456</v>
      </c>
      <c r="F1683" s="171" t="s">
        <v>1715</v>
      </c>
      <c r="G1683" s="171" t="s">
        <v>1715</v>
      </c>
      <c r="H1683" s="171" t="s">
        <v>1715</v>
      </c>
      <c r="I1683" s="171" t="s">
        <v>1715</v>
      </c>
      <c r="J1683" s="132">
        <v>0.9</v>
      </c>
      <c r="K1683" s="133" t="s">
        <v>35</v>
      </c>
      <c r="L1683" s="133" t="s">
        <v>35</v>
      </c>
      <c r="M1683" s="134" t="s">
        <v>35</v>
      </c>
      <c r="N1683" s="133" t="s">
        <v>35</v>
      </c>
      <c r="O1683" s="135">
        <v>0.9</v>
      </c>
      <c r="P1683" s="133" t="s">
        <v>35</v>
      </c>
      <c r="Q1683" s="133" t="s">
        <v>35</v>
      </c>
      <c r="R1683" s="133" t="s">
        <v>35</v>
      </c>
      <c r="S1683" s="133" t="s">
        <v>35</v>
      </c>
      <c r="T1683" s="135">
        <v>0.9</v>
      </c>
      <c r="U1683" s="133" t="s">
        <v>35</v>
      </c>
      <c r="V1683" s="133" t="s">
        <v>35</v>
      </c>
      <c r="W1683" s="133" t="s">
        <v>35</v>
      </c>
      <c r="X1683" s="133" t="s">
        <v>35</v>
      </c>
      <c r="Y1683" s="135">
        <v>0.92</v>
      </c>
      <c r="Z1683" s="135" t="s">
        <v>35</v>
      </c>
      <c r="AA1683" s="135" t="s">
        <v>35</v>
      </c>
      <c r="AB1683" s="135" t="s">
        <v>35</v>
      </c>
      <c r="AC1683" s="135" t="s">
        <v>35</v>
      </c>
      <c r="AD1683" s="135">
        <v>0.92</v>
      </c>
      <c r="AE1683" s="133" t="s">
        <v>35</v>
      </c>
      <c r="AF1683" s="133" t="s">
        <v>35</v>
      </c>
      <c r="AG1683" s="133" t="s">
        <v>35</v>
      </c>
      <c r="AH1683" s="133" t="s">
        <v>35</v>
      </c>
      <c r="AI1683" s="135">
        <v>0.92</v>
      </c>
      <c r="AJ1683" s="133" t="s">
        <v>35</v>
      </c>
      <c r="AK1683" s="133" t="s">
        <v>35</v>
      </c>
      <c r="AL1683" s="133" t="s">
        <v>35</v>
      </c>
      <c r="AM1683" s="133" t="s">
        <v>35</v>
      </c>
      <c r="AN1683" s="132">
        <v>0.99</v>
      </c>
      <c r="AO1683" s="137" t="s">
        <v>35</v>
      </c>
      <c r="AP1683" s="137" t="s">
        <v>35</v>
      </c>
      <c r="AQ1683" s="137" t="s">
        <v>35</v>
      </c>
      <c r="AR1683" s="137" t="s">
        <v>35</v>
      </c>
      <c r="AS1683" s="158">
        <v>0.110069253262963</v>
      </c>
      <c r="AT1683" s="141" t="s">
        <v>35</v>
      </c>
      <c r="AU1683" s="141" t="s">
        <v>35</v>
      </c>
      <c r="AV1683" s="141" t="s">
        <v>35</v>
      </c>
      <c r="AW1683" s="141" t="s">
        <v>35</v>
      </c>
      <c r="AX1683" s="95"/>
      <c r="AY1683" s="93"/>
    </row>
    <row r="1684" ht="17.25" customHeight="1" spans="1:73">
      <c r="A1684" s="91"/>
      <c r="B1684" s="95"/>
      <c r="C1684" s="203" t="s">
        <v>1716</v>
      </c>
      <c r="D1684" s="204"/>
      <c r="E1684" s="204"/>
      <c r="F1684" s="204"/>
      <c r="G1684" s="204"/>
      <c r="H1684" s="204"/>
      <c r="I1684" s="204"/>
      <c r="J1684" s="205" t="s">
        <v>35</v>
      </c>
      <c r="K1684" s="206">
        <v>0.926976</v>
      </c>
      <c r="L1684" s="206">
        <v>0.919734210482818</v>
      </c>
      <c r="M1684" s="206">
        <v>0.917168867803565</v>
      </c>
      <c r="N1684" s="206">
        <v>0.925660635904775</v>
      </c>
      <c r="O1684" s="205" t="s">
        <v>35</v>
      </c>
      <c r="P1684" s="207">
        <v>0.943630776056586</v>
      </c>
      <c r="Q1684" s="207">
        <v>0.940120625236726</v>
      </c>
      <c r="R1684" s="207">
        <v>0.940484680386491</v>
      </c>
      <c r="S1684" s="206">
        <v>0.941055087905092</v>
      </c>
      <c r="T1684" s="205" t="s">
        <v>35</v>
      </c>
      <c r="U1684" s="207">
        <v>0.883180799597897</v>
      </c>
      <c r="V1684" s="207">
        <v>0.865415039287791</v>
      </c>
      <c r="W1684" s="207">
        <v>0.877858454442904</v>
      </c>
      <c r="X1684" s="208">
        <v>0.88185083113963</v>
      </c>
      <c r="Y1684" s="205" t="s">
        <v>35</v>
      </c>
      <c r="Z1684" s="209">
        <v>0.919520741277985</v>
      </c>
      <c r="AA1684" s="209">
        <v>0.877969530668316</v>
      </c>
      <c r="AB1684" s="209">
        <v>0.911041184345566</v>
      </c>
      <c r="AC1684" s="209">
        <v>0.932440445787146</v>
      </c>
      <c r="AD1684" s="205" t="s">
        <v>35</v>
      </c>
      <c r="AE1684" s="207">
        <v>0.979770092550457</v>
      </c>
      <c r="AF1684" s="207">
        <v>0.977307473475901</v>
      </c>
      <c r="AG1684" s="207">
        <v>0.983063312779035</v>
      </c>
      <c r="AH1684" s="208">
        <v>0.972425093218872</v>
      </c>
      <c r="AI1684" s="205" t="s">
        <v>35</v>
      </c>
      <c r="AJ1684" s="207">
        <v>0.939144286965564</v>
      </c>
      <c r="AK1684" s="207">
        <v>0.928505856878637</v>
      </c>
      <c r="AL1684" s="207">
        <v>0.942190717184205</v>
      </c>
      <c r="AM1684" s="208">
        <v>0.956695182102798</v>
      </c>
      <c r="AN1684" s="205" t="s">
        <v>35</v>
      </c>
      <c r="AO1684" s="208">
        <v>0.987222099630386</v>
      </c>
      <c r="AP1684" s="208">
        <v>0.992383731971334</v>
      </c>
      <c r="AQ1684" s="208">
        <v>0.992849764923778</v>
      </c>
      <c r="AR1684" s="208">
        <v>0.992125152294177</v>
      </c>
      <c r="AS1684" s="205" t="s">
        <v>35</v>
      </c>
      <c r="AT1684" s="208">
        <v>0.067401166558652</v>
      </c>
      <c r="AU1684" s="208">
        <v>0.0556812897225236</v>
      </c>
      <c r="AV1684" s="208">
        <v>0.0440310938367574</v>
      </c>
      <c r="AW1684" s="208">
        <v>0.053904484760112</v>
      </c>
      <c r="AX1684" s="95"/>
      <c r="AY1684" s="93"/>
    </row>
    <row r="1685" ht="24" customHeight="1" spans="1:73">
      <c r="A1685" s="91"/>
      <c r="B1685" s="95"/>
      <c r="C1685" s="210"/>
      <c r="D1685" s="210"/>
      <c r="E1685" s="210"/>
      <c r="F1685" s="210"/>
      <c r="G1685" s="210"/>
      <c r="H1685" s="210"/>
      <c r="I1685" s="210"/>
      <c r="J1685" s="211"/>
      <c r="K1685" s="211"/>
      <c r="L1685" s="211"/>
      <c r="M1685" s="211"/>
      <c r="N1685" s="211"/>
      <c r="O1685" s="211"/>
      <c r="P1685" s="211"/>
      <c r="Q1685" s="211"/>
      <c r="R1685" s="211"/>
      <c r="S1685" s="211"/>
      <c r="T1685" s="211"/>
      <c r="U1685" s="212"/>
      <c r="V1685" s="211"/>
      <c r="W1685" s="211"/>
      <c r="X1685" s="211"/>
      <c r="Y1685" s="211"/>
      <c r="Z1685" s="211"/>
      <c r="AA1685" s="211"/>
      <c r="AB1685" s="211"/>
      <c r="AC1685" s="211"/>
      <c r="AD1685" s="211"/>
      <c r="AE1685" s="211"/>
      <c r="AF1685" s="211"/>
      <c r="AG1685" s="211"/>
      <c r="AH1685" s="211"/>
      <c r="AI1685" s="211"/>
      <c r="AJ1685" s="211"/>
      <c r="AK1685" s="211"/>
      <c r="AL1685" s="211"/>
      <c r="AM1685" s="211"/>
      <c r="AN1685" s="211"/>
      <c r="AO1685" s="211"/>
      <c r="AP1685" s="211"/>
      <c r="AQ1685" s="211"/>
      <c r="AR1685" s="211"/>
      <c r="AS1685" s="211"/>
      <c r="AT1685" s="211"/>
      <c r="AU1685" s="211"/>
      <c r="AV1685" s="211"/>
      <c r="AW1685" s="211"/>
      <c r="AX1685" s="95"/>
      <c r="AY1685" s="93"/>
    </row>
    <row r="1686" ht="10.5" customHeight="1" spans="1:73">
      <c r="A1686" s="93" t="s">
        <v>1717</v>
      </c>
      <c r="B1686" s="93"/>
      <c r="C1686" s="213"/>
      <c r="D1686" s="213"/>
      <c r="E1686" s="213"/>
      <c r="F1686" s="213"/>
      <c r="G1686" s="213"/>
      <c r="H1686" s="213"/>
      <c r="I1686" s="214"/>
      <c r="J1686" s="215"/>
      <c r="K1686" s="215"/>
      <c r="L1686" s="215"/>
      <c r="M1686" s="215"/>
      <c r="N1686" s="215"/>
      <c r="O1686" s="215"/>
      <c r="P1686" s="215"/>
      <c r="Q1686" s="215"/>
      <c r="R1686" s="215"/>
      <c r="S1686" s="215"/>
      <c r="T1686" s="215"/>
      <c r="U1686" s="215"/>
      <c r="V1686" s="215"/>
      <c r="W1686" s="215"/>
      <c r="X1686" s="215"/>
      <c r="Y1686" s="215"/>
      <c r="Z1686" s="215"/>
      <c r="AA1686" s="215"/>
      <c r="AB1686" s="215"/>
      <c r="AC1686" s="215"/>
      <c r="AD1686" s="215"/>
      <c r="AE1686" s="215"/>
      <c r="AF1686" s="215"/>
      <c r="AG1686" s="215"/>
      <c r="AH1686" s="215"/>
      <c r="AI1686" s="215"/>
      <c r="AJ1686" s="215"/>
      <c r="AK1686" s="215"/>
      <c r="AL1686" s="215"/>
      <c r="AM1686" s="215"/>
      <c r="AN1686" s="215"/>
      <c r="AO1686" s="215"/>
      <c r="AP1686" s="215"/>
      <c r="AQ1686" s="215"/>
      <c r="AR1686" s="215"/>
      <c r="AS1686" s="216"/>
      <c r="AT1686" s="215"/>
      <c r="AU1686" s="215"/>
      <c r="AV1686" s="215"/>
      <c r="AW1686" s="215"/>
      <c r="AX1686" s="93"/>
      <c r="AY1686" s="93"/>
    </row>
    <row r="1687" ht="409.5" hidden="1" customHeight="1" spans="1:73">
      <c r="C1687" s="217" t="s">
        <v>1718</v>
      </c>
      <c r="D1687" s="218"/>
      <c r="E1687" s="219"/>
      <c r="F1687" s="219"/>
      <c r="G1687" s="219"/>
      <c r="H1687" s="219"/>
      <c r="I1687" s="219"/>
      <c r="J1687" s="219"/>
      <c r="K1687" s="219"/>
      <c r="L1687" s="219"/>
      <c r="M1687" s="219"/>
      <c r="N1687" s="219"/>
      <c r="O1687" s="219"/>
      <c r="P1687" s="219"/>
      <c r="Q1687" s="219"/>
      <c r="R1687" s="219"/>
      <c r="S1687" s="219"/>
      <c r="T1687" s="219"/>
      <c r="U1687" s="219" t="s">
        <v>1719</v>
      </c>
      <c r="V1687" s="219"/>
      <c r="W1687" s="219"/>
      <c r="X1687" s="219"/>
      <c r="Y1687" s="219"/>
      <c r="Z1687" s="219"/>
      <c r="AA1687" s="219"/>
      <c r="AB1687" s="219"/>
      <c r="AC1687" s="219"/>
      <c r="AD1687" s="219"/>
      <c r="AE1687" s="219"/>
      <c r="AF1687" s="219"/>
      <c r="AG1687" s="219"/>
      <c r="AH1687" s="219"/>
      <c r="AI1687" s="219"/>
      <c r="AJ1687" s="219"/>
      <c r="AK1687" s="219"/>
      <c r="AL1687" s="219"/>
      <c r="AM1687" s="219"/>
      <c r="AN1687" s="219"/>
      <c r="AO1687" s="219"/>
      <c r="AP1687" s="219"/>
      <c r="AQ1687" s="219"/>
      <c r="AR1687" s="219"/>
      <c r="AS1687" s="219"/>
      <c r="AT1687" s="219"/>
      <c r="AU1687" s="219"/>
      <c r="AV1687" s="219"/>
      <c r="AW1687" s="219"/>
      <c r="AX1687" s="219"/>
      <c r="BE1687" s="220" t="s">
        <v>1720</v>
      </c>
      <c r="BF1687" s="221"/>
      <c r="BG1687" s="221"/>
      <c r="BH1687" s="221"/>
      <c r="BI1687" s="221"/>
      <c r="BJ1687" s="221"/>
      <c r="BK1687" s="221"/>
      <c r="BL1687" s="221"/>
      <c r="BM1687" s="221"/>
      <c r="BN1687" s="221"/>
      <c r="BO1687" s="221"/>
      <c r="BP1687" s="221"/>
      <c r="BQ1687" s="221"/>
      <c r="BR1687" s="221"/>
      <c r="BS1687" s="221"/>
      <c r="BT1687" s="221"/>
      <c r="BU1687" s="222"/>
    </row>
    <row r="1688" ht="327" hidden="1" customHeight="1" spans="1:73">
      <c r="C1688" s="217"/>
      <c r="D1688" s="218"/>
      <c r="E1688" s="219"/>
      <c r="F1688" s="219"/>
      <c r="G1688" s="219"/>
      <c r="H1688" s="219"/>
      <c r="I1688" s="219"/>
      <c r="J1688" s="219"/>
      <c r="K1688" s="219"/>
      <c r="L1688" s="219"/>
      <c r="M1688" s="219"/>
      <c r="N1688" s="219"/>
      <c r="O1688" s="219"/>
      <c r="P1688" s="219"/>
      <c r="Q1688" s="219"/>
      <c r="R1688" s="219"/>
      <c r="S1688" s="219"/>
      <c r="T1688" s="219"/>
      <c r="U1688" s="219"/>
      <c r="V1688" s="219"/>
      <c r="W1688" s="219"/>
      <c r="X1688" s="219"/>
      <c r="Y1688" s="219"/>
      <c r="Z1688" s="219"/>
      <c r="AA1688" s="219"/>
      <c r="AB1688" s="219"/>
      <c r="AC1688" s="219"/>
      <c r="AD1688" s="219"/>
      <c r="AE1688" s="219"/>
      <c r="AF1688" s="219"/>
      <c r="AG1688" s="219"/>
      <c r="AH1688" s="219"/>
      <c r="AI1688" s="219"/>
      <c r="AJ1688" s="219"/>
      <c r="AK1688" s="219"/>
      <c r="AL1688" s="219"/>
      <c r="AM1688" s="219"/>
      <c r="AN1688" s="219"/>
      <c r="AO1688" s="219"/>
      <c r="AP1688" s="219"/>
      <c r="AQ1688" s="219"/>
      <c r="AR1688" s="219"/>
      <c r="AS1688" s="219"/>
      <c r="AT1688" s="219"/>
      <c r="AU1688" s="219"/>
      <c r="AV1688" s="219"/>
      <c r="AW1688" s="219"/>
      <c r="AX1688" s="219"/>
      <c r="BE1688" s="223"/>
      <c r="BF1688" s="224"/>
      <c r="BG1688" s="224"/>
      <c r="BH1688" s="224"/>
      <c r="BI1688" s="224"/>
      <c r="BJ1688" s="224"/>
      <c r="BK1688" s="224"/>
      <c r="BL1688" s="224"/>
      <c r="BM1688" s="224"/>
      <c r="BN1688" s="224"/>
      <c r="BO1688" s="224"/>
      <c r="BP1688" s="224"/>
      <c r="BQ1688" s="224"/>
      <c r="BR1688" s="224"/>
      <c r="BS1688" s="224"/>
      <c r="BT1688" s="224"/>
      <c r="BU1688" s="225"/>
    </row>
  </sheetData>
  <autoFilter xmlns:etc="http://www.wps.cn/officeDocument/2017/etCustomData" ref="C8:AW1684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84:I1684"/>
    <mergeCell ref="C6:C8"/>
    <mergeCell ref="D6:D8"/>
    <mergeCell ref="E6:E8"/>
    <mergeCell ref="F6:F8"/>
    <mergeCell ref="G6:G8"/>
    <mergeCell ref="I6:I8"/>
    <mergeCell ref="B1:AX2"/>
    <mergeCell ref="C1687:S1688"/>
    <mergeCell ref="U1687:AX1688"/>
    <mergeCell ref="BE1687:BU1688"/>
  </mergeCells>
  <conditionalFormatting sqref="F372">
    <cfRule type="duplicateValues" dxfId="0" priority="244"/>
  </conditionalFormatting>
  <conditionalFormatting sqref="G372">
    <cfRule type="duplicateValues" dxfId="0" priority="213"/>
  </conditionalFormatting>
  <conditionalFormatting sqref="H372">
    <cfRule type="duplicateValues" dxfId="0" priority="182"/>
  </conditionalFormatting>
  <conditionalFormatting sqref="I372">
    <cfRule type="duplicateValues" dxfId="0" priority="151"/>
  </conditionalFormatting>
  <conditionalFormatting sqref="F402">
    <cfRule type="duplicateValues" dxfId="0" priority="241"/>
  </conditionalFormatting>
  <conditionalFormatting sqref="G402">
    <cfRule type="duplicateValues" dxfId="0" priority="210"/>
  </conditionalFormatting>
  <conditionalFormatting sqref="H402">
    <cfRule type="duplicateValues" dxfId="0" priority="179"/>
  </conditionalFormatting>
  <conditionalFormatting sqref="I402">
    <cfRule type="duplicateValues" dxfId="0" priority="148"/>
  </conditionalFormatting>
  <conditionalFormatting sqref="F461">
    <cfRule type="duplicateValues" dxfId="0" priority="238"/>
  </conditionalFormatting>
  <conditionalFormatting sqref="G461">
    <cfRule type="duplicateValues" dxfId="0" priority="207"/>
  </conditionalFormatting>
  <conditionalFormatting sqref="H461">
    <cfRule type="duplicateValues" dxfId="0" priority="176"/>
  </conditionalFormatting>
  <conditionalFormatting sqref="I461">
    <cfRule type="duplicateValues" dxfId="0" priority="145"/>
  </conditionalFormatting>
  <conditionalFormatting sqref="F473">
    <cfRule type="duplicateValues" dxfId="0" priority="237"/>
  </conditionalFormatting>
  <conditionalFormatting sqref="G473">
    <cfRule type="duplicateValues" dxfId="0" priority="206"/>
  </conditionalFormatting>
  <conditionalFormatting sqref="H473">
    <cfRule type="duplicateValues" dxfId="0" priority="175"/>
  </conditionalFormatting>
  <conditionalFormatting sqref="I473">
    <cfRule type="duplicateValues" dxfId="0" priority="144"/>
  </conditionalFormatting>
  <conditionalFormatting sqref="F486">
    <cfRule type="duplicateValues" dxfId="0" priority="233"/>
  </conditionalFormatting>
  <conditionalFormatting sqref="G486">
    <cfRule type="duplicateValues" dxfId="0" priority="202"/>
  </conditionalFormatting>
  <conditionalFormatting sqref="H486">
    <cfRule type="duplicateValues" dxfId="0" priority="171"/>
  </conditionalFormatting>
  <conditionalFormatting sqref="I486">
    <cfRule type="duplicateValues" dxfId="0" priority="140"/>
  </conditionalFormatting>
  <conditionalFormatting sqref="F506">
    <cfRule type="duplicateValues" dxfId="0" priority="231"/>
  </conditionalFormatting>
  <conditionalFormatting sqref="G506">
    <cfRule type="duplicateValues" dxfId="0" priority="200"/>
  </conditionalFormatting>
  <conditionalFormatting sqref="H506">
    <cfRule type="duplicateValues" dxfId="0" priority="169"/>
  </conditionalFormatting>
  <conditionalFormatting sqref="I506">
    <cfRule type="duplicateValues" dxfId="0" priority="138"/>
  </conditionalFormatting>
  <conditionalFormatting sqref="F549">
    <cfRule type="duplicateValues" dxfId="0" priority="227"/>
  </conditionalFormatting>
  <conditionalFormatting sqref="G549">
    <cfRule type="duplicateValues" dxfId="0" priority="196"/>
  </conditionalFormatting>
  <conditionalFormatting sqref="H549">
    <cfRule type="duplicateValues" dxfId="0" priority="165"/>
  </conditionalFormatting>
  <conditionalFormatting sqref="I549">
    <cfRule type="duplicateValues" dxfId="0" priority="134"/>
  </conditionalFormatting>
  <conditionalFormatting sqref="F552">
    <cfRule type="duplicateValues" dxfId="0" priority="225"/>
  </conditionalFormatting>
  <conditionalFormatting sqref="G552">
    <cfRule type="duplicateValues" dxfId="0" priority="194"/>
  </conditionalFormatting>
  <conditionalFormatting sqref="H552">
    <cfRule type="duplicateValues" dxfId="0" priority="163"/>
  </conditionalFormatting>
  <conditionalFormatting sqref="I552">
    <cfRule type="duplicateValues" dxfId="0" priority="132"/>
  </conditionalFormatting>
  <conditionalFormatting sqref="F596">
    <cfRule type="duplicateValues" dxfId="0" priority="223"/>
  </conditionalFormatting>
  <conditionalFormatting sqref="G596">
    <cfRule type="duplicateValues" dxfId="0" priority="192"/>
  </conditionalFormatting>
  <conditionalFormatting sqref="H596">
    <cfRule type="duplicateValues" dxfId="0" priority="161"/>
  </conditionalFormatting>
  <conditionalFormatting sqref="I596">
    <cfRule type="duplicateValues" dxfId="0" priority="130"/>
  </conditionalFormatting>
  <conditionalFormatting sqref="F622">
    <cfRule type="duplicateValues" dxfId="0" priority="220"/>
  </conditionalFormatting>
  <conditionalFormatting sqref="G622">
    <cfRule type="duplicateValues" dxfId="0" priority="189"/>
  </conditionalFormatting>
  <conditionalFormatting sqref="H622">
    <cfRule type="duplicateValues" dxfId="0" priority="158"/>
  </conditionalFormatting>
  <conditionalFormatting sqref="I622">
    <cfRule type="duplicateValues" dxfId="0" priority="127"/>
  </conditionalFormatting>
  <conditionalFormatting sqref="F623">
    <cfRule type="duplicateValues" dxfId="0" priority="219"/>
  </conditionalFormatting>
  <conditionalFormatting sqref="G623">
    <cfRule type="duplicateValues" dxfId="0" priority="188"/>
  </conditionalFormatting>
  <conditionalFormatting sqref="H623">
    <cfRule type="duplicateValues" dxfId="0" priority="157"/>
  </conditionalFormatting>
  <conditionalFormatting sqref="I623">
    <cfRule type="duplicateValues" dxfId="0" priority="126"/>
  </conditionalFormatting>
  <conditionalFormatting sqref="F637">
    <cfRule type="duplicateValues" dxfId="0" priority="217"/>
  </conditionalFormatting>
  <conditionalFormatting sqref="G637">
    <cfRule type="duplicateValues" dxfId="0" priority="186"/>
  </conditionalFormatting>
  <conditionalFormatting sqref="H637">
    <cfRule type="duplicateValues" dxfId="0" priority="155"/>
  </conditionalFormatting>
  <conditionalFormatting sqref="I637">
    <cfRule type="duplicateValues" dxfId="0" priority="124"/>
  </conditionalFormatting>
  <conditionalFormatting sqref="F639">
    <cfRule type="duplicateValues" dxfId="0" priority="216"/>
  </conditionalFormatting>
  <conditionalFormatting sqref="G639">
    <cfRule type="duplicateValues" dxfId="0" priority="185"/>
  </conditionalFormatting>
  <conditionalFormatting sqref="H639">
    <cfRule type="duplicateValues" dxfId="0" priority="154"/>
  </conditionalFormatting>
  <conditionalFormatting sqref="I639">
    <cfRule type="duplicateValues" dxfId="0" priority="123"/>
  </conditionalFormatting>
  <conditionalFormatting sqref="F641">
    <cfRule type="duplicateValues" dxfId="0" priority="215"/>
  </conditionalFormatting>
  <conditionalFormatting sqref="G641">
    <cfRule type="duplicateValues" dxfId="0" priority="184"/>
  </conditionalFormatting>
  <conditionalFormatting sqref="H641">
    <cfRule type="duplicateValues" dxfId="0" priority="153"/>
  </conditionalFormatting>
  <conditionalFormatting sqref="I641">
    <cfRule type="duplicateValues" dxfId="0" priority="122"/>
  </conditionalFormatting>
  <conditionalFormatting sqref="J1686:AR1686">
    <cfRule type="cellIs" dxfId="1" priority="246" operator="greaterThan">
      <formula>0.97</formula>
    </cfRule>
  </conditionalFormatting>
  <conditionalFormatting sqref="F368:F372">
    <cfRule type="duplicateValues" dxfId="0" priority="242"/>
  </conditionalFormatting>
  <conditionalFormatting sqref="F370:F372">
    <cfRule type="duplicateValues" dxfId="0" priority="243"/>
  </conditionalFormatting>
  <conditionalFormatting sqref="F380:F384">
    <cfRule type="duplicateValues" dxfId="0" priority="245"/>
  </conditionalFormatting>
  <conditionalFormatting sqref="F470:F472">
    <cfRule type="duplicateValues" dxfId="0" priority="239"/>
  </conditionalFormatting>
  <conditionalFormatting sqref="F480:F481">
    <cfRule type="duplicateValues" dxfId="0" priority="236"/>
  </conditionalFormatting>
  <conditionalFormatting sqref="F482:F483">
    <cfRule type="duplicateValues" dxfId="0" priority="235"/>
  </conditionalFormatting>
  <conditionalFormatting sqref="F484:F485">
    <cfRule type="duplicateValues" dxfId="0" priority="234"/>
  </conditionalFormatting>
  <conditionalFormatting sqref="F515:F519">
    <cfRule type="duplicateValues" dxfId="0" priority="229"/>
  </conditionalFormatting>
  <conditionalFormatting sqref="F518:F519">
    <cfRule type="duplicateValues" dxfId="0" priority="230"/>
  </conditionalFormatting>
  <conditionalFormatting sqref="F537:F538">
    <cfRule type="duplicateValues" dxfId="0" priority="228"/>
  </conditionalFormatting>
  <conditionalFormatting sqref="F550:F551">
    <cfRule type="duplicateValues" dxfId="0" priority="226"/>
  </conditionalFormatting>
  <conditionalFormatting sqref="F585:F587">
    <cfRule type="duplicateValues" dxfId="0" priority="224"/>
  </conditionalFormatting>
  <conditionalFormatting sqref="F598:F601">
    <cfRule type="duplicateValues" dxfId="0" priority="222"/>
  </conditionalFormatting>
  <conditionalFormatting sqref="F602:F605">
    <cfRule type="duplicateValues" dxfId="0" priority="221"/>
  </conditionalFormatting>
  <conditionalFormatting sqref="F602:F609">
    <cfRule type="duplicateValues" dxfId="0" priority="232"/>
  </conditionalFormatting>
  <conditionalFormatting sqref="F624:F625">
    <cfRule type="duplicateValues" dxfId="0" priority="218"/>
  </conditionalFormatting>
  <conditionalFormatting sqref="F643:F898">
    <cfRule type="duplicateValues" dxfId="0" priority="119"/>
  </conditionalFormatting>
  <conditionalFormatting sqref="G368:G372">
    <cfRule type="duplicateValues" dxfId="0" priority="211"/>
  </conditionalFormatting>
  <conditionalFormatting sqref="G370:G372">
    <cfRule type="duplicateValues" dxfId="0" priority="212"/>
  </conditionalFormatting>
  <conditionalFormatting sqref="G380:G384">
    <cfRule type="duplicateValues" dxfId="0" priority="214"/>
  </conditionalFormatting>
  <conditionalFormatting sqref="G470:G472">
    <cfRule type="duplicateValues" dxfId="0" priority="208"/>
  </conditionalFormatting>
  <conditionalFormatting sqref="G480:G481">
    <cfRule type="duplicateValues" dxfId="0" priority="205"/>
  </conditionalFormatting>
  <conditionalFormatting sqref="G482:G483">
    <cfRule type="duplicateValues" dxfId="0" priority="204"/>
  </conditionalFormatting>
  <conditionalFormatting sqref="G484:G485">
    <cfRule type="duplicateValues" dxfId="0" priority="203"/>
  </conditionalFormatting>
  <conditionalFormatting sqref="G515:G519">
    <cfRule type="duplicateValues" dxfId="0" priority="198"/>
  </conditionalFormatting>
  <conditionalFormatting sqref="G518:G519">
    <cfRule type="duplicateValues" dxfId="0" priority="199"/>
  </conditionalFormatting>
  <conditionalFormatting sqref="G537:G538">
    <cfRule type="duplicateValues" dxfId="0" priority="197"/>
  </conditionalFormatting>
  <conditionalFormatting sqref="G550:G551">
    <cfRule type="duplicateValues" dxfId="0" priority="195"/>
  </conditionalFormatting>
  <conditionalFormatting sqref="G585:G587">
    <cfRule type="duplicateValues" dxfId="0" priority="193"/>
  </conditionalFormatting>
  <conditionalFormatting sqref="G598:G601">
    <cfRule type="duplicateValues" dxfId="0" priority="191"/>
  </conditionalFormatting>
  <conditionalFormatting sqref="G602:G605">
    <cfRule type="duplicateValues" dxfId="0" priority="190"/>
  </conditionalFormatting>
  <conditionalFormatting sqref="G602:G609">
    <cfRule type="duplicateValues" dxfId="0" priority="201"/>
  </conditionalFormatting>
  <conditionalFormatting sqref="G624:G625">
    <cfRule type="duplicateValues" dxfId="0" priority="187"/>
  </conditionalFormatting>
  <conditionalFormatting sqref="G643:G898">
    <cfRule type="duplicateValues" dxfId="0" priority="118"/>
  </conditionalFormatting>
  <conditionalFormatting sqref="H368:H372">
    <cfRule type="duplicateValues" dxfId="0" priority="180"/>
  </conditionalFormatting>
  <conditionalFormatting sqref="H370:H372">
    <cfRule type="duplicateValues" dxfId="0" priority="181"/>
  </conditionalFormatting>
  <conditionalFormatting sqref="H380:H384">
    <cfRule type="duplicateValues" dxfId="0" priority="183"/>
  </conditionalFormatting>
  <conditionalFormatting sqref="H470:H472">
    <cfRule type="duplicateValues" dxfId="0" priority="177"/>
  </conditionalFormatting>
  <conditionalFormatting sqref="H480:H481">
    <cfRule type="duplicateValues" dxfId="0" priority="174"/>
  </conditionalFormatting>
  <conditionalFormatting sqref="H482:H483">
    <cfRule type="duplicateValues" dxfId="0" priority="173"/>
  </conditionalFormatting>
  <conditionalFormatting sqref="H484:H485">
    <cfRule type="duplicateValues" dxfId="0" priority="172"/>
  </conditionalFormatting>
  <conditionalFormatting sqref="H515:H519">
    <cfRule type="duplicateValues" dxfId="0" priority="167"/>
  </conditionalFormatting>
  <conditionalFormatting sqref="H518:H519">
    <cfRule type="duplicateValues" dxfId="0" priority="168"/>
  </conditionalFormatting>
  <conditionalFormatting sqref="H537:H538">
    <cfRule type="duplicateValues" dxfId="0" priority="166"/>
  </conditionalFormatting>
  <conditionalFormatting sqref="H550:H551">
    <cfRule type="duplicateValues" dxfId="0" priority="164"/>
  </conditionalFormatting>
  <conditionalFormatting sqref="H585:H587">
    <cfRule type="duplicateValues" dxfId="0" priority="162"/>
  </conditionalFormatting>
  <conditionalFormatting sqref="H598:H601">
    <cfRule type="duplicateValues" dxfId="0" priority="160"/>
  </conditionalFormatting>
  <conditionalFormatting sqref="H602:H605">
    <cfRule type="duplicateValues" dxfId="0" priority="159"/>
  </conditionalFormatting>
  <conditionalFormatting sqref="H602:H609">
    <cfRule type="duplicateValues" dxfId="0" priority="170"/>
  </conditionalFormatting>
  <conditionalFormatting sqref="H624:H625">
    <cfRule type="duplicateValues" dxfId="0" priority="156"/>
  </conditionalFormatting>
  <conditionalFormatting sqref="H643:H898">
    <cfRule type="duplicateValues" dxfId="0" priority="117"/>
  </conditionalFormatting>
  <conditionalFormatting sqref="I368:I372">
    <cfRule type="duplicateValues" dxfId="0" priority="149"/>
  </conditionalFormatting>
  <conditionalFormatting sqref="I370:I372">
    <cfRule type="duplicateValues" dxfId="0" priority="150"/>
  </conditionalFormatting>
  <conditionalFormatting sqref="I380:I384">
    <cfRule type="duplicateValues" dxfId="0" priority="152"/>
  </conditionalFormatting>
  <conditionalFormatting sqref="I470:I472">
    <cfRule type="duplicateValues" dxfId="0" priority="146"/>
  </conditionalFormatting>
  <conditionalFormatting sqref="I480:I481">
    <cfRule type="duplicateValues" dxfId="0" priority="143"/>
  </conditionalFormatting>
  <conditionalFormatting sqref="I482:I483">
    <cfRule type="duplicateValues" dxfId="0" priority="142"/>
  </conditionalFormatting>
  <conditionalFormatting sqref="I484:I485">
    <cfRule type="duplicateValues" dxfId="0" priority="141"/>
  </conditionalFormatting>
  <conditionalFormatting sqref="I515:I519">
    <cfRule type="duplicateValues" dxfId="0" priority="136"/>
  </conditionalFormatting>
  <conditionalFormatting sqref="I518:I519">
    <cfRule type="duplicateValues" dxfId="0" priority="137"/>
  </conditionalFormatting>
  <conditionalFormatting sqref="I537:I538">
    <cfRule type="duplicateValues" dxfId="0" priority="135"/>
  </conditionalFormatting>
  <conditionalFormatting sqref="I550:I551">
    <cfRule type="duplicateValues" dxfId="0" priority="133"/>
  </conditionalFormatting>
  <conditionalFormatting sqref="I585:I587">
    <cfRule type="duplicateValues" dxfId="0" priority="131"/>
  </conditionalFormatting>
  <conditionalFormatting sqref="I598:I601">
    <cfRule type="duplicateValues" dxfId="0" priority="129"/>
  </conditionalFormatting>
  <conditionalFormatting sqref="I602:I605">
    <cfRule type="duplicateValues" dxfId="0" priority="128"/>
  </conditionalFormatting>
  <conditionalFormatting sqref="I602:I609">
    <cfRule type="duplicateValues" dxfId="0" priority="139"/>
  </conditionalFormatting>
  <conditionalFormatting sqref="I624:I625">
    <cfRule type="duplicateValues" dxfId="0" priority="125"/>
  </conditionalFormatting>
  <conditionalFormatting sqref="I643:I898">
    <cfRule type="duplicateValues" dxfId="0" priority="116"/>
  </conditionalFormatting>
  <conditionalFormatting sqref="J80:J187">
    <cfRule type="cellIs" dxfId="1" priority="113" operator="greaterThan">
      <formula>0.97</formula>
    </cfRule>
  </conditionalFormatting>
  <conditionalFormatting sqref="J189:J236">
    <cfRule type="cellIs" dxfId="1" priority="112" operator="greaterThan">
      <formula>0.97</formula>
    </cfRule>
  </conditionalFormatting>
  <conditionalFormatting sqref="J238:J325">
    <cfRule type="cellIs" dxfId="1" priority="111" operator="greaterThan">
      <formula>0.97</formula>
    </cfRule>
  </conditionalFormatting>
  <conditionalFormatting sqref="J327:J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J351:J641">
    <cfRule type="cellIs" dxfId="1" priority="121" operator="greaterThan">
      <formula>0.97</formula>
    </cfRule>
  </conditionalFormatting>
  <conditionalFormatting sqref="J643:J898">
    <cfRule type="cellIs" dxfId="1" priority="115" operator="greaterThan">
      <formula>0.97</formula>
    </cfRule>
  </conditionalFormatting>
  <conditionalFormatting sqref="J900:J1055">
    <cfRule type="cellIs" dxfId="1" priority="120" operator="greaterThan">
      <formula>0.97</formula>
    </cfRule>
  </conditionalFormatting>
  <conditionalFormatting sqref="J1057:J1423">
    <cfRule type="cellIs" dxfId="1" priority="110" operator="greaterThan">
      <formula>0.97</formula>
    </cfRule>
  </conditionalFormatting>
  <conditionalFormatting sqref="J1425:J1683">
    <cfRule type="cellIs" dxfId="1" priority="109" operator="greaterThan">
      <formula>0.97</formula>
    </cfRule>
  </conditionalFormatting>
  <conditionalFormatting sqref="O80:O1683">
    <cfRule type="cellIs" dxfId="1" priority="105" operator="greaterThan">
      <formula>0.96</formula>
    </cfRule>
    <cfRule type="cellIs" dxfId="1" priority="106" operator="greaterThan">
      <formula>0.97</formula>
    </cfRule>
  </conditionalFormatting>
  <conditionalFormatting sqref="Y9:Y1683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9:AD78">
    <cfRule type="cellIs" dxfId="1" priority="103" operator="greaterThan">
      <formula>0.96</formula>
    </cfRule>
    <cfRule type="cellIs" dxfId="1" priority="104" operator="greaterThan">
      <formula>0.97</formula>
    </cfRule>
  </conditionalFormatting>
  <conditionalFormatting sqref="AD80:AD325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AD327:AD349">
    <cfRule type="cellIs" dxfId="1" priority="61" operator="greaterThan">
      <formula>0.96</formula>
    </cfRule>
    <cfRule type="cellIs" dxfId="1" priority="62" operator="greaterThan">
      <formula>0.97</formula>
    </cfRule>
  </conditionalFormatting>
  <conditionalFormatting sqref="AD351:AD641">
    <cfRule type="cellIs" dxfId="1" priority="99" operator="greaterThan">
      <formula>0.96</formula>
    </cfRule>
    <cfRule type="cellIs" dxfId="1" priority="100" operator="greaterThan">
      <formula>0.97</formula>
    </cfRule>
  </conditionalFormatting>
  <conditionalFormatting sqref="AD643:AD898">
    <cfRule type="cellIs" dxfId="1" priority="97" operator="greaterThan">
      <formula>0.96</formula>
    </cfRule>
    <cfRule type="cellIs" dxfId="1" priority="98" operator="greaterThan">
      <formula>0.97</formula>
    </cfRule>
  </conditionalFormatting>
  <conditionalFormatting sqref="AD900:AD1055">
    <cfRule type="cellIs" dxfId="1" priority="95" operator="greaterThan">
      <formula>0.96</formula>
    </cfRule>
    <cfRule type="cellIs" dxfId="1" priority="96" operator="greaterThan">
      <formula>0.97</formula>
    </cfRule>
  </conditionalFormatting>
  <conditionalFormatting sqref="AD1057:AD1423">
    <cfRule type="cellIs" dxfId="1" priority="93" operator="greaterThan">
      <formula>0.96</formula>
    </cfRule>
    <cfRule type="cellIs" dxfId="1" priority="94" operator="greaterThan">
      <formula>0.97</formula>
    </cfRule>
  </conditionalFormatting>
  <conditionalFormatting sqref="AD1425:AD1683">
    <cfRule type="cellIs" dxfId="1" priority="91" operator="greaterThan">
      <formula>0.96</formula>
    </cfRule>
    <cfRule type="cellIs" dxfId="1" priority="92" operator="greaterThan">
      <formula>0.97</formula>
    </cfRule>
  </conditionalFormatting>
  <conditionalFormatting sqref="AI9:AI325">
    <cfRule type="cellIs" dxfId="1" priority="89" operator="greaterThan">
      <formula>0.96</formula>
    </cfRule>
    <cfRule type="cellIs" dxfId="1" priority="90" operator="greaterThan">
      <formula>0.97</formula>
    </cfRule>
  </conditionalFormatting>
  <conditionalFormatting sqref="AI327:AI349">
    <cfRule type="cellIs" dxfId="1" priority="83" operator="greaterThan">
      <formula>0.96</formula>
    </cfRule>
    <cfRule type="cellIs" dxfId="1" priority="84" operator="greaterThan">
      <formula>0.97</formula>
    </cfRule>
  </conditionalFormatting>
  <conditionalFormatting sqref="K9:N1683">
    <cfRule type="cellIs" dxfId="2" priority="59" operator="lessThan">
      <formula>0.9</formula>
    </cfRule>
    <cfRule type="cellIs" dxfId="1" priority="60" operator="greaterThan">
      <formula>0.9</formula>
    </cfRule>
  </conditionalFormatting>
  <conditionalFormatting sqref="P9:S1683">
    <cfRule type="cellIs" dxfId="2" priority="57" operator="lessThan">
      <formula>0.9</formula>
    </cfRule>
    <cfRule type="cellIs" dxfId="1" priority="58" operator="greaterThan">
      <formula>0.9</formula>
    </cfRule>
  </conditionalFormatting>
  <conditionalFormatting sqref="U9:X1683">
    <cfRule type="cellIs" dxfId="2" priority="23" operator="lessThan">
      <formula>0.9</formula>
    </cfRule>
    <cfRule type="cellIs" dxfId="1" priority="24" operator="greaterThan">
      <formula>0.9</formula>
    </cfRule>
  </conditionalFormatting>
  <conditionalFormatting sqref="Z9:AC1683">
    <cfRule type="cellIs" dxfId="2" priority="21" operator="lessThan">
      <formula>0.9</formula>
    </cfRule>
    <cfRule type="cellIs" dxfId="1" priority="22" operator="greaterThan">
      <formula>0.9</formula>
    </cfRule>
  </conditionalFormatting>
  <conditionalFormatting sqref="AE9:AH1683">
    <cfRule type="cellIs" dxfId="2" priority="53" operator="lessThan">
      <formula>0.92</formula>
    </cfRule>
    <cfRule type="cellIs" dxfId="1" priority="54" operator="greaterThan">
      <formula>0.92</formula>
    </cfRule>
  </conditionalFormatting>
  <conditionalFormatting sqref="AJ9:AM1683">
    <cfRule type="cellIs" dxfId="2" priority="51" operator="lessThan">
      <formula>0.92</formula>
    </cfRule>
    <cfRule type="cellIs" dxfId="1" priority="52" operator="greaterThan">
      <formula>0.92</formula>
    </cfRule>
  </conditionalFormatting>
  <conditionalFormatting sqref="AO9:AR1683">
    <cfRule type="cellIs" dxfId="2" priority="49" operator="lessThan">
      <formula>0.99</formula>
    </cfRule>
    <cfRule type="cellIs" dxfId="1" priority="50" operator="greaterThan">
      <formula>0.99</formula>
    </cfRule>
  </conditionalFormatting>
  <conditionalFormatting sqref="AT9:AW78">
    <cfRule type="cellIs" dxfId="2" priority="19" operator="lessThan">
      <formula>$AS$9</formula>
    </cfRule>
    <cfRule type="cellIs" dxfId="1" priority="20" operator="greaterThan">
      <formula>$AS$9</formula>
    </cfRule>
  </conditionalFormatting>
  <conditionalFormatting sqref="AT80:AW187">
    <cfRule type="cellIs" dxfId="2" priority="17" operator="lessThan">
      <formula>$AS$80</formula>
    </cfRule>
    <cfRule type="cellIs" dxfId="1" priority="18" operator="greaterThan">
      <formula>$AS$80</formula>
    </cfRule>
  </conditionalFormatting>
  <conditionalFormatting sqref="AT189:AW236">
    <cfRule type="cellIs" dxfId="2" priority="15" operator="lessThan">
      <formula>$AS$189</formula>
    </cfRule>
    <cfRule type="cellIs" dxfId="1" priority="16" operator="greaterThan">
      <formula>$AS$189</formula>
    </cfRule>
  </conditionalFormatting>
  <conditionalFormatting sqref="AT238:AW325">
    <cfRule type="cellIs" dxfId="2" priority="13" operator="lessThan">
      <formula>$AS$238</formula>
    </cfRule>
    <cfRule type="cellIs" dxfId="1" priority="14" operator="greaterThan">
      <formula>$AS$238</formula>
    </cfRule>
  </conditionalFormatting>
  <conditionalFormatting sqref="AT327:AW349">
    <cfRule type="cellIs" dxfId="2" priority="11" operator="lessThan">
      <formula>$AS$327</formula>
    </cfRule>
    <cfRule type="cellIs" dxfId="1" priority="12" operator="greaterThan">
      <formula>$AS$327</formula>
    </cfRule>
  </conditionalFormatting>
  <conditionalFormatting sqref="AT351:AW641">
    <cfRule type="cellIs" dxfId="2" priority="9" operator="lessThan">
      <formula>$AS$351</formula>
    </cfRule>
    <cfRule type="cellIs" dxfId="1" priority="10" operator="greaterThan">
      <formula>$AS$351</formula>
    </cfRule>
  </conditionalFormatting>
  <conditionalFormatting sqref="AT643:AW898">
    <cfRule type="cellIs" dxfId="2" priority="7" operator="lessThan">
      <formula>$AS$643</formula>
    </cfRule>
    <cfRule type="cellIs" dxfId="1" priority="8" operator="greaterThan">
      <formula>$AS$643</formula>
    </cfRule>
  </conditionalFormatting>
  <conditionalFormatting sqref="AT900:AW1055">
    <cfRule type="cellIs" dxfId="2" priority="5" operator="lessThan">
      <formula>$AS$900</formula>
    </cfRule>
    <cfRule type="cellIs" dxfId="1" priority="6" operator="greaterThan">
      <formula>$AS$900</formula>
    </cfRule>
  </conditionalFormatting>
  <conditionalFormatting sqref="AT1057:AW1423">
    <cfRule type="cellIs" dxfId="2" priority="3" operator="lessThan">
      <formula>$AS$1057</formula>
    </cfRule>
    <cfRule type="cellIs" dxfId="1" priority="4" operator="greaterThan">
      <formula>$AS$1057</formula>
    </cfRule>
  </conditionalFormatting>
  <conditionalFormatting sqref="AT1425:AW1683">
    <cfRule type="cellIs" dxfId="2" priority="1" operator="lessThan">
      <formula>$AS$1425</formula>
    </cfRule>
    <cfRule type="cellIs" dxfId="1" priority="2" operator="greaterThan">
      <formula>$AS$1425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workbookViewId="0">
      <selection activeCell="G8" sqref="G8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30" t="s">
        <v>1721</v>
      </c>
      <c r="C2" s="31" t="s">
        <v>1722</v>
      </c>
      <c r="D2" s="31" t="s">
        <v>1723</v>
      </c>
      <c r="E2" s="31" t="s">
        <v>1724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3"/>
      <c r="S2" s="74"/>
    </row>
    <row r="3" ht="36" customHeight="1" spans="2:19">
      <c r="B3" s="32"/>
      <c r="C3" s="8"/>
      <c r="D3" s="8"/>
      <c r="E3" s="8" t="s">
        <v>1725</v>
      </c>
      <c r="F3" s="8"/>
      <c r="G3" s="8"/>
      <c r="H3" s="8"/>
      <c r="I3" s="8"/>
      <c r="J3" s="8" t="s">
        <v>1726</v>
      </c>
      <c r="K3" s="8"/>
      <c r="L3" s="8"/>
      <c r="M3" s="8"/>
      <c r="N3" s="8"/>
      <c r="O3" s="8" t="s">
        <v>1727</v>
      </c>
      <c r="P3" s="8"/>
      <c r="Q3" s="8"/>
      <c r="R3" s="33"/>
      <c r="S3" s="75"/>
    </row>
    <row r="4" ht="29.75" spans="2:19">
      <c r="B4" s="76"/>
      <c r="C4" s="77"/>
      <c r="D4" s="77"/>
      <c r="E4" s="77" t="s">
        <v>21</v>
      </c>
      <c r="F4" s="78">
        <v>46252</v>
      </c>
      <c r="G4" s="78">
        <f>F4-1</f>
        <v>46251</v>
      </c>
      <c r="H4" s="78">
        <f>G4-1</f>
        <v>46250</v>
      </c>
      <c r="I4" s="77" t="s">
        <v>1728</v>
      </c>
      <c r="J4" s="77" t="s">
        <v>21</v>
      </c>
      <c r="K4" s="79">
        <f>F4</f>
        <v>46252</v>
      </c>
      <c r="L4" s="78">
        <f>F4-1</f>
        <v>46251</v>
      </c>
      <c r="M4" s="78">
        <f>G4-1</f>
        <v>46250</v>
      </c>
      <c r="N4" s="77" t="s">
        <v>1728</v>
      </c>
      <c r="O4" s="77" t="s">
        <v>21</v>
      </c>
      <c r="P4" s="79">
        <f>F4</f>
        <v>46252</v>
      </c>
      <c r="Q4" s="78">
        <f>F4-1</f>
        <v>46251</v>
      </c>
      <c r="R4" s="78">
        <f>G4-1</f>
        <v>46250</v>
      </c>
      <c r="S4" s="80" t="s">
        <v>1728</v>
      </c>
    </row>
    <row r="5" spans="2:19">
      <c r="B5" s="39" t="s">
        <v>1729</v>
      </c>
      <c r="C5" s="40" t="s">
        <v>1730</v>
      </c>
      <c r="D5" s="40" t="s">
        <v>100</v>
      </c>
      <c r="E5" s="81">
        <v>0.9</v>
      </c>
      <c r="F5" s="66">
        <v>0.951115049475705</v>
      </c>
      <c r="G5" s="66">
        <v>0.943083003952569</v>
      </c>
      <c r="H5" s="66">
        <v>0.9418013165769</v>
      </c>
      <c r="I5" s="66">
        <v>0.945716464838278</v>
      </c>
      <c r="J5" s="81">
        <v>0.9</v>
      </c>
      <c r="K5" s="66">
        <v>0.930874190945174</v>
      </c>
      <c r="L5" s="66">
        <v>0.918552224297153</v>
      </c>
      <c r="M5" s="66">
        <v>0.921391628825813</v>
      </c>
      <c r="N5" s="82">
        <v>0.923792144843992</v>
      </c>
      <c r="O5" s="81">
        <v>0.9</v>
      </c>
      <c r="P5" s="66">
        <v>0.91965447388791</v>
      </c>
      <c r="Q5" s="66">
        <v>0.88080696323962</v>
      </c>
      <c r="R5" s="66">
        <v>0.896983706711664</v>
      </c>
      <c r="S5" s="66">
        <v>0.900129196375626</v>
      </c>
    </row>
    <row r="6" ht="15.25" spans="2:19">
      <c r="B6" s="45"/>
      <c r="C6" s="40" t="s">
        <v>212</v>
      </c>
      <c r="D6" s="40" t="s">
        <v>211</v>
      </c>
      <c r="E6" s="81">
        <v>0.9</v>
      </c>
      <c r="F6" s="66">
        <v>0.952407932011331</v>
      </c>
      <c r="G6" s="66">
        <v>0.938430311231394</v>
      </c>
      <c r="H6" s="66">
        <v>0.942599067599068</v>
      </c>
      <c r="I6" s="66">
        <v>0.946748827370551</v>
      </c>
      <c r="J6" s="81">
        <v>0.9</v>
      </c>
      <c r="K6" s="66">
        <v>0.946903279434137</v>
      </c>
      <c r="L6" s="66">
        <v>0.950378822102043</v>
      </c>
      <c r="M6" s="66">
        <v>0.950714256826893</v>
      </c>
      <c r="N6" s="82">
        <v>0.943997989385963</v>
      </c>
      <c r="O6" s="81">
        <v>0.9</v>
      </c>
      <c r="P6" s="66">
        <v>0.908368752058468</v>
      </c>
      <c r="Q6" s="66">
        <v>0.879080243168941</v>
      </c>
      <c r="R6" s="66">
        <v>0.901976732168294</v>
      </c>
      <c r="S6" s="66">
        <v>0.908235854857956</v>
      </c>
    </row>
    <row r="7" ht="15.25" spans="2:19">
      <c r="B7" s="45"/>
      <c r="C7" s="40" t="s">
        <v>279</v>
      </c>
      <c r="D7" s="40" t="s">
        <v>261</v>
      </c>
      <c r="E7" s="81">
        <v>0.9</v>
      </c>
      <c r="F7" s="66">
        <v>0.944280191039345</v>
      </c>
      <c r="G7" s="66">
        <v>0.937220982142857</v>
      </c>
      <c r="H7" s="66">
        <v>0.938354521467978</v>
      </c>
      <c r="I7" s="66">
        <v>0.942936216772865</v>
      </c>
      <c r="J7" s="81">
        <v>0.9</v>
      </c>
      <c r="K7" s="66">
        <v>0.966517989011638</v>
      </c>
      <c r="L7" s="66">
        <v>0.967265441560604</v>
      </c>
      <c r="M7" s="66">
        <v>0.94863090066052</v>
      </c>
      <c r="N7" s="82">
        <v>0.946018087756748</v>
      </c>
      <c r="O7" s="81">
        <v>0.9</v>
      </c>
      <c r="P7" s="66">
        <v>0.934276599515567</v>
      </c>
      <c r="Q7" s="66">
        <v>0.932647870990705</v>
      </c>
      <c r="R7" s="66">
        <v>0.934755361440688</v>
      </c>
      <c r="S7" s="66">
        <v>0.934954917633131</v>
      </c>
    </row>
    <row r="8" ht="15.25" spans="2:19">
      <c r="B8" s="46"/>
      <c r="C8" s="40" t="s">
        <v>1731</v>
      </c>
      <c r="D8" s="40" t="s">
        <v>351</v>
      </c>
      <c r="E8" s="81">
        <v>0.9</v>
      </c>
      <c r="F8" s="66">
        <v>0.937293729372937</v>
      </c>
      <c r="G8" s="66">
        <v>0.886010362694301</v>
      </c>
      <c r="H8" s="66">
        <v>0.906362545018007</v>
      </c>
      <c r="I8" s="66">
        <v>0.925123456790123</v>
      </c>
      <c r="J8" s="81">
        <v>0.9</v>
      </c>
      <c r="K8" s="66">
        <v>0.951967689175206</v>
      </c>
      <c r="L8" s="66">
        <v>0.945246615450064</v>
      </c>
      <c r="M8" s="66">
        <v>0.946382651304999</v>
      </c>
      <c r="N8" s="82">
        <v>0.949036528457973</v>
      </c>
      <c r="O8" s="81">
        <v>0.9</v>
      </c>
      <c r="P8" s="66">
        <v>0.896925798591408</v>
      </c>
      <c r="Q8" s="66">
        <v>0.87943244663547</v>
      </c>
      <c r="R8" s="66">
        <v>0.907263044930852</v>
      </c>
      <c r="S8" s="66">
        <v>0.911354319218515</v>
      </c>
    </row>
    <row r="9" ht="15.25" spans="2:19">
      <c r="B9" s="45"/>
      <c r="C9" s="40" t="s">
        <v>1732</v>
      </c>
      <c r="D9" s="40" t="s">
        <v>376</v>
      </c>
      <c r="E9" s="81">
        <v>0.9</v>
      </c>
      <c r="F9" s="66">
        <v>0.912606577344702</v>
      </c>
      <c r="G9" s="66">
        <v>0.907002711756261</v>
      </c>
      <c r="H9" s="66">
        <v>0.908774056675254</v>
      </c>
      <c r="I9" s="66">
        <v>0.913912967479998</v>
      </c>
      <c r="J9" s="81">
        <v>0.9</v>
      </c>
      <c r="K9" s="66">
        <v>0.947550806232191</v>
      </c>
      <c r="L9" s="66">
        <v>0.936212801921623</v>
      </c>
      <c r="M9" s="66">
        <v>0.941892275067193</v>
      </c>
      <c r="N9" s="82">
        <v>0.945792736976333</v>
      </c>
      <c r="O9" s="81">
        <v>0.9</v>
      </c>
      <c r="P9" s="66">
        <v>0.872826701190287</v>
      </c>
      <c r="Q9" s="66">
        <v>0.820740933369375</v>
      </c>
      <c r="R9" s="66">
        <v>0.866653088229225</v>
      </c>
      <c r="S9" s="66">
        <v>0.870367047939979</v>
      </c>
    </row>
    <row r="10" ht="15.25" spans="2:19">
      <c r="B10" s="45"/>
      <c r="C10" s="40" t="s">
        <v>836</v>
      </c>
      <c r="D10" s="40" t="s">
        <v>669</v>
      </c>
      <c r="E10" s="81">
        <v>0.9</v>
      </c>
      <c r="F10" s="66">
        <v>0.914651698330455</v>
      </c>
      <c r="G10" s="66">
        <v>0.899422706863374</v>
      </c>
      <c r="H10" s="66">
        <v>0.900317712470214</v>
      </c>
      <c r="I10" s="66">
        <v>0.913514120644994</v>
      </c>
      <c r="J10" s="81">
        <v>0.9</v>
      </c>
      <c r="K10" s="66">
        <v>0.952024325694014</v>
      </c>
      <c r="L10" s="66">
        <v>0.948501489264746</v>
      </c>
      <c r="M10" s="66">
        <v>0.936676496742322</v>
      </c>
      <c r="N10" s="82">
        <v>0.944771820594821</v>
      </c>
      <c r="O10" s="81">
        <v>0.9</v>
      </c>
      <c r="P10" s="66">
        <v>0.915658340592839</v>
      </c>
      <c r="Q10" s="66">
        <v>0.916160338667389</v>
      </c>
      <c r="R10" s="66">
        <v>0.90907883283089</v>
      </c>
      <c r="S10" s="66">
        <v>0.920178227942996</v>
      </c>
    </row>
    <row r="11" ht="15.25" spans="2:19">
      <c r="B11" s="45"/>
      <c r="C11" s="40" t="s">
        <v>963</v>
      </c>
      <c r="D11" s="40" t="s">
        <v>928</v>
      </c>
      <c r="E11" s="81">
        <v>0.9</v>
      </c>
      <c r="F11" s="66">
        <v>0.912616056799563</v>
      </c>
      <c r="G11" s="66">
        <v>0.91515308770109</v>
      </c>
      <c r="H11" s="66">
        <v>0.898404255319149</v>
      </c>
      <c r="I11" s="66">
        <v>0.92154505466529</v>
      </c>
      <c r="J11" s="81">
        <v>0.9</v>
      </c>
      <c r="K11" s="66">
        <v>0.934476458995641</v>
      </c>
      <c r="L11" s="66">
        <v>0.913976091108439</v>
      </c>
      <c r="M11" s="66">
        <v>0.917146916051257</v>
      </c>
      <c r="N11" s="82">
        <v>0.929244624304476</v>
      </c>
      <c r="O11" s="81">
        <v>0.9</v>
      </c>
      <c r="P11" s="66">
        <v>0.905505128242013</v>
      </c>
      <c r="Q11" s="66">
        <v>0.888808092240221</v>
      </c>
      <c r="R11" s="66">
        <v>0.877064784779258</v>
      </c>
      <c r="S11" s="66">
        <v>0.895894749856311</v>
      </c>
    </row>
    <row r="12" ht="15.25" spans="2:19">
      <c r="B12" s="45"/>
      <c r="C12" s="40" t="s">
        <v>1733</v>
      </c>
      <c r="D12" s="40" t="s">
        <v>1086</v>
      </c>
      <c r="E12" s="81">
        <v>0.9</v>
      </c>
      <c r="F12" s="66">
        <v>0.93175304051437</v>
      </c>
      <c r="G12" s="66">
        <v>0.934753857457752</v>
      </c>
      <c r="H12" s="66">
        <v>0.930438701923077</v>
      </c>
      <c r="I12" s="66">
        <v>0.935679611650485</v>
      </c>
      <c r="J12" s="81">
        <v>0.9</v>
      </c>
      <c r="K12" s="66">
        <v>0.965655917771756</v>
      </c>
      <c r="L12" s="66">
        <v>0.958808183577661</v>
      </c>
      <c r="M12" s="66">
        <v>0.955728903051825</v>
      </c>
      <c r="N12" s="82">
        <v>0.956164552898848</v>
      </c>
      <c r="O12" s="81">
        <v>0.9</v>
      </c>
      <c r="P12" s="66">
        <v>0.908687843753508</v>
      </c>
      <c r="Q12" s="66">
        <v>0.895765868157898</v>
      </c>
      <c r="R12" s="66">
        <v>0.891266849417129</v>
      </c>
      <c r="S12" s="66">
        <v>0.901552058733574</v>
      </c>
    </row>
    <row r="13" ht="15.25" spans="2:19">
      <c r="B13" s="45"/>
      <c r="C13" s="40" t="s">
        <v>1734</v>
      </c>
      <c r="D13" s="40" t="s">
        <v>1456</v>
      </c>
      <c r="E13" s="81">
        <v>0.9</v>
      </c>
      <c r="F13" s="66">
        <v>0.90273556231003</v>
      </c>
      <c r="G13" s="66">
        <v>0.90541825095057</v>
      </c>
      <c r="H13" s="66">
        <v>0.895956607495069</v>
      </c>
      <c r="I13" s="66">
        <v>0.903059674884783</v>
      </c>
      <c r="J13" s="81">
        <v>0.9</v>
      </c>
      <c r="K13" s="66">
        <v>0.917481429602933</v>
      </c>
      <c r="L13" s="66">
        <v>0.905572183311926</v>
      </c>
      <c r="M13" s="66">
        <v>0.924003331192438</v>
      </c>
      <c r="N13" s="82">
        <v>0.908804078409399</v>
      </c>
      <c r="O13" s="81">
        <v>0.9</v>
      </c>
      <c r="P13" s="66">
        <v>0.769045309599586</v>
      </c>
      <c r="Q13" s="66">
        <v>0.754174441994038</v>
      </c>
      <c r="R13" s="66">
        <v>0.811759969761131</v>
      </c>
      <c r="S13" s="66">
        <v>0.779504684906161</v>
      </c>
    </row>
    <row r="14" ht="15.25" spans="2:19">
      <c r="B14" s="45"/>
      <c r="C14" s="40" t="s">
        <v>1735</v>
      </c>
      <c r="D14" s="40" t="s">
        <v>26</v>
      </c>
      <c r="E14" s="81">
        <v>0.9</v>
      </c>
      <c r="F14" s="66">
        <v>0.932058379466532</v>
      </c>
      <c r="G14" s="66">
        <v>0.90982087708462</v>
      </c>
      <c r="H14" s="66">
        <v>0.896180941787171</v>
      </c>
      <c r="I14" s="66">
        <v>0.914948847152237</v>
      </c>
      <c r="J14" s="81">
        <v>0.9</v>
      </c>
      <c r="K14" s="66">
        <v>0.912206044360307</v>
      </c>
      <c r="L14" s="66">
        <v>0.93764341544677</v>
      </c>
      <c r="M14" s="66">
        <v>0.949494055904936</v>
      </c>
      <c r="N14" s="82">
        <v>0.937444530539412</v>
      </c>
      <c r="O14" s="81">
        <v>0.9</v>
      </c>
      <c r="P14" s="66">
        <v>0.84549456930254</v>
      </c>
      <c r="Q14" s="66">
        <v>0.772034936454535</v>
      </c>
      <c r="R14" s="66">
        <v>0.79198659488826</v>
      </c>
      <c r="S14" s="66">
        <v>0.796893778236447</v>
      </c>
    </row>
    <row r="15" ht="15.25" spans="2:19">
      <c r="B15" s="47" t="s">
        <v>1716</v>
      </c>
      <c r="C15" s="48"/>
      <c r="D15" s="48"/>
      <c r="E15" s="83" t="s">
        <v>35</v>
      </c>
      <c r="F15" s="83">
        <v>0.926976</v>
      </c>
      <c r="G15" s="83">
        <v>0.919734210482818</v>
      </c>
      <c r="H15" s="83">
        <v>0.917168867803565</v>
      </c>
      <c r="I15" s="83">
        <v>0.925660635904775</v>
      </c>
      <c r="J15" s="83" t="s">
        <v>35</v>
      </c>
      <c r="K15" s="83">
        <v>0.943630776056586</v>
      </c>
      <c r="L15" s="83">
        <v>0.940120625236726</v>
      </c>
      <c r="M15" s="83">
        <v>0.940484680386491</v>
      </c>
      <c r="N15" s="83">
        <v>0.941055087905092</v>
      </c>
      <c r="O15" s="83" t="s">
        <v>35</v>
      </c>
      <c r="P15" s="83">
        <v>0.883180799597897</v>
      </c>
      <c r="Q15" s="83">
        <v>0.865415039287791</v>
      </c>
      <c r="R15" s="83">
        <v>0.877858454442904</v>
      </c>
      <c r="S15" s="84">
        <v>0.88185083113963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abSelected="1" zoomScale="85" zoomScaleNormal="85" topLeftCell="C2" workbookViewId="0">
      <selection activeCell="I4" sqref="I4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30" t="s">
        <v>1721</v>
      </c>
      <c r="C2" s="31" t="s">
        <v>1722</v>
      </c>
      <c r="D2" s="31" t="s">
        <v>1723</v>
      </c>
      <c r="E2" s="54" t="s">
        <v>1736</v>
      </c>
      <c r="F2" s="55"/>
      <c r="G2" s="55"/>
      <c r="H2" s="55"/>
      <c r="I2" s="56"/>
      <c r="J2" s="57" t="s">
        <v>1737</v>
      </c>
      <c r="K2" s="58"/>
      <c r="L2" s="58"/>
      <c r="M2" s="58"/>
      <c r="N2" s="58"/>
      <c r="O2" s="58"/>
      <c r="P2" s="58"/>
      <c r="Q2" s="58"/>
      <c r="R2" s="58"/>
      <c r="S2" s="59"/>
    </row>
    <row r="3" ht="55.05" customHeight="1" spans="2:19">
      <c r="B3" s="32"/>
      <c r="C3" s="8"/>
      <c r="D3" s="8"/>
      <c r="E3" s="60" t="s">
        <v>1738</v>
      </c>
      <c r="F3" s="61"/>
      <c r="G3" s="61"/>
      <c r="H3" s="61"/>
      <c r="I3" s="62"/>
      <c r="J3" s="33" t="s">
        <v>1739</v>
      </c>
      <c r="K3" s="34"/>
      <c r="L3" s="34"/>
      <c r="M3" s="34"/>
      <c r="N3" s="35"/>
      <c r="O3" s="33" t="s">
        <v>1740</v>
      </c>
      <c r="P3" s="34"/>
      <c r="Q3" s="34"/>
      <c r="R3" s="34"/>
      <c r="S3" s="35"/>
    </row>
    <row r="4" ht="29.75" spans="2:19">
      <c r="B4" s="36"/>
      <c r="C4" s="11"/>
      <c r="D4" s="11"/>
      <c r="E4" s="37" t="s">
        <v>21</v>
      </c>
      <c r="F4" s="37">
        <f>'06.30, 07.30, &amp; 12.00'!F4</f>
        <v>46252</v>
      </c>
      <c r="G4" s="38">
        <f>F4-1</f>
        <v>46251</v>
      </c>
      <c r="H4" s="38">
        <f>G4-1</f>
        <v>46250</v>
      </c>
      <c r="I4" s="63" t="s">
        <v>1728</v>
      </c>
      <c r="J4" s="64" t="s">
        <v>21</v>
      </c>
      <c r="K4" s="37">
        <f>F4</f>
        <v>46252</v>
      </c>
      <c r="L4" s="38">
        <f>F4-1</f>
        <v>46251</v>
      </c>
      <c r="M4" s="38">
        <f>G4-1</f>
        <v>46250</v>
      </c>
      <c r="N4" s="11" t="s">
        <v>1728</v>
      </c>
      <c r="O4" s="37" t="s">
        <v>21</v>
      </c>
      <c r="P4" s="37">
        <f>K4</f>
        <v>46252</v>
      </c>
      <c r="Q4" s="38">
        <f>K4-1</f>
        <v>46251</v>
      </c>
      <c r="R4" s="38">
        <f>L4-1</f>
        <v>46250</v>
      </c>
      <c r="S4" s="11" t="s">
        <v>1728</v>
      </c>
    </row>
    <row r="5" ht="15.25" spans="2:19">
      <c r="B5" s="39" t="s">
        <v>1729</v>
      </c>
      <c r="C5" s="40" t="s">
        <v>1730</v>
      </c>
      <c r="D5" s="40" t="s">
        <v>100</v>
      </c>
      <c r="E5" s="65">
        <v>0.92</v>
      </c>
      <c r="F5" s="66">
        <v>0.92436120136445</v>
      </c>
      <c r="G5" s="66">
        <v>0.82843137254902</v>
      </c>
      <c r="H5" s="66">
        <v>0.923328427445647</v>
      </c>
      <c r="I5" s="66">
        <v>0.939948991752192</v>
      </c>
      <c r="J5" s="43">
        <v>0.92</v>
      </c>
      <c r="K5" s="67">
        <v>0.979165455713125</v>
      </c>
      <c r="L5" s="67">
        <v>0.971313098747237</v>
      </c>
      <c r="M5" s="67">
        <v>0.979257023647353</v>
      </c>
      <c r="N5" s="67">
        <v>0.970764729518851</v>
      </c>
      <c r="O5" s="43">
        <v>0.93</v>
      </c>
      <c r="P5" s="67">
        <v>0.954148427206758</v>
      </c>
      <c r="Q5" s="67">
        <v>0.933691017831929</v>
      </c>
      <c r="R5" s="67">
        <v>0.958380955625225</v>
      </c>
      <c r="S5" s="67">
        <v>0.967455357873194</v>
      </c>
    </row>
    <row r="6" ht="15.25" spans="2:19">
      <c r="B6" s="45"/>
      <c r="C6" s="40" t="s">
        <v>212</v>
      </c>
      <c r="D6" s="40" t="s">
        <v>211</v>
      </c>
      <c r="E6" s="65">
        <v>0.92</v>
      </c>
      <c r="F6" s="66">
        <v>0.913252864219874</v>
      </c>
      <c r="G6" s="66">
        <v>0.881458357678247</v>
      </c>
      <c r="H6" s="66">
        <v>0.926110044877992</v>
      </c>
      <c r="I6" s="66">
        <v>0.941373678768343</v>
      </c>
      <c r="J6" s="43">
        <v>0.92</v>
      </c>
      <c r="K6" s="67">
        <v>0.994491562040912</v>
      </c>
      <c r="L6" s="67">
        <v>0.992592870755452</v>
      </c>
      <c r="M6" s="67">
        <v>0.993893669998474</v>
      </c>
      <c r="N6" s="67">
        <v>0.982207788218112</v>
      </c>
      <c r="O6" s="43">
        <v>0.93</v>
      </c>
      <c r="P6" s="67">
        <v>0.945871354979949</v>
      </c>
      <c r="Q6" s="67">
        <v>0.929692988373662</v>
      </c>
      <c r="R6" s="67">
        <v>0.952054244571251</v>
      </c>
      <c r="S6" s="67">
        <v>0.962407443397623</v>
      </c>
    </row>
    <row r="7" ht="15.25" spans="2:19">
      <c r="B7" s="45"/>
      <c r="C7" s="40" t="s">
        <v>279</v>
      </c>
      <c r="D7" s="40" t="s">
        <v>261</v>
      </c>
      <c r="E7" s="65">
        <v>0.92</v>
      </c>
      <c r="F7" s="66">
        <v>0.957663163040821</v>
      </c>
      <c r="G7" s="66">
        <v>0.953795102280842</v>
      </c>
      <c r="H7" s="66">
        <v>0.97000121117082</v>
      </c>
      <c r="I7" s="66">
        <v>0.976121029426229</v>
      </c>
      <c r="J7" s="43">
        <v>0.92</v>
      </c>
      <c r="K7" s="67">
        <v>0.977012969178784</v>
      </c>
      <c r="L7" s="67">
        <v>0.954386719162481</v>
      </c>
      <c r="M7" s="67">
        <v>0.988877602191048</v>
      </c>
      <c r="N7" s="67">
        <v>0.964579675666053</v>
      </c>
      <c r="O7" s="43">
        <v>0.93</v>
      </c>
      <c r="P7" s="67">
        <v>0.974497401393981</v>
      </c>
      <c r="Q7" s="67">
        <v>0.97511955880258</v>
      </c>
      <c r="R7" s="67">
        <v>0.982201865662694</v>
      </c>
      <c r="S7" s="67">
        <v>0.985041272465365</v>
      </c>
    </row>
    <row r="8" ht="15.25" spans="2:19">
      <c r="B8" s="46"/>
      <c r="C8" s="40" t="s">
        <v>1731</v>
      </c>
      <c r="D8" s="40" t="s">
        <v>351</v>
      </c>
      <c r="E8" s="65">
        <v>0.92</v>
      </c>
      <c r="F8" s="66">
        <v>0.934454638124363</v>
      </c>
      <c r="G8" s="66">
        <v>0.90924648654255</v>
      </c>
      <c r="H8" s="66">
        <v>0.94160549372484</v>
      </c>
      <c r="I8" s="66">
        <v>0.954528369950987</v>
      </c>
      <c r="J8" s="43">
        <v>0.92</v>
      </c>
      <c r="K8" s="67">
        <v>0.977762328761019</v>
      </c>
      <c r="L8" s="67">
        <v>0.991039060906138</v>
      </c>
      <c r="M8" s="67">
        <v>0.980262343769336</v>
      </c>
      <c r="N8" s="67">
        <v>0.961098769728474</v>
      </c>
      <c r="O8" s="43">
        <v>0.93</v>
      </c>
      <c r="P8" s="67">
        <v>0.951479385284699</v>
      </c>
      <c r="Q8" s="67">
        <v>0.937253247848827</v>
      </c>
      <c r="R8" s="67">
        <v>0.956736685069637</v>
      </c>
      <c r="S8" s="67">
        <v>0.965677564070195</v>
      </c>
    </row>
    <row r="9" ht="15.25" spans="2:19">
      <c r="B9" s="45"/>
      <c r="C9" s="40" t="s">
        <v>1732</v>
      </c>
      <c r="D9" s="40" t="s">
        <v>376</v>
      </c>
      <c r="E9" s="65">
        <v>0.92</v>
      </c>
      <c r="F9" s="66">
        <v>0.909873581656831</v>
      </c>
      <c r="G9" s="66">
        <v>0.830134303897154</v>
      </c>
      <c r="H9" s="66">
        <v>0.888589804922128</v>
      </c>
      <c r="I9" s="66">
        <v>0.910519081718348</v>
      </c>
      <c r="J9" s="43">
        <v>0.92</v>
      </c>
      <c r="K9" s="67">
        <v>0.977616461063896</v>
      </c>
      <c r="L9" s="67">
        <v>0.986203745852053</v>
      </c>
      <c r="M9" s="67">
        <v>0.988628355538731</v>
      </c>
      <c r="N9" s="67">
        <v>0.976220131099936</v>
      </c>
      <c r="O9" s="43">
        <v>0.93</v>
      </c>
      <c r="P9" s="67">
        <v>0.933685729947502</v>
      </c>
      <c r="Q9" s="67">
        <v>0.905741001407601</v>
      </c>
      <c r="R9" s="67">
        <v>0.935660361634326</v>
      </c>
      <c r="S9" s="67">
        <v>0.949706524019657</v>
      </c>
    </row>
    <row r="10" ht="15.25" spans="2:19">
      <c r="B10" s="45"/>
      <c r="C10" s="40" t="s">
        <v>836</v>
      </c>
      <c r="D10" s="40" t="s">
        <v>669</v>
      </c>
      <c r="E10" s="65">
        <v>0.92</v>
      </c>
      <c r="F10" s="66">
        <v>0.906544903327438</v>
      </c>
      <c r="G10" s="66">
        <v>0.894372247878853</v>
      </c>
      <c r="H10" s="66">
        <v>0.90154755547566</v>
      </c>
      <c r="I10" s="66">
        <v>0.918767312889099</v>
      </c>
      <c r="J10" s="43">
        <v>0.92</v>
      </c>
      <c r="K10" s="67">
        <v>0.973596015517558</v>
      </c>
      <c r="L10" s="67">
        <v>0.987726754868828</v>
      </c>
      <c r="M10" s="67">
        <v>0.984506430599632</v>
      </c>
      <c r="N10" s="67">
        <v>0.980733919239384</v>
      </c>
      <c r="O10" s="43">
        <v>0.93</v>
      </c>
      <c r="P10" s="67">
        <v>0.941751152495872</v>
      </c>
      <c r="Q10" s="67">
        <v>0.95077167483051</v>
      </c>
      <c r="R10" s="67">
        <v>0.948794541428895</v>
      </c>
      <c r="S10" s="67">
        <v>0.960522335572492</v>
      </c>
    </row>
    <row r="11" ht="15.25" spans="2:19">
      <c r="B11" s="45"/>
      <c r="C11" s="40" t="s">
        <v>963</v>
      </c>
      <c r="D11" s="40" t="s">
        <v>928</v>
      </c>
      <c r="E11" s="65">
        <v>0.92</v>
      </c>
      <c r="F11" s="66">
        <v>0.894786300988445</v>
      </c>
      <c r="G11" s="66">
        <v>0.83069755513763</v>
      </c>
      <c r="H11" s="66">
        <v>0.809809264305177</v>
      </c>
      <c r="I11" s="66">
        <v>0.875780255132817</v>
      </c>
      <c r="J11" s="43">
        <v>0.92</v>
      </c>
      <c r="K11" s="67">
        <v>0.98233485824179</v>
      </c>
      <c r="L11" s="67">
        <v>0.975402403083201</v>
      </c>
      <c r="M11" s="67">
        <v>0.980748923998182</v>
      </c>
      <c r="N11" s="67">
        <v>0.967753092961688</v>
      </c>
      <c r="O11" s="43">
        <v>0.93</v>
      </c>
      <c r="P11" s="67">
        <v>0.941765241128298</v>
      </c>
      <c r="Q11" s="67">
        <v>0.933832659428826</v>
      </c>
      <c r="R11" s="67">
        <v>0.927230899624652</v>
      </c>
      <c r="S11" s="67">
        <v>0.951029703525575</v>
      </c>
    </row>
    <row r="12" ht="15.25" spans="2:19">
      <c r="B12" s="45"/>
      <c r="C12" s="40" t="s">
        <v>1733</v>
      </c>
      <c r="D12" s="40" t="s">
        <v>1086</v>
      </c>
      <c r="E12" s="65">
        <v>0.92</v>
      </c>
      <c r="F12" s="66">
        <v>0.935195334557585</v>
      </c>
      <c r="G12" s="66">
        <v>0.935048840616273</v>
      </c>
      <c r="H12" s="66">
        <v>0.935644951645023</v>
      </c>
      <c r="I12" s="66">
        <v>0.949641823773385</v>
      </c>
      <c r="J12" s="43">
        <v>0.92</v>
      </c>
      <c r="K12" s="67">
        <v>0.979538542379898</v>
      </c>
      <c r="L12" s="67">
        <v>0.974910571141078</v>
      </c>
      <c r="M12" s="67">
        <v>0.977728555543889</v>
      </c>
      <c r="N12" s="67">
        <v>0.973767489811218</v>
      </c>
      <c r="O12" s="43">
        <v>0.93</v>
      </c>
      <c r="P12" s="67">
        <v>0.947667430921653</v>
      </c>
      <c r="Q12" s="67">
        <v>0.953910782091566</v>
      </c>
      <c r="R12" s="67">
        <v>0.95301887958704</v>
      </c>
      <c r="S12" s="67">
        <v>0.96502478308325</v>
      </c>
    </row>
    <row r="13" ht="15.25" spans="2:19">
      <c r="B13" s="45"/>
      <c r="C13" s="40" t="s">
        <v>1734</v>
      </c>
      <c r="D13" s="40" t="s">
        <v>1456</v>
      </c>
      <c r="E13" s="65">
        <v>0.92</v>
      </c>
      <c r="F13" s="66">
        <v>0.838669597629743</v>
      </c>
      <c r="G13" s="66">
        <v>0.822698183701402</v>
      </c>
      <c r="H13" s="66">
        <v>0.808716328254544</v>
      </c>
      <c r="I13" s="66">
        <v>0.846691942280325</v>
      </c>
      <c r="J13" s="43">
        <v>0.92</v>
      </c>
      <c r="K13" s="67">
        <v>0.962338126592788</v>
      </c>
      <c r="L13" s="67">
        <v>0.930644408445677</v>
      </c>
      <c r="M13" s="67">
        <v>0.963012732220244</v>
      </c>
      <c r="N13" s="67">
        <v>0.960411205414299</v>
      </c>
      <c r="O13" s="43">
        <v>0.93</v>
      </c>
      <c r="P13" s="67">
        <v>0.883886134557076</v>
      </c>
      <c r="Q13" s="67">
        <v>0.867304683905402</v>
      </c>
      <c r="R13" s="67">
        <v>0.878407250893552</v>
      </c>
      <c r="S13" s="67">
        <v>0.902102927352744</v>
      </c>
    </row>
    <row r="14" ht="15.25" spans="2:19">
      <c r="B14" s="45"/>
      <c r="C14" s="40" t="s">
        <v>1735</v>
      </c>
      <c r="D14" s="40" t="s">
        <v>26</v>
      </c>
      <c r="E14" s="65">
        <v>0.92</v>
      </c>
      <c r="F14" s="66">
        <v>0.925343665322847</v>
      </c>
      <c r="G14" s="66">
        <v>0.859694027408296</v>
      </c>
      <c r="H14" s="66">
        <v>0.894035090853866</v>
      </c>
      <c r="I14" s="66">
        <v>0.932442498457708</v>
      </c>
      <c r="J14" s="43">
        <v>0.92</v>
      </c>
      <c r="K14" s="67">
        <v>0.98282941986715</v>
      </c>
      <c r="L14" s="67">
        <v>0.978158021234789</v>
      </c>
      <c r="M14" s="67">
        <v>0.98297633844488</v>
      </c>
      <c r="N14" s="67">
        <v>0.96859245572238</v>
      </c>
      <c r="O14" s="43">
        <v>0.93</v>
      </c>
      <c r="P14" s="67">
        <v>0.942313679599768</v>
      </c>
      <c r="Q14" s="67">
        <v>0.890524843536591</v>
      </c>
      <c r="R14" s="67">
        <v>0.919373686208704</v>
      </c>
      <c r="S14" s="67">
        <v>0.951669691304256</v>
      </c>
    </row>
    <row r="15" ht="15.25" spans="2:19">
      <c r="B15" s="47" t="s">
        <v>1716</v>
      </c>
      <c r="C15" s="48"/>
      <c r="D15" s="49"/>
      <c r="E15" s="68" t="s">
        <v>35</v>
      </c>
      <c r="F15" s="69">
        <v>0.919520741277985</v>
      </c>
      <c r="G15" s="69">
        <v>0.877969530668316</v>
      </c>
      <c r="H15" s="69">
        <v>0.911041184345566</v>
      </c>
      <c r="I15" s="70">
        <v>0.932440445787146</v>
      </c>
      <c r="J15" s="71" t="s">
        <v>35</v>
      </c>
      <c r="K15" s="51">
        <v>0.979770092550457</v>
      </c>
      <c r="L15" s="51">
        <v>0.977307473475901</v>
      </c>
      <c r="M15" s="51">
        <v>0.983063312779035</v>
      </c>
      <c r="N15" s="72">
        <v>0.972425093218872</v>
      </c>
      <c r="O15" s="51" t="s">
        <v>35</v>
      </c>
      <c r="P15" s="51">
        <v>0.939144286965564</v>
      </c>
      <c r="Q15" s="51">
        <v>0.928505856878637</v>
      </c>
      <c r="R15" s="51">
        <v>0.942190717184205</v>
      </c>
      <c r="S15" s="51">
        <v>0.956695182102798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2" workbookViewId="0">
      <selection activeCell="M18" sqref="M18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3.1090909090909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30" t="s">
        <v>1721</v>
      </c>
      <c r="C2" s="31" t="s">
        <v>1722</v>
      </c>
      <c r="D2" s="31" t="s">
        <v>1723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2"/>
      <c r="C3" s="8"/>
      <c r="D3" s="8"/>
      <c r="E3" s="33" t="s">
        <v>1741</v>
      </c>
      <c r="F3" s="34"/>
      <c r="G3" s="34"/>
      <c r="H3" s="34"/>
      <c r="I3" s="35"/>
      <c r="J3" s="33" t="s">
        <v>1742</v>
      </c>
      <c r="K3" s="34"/>
      <c r="L3" s="34"/>
      <c r="M3" s="34"/>
      <c r="N3" s="35"/>
    </row>
    <row r="4" ht="29.75" spans="2:14">
      <c r="B4" s="36"/>
      <c r="C4" s="11"/>
      <c r="D4" s="11"/>
      <c r="E4" s="11" t="s">
        <v>21</v>
      </c>
      <c r="F4" s="37">
        <f>'06.30, 07.30, &amp; 12.00'!F4</f>
        <v>46252</v>
      </c>
      <c r="G4" s="38">
        <f>F4-1</f>
        <v>46251</v>
      </c>
      <c r="H4" s="38">
        <f>G4-1</f>
        <v>46250</v>
      </c>
      <c r="I4" s="11" t="s">
        <v>1728</v>
      </c>
      <c r="J4" s="11" t="s">
        <v>23</v>
      </c>
      <c r="K4" s="37">
        <f>F4</f>
        <v>46252</v>
      </c>
      <c r="L4" s="38">
        <f>K4-1</f>
        <v>46251</v>
      </c>
      <c r="M4" s="38">
        <f>L4-1</f>
        <v>46250</v>
      </c>
      <c r="N4" s="11" t="s">
        <v>1728</v>
      </c>
    </row>
    <row r="5" ht="15.25" spans="2:14">
      <c r="B5" s="39" t="s">
        <v>1729</v>
      </c>
      <c r="C5" s="40" t="s">
        <v>1730</v>
      </c>
      <c r="D5" s="40" t="s">
        <v>100</v>
      </c>
      <c r="E5" s="41">
        <v>0.99</v>
      </c>
      <c r="F5" s="42">
        <v>0.989367783239968</v>
      </c>
      <c r="G5" s="42">
        <v>0.989237929028505</v>
      </c>
      <c r="H5" s="42">
        <v>0.991550516357334</v>
      </c>
      <c r="I5" s="42">
        <v>0.989330968200372</v>
      </c>
      <c r="J5" s="43">
        <v>0.105261498981944</v>
      </c>
      <c r="K5" s="44">
        <v>0.0856353591160221</v>
      </c>
      <c r="L5" s="44">
        <v>0.0714285714285714</v>
      </c>
      <c r="M5" s="44">
        <v>0.0578923563998191</v>
      </c>
      <c r="N5" s="44">
        <v>0.0751320784771816</v>
      </c>
    </row>
    <row r="6" ht="15.25" spans="2:14">
      <c r="B6" s="45"/>
      <c r="C6" s="40" t="s">
        <v>212</v>
      </c>
      <c r="D6" s="40" t="s">
        <v>211</v>
      </c>
      <c r="E6" s="41">
        <v>0.99</v>
      </c>
      <c r="F6" s="42">
        <v>0.955328115593016</v>
      </c>
      <c r="G6" s="42">
        <v>0.992340253981052</v>
      </c>
      <c r="H6" s="42">
        <v>0.990561351217089</v>
      </c>
      <c r="I6" s="42">
        <v>0.992233554786189</v>
      </c>
      <c r="J6" s="43">
        <v>0.0719793575775068</v>
      </c>
      <c r="K6" s="44">
        <v>0.0722521137586472</v>
      </c>
      <c r="L6" s="44">
        <v>0.0425155004428698</v>
      </c>
      <c r="M6" s="44">
        <v>0.037893384714194</v>
      </c>
      <c r="N6" s="44">
        <v>0.0584172093941188</v>
      </c>
    </row>
    <row r="7" ht="15.25" spans="2:14">
      <c r="B7" s="45"/>
      <c r="C7" s="40" t="s">
        <v>279</v>
      </c>
      <c r="D7" s="40" t="s">
        <v>261</v>
      </c>
      <c r="E7" s="41">
        <v>0.99</v>
      </c>
      <c r="F7" s="42">
        <v>0.991556806399052</v>
      </c>
      <c r="G7" s="42">
        <v>0.993731193580742</v>
      </c>
      <c r="H7" s="42">
        <v>0.994490358126722</v>
      </c>
      <c r="I7" s="42">
        <v>0.994274095540806</v>
      </c>
      <c r="J7" s="43">
        <v>0.0922287257019438</v>
      </c>
      <c r="K7" s="44">
        <v>0.16005291005291</v>
      </c>
      <c r="L7" s="44">
        <v>0.101666666666667</v>
      </c>
      <c r="M7" s="44">
        <v>0.0534188034188034</v>
      </c>
      <c r="N7" s="44">
        <v>0.082508430327423</v>
      </c>
    </row>
    <row r="8" ht="15.25" spans="2:14">
      <c r="B8" s="46"/>
      <c r="C8" s="40" t="s">
        <v>1731</v>
      </c>
      <c r="D8" s="40" t="s">
        <v>351</v>
      </c>
      <c r="E8" s="41">
        <v>0.99</v>
      </c>
      <c r="F8" s="42">
        <v>0.980870712401055</v>
      </c>
      <c r="G8" s="42">
        <v>0.994587280108254</v>
      </c>
      <c r="H8" s="42">
        <v>0.987794955248169</v>
      </c>
      <c r="I8" s="42">
        <v>0.9933595755605</v>
      </c>
      <c r="J8" s="43">
        <v>0.0739852556983447</v>
      </c>
      <c r="K8" s="44">
        <v>0.0711206896551724</v>
      </c>
      <c r="L8" s="44">
        <v>0.0743405275779376</v>
      </c>
      <c r="M8" s="44">
        <v>0.0324324324324324</v>
      </c>
      <c r="N8" s="44">
        <v>0.047654161673887</v>
      </c>
    </row>
    <row r="9" ht="15.25" spans="2:14">
      <c r="B9" s="45"/>
      <c r="C9" s="40" t="s">
        <v>1732</v>
      </c>
      <c r="D9" s="40" t="s">
        <v>376</v>
      </c>
      <c r="E9" s="41">
        <v>0.99</v>
      </c>
      <c r="F9" s="42">
        <v>0.993170358077488</v>
      </c>
      <c r="G9" s="42">
        <v>0.996628922119457</v>
      </c>
      <c r="H9" s="42">
        <v>0.995351978388686</v>
      </c>
      <c r="I9" s="42">
        <v>0.994940623720339</v>
      </c>
      <c r="J9" s="43">
        <v>0.05</v>
      </c>
      <c r="K9" s="44">
        <v>0.0509116741652853</v>
      </c>
      <c r="L9" s="44">
        <v>0.0453492624649518</v>
      </c>
      <c r="M9" s="44">
        <v>0.0327868852459016</v>
      </c>
      <c r="N9" s="44">
        <v>0.0427012157245541</v>
      </c>
    </row>
    <row r="10" ht="15.25" spans="2:14">
      <c r="B10" s="45"/>
      <c r="C10" s="40" t="s">
        <v>836</v>
      </c>
      <c r="D10" s="40" t="s">
        <v>669</v>
      </c>
      <c r="E10" s="41">
        <v>0.99</v>
      </c>
      <c r="F10" s="42">
        <v>0.987857296367935</v>
      </c>
      <c r="G10" s="42">
        <v>0.992368610511159</v>
      </c>
      <c r="H10" s="42">
        <v>0.990327467661112</v>
      </c>
      <c r="I10" s="42">
        <v>0.988946360153257</v>
      </c>
      <c r="J10" s="43">
        <v>0.0810595228934205</v>
      </c>
      <c r="K10" s="44">
        <v>0.057403008709422</v>
      </c>
      <c r="L10" s="44">
        <v>0.046712288009521</v>
      </c>
      <c r="M10" s="44">
        <v>0.0372354674524511</v>
      </c>
      <c r="N10" s="44">
        <v>0.0417300921014192</v>
      </c>
    </row>
    <row r="11" ht="15.25" spans="2:14">
      <c r="B11" s="45"/>
      <c r="C11" s="40" t="s">
        <v>963</v>
      </c>
      <c r="D11" s="40" t="s">
        <v>928</v>
      </c>
      <c r="E11" s="41">
        <v>0.99</v>
      </c>
      <c r="F11" s="42">
        <v>0.980937251787133</v>
      </c>
      <c r="G11" s="42">
        <v>0.9923273657289</v>
      </c>
      <c r="H11" s="42">
        <v>0.992923010937165</v>
      </c>
      <c r="I11" s="42">
        <v>0.991481871068845</v>
      </c>
      <c r="J11" s="43">
        <v>0.0656418488929858</v>
      </c>
      <c r="K11" s="44">
        <v>0.0543478260869565</v>
      </c>
      <c r="L11" s="44">
        <v>0.0440494590417311</v>
      </c>
      <c r="M11" s="44">
        <v>0.0386528893991581</v>
      </c>
      <c r="N11" s="44">
        <v>0.043829347180356</v>
      </c>
    </row>
    <row r="12" ht="15.25" spans="2:14">
      <c r="B12" s="45"/>
      <c r="C12" s="40" t="s">
        <v>1733</v>
      </c>
      <c r="D12" s="40" t="s">
        <v>1086</v>
      </c>
      <c r="E12" s="41">
        <v>0.99</v>
      </c>
      <c r="F12" s="42">
        <v>0.989294210943696</v>
      </c>
      <c r="G12" s="42">
        <v>0.993471494724057</v>
      </c>
      <c r="H12" s="42">
        <v>0.993187475435609</v>
      </c>
      <c r="I12" s="42">
        <v>0.99281771243262</v>
      </c>
      <c r="J12" s="43">
        <v>0.0721861525408278</v>
      </c>
      <c r="K12" s="44">
        <v>0.0364077669902913</v>
      </c>
      <c r="L12" s="44">
        <v>0.0353895649741223</v>
      </c>
      <c r="M12" s="44">
        <v>0.0349708576186511</v>
      </c>
      <c r="N12" s="44">
        <v>0.0364312012426945</v>
      </c>
    </row>
    <row r="13" ht="15.25" spans="2:14">
      <c r="B13" s="45"/>
      <c r="C13" s="40" t="s">
        <v>1734</v>
      </c>
      <c r="D13" s="40" t="s">
        <v>1456</v>
      </c>
      <c r="E13" s="41">
        <v>0.99</v>
      </c>
      <c r="F13" s="42">
        <v>0.988818199344515</v>
      </c>
      <c r="G13" s="42">
        <v>0.989830508474576</v>
      </c>
      <c r="H13" s="42">
        <v>0.98731884057971</v>
      </c>
      <c r="I13" s="42">
        <v>0.988298905926583</v>
      </c>
      <c r="J13" s="43">
        <v>0.110069253262963</v>
      </c>
      <c r="K13" s="44">
        <v>0.131233595800525</v>
      </c>
      <c r="L13" s="44">
        <v>0.10221465076661</v>
      </c>
      <c r="M13" s="44">
        <v>0.0850379223167088</v>
      </c>
      <c r="N13" s="44">
        <v>0.0961018543882424</v>
      </c>
    </row>
    <row r="14" ht="15.25" spans="2:14">
      <c r="B14" s="45"/>
      <c r="C14" s="40" t="s">
        <v>1735</v>
      </c>
      <c r="D14" s="40" t="s">
        <v>26</v>
      </c>
      <c r="E14" s="41">
        <v>0.99</v>
      </c>
      <c r="F14" s="42">
        <v>0.987757600489696</v>
      </c>
      <c r="G14" s="42">
        <v>0.98375054896794</v>
      </c>
      <c r="H14" s="42">
        <v>0.992296852982621</v>
      </c>
      <c r="I14" s="42">
        <v>0.991163109828231</v>
      </c>
      <c r="J14" s="43">
        <v>0.0872182100128262</v>
      </c>
      <c r="K14" s="44">
        <v>0.0734545454545455</v>
      </c>
      <c r="L14" s="44">
        <v>0.0661252900232019</v>
      </c>
      <c r="M14" s="44">
        <v>0.0480955455132343</v>
      </c>
      <c r="N14" s="44">
        <v>0.0579906281190263</v>
      </c>
    </row>
    <row r="15" ht="15.25" spans="2:14">
      <c r="B15" s="47" t="s">
        <v>1716</v>
      </c>
      <c r="C15" s="48"/>
      <c r="D15" s="49"/>
      <c r="E15" s="50" t="s">
        <v>35</v>
      </c>
      <c r="F15" s="51">
        <v>0.987222099630386</v>
      </c>
      <c r="G15" s="51">
        <v>0.992383731971334</v>
      </c>
      <c r="H15" s="51">
        <v>0.992849764923778</v>
      </c>
      <c r="I15" s="51">
        <v>0.992125152294177</v>
      </c>
      <c r="J15" s="52" t="s">
        <v>35</v>
      </c>
      <c r="K15" s="51">
        <v>0.067401166558652</v>
      </c>
      <c r="L15" s="51">
        <v>0.0556812897225236</v>
      </c>
      <c r="M15" s="51">
        <v>0.0440310938367574</v>
      </c>
      <c r="N15" s="53">
        <v>0.053904484760112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70"/>
  <sheetViews>
    <sheetView workbookViewId="0">
      <selection activeCell="I15" sqref="I15"/>
    </sheetView>
  </sheetViews>
  <sheetFormatPr defaultColWidth="9" defaultRowHeight="14.5" outlineLevelCol="6"/>
  <cols>
    <col min="2" max="2" width="24.4454545454545" customWidth="1"/>
    <col min="3" max="3" width="18.5545454545455" customWidth="1"/>
    <col min="4" max="4" width="26.4454545454545" customWidth="1"/>
    <col min="5" max="5" width="19.5545454545455" customWidth="1"/>
    <col min="6" max="6" width="44.7818181818182" customWidth="1"/>
    <col min="7" max="7" width="23" customWidth="1"/>
  </cols>
  <sheetData>
    <row r="1" ht="15.25"/>
    <row r="2" spans="2:7">
      <c r="B2" s="1" t="s">
        <v>5</v>
      </c>
      <c r="C2" s="2" t="s">
        <v>7</v>
      </c>
      <c r="D2" s="3" t="s">
        <v>8</v>
      </c>
      <c r="E2" s="4" t="s">
        <v>1743</v>
      </c>
      <c r="F2" s="5" t="s">
        <v>1744</v>
      </c>
      <c r="G2" s="6"/>
    </row>
    <row r="3" spans="2:7">
      <c r="B3" s="7"/>
      <c r="C3" s="8"/>
      <c r="D3" s="9"/>
      <c r="E3" s="10"/>
      <c r="F3" s="10"/>
      <c r="G3" s="6"/>
    </row>
    <row r="4" ht="15.25" spans="2:7">
      <c r="B4" s="7"/>
      <c r="C4" s="11"/>
      <c r="D4" s="9"/>
      <c r="E4" s="10"/>
      <c r="F4" s="10"/>
      <c r="G4" s="6"/>
    </row>
    <row r="5" spans="2:7">
      <c r="B5" s="12" t="s">
        <v>24</v>
      </c>
      <c r="C5" s="13" t="s">
        <v>26</v>
      </c>
      <c r="D5" s="14" t="s">
        <v>27</v>
      </c>
      <c r="E5" s="15" t="s">
        <v>1745</v>
      </c>
      <c r="F5" s="16" t="str">
        <f>_xlfn.XLOOKUP(D5,[2]DP!$F:$F,[2]DP!$E:$E,"-")</f>
        <v>APRI NUR YUSUP</v>
      </c>
      <c r="G5" s="17"/>
    </row>
    <row r="6" spans="2:7">
      <c r="B6" s="18" t="s">
        <v>24</v>
      </c>
      <c r="C6" s="16" t="s">
        <v>26</v>
      </c>
      <c r="D6" s="19" t="s">
        <v>28</v>
      </c>
      <c r="E6" s="20" t="s">
        <v>1745</v>
      </c>
      <c r="F6" s="16" t="str">
        <f>_xlfn.XLOOKUP(D6,[2]DP!$F:$F,[2]DP!$E:$E,"-")</f>
        <v>RIZKY ADITYAWARMAN</v>
      </c>
      <c r="G6" s="21"/>
    </row>
    <row r="7" spans="2:7">
      <c r="B7" s="18" t="s">
        <v>24</v>
      </c>
      <c r="C7" s="16" t="s">
        <v>26</v>
      </c>
      <c r="D7" s="19" t="s">
        <v>29</v>
      </c>
      <c r="E7" s="20" t="s">
        <v>1722</v>
      </c>
      <c r="F7" s="16" t="str">
        <f>_xlfn.XLOOKUP(D7,[2]DP!$F:$F,[2]DP!$E:$E,"-")</f>
        <v>RUBBY ROCHMAN</v>
      </c>
      <c r="G7" s="21"/>
    </row>
    <row r="8" spans="2:7">
      <c r="B8" s="18" t="s">
        <v>24</v>
      </c>
      <c r="C8" s="16" t="s">
        <v>26</v>
      </c>
      <c r="D8" s="19" t="s">
        <v>30</v>
      </c>
      <c r="E8" s="20" t="s">
        <v>1722</v>
      </c>
      <c r="F8" s="16" t="str">
        <f>_xlfn.XLOOKUP(D8,[2]DP!$F:$F,[2]DP!$E:$E,"-")</f>
        <v>ARDY KRISNANTO</v>
      </c>
      <c r="G8" s="21"/>
    </row>
    <row r="9" spans="2:7">
      <c r="B9" s="18" t="s">
        <v>24</v>
      </c>
      <c r="C9" s="16" t="s">
        <v>26</v>
      </c>
      <c r="D9" s="19" t="s">
        <v>31</v>
      </c>
      <c r="E9" s="20" t="s">
        <v>1745</v>
      </c>
      <c r="F9" s="16" t="str">
        <f>_xlfn.XLOOKUP(D9,[2]DP!$F:$F,[2]DP!$E:$E,"-")</f>
        <v>RUBBY ROCHMAN</v>
      </c>
      <c r="G9" s="21"/>
    </row>
    <row r="10" spans="2:7">
      <c r="B10" s="18" t="s">
        <v>24</v>
      </c>
      <c r="C10" s="16" t="s">
        <v>26</v>
      </c>
      <c r="D10" s="19" t="s">
        <v>32</v>
      </c>
      <c r="E10" s="20" t="s">
        <v>1745</v>
      </c>
      <c r="F10" s="16" t="str">
        <f>_xlfn.XLOOKUP(D10,[2]DP!$F:$F,[2]DP!$E:$E,"-")</f>
        <v>HENLY KURNIAWAN</v>
      </c>
      <c r="G10" s="21"/>
    </row>
    <row r="11" spans="2:7">
      <c r="B11" s="18" t="s">
        <v>24</v>
      </c>
      <c r="C11" s="16" t="s">
        <v>26</v>
      </c>
      <c r="D11" s="19" t="s">
        <v>33</v>
      </c>
      <c r="E11" s="20" t="s">
        <v>1745</v>
      </c>
      <c r="F11" s="16" t="str">
        <f>_xlfn.XLOOKUP(D11,[2]DP!$F:$F,[2]DP!$E:$E,"-")</f>
        <v>RIZKY ADITYAWARMAN</v>
      </c>
      <c r="G11" s="21"/>
    </row>
    <row r="12" spans="2:7">
      <c r="B12" s="18" t="s">
        <v>24</v>
      </c>
      <c r="C12" s="16" t="s">
        <v>26</v>
      </c>
      <c r="D12" s="19" t="s">
        <v>34</v>
      </c>
      <c r="E12" s="20" t="s">
        <v>1722</v>
      </c>
      <c r="F12" s="16" t="str">
        <f>_xlfn.XLOOKUP(D12,[2]DP!$F:$F,[2]DP!$E:$E,"-")</f>
        <v>RUBBY ROCHMAN</v>
      </c>
      <c r="G12" s="21"/>
    </row>
    <row r="13" spans="2:7">
      <c r="B13" s="18" t="s">
        <v>24</v>
      </c>
      <c r="C13" s="16" t="s">
        <v>26</v>
      </c>
      <c r="D13" s="19" t="s">
        <v>36</v>
      </c>
      <c r="E13" s="20" t="s">
        <v>1722</v>
      </c>
      <c r="F13" s="16" t="str">
        <f>_xlfn.XLOOKUP(D13,[2]DP!$F:$F,[2]DP!$E:$E,"-")</f>
        <v>ALFIN WARDANA</v>
      </c>
      <c r="G13" s="21"/>
    </row>
    <row r="14" spans="2:7">
      <c r="B14" s="18" t="s">
        <v>24</v>
      </c>
      <c r="C14" s="16" t="s">
        <v>26</v>
      </c>
      <c r="D14" s="19" t="s">
        <v>37</v>
      </c>
      <c r="E14" s="20" t="s">
        <v>1722</v>
      </c>
      <c r="F14" s="16" t="str">
        <f>_xlfn.XLOOKUP(D14,[2]DP!$F:$F,[2]DP!$E:$E,"-")</f>
        <v>EKA PRATAMA BAHARA</v>
      </c>
      <c r="G14" s="21"/>
    </row>
    <row r="15" spans="2:7">
      <c r="B15" s="18" t="s">
        <v>24</v>
      </c>
      <c r="C15" s="16" t="s">
        <v>26</v>
      </c>
      <c r="D15" s="19" t="s">
        <v>38</v>
      </c>
      <c r="E15" s="20" t="s">
        <v>1745</v>
      </c>
      <c r="F15" s="16" t="str">
        <f>_xlfn.XLOOKUP(D15,[2]DP!$F:$F,[2]DP!$E:$E,"-")</f>
        <v>RENGGA SAPUTRA</v>
      </c>
      <c r="G15" s="21"/>
    </row>
    <row r="16" spans="2:7">
      <c r="B16" s="18" t="s">
        <v>24</v>
      </c>
      <c r="C16" s="16" t="s">
        <v>26</v>
      </c>
      <c r="D16" s="19" t="s">
        <v>39</v>
      </c>
      <c r="E16" s="20" t="s">
        <v>1722</v>
      </c>
      <c r="F16" s="16" t="str">
        <f>_xlfn.XLOOKUP(D16,[2]DP!$F:$F,[2]DP!$E:$E,"-")</f>
        <v>PAZRI FIRDAUS</v>
      </c>
      <c r="G16" s="21"/>
    </row>
    <row r="17" spans="2:7">
      <c r="B17" s="18" t="s">
        <v>24</v>
      </c>
      <c r="C17" s="16" t="s">
        <v>26</v>
      </c>
      <c r="D17" s="19" t="s">
        <v>40</v>
      </c>
      <c r="E17" s="20" t="s">
        <v>1745</v>
      </c>
      <c r="F17" s="16" t="str">
        <f>_xlfn.XLOOKUP(D17,[2]DP!$F:$F,[2]DP!$E:$E,"-")</f>
        <v>RENGGA SAPUTRA</v>
      </c>
      <c r="G17" s="21"/>
    </row>
    <row r="18" spans="2:7">
      <c r="B18" s="18" t="s">
        <v>24</v>
      </c>
      <c r="C18" s="16" t="s">
        <v>26</v>
      </c>
      <c r="D18" s="19" t="s">
        <v>41</v>
      </c>
      <c r="E18" s="20" t="s">
        <v>1745</v>
      </c>
      <c r="F18" s="16" t="str">
        <f>_xlfn.XLOOKUP(D18,[2]DP!$F:$F,[2]DP!$E:$E,"-")</f>
        <v>RENGGA SAPUTRA</v>
      </c>
      <c r="G18" s="21"/>
    </row>
    <row r="19" spans="2:7">
      <c r="B19" s="18" t="s">
        <v>24</v>
      </c>
      <c r="C19" s="16" t="s">
        <v>26</v>
      </c>
      <c r="D19" s="19" t="s">
        <v>42</v>
      </c>
      <c r="E19" s="20" t="s">
        <v>1745</v>
      </c>
      <c r="F19" s="16" t="str">
        <f>_xlfn.XLOOKUP(D19,[2]DP!$F:$F,[2]DP!$E:$E,"-")</f>
        <v>NUGROHO HARI KUNCAHYO</v>
      </c>
      <c r="G19" s="21"/>
    </row>
    <row r="20" spans="2:7">
      <c r="B20" s="18" t="s">
        <v>24</v>
      </c>
      <c r="C20" s="16" t="s">
        <v>26</v>
      </c>
      <c r="D20" s="19" t="s">
        <v>43</v>
      </c>
      <c r="E20" s="20" t="s">
        <v>1722</v>
      </c>
      <c r="F20" s="16" t="str">
        <f>_xlfn.XLOOKUP(D20,[2]DP!$F:$F,[2]DP!$E:$E,"-")</f>
        <v>AHMAD KAMAL</v>
      </c>
      <c r="G20" s="21"/>
    </row>
    <row r="21" spans="2:7">
      <c r="B21" s="18" t="s">
        <v>24</v>
      </c>
      <c r="C21" s="16" t="s">
        <v>26</v>
      </c>
      <c r="D21" s="19" t="s">
        <v>44</v>
      </c>
      <c r="E21" s="20" t="s">
        <v>1745</v>
      </c>
      <c r="F21" s="16" t="str">
        <f>_xlfn.XLOOKUP(D21,[2]DP!$F:$F,[2]DP!$E:$E,"-")</f>
        <v>QORI SEKENAWAN OSADI</v>
      </c>
      <c r="G21" s="21"/>
    </row>
    <row r="22" spans="2:7">
      <c r="B22" s="18" t="s">
        <v>24</v>
      </c>
      <c r="C22" s="16" t="s">
        <v>26</v>
      </c>
      <c r="D22" s="19" t="s">
        <v>45</v>
      </c>
      <c r="E22" s="20" t="s">
        <v>1722</v>
      </c>
      <c r="F22" s="16" t="str">
        <f>_xlfn.XLOOKUP(D22,[2]DP!$F:$F,[2]DP!$E:$E,"-")</f>
        <v>RIO PERMANNA WIJAYA</v>
      </c>
      <c r="G22" s="21"/>
    </row>
    <row r="23" spans="2:7">
      <c r="B23" s="18" t="s">
        <v>24</v>
      </c>
      <c r="C23" s="16" t="s">
        <v>26</v>
      </c>
      <c r="D23" s="19" t="s">
        <v>46</v>
      </c>
      <c r="E23" s="20" t="s">
        <v>1722</v>
      </c>
      <c r="F23" s="16" t="str">
        <f>_xlfn.XLOOKUP(D23,[2]DP!$F:$F,[2]DP!$E:$E,"-")</f>
        <v>PAMUJI RYAN ANDRIANTO</v>
      </c>
      <c r="G23" s="21"/>
    </row>
    <row r="24" spans="2:7">
      <c r="B24" s="18" t="s">
        <v>24</v>
      </c>
      <c r="C24" s="16" t="s">
        <v>26</v>
      </c>
      <c r="D24" s="19" t="s">
        <v>47</v>
      </c>
      <c r="E24" s="20" t="s">
        <v>1745</v>
      </c>
      <c r="F24" s="16" t="str">
        <f>_xlfn.XLOOKUP(D24,[2]DP!$F:$F,[2]DP!$E:$E,"-")</f>
        <v>ARDY SASMOYO</v>
      </c>
      <c r="G24" s="21"/>
    </row>
    <row r="25" spans="2:7">
      <c r="B25" s="18" t="s">
        <v>24</v>
      </c>
      <c r="C25" s="16" t="s">
        <v>26</v>
      </c>
      <c r="D25" s="19" t="s">
        <v>48</v>
      </c>
      <c r="E25" s="20" t="s">
        <v>1745</v>
      </c>
      <c r="F25" s="16" t="str">
        <f>_xlfn.XLOOKUP(D25,[2]DP!$F:$F,[2]DP!$E:$E,"-")</f>
        <v>HENDRI ADITYA</v>
      </c>
      <c r="G25" s="21"/>
    </row>
    <row r="26" spans="2:7">
      <c r="B26" s="18" t="s">
        <v>24</v>
      </c>
      <c r="C26" s="16" t="s">
        <v>26</v>
      </c>
      <c r="D26" s="19" t="s">
        <v>49</v>
      </c>
      <c r="E26" s="20" t="s">
        <v>1722</v>
      </c>
      <c r="F26" s="16" t="str">
        <f>_xlfn.XLOOKUP(D26,[2]DP!$F:$F,[2]DP!$E:$E,"-")</f>
        <v>YODY EVANDER LODEWIJK N.</v>
      </c>
      <c r="G26" s="21"/>
    </row>
    <row r="27" spans="2:7">
      <c r="B27" s="18" t="s">
        <v>24</v>
      </c>
      <c r="C27" s="16" t="s">
        <v>26</v>
      </c>
      <c r="D27" s="19" t="s">
        <v>50</v>
      </c>
      <c r="E27" s="20" t="s">
        <v>1722</v>
      </c>
      <c r="F27" s="16" t="str">
        <f>_xlfn.XLOOKUP(D27,[2]DP!$F:$F,[2]DP!$E:$E,"-")</f>
        <v>HUSEIN AL IDRUS ANHAR</v>
      </c>
      <c r="G27" s="21"/>
    </row>
    <row r="28" spans="2:7">
      <c r="B28" s="18" t="s">
        <v>24</v>
      </c>
      <c r="C28" s="16" t="s">
        <v>26</v>
      </c>
      <c r="D28" s="19" t="s">
        <v>51</v>
      </c>
      <c r="E28" s="20" t="s">
        <v>1722</v>
      </c>
      <c r="F28" s="16" t="str">
        <f>_xlfn.XLOOKUP(D28,[2]DP!$F:$F,[2]DP!$E:$E,"-")</f>
        <v>NOVENDRA ALDI MUHAMMAD</v>
      </c>
      <c r="G28" s="21"/>
    </row>
    <row r="29" spans="2:7">
      <c r="B29" s="18" t="s">
        <v>24</v>
      </c>
      <c r="C29" s="16" t="s">
        <v>26</v>
      </c>
      <c r="D29" s="19" t="s">
        <v>52</v>
      </c>
      <c r="E29" s="20" t="s">
        <v>1745</v>
      </c>
      <c r="F29" s="16" t="str">
        <f>_xlfn.XLOOKUP(D29,[2]DP!$F:$F,[2]DP!$E:$E,"-")</f>
        <v>YODY EVANDER LODEWIJK N.</v>
      </c>
      <c r="G29" s="21"/>
    </row>
    <row r="30" spans="2:7">
      <c r="B30" s="18" t="s">
        <v>24</v>
      </c>
      <c r="C30" s="16" t="s">
        <v>26</v>
      </c>
      <c r="D30" s="19" t="s">
        <v>53</v>
      </c>
      <c r="E30" s="20" t="s">
        <v>1722</v>
      </c>
      <c r="F30" s="16" t="str">
        <f>_xlfn.XLOOKUP(D30,[2]DP!$F:$F,[2]DP!$E:$E,"-")</f>
        <v>MUHAMAD FAISAL</v>
      </c>
      <c r="G30" s="21"/>
    </row>
    <row r="31" spans="2:7">
      <c r="B31" s="18" t="s">
        <v>24</v>
      </c>
      <c r="C31" s="16" t="s">
        <v>26</v>
      </c>
      <c r="D31" s="19" t="s">
        <v>54</v>
      </c>
      <c r="E31" s="20" t="s">
        <v>1745</v>
      </c>
      <c r="F31" s="16" t="str">
        <f>_xlfn.XLOOKUP(D31,[2]DP!$F:$F,[2]DP!$E:$E,"-")</f>
        <v>ROYMAN</v>
      </c>
      <c r="G31" s="21"/>
    </row>
    <row r="32" spans="2:7">
      <c r="B32" s="18" t="s">
        <v>24</v>
      </c>
      <c r="C32" s="16" t="s">
        <v>26</v>
      </c>
      <c r="D32" s="19" t="s">
        <v>55</v>
      </c>
      <c r="E32" s="20" t="s">
        <v>1722</v>
      </c>
      <c r="F32" s="16" t="str">
        <f>_xlfn.XLOOKUP(D32,[2]DP!$F:$F,[2]DP!$E:$E,"-")</f>
        <v>MAHMUD H</v>
      </c>
      <c r="G32" s="21"/>
    </row>
    <row r="33" spans="2:7">
      <c r="B33" s="18" t="s">
        <v>24</v>
      </c>
      <c r="C33" s="16" t="s">
        <v>26</v>
      </c>
      <c r="D33" s="19" t="s">
        <v>56</v>
      </c>
      <c r="E33" s="20" t="s">
        <v>1722</v>
      </c>
      <c r="F33" s="16" t="str">
        <f>_xlfn.XLOOKUP(D33,[2]DP!$F:$F,[2]DP!$E:$E,"-")</f>
        <v>ARMAN SURYADI</v>
      </c>
      <c r="G33" s="21"/>
    </row>
    <row r="34" spans="2:7">
      <c r="B34" s="18" t="s">
        <v>24</v>
      </c>
      <c r="C34" s="16" t="s">
        <v>26</v>
      </c>
      <c r="D34" s="19" t="s">
        <v>57</v>
      </c>
      <c r="E34" s="20" t="s">
        <v>1722</v>
      </c>
      <c r="F34" s="16" t="str">
        <f>_xlfn.XLOOKUP(D34,[2]DP!$F:$F,[2]DP!$E:$E,"-")</f>
        <v>TADIN SAPUTRA</v>
      </c>
      <c r="G34" s="21"/>
    </row>
    <row r="35" spans="2:7">
      <c r="B35" s="18" t="s">
        <v>24</v>
      </c>
      <c r="C35" s="16" t="s">
        <v>26</v>
      </c>
      <c r="D35" s="19" t="s">
        <v>58</v>
      </c>
      <c r="E35" s="20" t="s">
        <v>1722</v>
      </c>
      <c r="F35" s="16" t="str">
        <f>_xlfn.XLOOKUP(D35,[2]DP!$F:$F,[2]DP!$E:$E,"-")</f>
        <v>SATRIO KESIT WICAKSONO</v>
      </c>
      <c r="G35" s="21"/>
    </row>
    <row r="36" spans="2:7">
      <c r="B36" s="18" t="s">
        <v>24</v>
      </c>
      <c r="C36" s="16" t="s">
        <v>26</v>
      </c>
      <c r="D36" s="19" t="s">
        <v>59</v>
      </c>
      <c r="E36" s="20" t="s">
        <v>1745</v>
      </c>
      <c r="F36" s="16" t="str">
        <f>_xlfn.XLOOKUP(D36,[2]DP!$F:$F,[2]DP!$E:$E,"-")</f>
        <v>MUHAMMAD IQBAL</v>
      </c>
      <c r="G36" s="21"/>
    </row>
    <row r="37" spans="2:7">
      <c r="B37" s="18" t="s">
        <v>24</v>
      </c>
      <c r="C37" s="16" t="s">
        <v>26</v>
      </c>
      <c r="D37" s="19" t="s">
        <v>60</v>
      </c>
      <c r="E37" s="20" t="s">
        <v>1722</v>
      </c>
      <c r="F37" s="16" t="str">
        <f>_xlfn.XLOOKUP(D37,[2]DP!$F:$F,[2]DP!$E:$E,"-")</f>
        <v>PAZRIN HIDAYAT</v>
      </c>
      <c r="G37" s="21"/>
    </row>
    <row r="38" spans="2:7">
      <c r="B38" s="18" t="s">
        <v>24</v>
      </c>
      <c r="C38" s="16" t="s">
        <v>26</v>
      </c>
      <c r="D38" s="19" t="s">
        <v>61</v>
      </c>
      <c r="E38" s="20" t="s">
        <v>1722</v>
      </c>
      <c r="F38" s="16" t="str">
        <f>_xlfn.XLOOKUP(D38,[2]DP!$F:$F,[2]DP!$E:$E,"-")</f>
        <v>LILIS INDRA WATI</v>
      </c>
      <c r="G38" s="21"/>
    </row>
    <row r="39" spans="2:7">
      <c r="B39" s="18" t="s">
        <v>24</v>
      </c>
      <c r="C39" s="16" t="s">
        <v>26</v>
      </c>
      <c r="D39" s="19" t="s">
        <v>62</v>
      </c>
      <c r="E39" s="20" t="s">
        <v>1722</v>
      </c>
      <c r="F39" s="16" t="str">
        <f>_xlfn.XLOOKUP(D39,[2]DP!$F:$F,[2]DP!$E:$E,"-")</f>
        <v>FIRMAN SYAHPUTRA</v>
      </c>
      <c r="G39" s="21"/>
    </row>
    <row r="40" spans="2:7">
      <c r="B40" s="18" t="s">
        <v>24</v>
      </c>
      <c r="C40" s="16" t="s">
        <v>26</v>
      </c>
      <c r="D40" s="19" t="s">
        <v>63</v>
      </c>
      <c r="E40" s="20" t="s">
        <v>1722</v>
      </c>
      <c r="F40" s="16" t="str">
        <f>_xlfn.XLOOKUP(D40,[2]DP!$F:$F,[2]DP!$E:$E,"-")</f>
        <v>RIDWAN ALDIANSYAH</v>
      </c>
      <c r="G40" s="21"/>
    </row>
    <row r="41" spans="2:7">
      <c r="B41" s="18" t="s">
        <v>24</v>
      </c>
      <c r="C41" s="16" t="s">
        <v>26</v>
      </c>
      <c r="D41" s="19" t="s">
        <v>64</v>
      </c>
      <c r="E41" s="20" t="s">
        <v>1745</v>
      </c>
      <c r="F41" s="16" t="str">
        <f>_xlfn.XLOOKUP(D41,[2]DP!$F:$F,[2]DP!$E:$E,"-")</f>
        <v>SAMSU RIJAL</v>
      </c>
      <c r="G41" s="21"/>
    </row>
    <row r="42" spans="2:7">
      <c r="B42" s="18" t="s">
        <v>24</v>
      </c>
      <c r="C42" s="16" t="s">
        <v>26</v>
      </c>
      <c r="D42" s="19" t="s">
        <v>65</v>
      </c>
      <c r="E42" s="20" t="s">
        <v>1745</v>
      </c>
      <c r="F42" s="16" t="str">
        <f>_xlfn.XLOOKUP(D42,[2]DP!$F:$F,[2]DP!$E:$E,"-")</f>
        <v>RAKA FAHRIZKI</v>
      </c>
      <c r="G42" s="21"/>
    </row>
    <row r="43" spans="2:7">
      <c r="B43" s="18" t="s">
        <v>24</v>
      </c>
      <c r="C43" s="16" t="s">
        <v>26</v>
      </c>
      <c r="D43" s="19" t="s">
        <v>66</v>
      </c>
      <c r="E43" s="20" t="s">
        <v>1745</v>
      </c>
      <c r="F43" s="16" t="str">
        <f>_xlfn.XLOOKUP(D43,[2]DP!$F:$F,[2]DP!$E:$E,"-")</f>
        <v>NUR KHUSJANANTO</v>
      </c>
      <c r="G43" s="21"/>
    </row>
    <row r="44" spans="2:7">
      <c r="B44" s="18" t="s">
        <v>24</v>
      </c>
      <c r="C44" s="16" t="s">
        <v>26</v>
      </c>
      <c r="D44" s="19" t="s">
        <v>67</v>
      </c>
      <c r="E44" s="20" t="s">
        <v>1745</v>
      </c>
      <c r="F44" s="16" t="str">
        <f>_xlfn.XLOOKUP(D44,[2]DP!$F:$F,[2]DP!$E:$E,"-")</f>
        <v>LUKMAN NULHAKIM</v>
      </c>
      <c r="G44" s="21"/>
    </row>
    <row r="45" spans="2:7">
      <c r="B45" s="18" t="s">
        <v>24</v>
      </c>
      <c r="C45" s="16" t="s">
        <v>26</v>
      </c>
      <c r="D45" s="19" t="s">
        <v>68</v>
      </c>
      <c r="E45" s="20" t="s">
        <v>1745</v>
      </c>
      <c r="F45" s="16" t="str">
        <f>_xlfn.XLOOKUP(D45,[2]DP!$F:$F,[2]DP!$E:$E,"-")</f>
        <v>SAMSU RIJAL</v>
      </c>
      <c r="G45" s="21"/>
    </row>
    <row r="46" spans="2:7">
      <c r="B46" s="18" t="s">
        <v>24</v>
      </c>
      <c r="C46" s="16" t="s">
        <v>26</v>
      </c>
      <c r="D46" s="19" t="s">
        <v>69</v>
      </c>
      <c r="E46" s="20" t="s">
        <v>1722</v>
      </c>
      <c r="F46" s="16" t="str">
        <f>_xlfn.XLOOKUP(D46,[2]DP!$F:$F,[2]DP!$E:$E,"-")</f>
        <v>MUHAMMAD MUGHNIL LABIB</v>
      </c>
      <c r="G46" s="21"/>
    </row>
    <row r="47" spans="2:7">
      <c r="B47" s="18" t="s">
        <v>24</v>
      </c>
      <c r="C47" s="16" t="s">
        <v>26</v>
      </c>
      <c r="D47" s="19" t="s">
        <v>70</v>
      </c>
      <c r="E47" s="20" t="s">
        <v>1722</v>
      </c>
      <c r="F47" s="16" t="str">
        <f>_xlfn.XLOOKUP(D47,[2]DP!$F:$F,[2]DP!$E:$E,"-")</f>
        <v>RANDI PRIHARTONO</v>
      </c>
      <c r="G47" s="21"/>
    </row>
    <row r="48" spans="2:7">
      <c r="B48" s="18" t="s">
        <v>24</v>
      </c>
      <c r="C48" s="16" t="s">
        <v>26</v>
      </c>
      <c r="D48" s="19" t="s">
        <v>71</v>
      </c>
      <c r="E48" s="20" t="s">
        <v>1722</v>
      </c>
      <c r="F48" s="16" t="str">
        <f>_xlfn.XLOOKUP(D48,[2]DP!$F:$F,[2]DP!$E:$E,"-")</f>
        <v>PRAMU SINTO</v>
      </c>
      <c r="G48" s="21"/>
    </row>
    <row r="49" spans="2:7">
      <c r="B49" s="18" t="s">
        <v>24</v>
      </c>
      <c r="C49" s="16" t="s">
        <v>26</v>
      </c>
      <c r="D49" s="19" t="s">
        <v>72</v>
      </c>
      <c r="E49" s="20" t="s">
        <v>1745</v>
      </c>
      <c r="F49" s="16" t="str">
        <f>_xlfn.XLOOKUP(D49,[2]DP!$F:$F,[2]DP!$E:$E,"-")</f>
        <v>RAFLI FEBRIANSYAH</v>
      </c>
      <c r="G49" s="21"/>
    </row>
    <row r="50" spans="2:7">
      <c r="B50" s="18" t="s">
        <v>24</v>
      </c>
      <c r="C50" s="16" t="s">
        <v>26</v>
      </c>
      <c r="D50" s="19" t="s">
        <v>73</v>
      </c>
      <c r="E50" s="20" t="s">
        <v>1745</v>
      </c>
      <c r="F50" s="16" t="str">
        <f>_xlfn.XLOOKUP(D50,[2]DP!$F:$F,[2]DP!$E:$E,"-")</f>
        <v>DIRA CANA</v>
      </c>
      <c r="G50" s="21"/>
    </row>
    <row r="51" spans="2:7">
      <c r="B51" s="18" t="s">
        <v>24</v>
      </c>
      <c r="C51" s="16" t="s">
        <v>26</v>
      </c>
      <c r="D51" s="19" t="s">
        <v>74</v>
      </c>
      <c r="E51" s="20" t="s">
        <v>1745</v>
      </c>
      <c r="F51" s="16" t="str">
        <f>_xlfn.XLOOKUP(D51,[2]DP!$F:$F,[2]DP!$E:$E,"-")</f>
        <v>DIRA CANA</v>
      </c>
      <c r="G51" s="21"/>
    </row>
    <row r="52" spans="2:7">
      <c r="B52" s="18" t="s">
        <v>24</v>
      </c>
      <c r="C52" s="16" t="s">
        <v>26</v>
      </c>
      <c r="D52" s="19" t="s">
        <v>75</v>
      </c>
      <c r="E52" s="20" t="s">
        <v>1722</v>
      </c>
      <c r="F52" s="16" t="str">
        <f>_xlfn.XLOOKUP(D52,[2]DP!$F:$F,[2]DP!$E:$E,"-")</f>
        <v>NOTO IRAWAN</v>
      </c>
      <c r="G52" s="21"/>
    </row>
    <row r="53" spans="2:7">
      <c r="B53" s="18" t="s">
        <v>24</v>
      </c>
      <c r="C53" s="16" t="s">
        <v>26</v>
      </c>
      <c r="D53" s="19" t="s">
        <v>76</v>
      </c>
      <c r="E53" s="20" t="s">
        <v>1745</v>
      </c>
      <c r="F53" s="16" t="str">
        <f>_xlfn.XLOOKUP(D53,[2]DP!$F:$F,[2]DP!$E:$E,"-")</f>
        <v>RENDI ANDIRA</v>
      </c>
      <c r="G53" s="21"/>
    </row>
    <row r="54" spans="2:7">
      <c r="B54" s="18" t="s">
        <v>24</v>
      </c>
      <c r="C54" s="16" t="s">
        <v>26</v>
      </c>
      <c r="D54" s="19" t="s">
        <v>77</v>
      </c>
      <c r="E54" s="20" t="s">
        <v>1745</v>
      </c>
      <c r="F54" s="16" t="str">
        <f>_xlfn.XLOOKUP(D54,[2]DP!$F:$F,[2]DP!$E:$E,"-")</f>
        <v>RAFLI FEBRIANSYAH</v>
      </c>
      <c r="G54" s="21"/>
    </row>
    <row r="55" spans="2:7">
      <c r="B55" s="18" t="s">
        <v>24</v>
      </c>
      <c r="C55" s="16" t="s">
        <v>26</v>
      </c>
      <c r="D55" s="19" t="s">
        <v>78</v>
      </c>
      <c r="E55" s="20" t="s">
        <v>1722</v>
      </c>
      <c r="F55" s="16" t="str">
        <f>_xlfn.XLOOKUP(D55,[2]DP!$F:$F,[2]DP!$E:$E,"-")</f>
        <v>VINNY LESTARI</v>
      </c>
      <c r="G55" s="21"/>
    </row>
    <row r="56" spans="2:7">
      <c r="B56" s="18" t="s">
        <v>24</v>
      </c>
      <c r="C56" s="16" t="s">
        <v>26</v>
      </c>
      <c r="D56" s="19" t="s">
        <v>79</v>
      </c>
      <c r="E56" s="20" t="s">
        <v>1745</v>
      </c>
      <c r="F56" s="16" t="str">
        <f>_xlfn.XLOOKUP(D56,[2]DP!$F:$F,[2]DP!$E:$E,"-")</f>
        <v>MIRZA NURUL FAJAR AHMAD</v>
      </c>
      <c r="G56" s="21"/>
    </row>
    <row r="57" spans="2:7">
      <c r="B57" s="18" t="s">
        <v>24</v>
      </c>
      <c r="C57" s="16" t="s">
        <v>26</v>
      </c>
      <c r="D57" s="19" t="s">
        <v>80</v>
      </c>
      <c r="E57" s="20" t="s">
        <v>1745</v>
      </c>
      <c r="F57" s="16" t="str">
        <f>_xlfn.XLOOKUP(D57,[2]DP!$F:$F,[2]DP!$E:$E,"-")</f>
        <v>FAJAR NUR MAULANA</v>
      </c>
      <c r="G57" s="21"/>
    </row>
    <row r="58" spans="2:7">
      <c r="B58" s="18" t="s">
        <v>24</v>
      </c>
      <c r="C58" s="16" t="s">
        <v>26</v>
      </c>
      <c r="D58" s="19" t="s">
        <v>82</v>
      </c>
      <c r="E58" s="20" t="s">
        <v>1722</v>
      </c>
      <c r="F58" s="16" t="str">
        <f>_xlfn.XLOOKUP(D58,[2]DP!$F:$F,[2]DP!$E:$E,"-")</f>
        <v>TRI ASMA INDRA SAPUTRA</v>
      </c>
      <c r="G58" s="21"/>
    </row>
    <row r="59" spans="2:7">
      <c r="B59" s="18" t="s">
        <v>24</v>
      </c>
      <c r="C59" s="16" t="s">
        <v>26</v>
      </c>
      <c r="D59" s="19" t="s">
        <v>83</v>
      </c>
      <c r="E59" s="20" t="s">
        <v>1722</v>
      </c>
      <c r="F59" s="16" t="str">
        <f>_xlfn.XLOOKUP(D59,[2]DP!$F:$F,[2]DP!$E:$E,"-")</f>
        <v>DAYU CANDRA ISHAK</v>
      </c>
      <c r="G59" s="21"/>
    </row>
    <row r="60" spans="2:7">
      <c r="B60" s="18" t="s">
        <v>24</v>
      </c>
      <c r="C60" s="16" t="s">
        <v>26</v>
      </c>
      <c r="D60" s="19" t="s">
        <v>84</v>
      </c>
      <c r="E60" s="20" t="s">
        <v>1745</v>
      </c>
      <c r="F60" s="16" t="str">
        <f>_xlfn.XLOOKUP(D60,[2]DP!$F:$F,[2]DP!$E:$E,"-")</f>
        <v>DZULFIQAR SADDAM PRAKOSO</v>
      </c>
      <c r="G60" s="21"/>
    </row>
    <row r="61" spans="2:7">
      <c r="B61" s="18" t="s">
        <v>24</v>
      </c>
      <c r="C61" s="16" t="s">
        <v>26</v>
      </c>
      <c r="D61" s="19" t="s">
        <v>85</v>
      </c>
      <c r="E61" s="20" t="s">
        <v>1722</v>
      </c>
      <c r="F61" s="16" t="str">
        <f>_xlfn.XLOOKUP(D61,[2]DP!$F:$F,[2]DP!$E:$E,"-")</f>
        <v>BRIAN DANIEL</v>
      </c>
      <c r="G61" s="21"/>
    </row>
    <row r="62" spans="2:7">
      <c r="B62" s="18" t="s">
        <v>24</v>
      </c>
      <c r="C62" s="16" t="s">
        <v>26</v>
      </c>
      <c r="D62" s="19" t="s">
        <v>86</v>
      </c>
      <c r="E62" s="20" t="s">
        <v>1745</v>
      </c>
      <c r="F62" s="16" t="str">
        <f>_xlfn.XLOOKUP(D62,[2]DP!$F:$F,[2]DP!$E:$E,"-")</f>
        <v>ANJAR MAULANA</v>
      </c>
      <c r="G62" s="21"/>
    </row>
    <row r="63" spans="2:7">
      <c r="B63" s="18" t="s">
        <v>24</v>
      </c>
      <c r="C63" s="16" t="s">
        <v>26</v>
      </c>
      <c r="D63" s="19" t="s">
        <v>87</v>
      </c>
      <c r="E63" s="20" t="s">
        <v>1745</v>
      </c>
      <c r="F63" s="16" t="str">
        <f>_xlfn.XLOOKUP(D63,[2]DP!$F:$F,[2]DP!$E:$E,"-")</f>
        <v>REZA PRATAMA PUTRA</v>
      </c>
      <c r="G63" s="21"/>
    </row>
    <row r="64" spans="2:7">
      <c r="B64" s="18" t="s">
        <v>24</v>
      </c>
      <c r="C64" s="16" t="s">
        <v>26</v>
      </c>
      <c r="D64" s="19" t="s">
        <v>88</v>
      </c>
      <c r="E64" s="20" t="s">
        <v>1722</v>
      </c>
      <c r="F64" s="16" t="str">
        <f>_xlfn.XLOOKUP(D64,[2]DP!$F:$F,[2]DP!$E:$E,"-")</f>
        <v>SALEH</v>
      </c>
      <c r="G64" s="21"/>
    </row>
    <row r="65" spans="2:7">
      <c r="B65" s="18" t="s">
        <v>24</v>
      </c>
      <c r="C65" s="16" t="s">
        <v>26</v>
      </c>
      <c r="D65" s="19" t="s">
        <v>89</v>
      </c>
      <c r="E65" s="20" t="s">
        <v>1722</v>
      </c>
      <c r="F65" s="16" t="str">
        <f>_xlfn.XLOOKUP(D65,[2]DP!$F:$F,[2]DP!$E:$E,"-")</f>
        <v>IKHSAN ALIF AL MI' ROJ</v>
      </c>
      <c r="G65" s="21"/>
    </row>
    <row r="66" spans="2:7">
      <c r="B66" s="18" t="s">
        <v>24</v>
      </c>
      <c r="C66" s="16" t="s">
        <v>26</v>
      </c>
      <c r="D66" s="19" t="s">
        <v>90</v>
      </c>
      <c r="E66" s="20" t="s">
        <v>1745</v>
      </c>
      <c r="F66" s="16" t="str">
        <f>_xlfn.XLOOKUP(D66,[2]DP!$F:$F,[2]DP!$E:$E,"-")</f>
        <v>MOHAMAD IRVAN</v>
      </c>
      <c r="G66" s="21"/>
    </row>
    <row r="67" spans="2:7">
      <c r="B67" s="18" t="s">
        <v>24</v>
      </c>
      <c r="C67" s="16" t="s">
        <v>26</v>
      </c>
      <c r="D67" s="19" t="s">
        <v>91</v>
      </c>
      <c r="E67" s="20" t="s">
        <v>1745</v>
      </c>
      <c r="F67" s="16" t="str">
        <f>_xlfn.XLOOKUP(D67,[2]DP!$F:$F,[2]DP!$E:$E,"-")</f>
        <v>DWI PUTRO WARDOYO WIDODO</v>
      </c>
      <c r="G67" s="21"/>
    </row>
    <row r="68" spans="2:7">
      <c r="B68" s="18" t="s">
        <v>24</v>
      </c>
      <c r="C68" s="16" t="s">
        <v>26</v>
      </c>
      <c r="D68" s="19" t="s">
        <v>92</v>
      </c>
      <c r="E68" s="20" t="s">
        <v>1745</v>
      </c>
      <c r="F68" s="16" t="str">
        <f>_xlfn.XLOOKUP(D68,[2]DP!$F:$F,[2]DP!$E:$E,"-")</f>
        <v>OPI PAJAR IRAWAN</v>
      </c>
      <c r="G68" s="21"/>
    </row>
    <row r="69" spans="2:7">
      <c r="B69" s="18" t="s">
        <v>24</v>
      </c>
      <c r="C69" s="16" t="s">
        <v>26</v>
      </c>
      <c r="D69" s="19" t="s">
        <v>93</v>
      </c>
      <c r="E69" s="20" t="s">
        <v>1745</v>
      </c>
      <c r="F69" s="16" t="str">
        <f>_xlfn.XLOOKUP(D69,[2]DP!$F:$F,[2]DP!$E:$E,"-")</f>
        <v>KUAT PRAYITNO</v>
      </c>
      <c r="G69" s="21"/>
    </row>
    <row r="70" spans="2:7">
      <c r="B70" s="18" t="s">
        <v>24</v>
      </c>
      <c r="C70" s="16" t="s">
        <v>26</v>
      </c>
      <c r="D70" s="19" t="s">
        <v>94</v>
      </c>
      <c r="E70" s="20" t="s">
        <v>1745</v>
      </c>
      <c r="F70" s="16" t="str">
        <f>_xlfn.XLOOKUP(D70,[2]DP!$F:$F,[2]DP!$E:$E,"-")</f>
        <v>AGUNG RESTU MUSTAQIM</v>
      </c>
      <c r="G70" s="21"/>
    </row>
    <row r="71" spans="2:7">
      <c r="B71" s="18" t="s">
        <v>24</v>
      </c>
      <c r="C71" s="16" t="s">
        <v>26</v>
      </c>
      <c r="D71" s="19" t="s">
        <v>95</v>
      </c>
      <c r="E71" s="20" t="s">
        <v>1745</v>
      </c>
      <c r="F71" s="16" t="str">
        <f>_xlfn.XLOOKUP(D71,[2]DP!$F:$F,[2]DP!$E:$E,"-")</f>
        <v>MUHAMMAD SALISGIA</v>
      </c>
      <c r="G71" s="21"/>
    </row>
    <row r="72" spans="2:7">
      <c r="B72" s="18" t="s">
        <v>24</v>
      </c>
      <c r="C72" s="16" t="s">
        <v>26</v>
      </c>
      <c r="D72" s="19" t="s">
        <v>96</v>
      </c>
      <c r="E72" s="20" t="s">
        <v>1745</v>
      </c>
      <c r="F72" s="16" t="str">
        <f>_xlfn.XLOOKUP(D72,[2]DP!$F:$F,[2]DP!$E:$E,"-")</f>
        <v>FADHILLAH NURRACHMAN S</v>
      </c>
      <c r="G72" s="21"/>
    </row>
    <row r="73" spans="2:7">
      <c r="B73" s="18" t="s">
        <v>24</v>
      </c>
      <c r="C73" s="16" t="s">
        <v>26</v>
      </c>
      <c r="D73" s="19" t="s">
        <v>97</v>
      </c>
      <c r="E73" s="20" t="s">
        <v>1722</v>
      </c>
      <c r="F73" s="16" t="str">
        <f>_xlfn.XLOOKUP(D73,[2]DP!$F:$F,[2]DP!$E:$E,"-")</f>
        <v>FADHILLAH NURRACHMAN S</v>
      </c>
      <c r="G73" s="21"/>
    </row>
    <row r="74" spans="2:7">
      <c r="B74" s="18" t="s">
        <v>24</v>
      </c>
      <c r="C74" s="16" t="s">
        <v>26</v>
      </c>
      <c r="D74" s="19" t="s">
        <v>98</v>
      </c>
      <c r="E74" s="20" t="s">
        <v>1722</v>
      </c>
      <c r="F74" s="16" t="str">
        <f>_xlfn.XLOOKUP(D74,[2]DP!$F:$F,[2]DP!$E:$E,"-")</f>
        <v>AGUNG RESTU MUSTAQIM</v>
      </c>
      <c r="G74" s="21"/>
    </row>
    <row r="75" spans="2:7">
      <c r="B75" s="18" t="s">
        <v>99</v>
      </c>
      <c r="C75" s="16" t="s">
        <v>100</v>
      </c>
      <c r="D75" s="19" t="s">
        <v>101</v>
      </c>
      <c r="E75" s="20" t="s">
        <v>1745</v>
      </c>
      <c r="F75" s="16" t="str">
        <f>_xlfn.XLOOKUP(D75,'[3]DROP POINT AKTIF'!$B:$B,'[3]DROP POINT AKTIF'!$F:$F,"-")</f>
        <v>NIAMULLAH</v>
      </c>
      <c r="G75" s="21"/>
    </row>
    <row r="76" spans="2:7">
      <c r="B76" s="18" t="s">
        <v>99</v>
      </c>
      <c r="C76" s="16" t="s">
        <v>100</v>
      </c>
      <c r="D76" s="19" t="s">
        <v>102</v>
      </c>
      <c r="E76" s="20" t="s">
        <v>1745</v>
      </c>
      <c r="F76" s="16" t="str">
        <f>_xlfn.XLOOKUP(D76,'[3]DROP POINT AKTIF'!$B:$B,'[3]DROP POINT AKTIF'!$F:$F,"-")</f>
        <v>TEGUH ISWANTO</v>
      </c>
      <c r="G76" s="21"/>
    </row>
    <row r="77" spans="2:7">
      <c r="B77" s="18" t="s">
        <v>99</v>
      </c>
      <c r="C77" s="16" t="s">
        <v>100</v>
      </c>
      <c r="D77" s="19" t="s">
        <v>103</v>
      </c>
      <c r="E77" s="20" t="s">
        <v>1745</v>
      </c>
      <c r="F77" s="16" t="str">
        <f>_xlfn.XLOOKUP(D77,'[3]DROP POINT AKTIF'!$B:$B,'[3]DROP POINT AKTIF'!$F:$F,"-")</f>
        <v>RAMADANIALDI</v>
      </c>
      <c r="G77" s="21"/>
    </row>
    <row r="78" spans="2:7">
      <c r="B78" s="18" t="s">
        <v>99</v>
      </c>
      <c r="C78" s="16" t="s">
        <v>100</v>
      </c>
      <c r="D78" s="19" t="s">
        <v>104</v>
      </c>
      <c r="E78" s="20" t="s">
        <v>1745</v>
      </c>
      <c r="F78" s="16" t="str">
        <f>_xlfn.XLOOKUP(D78,'[3]DROP POINT AKTIF'!$B:$B,'[3]DROP POINT AKTIF'!$F:$F,"-")</f>
        <v>DEDE JUNA</v>
      </c>
      <c r="G78" s="21"/>
    </row>
    <row r="79" spans="2:7">
      <c r="B79" s="18" t="s">
        <v>99</v>
      </c>
      <c r="C79" s="16" t="s">
        <v>100</v>
      </c>
      <c r="D79" s="19" t="s">
        <v>105</v>
      </c>
      <c r="E79" s="20" t="s">
        <v>1745</v>
      </c>
      <c r="F79" s="16" t="str">
        <f>_xlfn.XLOOKUP(D79,'[3]DROP POINT AKTIF'!$B:$B,'[3]DROP POINT AKTIF'!$F:$F,"-")</f>
        <v>MOCH. JAJULI FAHMI</v>
      </c>
      <c r="G79" s="21"/>
    </row>
    <row r="80" spans="2:7">
      <c r="B80" s="18" t="s">
        <v>99</v>
      </c>
      <c r="C80" s="16" t="s">
        <v>100</v>
      </c>
      <c r="D80" s="19" t="s">
        <v>106</v>
      </c>
      <c r="E80" s="20" t="s">
        <v>1722</v>
      </c>
      <c r="F80" s="16" t="str">
        <f>_xlfn.XLOOKUP(D80,'[3]DROP POINT AKTIF'!$B:$B,'[3]DROP POINT AKTIF'!$F:$F,"-")</f>
        <v>ARIS HERMAWAN</v>
      </c>
      <c r="G80" s="21"/>
    </row>
    <row r="81" spans="2:7">
      <c r="B81" s="18" t="s">
        <v>99</v>
      </c>
      <c r="C81" s="16" t="s">
        <v>100</v>
      </c>
      <c r="D81" s="19" t="s">
        <v>107</v>
      </c>
      <c r="E81" s="20" t="s">
        <v>1722</v>
      </c>
      <c r="F81" s="16" t="str">
        <f>_xlfn.XLOOKUP(D81,'[3]DROP POINT AKTIF'!$B:$B,'[3]DROP POINT AKTIF'!$F:$F,"-")</f>
        <v>IBNU FADILLAH</v>
      </c>
      <c r="G81" s="21"/>
    </row>
    <row r="82" spans="2:7">
      <c r="B82" s="18" t="s">
        <v>99</v>
      </c>
      <c r="C82" s="16" t="s">
        <v>100</v>
      </c>
      <c r="D82" s="19" t="s">
        <v>108</v>
      </c>
      <c r="E82" s="20" t="s">
        <v>1722</v>
      </c>
      <c r="F82" s="16" t="str">
        <f>_xlfn.XLOOKUP(D82,'[3]DROP POINT AKTIF'!$B:$B,'[3]DROP POINT AKTIF'!$F:$F,"-")</f>
        <v>MOHAMAD JUNAEDI FIRMANSYAH</v>
      </c>
      <c r="G82" s="21"/>
    </row>
    <row r="83" spans="2:7">
      <c r="B83" s="18" t="s">
        <v>99</v>
      </c>
      <c r="C83" s="16" t="s">
        <v>100</v>
      </c>
      <c r="D83" s="19" t="s">
        <v>109</v>
      </c>
      <c r="E83" s="20" t="s">
        <v>1722</v>
      </c>
      <c r="F83" s="16" t="str">
        <f>_xlfn.XLOOKUP(D83,'[3]DROP POINT AKTIF'!$B:$B,'[3]DROP POINT AKTIF'!$F:$F,"-")</f>
        <v>MOCH. JAJULI FAHMI</v>
      </c>
      <c r="G83" s="21"/>
    </row>
    <row r="84" spans="2:7">
      <c r="B84" s="18" t="s">
        <v>99</v>
      </c>
      <c r="C84" s="16" t="s">
        <v>100</v>
      </c>
      <c r="D84" s="19" t="s">
        <v>110</v>
      </c>
      <c r="E84" s="20" t="s">
        <v>1722</v>
      </c>
      <c r="F84" s="16" t="str">
        <f>_xlfn.XLOOKUP(D84,'[3]DROP POINT AKTIF'!$B:$B,'[3]DROP POINT AKTIF'!$F:$F,"-")</f>
        <v>HANDOKO</v>
      </c>
      <c r="G84" s="21"/>
    </row>
    <row r="85" spans="2:7">
      <c r="B85" s="18" t="s">
        <v>99</v>
      </c>
      <c r="C85" s="16" t="s">
        <v>100</v>
      </c>
      <c r="D85" s="19" t="s">
        <v>111</v>
      </c>
      <c r="E85" s="20" t="s">
        <v>1722</v>
      </c>
      <c r="F85" s="16" t="str">
        <f>_xlfn.XLOOKUP(D85,'[3]DROP POINT AKTIF'!$B:$B,'[3]DROP POINT AKTIF'!$F:$F,"-")</f>
        <v>MOHAMAD KAHIS</v>
      </c>
      <c r="G85" s="21"/>
    </row>
    <row r="86" spans="2:7">
      <c r="B86" s="18" t="s">
        <v>99</v>
      </c>
      <c r="C86" s="16" t="s">
        <v>100</v>
      </c>
      <c r="D86" s="19" t="s">
        <v>112</v>
      </c>
      <c r="E86" s="20" t="s">
        <v>1722</v>
      </c>
      <c r="F86" s="16" t="str">
        <f>_xlfn.XLOOKUP(D86,'[3]DROP POINT AKTIF'!$B:$B,'[3]DROP POINT AKTIF'!$F:$F,"-")</f>
        <v>CATUR MAY ANDRIAN</v>
      </c>
      <c r="G86" s="21"/>
    </row>
    <row r="87" spans="2:7">
      <c r="B87" s="18" t="s">
        <v>99</v>
      </c>
      <c r="C87" s="16" t="s">
        <v>100</v>
      </c>
      <c r="D87" s="19" t="s">
        <v>113</v>
      </c>
      <c r="E87" s="20" t="s">
        <v>1722</v>
      </c>
      <c r="F87" s="16" t="str">
        <f>_xlfn.XLOOKUP(D87,'[3]DROP POINT AKTIF'!$B:$B,'[3]DROP POINT AKTIF'!$F:$F,"-")</f>
        <v>NOVA ANDRIANTO</v>
      </c>
      <c r="G87" s="21"/>
    </row>
    <row r="88" spans="2:7">
      <c r="B88" s="18" t="s">
        <v>99</v>
      </c>
      <c r="C88" s="16" t="s">
        <v>100</v>
      </c>
      <c r="D88" s="19" t="s">
        <v>114</v>
      </c>
      <c r="E88" s="20" t="s">
        <v>1722</v>
      </c>
      <c r="F88" s="16" t="str">
        <f>_xlfn.XLOOKUP(D88,'[3]DROP POINT AKTIF'!$B:$B,'[3]DROP POINT AKTIF'!$F:$F,"-")</f>
        <v>NOVA ANDRIANTO</v>
      </c>
      <c r="G88" s="21"/>
    </row>
    <row r="89" spans="2:7">
      <c r="B89" s="18" t="s">
        <v>99</v>
      </c>
      <c r="C89" s="16" t="s">
        <v>100</v>
      </c>
      <c r="D89" s="19" t="s">
        <v>115</v>
      </c>
      <c r="E89" s="20" t="s">
        <v>1745</v>
      </c>
      <c r="F89" s="16" t="str">
        <f>_xlfn.XLOOKUP(D89,'[3]DROP POINT AKTIF'!$B:$B,'[3]DROP POINT AKTIF'!$F:$F,"-")</f>
        <v>MUHAMAD WILDAN</v>
      </c>
      <c r="G89" s="21"/>
    </row>
    <row r="90" spans="2:7">
      <c r="B90" s="18" t="s">
        <v>99</v>
      </c>
      <c r="C90" s="16" t="s">
        <v>100</v>
      </c>
      <c r="D90" s="19" t="s">
        <v>116</v>
      </c>
      <c r="E90" s="20" t="s">
        <v>1745</v>
      </c>
      <c r="F90" s="16" t="str">
        <f>_xlfn.XLOOKUP(D90,'[3]DROP POINT AKTIF'!$B:$B,'[3]DROP POINT AKTIF'!$F:$F,"-")</f>
        <v>MUHAMMAD LUTFI</v>
      </c>
      <c r="G90" s="21"/>
    </row>
    <row r="91" spans="2:7">
      <c r="B91" s="18" t="s">
        <v>99</v>
      </c>
      <c r="C91" s="16" t="s">
        <v>100</v>
      </c>
      <c r="D91" s="19" t="s">
        <v>117</v>
      </c>
      <c r="E91" s="20" t="s">
        <v>1722</v>
      </c>
      <c r="F91" s="16" t="str">
        <f>_xlfn.XLOOKUP(D91,'[3]DROP POINT AKTIF'!$B:$B,'[3]DROP POINT AKTIF'!$F:$F,"-")</f>
        <v>DHIAS WIKRAMA ATMAJA</v>
      </c>
      <c r="G91" s="21"/>
    </row>
    <row r="92" spans="2:7">
      <c r="B92" s="18" t="s">
        <v>99</v>
      </c>
      <c r="C92" s="16" t="s">
        <v>100</v>
      </c>
      <c r="D92" s="19" t="s">
        <v>118</v>
      </c>
      <c r="E92" s="20" t="s">
        <v>1722</v>
      </c>
      <c r="F92" s="16" t="str">
        <f>_xlfn.XLOOKUP(D92,'[3]DROP POINT AKTIF'!$B:$B,'[3]DROP POINT AKTIF'!$F:$F,"-")</f>
        <v>ANDI WIDIARTO</v>
      </c>
      <c r="G92" s="21"/>
    </row>
    <row r="93" spans="2:7">
      <c r="B93" s="18" t="s">
        <v>99</v>
      </c>
      <c r="C93" s="16" t="s">
        <v>100</v>
      </c>
      <c r="D93" s="19" t="s">
        <v>119</v>
      </c>
      <c r="E93" s="20" t="s">
        <v>1722</v>
      </c>
      <c r="F93" s="16" t="str">
        <f>_xlfn.XLOOKUP(D93,'[3]DROP POINT AKTIF'!$B:$B,'[3]DROP POINT AKTIF'!$F:$F,"-")</f>
        <v>SARYONO</v>
      </c>
      <c r="G93" s="21"/>
    </row>
    <row r="94" spans="2:7">
      <c r="B94" s="18" t="s">
        <v>99</v>
      </c>
      <c r="C94" s="16" t="s">
        <v>100</v>
      </c>
      <c r="D94" s="19" t="s">
        <v>120</v>
      </c>
      <c r="E94" s="20" t="s">
        <v>1722</v>
      </c>
      <c r="F94" s="16" t="str">
        <f>_xlfn.XLOOKUP(D94,'[3]DROP POINT AKTIF'!$B:$B,'[3]DROP POINT AKTIF'!$F:$F,"-")</f>
        <v>ANGGATIO</v>
      </c>
      <c r="G94" s="21"/>
    </row>
    <row r="95" spans="2:7">
      <c r="B95" s="18" t="s">
        <v>99</v>
      </c>
      <c r="C95" s="16" t="s">
        <v>100</v>
      </c>
      <c r="D95" s="19" t="s">
        <v>121</v>
      </c>
      <c r="E95" s="20" t="s">
        <v>1722</v>
      </c>
      <c r="F95" s="16" t="str">
        <f>_xlfn.XLOOKUP(D95,'[3]DROP POINT AKTIF'!$B:$B,'[3]DROP POINT AKTIF'!$F:$F,"-")</f>
        <v>MUHAMMAD RIFKI</v>
      </c>
      <c r="G95" s="21"/>
    </row>
    <row r="96" spans="2:7">
      <c r="B96" s="18" t="s">
        <v>99</v>
      </c>
      <c r="C96" s="16" t="s">
        <v>100</v>
      </c>
      <c r="D96" s="19" t="s">
        <v>122</v>
      </c>
      <c r="E96" s="20" t="s">
        <v>1722</v>
      </c>
      <c r="F96" s="16" t="str">
        <f>_xlfn.XLOOKUP(D96,'[3]DROP POINT AKTIF'!$B:$B,'[3]DROP POINT AKTIF'!$F:$F,"-")</f>
        <v>SUPYAN SAURI</v>
      </c>
      <c r="G96" s="21"/>
    </row>
    <row r="97" spans="2:7">
      <c r="B97" s="18" t="s">
        <v>99</v>
      </c>
      <c r="C97" s="16" t="s">
        <v>100</v>
      </c>
      <c r="D97" s="19" t="s">
        <v>123</v>
      </c>
      <c r="E97" s="20" t="s">
        <v>1722</v>
      </c>
      <c r="F97" s="16" t="str">
        <f>_xlfn.XLOOKUP(D97,'[3]DROP POINT AKTIF'!$B:$B,'[3]DROP POINT AKTIF'!$F:$F,"-")</f>
        <v>-</v>
      </c>
      <c r="G97" s="21"/>
    </row>
    <row r="98" spans="2:7">
      <c r="B98" s="18" t="s">
        <v>99</v>
      </c>
      <c r="C98" s="16" t="s">
        <v>100</v>
      </c>
      <c r="D98" s="19" t="s">
        <v>124</v>
      </c>
      <c r="E98" s="20" t="s">
        <v>1745</v>
      </c>
      <c r="F98" s="16" t="str">
        <f>_xlfn.XLOOKUP(D98,'[3]DROP POINT AKTIF'!$B:$B,'[3]DROP POINT AKTIF'!$F:$F,"-")</f>
        <v>YUSTRIZA ENDISYA</v>
      </c>
      <c r="G98" s="21"/>
    </row>
    <row r="99" spans="2:7">
      <c r="B99" s="18" t="s">
        <v>99</v>
      </c>
      <c r="C99" s="16" t="s">
        <v>100</v>
      </c>
      <c r="D99" s="19" t="s">
        <v>126</v>
      </c>
      <c r="E99" s="20" t="s">
        <v>1745</v>
      </c>
      <c r="F99" s="16" t="str">
        <f>_xlfn.XLOOKUP(D99,'[3]DROP POINT AKTIF'!$B:$B,'[3]DROP POINT AKTIF'!$F:$F,"-")</f>
        <v>YUSTRIZA ENDISYA</v>
      </c>
      <c r="G99" s="21"/>
    </row>
    <row r="100" spans="2:7">
      <c r="B100" s="18" t="s">
        <v>99</v>
      </c>
      <c r="C100" s="16" t="s">
        <v>100</v>
      </c>
      <c r="D100" s="19" t="s">
        <v>127</v>
      </c>
      <c r="E100" s="20" t="s">
        <v>1745</v>
      </c>
      <c r="F100" s="16" t="str">
        <f>_xlfn.XLOOKUP(D100,'[3]DROP POINT AKTIF'!$B:$B,'[3]DROP POINT AKTIF'!$F:$F,"-")</f>
        <v>ARIF SETIANTO</v>
      </c>
      <c r="G100" s="21"/>
    </row>
    <row r="101" spans="2:7">
      <c r="B101" s="18" t="s">
        <v>99</v>
      </c>
      <c r="C101" s="16" t="s">
        <v>100</v>
      </c>
      <c r="D101" s="19" t="s">
        <v>128</v>
      </c>
      <c r="E101" s="20" t="s">
        <v>1722</v>
      </c>
      <c r="F101" s="16" t="str">
        <f>_xlfn.XLOOKUP(D101,'[3]DROP POINT AKTIF'!$B:$B,'[3]DROP POINT AKTIF'!$F:$F,"-")</f>
        <v>ALFAN AZIZ</v>
      </c>
      <c r="G101" s="21"/>
    </row>
    <row r="102" spans="2:7">
      <c r="B102" s="18" t="s">
        <v>99</v>
      </c>
      <c r="C102" s="16" t="s">
        <v>100</v>
      </c>
      <c r="D102" s="19" t="s">
        <v>129</v>
      </c>
      <c r="E102" s="20" t="s">
        <v>1722</v>
      </c>
      <c r="F102" s="16" t="str">
        <f>_xlfn.XLOOKUP(D102,'[3]DROP POINT AKTIF'!$B:$B,'[3]DROP POINT AKTIF'!$F:$F,"-")</f>
        <v>NUZUL</v>
      </c>
      <c r="G102" s="21"/>
    </row>
    <row r="103" spans="2:7">
      <c r="B103" s="18" t="s">
        <v>99</v>
      </c>
      <c r="C103" s="16" t="s">
        <v>100</v>
      </c>
      <c r="D103" s="19" t="s">
        <v>130</v>
      </c>
      <c r="E103" s="20" t="s">
        <v>1745</v>
      </c>
      <c r="F103" s="16" t="str">
        <f>_xlfn.XLOOKUP(D103,'[3]DROP POINT AKTIF'!$B:$B,'[3]DROP POINT AKTIF'!$F:$F,"-")</f>
        <v>KOMARUDIN</v>
      </c>
      <c r="G103" s="21"/>
    </row>
    <row r="104" spans="2:7">
      <c r="B104" s="18" t="s">
        <v>99</v>
      </c>
      <c r="C104" s="16" t="s">
        <v>100</v>
      </c>
      <c r="D104" s="19" t="s">
        <v>131</v>
      </c>
      <c r="E104" s="20" t="s">
        <v>1745</v>
      </c>
      <c r="F104" s="16" t="str">
        <f>_xlfn.XLOOKUP(D104,'[3]DROP POINT AKTIF'!$B:$B,'[3]DROP POINT AKTIF'!$F:$F,"-")</f>
        <v>TEGAR PRAKOSO</v>
      </c>
      <c r="G104" s="21"/>
    </row>
    <row r="105" spans="2:7">
      <c r="B105" s="18" t="s">
        <v>99</v>
      </c>
      <c r="C105" s="16" t="s">
        <v>100</v>
      </c>
      <c r="D105" s="19" t="s">
        <v>132</v>
      </c>
      <c r="E105" s="20" t="s">
        <v>1722</v>
      </c>
      <c r="F105" s="16" t="str">
        <f>_xlfn.XLOOKUP(D105,'[3]DROP POINT AKTIF'!$B:$B,'[3]DROP POINT AKTIF'!$F:$F,"-")</f>
        <v>KOMARUDIN</v>
      </c>
      <c r="G105" s="21"/>
    </row>
    <row r="106" spans="2:7">
      <c r="B106" s="18" t="s">
        <v>99</v>
      </c>
      <c r="C106" s="16" t="s">
        <v>100</v>
      </c>
      <c r="D106" s="19" t="s">
        <v>133</v>
      </c>
      <c r="E106" s="20" t="s">
        <v>1745</v>
      </c>
      <c r="F106" s="16" t="str">
        <f>_xlfn.XLOOKUP(D106,'[3]DROP POINT AKTIF'!$B:$B,'[3]DROP POINT AKTIF'!$F:$F,"-")</f>
        <v>ARIEF SOFYAN</v>
      </c>
      <c r="G106" s="21"/>
    </row>
    <row r="107" spans="2:7">
      <c r="B107" s="18" t="s">
        <v>99</v>
      </c>
      <c r="C107" s="16" t="s">
        <v>100</v>
      </c>
      <c r="D107" s="19" t="s">
        <v>134</v>
      </c>
      <c r="E107" s="20" t="s">
        <v>1745</v>
      </c>
      <c r="F107" s="16" t="str">
        <f>_xlfn.XLOOKUP(D107,'[3]DROP POINT AKTIF'!$B:$B,'[3]DROP POINT AKTIF'!$F:$F,"-")</f>
        <v>YUSTRIZA ENDISYA</v>
      </c>
      <c r="G107" s="21"/>
    </row>
    <row r="108" spans="2:7">
      <c r="B108" s="18" t="s">
        <v>99</v>
      </c>
      <c r="C108" s="16" t="s">
        <v>100</v>
      </c>
      <c r="D108" s="19" t="s">
        <v>135</v>
      </c>
      <c r="E108" s="20" t="s">
        <v>1745</v>
      </c>
      <c r="F108" s="16" t="str">
        <f>_xlfn.XLOOKUP(D108,'[3]DROP POINT AKTIF'!$B:$B,'[3]DROP POINT AKTIF'!$F:$F,"-")</f>
        <v>SYAHRUL RAMDANI</v>
      </c>
      <c r="G108" s="21"/>
    </row>
    <row r="109" spans="2:7">
      <c r="B109" s="18" t="s">
        <v>99</v>
      </c>
      <c r="C109" s="16" t="s">
        <v>100</v>
      </c>
      <c r="D109" s="19" t="s">
        <v>136</v>
      </c>
      <c r="E109" s="20" t="s">
        <v>1745</v>
      </c>
      <c r="F109" s="16" t="str">
        <f>_xlfn.XLOOKUP(D109,'[3]DROP POINT AKTIF'!$B:$B,'[3]DROP POINT AKTIF'!$F:$F,"-")</f>
        <v>ANDRI ATMAJA</v>
      </c>
      <c r="G109" s="21"/>
    </row>
    <row r="110" spans="2:7">
      <c r="B110" s="18" t="s">
        <v>99</v>
      </c>
      <c r="C110" s="16" t="s">
        <v>100</v>
      </c>
      <c r="D110" s="19" t="s">
        <v>137</v>
      </c>
      <c r="E110" s="20" t="s">
        <v>1722</v>
      </c>
      <c r="F110" s="16" t="str">
        <f>_xlfn.XLOOKUP(D110,'[3]DROP POINT AKTIF'!$B:$B,'[3]DROP POINT AKTIF'!$F:$F,"-")</f>
        <v>MUCHTAR NUR RAMDAN (AAM)</v>
      </c>
      <c r="G110" s="21"/>
    </row>
    <row r="111" spans="2:7">
      <c r="B111" s="18" t="s">
        <v>99</v>
      </c>
      <c r="C111" s="16" t="s">
        <v>100</v>
      </c>
      <c r="D111" s="19" t="s">
        <v>138</v>
      </c>
      <c r="E111" s="20" t="s">
        <v>1745</v>
      </c>
      <c r="F111" s="16" t="str">
        <f>_xlfn.XLOOKUP(D111,'[3]DROP POINT AKTIF'!$B:$B,'[3]DROP POINT AKTIF'!$F:$F,"-")</f>
        <v>MUHAMAD DEDENG</v>
      </c>
      <c r="G111" s="21"/>
    </row>
    <row r="112" spans="2:7">
      <c r="B112" s="18" t="s">
        <v>99</v>
      </c>
      <c r="C112" s="16" t="s">
        <v>100</v>
      </c>
      <c r="D112" s="19" t="s">
        <v>139</v>
      </c>
      <c r="E112" s="20" t="s">
        <v>1745</v>
      </c>
      <c r="F112" s="16" t="str">
        <f>_xlfn.XLOOKUP(D112,'[3]DROP POINT AKTIF'!$B:$B,'[3]DROP POINT AKTIF'!$F:$F,"-")</f>
        <v>DEDI KUMAEDI</v>
      </c>
      <c r="G112" s="21"/>
    </row>
    <row r="113" spans="2:7">
      <c r="B113" s="18" t="s">
        <v>99</v>
      </c>
      <c r="C113" s="16" t="s">
        <v>100</v>
      </c>
      <c r="D113" s="19" t="s">
        <v>140</v>
      </c>
      <c r="E113" s="20" t="s">
        <v>1745</v>
      </c>
      <c r="F113" s="16" t="str">
        <f>_xlfn.XLOOKUP(D113,'[3]DROP POINT AKTIF'!$B:$B,'[3]DROP POINT AKTIF'!$F:$F,"-")</f>
        <v>AMDI MUBAROK</v>
      </c>
      <c r="G113" s="21"/>
    </row>
    <row r="114" spans="2:7">
      <c r="B114" s="18" t="s">
        <v>99</v>
      </c>
      <c r="C114" s="16" t="s">
        <v>100</v>
      </c>
      <c r="D114" s="19" t="s">
        <v>141</v>
      </c>
      <c r="E114" s="20" t="s">
        <v>1745</v>
      </c>
      <c r="F114" s="16" t="str">
        <f>_xlfn.XLOOKUP(D114,'[3]DROP POINT AKTIF'!$B:$B,'[3]DROP POINT AKTIF'!$F:$F,"-")</f>
        <v>MOCH MATIN</v>
      </c>
      <c r="G114" s="21"/>
    </row>
    <row r="115" spans="2:7">
      <c r="B115" s="18" t="s">
        <v>99</v>
      </c>
      <c r="C115" s="16" t="s">
        <v>100</v>
      </c>
      <c r="D115" s="19" t="s">
        <v>142</v>
      </c>
      <c r="E115" s="20" t="s">
        <v>1745</v>
      </c>
      <c r="F115" s="16" t="str">
        <f>_xlfn.XLOOKUP(D115,'[3]DROP POINT AKTIF'!$B:$B,'[3]DROP POINT AKTIF'!$F:$F,"-")</f>
        <v>JUHANDI</v>
      </c>
      <c r="G115" s="21"/>
    </row>
    <row r="116" spans="2:7">
      <c r="B116" s="18" t="s">
        <v>99</v>
      </c>
      <c r="C116" s="16" t="s">
        <v>100</v>
      </c>
      <c r="D116" s="19" t="s">
        <v>143</v>
      </c>
      <c r="E116" s="20" t="s">
        <v>1745</v>
      </c>
      <c r="F116" s="16" t="str">
        <f>_xlfn.XLOOKUP(D116,'[3]DROP POINT AKTIF'!$B:$B,'[3]DROP POINT AKTIF'!$F:$F,"-")</f>
        <v>AZAT SUDRAJAT</v>
      </c>
      <c r="G116" s="21"/>
    </row>
    <row r="117" spans="2:7">
      <c r="B117" s="18" t="s">
        <v>99</v>
      </c>
      <c r="C117" s="16" t="s">
        <v>100</v>
      </c>
      <c r="D117" s="19" t="s">
        <v>144</v>
      </c>
      <c r="E117" s="20" t="s">
        <v>1745</v>
      </c>
      <c r="F117" s="16" t="str">
        <f>_xlfn.XLOOKUP(D117,'[3]DROP POINT AKTIF'!$B:$B,'[3]DROP POINT AKTIF'!$F:$F,"-")</f>
        <v>ROHMAN</v>
      </c>
      <c r="G117" s="21"/>
    </row>
    <row r="118" spans="2:7">
      <c r="B118" s="18" t="s">
        <v>99</v>
      </c>
      <c r="C118" s="16" t="s">
        <v>100</v>
      </c>
      <c r="D118" s="19" t="s">
        <v>145</v>
      </c>
      <c r="E118" s="20" t="s">
        <v>1745</v>
      </c>
      <c r="F118" s="16" t="str">
        <f>_xlfn.XLOOKUP(D118,'[3]DROP POINT AKTIF'!$B:$B,'[3]DROP POINT AKTIF'!$F:$F,"-")</f>
        <v>DEDI KUMAEDI</v>
      </c>
      <c r="G118" s="21"/>
    </row>
    <row r="119" spans="2:7">
      <c r="B119" s="18" t="s">
        <v>99</v>
      </c>
      <c r="C119" s="16" t="s">
        <v>100</v>
      </c>
      <c r="D119" s="19" t="s">
        <v>146</v>
      </c>
      <c r="E119" s="20" t="s">
        <v>1745</v>
      </c>
      <c r="F119" s="16" t="str">
        <f>_xlfn.XLOOKUP(D119,'[3]DROP POINT AKTIF'!$B:$B,'[3]DROP POINT AKTIF'!$F:$F,"-")</f>
        <v>WAHYUDIN</v>
      </c>
      <c r="G119" s="21"/>
    </row>
    <row r="120" spans="2:7">
      <c r="B120" s="18" t="s">
        <v>99</v>
      </c>
      <c r="C120" s="16" t="s">
        <v>100</v>
      </c>
      <c r="D120" s="19" t="s">
        <v>147</v>
      </c>
      <c r="E120" s="20" t="s">
        <v>1745</v>
      </c>
      <c r="F120" s="16" t="str">
        <f>_xlfn.XLOOKUP(D120,'[3]DROP POINT AKTIF'!$B:$B,'[3]DROP POINT AKTIF'!$F:$F,"-")</f>
        <v>WAHYUDIN</v>
      </c>
      <c r="G120" s="21"/>
    </row>
    <row r="121" spans="2:7">
      <c r="B121" s="18" t="s">
        <v>99</v>
      </c>
      <c r="C121" s="16" t="s">
        <v>100</v>
      </c>
      <c r="D121" s="19" t="s">
        <v>148</v>
      </c>
      <c r="E121" s="20" t="s">
        <v>1745</v>
      </c>
      <c r="F121" s="16" t="str">
        <f>_xlfn.XLOOKUP(D121,'[3]DROP POINT AKTIF'!$B:$B,'[3]DROP POINT AKTIF'!$F:$F,"-")</f>
        <v>IRIYANTO</v>
      </c>
      <c r="G121" s="21"/>
    </row>
    <row r="122" spans="2:7">
      <c r="B122" s="18" t="s">
        <v>99</v>
      </c>
      <c r="C122" s="16" t="s">
        <v>100</v>
      </c>
      <c r="D122" s="19" t="s">
        <v>149</v>
      </c>
      <c r="E122" s="20" t="s">
        <v>1745</v>
      </c>
      <c r="F122" s="16" t="str">
        <f>_xlfn.XLOOKUP(D122,'[3]DROP POINT AKTIF'!$B:$B,'[3]DROP POINT AKTIF'!$F:$F,"-")</f>
        <v>ADIT PURNADILATA</v>
      </c>
      <c r="G122" s="21"/>
    </row>
    <row r="123" spans="2:7">
      <c r="B123" s="18" t="s">
        <v>99</v>
      </c>
      <c r="C123" s="16" t="s">
        <v>100</v>
      </c>
      <c r="D123" s="19" t="s">
        <v>150</v>
      </c>
      <c r="E123" s="20" t="s">
        <v>1745</v>
      </c>
      <c r="F123" s="16" t="str">
        <f>_xlfn.XLOOKUP(D123,'[3]DROP POINT AKTIF'!$B:$B,'[3]DROP POINT AKTIF'!$F:$F,"-")</f>
        <v>ROBI FARLI</v>
      </c>
      <c r="G123" s="21"/>
    </row>
    <row r="124" spans="2:7">
      <c r="B124" s="18" t="s">
        <v>99</v>
      </c>
      <c r="C124" s="16" t="s">
        <v>100</v>
      </c>
      <c r="D124" s="19" t="s">
        <v>151</v>
      </c>
      <c r="E124" s="20" t="s">
        <v>1745</v>
      </c>
      <c r="F124" s="16" t="str">
        <f>_xlfn.XLOOKUP(D124,'[3]DROP POINT AKTIF'!$B:$B,'[3]DROP POINT AKTIF'!$F:$F,"-")</f>
        <v>WAHYUDIN</v>
      </c>
      <c r="G124" s="21"/>
    </row>
    <row r="125" spans="2:7">
      <c r="B125" s="18" t="s">
        <v>99</v>
      </c>
      <c r="C125" s="16" t="s">
        <v>100</v>
      </c>
      <c r="D125" s="19" t="s">
        <v>152</v>
      </c>
      <c r="E125" s="20" t="s">
        <v>1745</v>
      </c>
      <c r="F125" s="16" t="str">
        <f>_xlfn.XLOOKUP(D125,'[3]DROP POINT AKTIF'!$B:$B,'[3]DROP POINT AKTIF'!$F:$F,"-")</f>
        <v>ROBI FARLI</v>
      </c>
      <c r="G125" s="21"/>
    </row>
    <row r="126" spans="2:7">
      <c r="B126" s="18" t="s">
        <v>99</v>
      </c>
      <c r="C126" s="16" t="s">
        <v>100</v>
      </c>
      <c r="D126" s="19" t="s">
        <v>153</v>
      </c>
      <c r="E126" s="20" t="s">
        <v>1745</v>
      </c>
      <c r="F126" s="16" t="str">
        <f>_xlfn.XLOOKUP(D126,'[3]DROP POINT AKTIF'!$B:$B,'[3]DROP POINT AKTIF'!$F:$F,"-")</f>
        <v>ROBI FARLI</v>
      </c>
      <c r="G126" s="21"/>
    </row>
    <row r="127" spans="2:7">
      <c r="B127" s="18" t="s">
        <v>99</v>
      </c>
      <c r="C127" s="16" t="s">
        <v>100</v>
      </c>
      <c r="D127" s="19" t="s">
        <v>154</v>
      </c>
      <c r="E127" s="20" t="s">
        <v>1745</v>
      </c>
      <c r="F127" s="16" t="str">
        <f>_xlfn.XLOOKUP(D127,'[3]DROP POINT AKTIF'!$B:$B,'[3]DROP POINT AKTIF'!$F:$F,"-")</f>
        <v>AMDI MUBAROK</v>
      </c>
      <c r="G127" s="21"/>
    </row>
    <row r="128" spans="2:7">
      <c r="B128" s="18" t="s">
        <v>99</v>
      </c>
      <c r="C128" s="16" t="s">
        <v>100</v>
      </c>
      <c r="D128" s="19" t="s">
        <v>155</v>
      </c>
      <c r="E128" s="20" t="s">
        <v>1745</v>
      </c>
      <c r="F128" s="16" t="str">
        <f>_xlfn.XLOOKUP(D128,'[3]DROP POINT AKTIF'!$B:$B,'[3]DROP POINT AKTIF'!$F:$F,"-")</f>
        <v>MOCH MATIN</v>
      </c>
      <c r="G128" s="21"/>
    </row>
    <row r="129" spans="2:7">
      <c r="B129" s="18" t="s">
        <v>99</v>
      </c>
      <c r="C129" s="16" t="s">
        <v>100</v>
      </c>
      <c r="D129" s="19" t="s">
        <v>156</v>
      </c>
      <c r="E129" s="20" t="s">
        <v>1745</v>
      </c>
      <c r="F129" s="16" t="str">
        <f>_xlfn.XLOOKUP(D129,'[3]DROP POINT AKTIF'!$B:$B,'[3]DROP POINT AKTIF'!$F:$F,"-")</f>
        <v>FAHRI PRATAMA</v>
      </c>
      <c r="G129" s="21"/>
    </row>
    <row r="130" spans="2:7">
      <c r="B130" s="18" t="s">
        <v>99</v>
      </c>
      <c r="C130" s="16" t="s">
        <v>100</v>
      </c>
      <c r="D130" s="19" t="s">
        <v>157</v>
      </c>
      <c r="E130" s="20" t="s">
        <v>1745</v>
      </c>
      <c r="F130" s="16" t="str">
        <f>_xlfn.XLOOKUP(D130,'[3]DROP POINT AKTIF'!$B:$B,'[3]DROP POINT AKTIF'!$F:$F,"-")</f>
        <v>MUHAMAD DEDENG</v>
      </c>
      <c r="G130" s="21"/>
    </row>
    <row r="131" spans="2:7">
      <c r="B131" s="18" t="s">
        <v>99</v>
      </c>
      <c r="C131" s="16" t="s">
        <v>100</v>
      </c>
      <c r="D131" s="19" t="s">
        <v>158</v>
      </c>
      <c r="E131" s="20" t="s">
        <v>1745</v>
      </c>
      <c r="F131" s="16" t="str">
        <f>_xlfn.XLOOKUP(D131,'[3]DROP POINT AKTIF'!$B:$B,'[3]DROP POINT AKTIF'!$F:$F,"-")</f>
        <v>ADIT PURNADILATA</v>
      </c>
      <c r="G131" s="21"/>
    </row>
    <row r="132" spans="2:7">
      <c r="B132" s="18" t="s">
        <v>99</v>
      </c>
      <c r="C132" s="16" t="s">
        <v>100</v>
      </c>
      <c r="D132" s="19" t="s">
        <v>159</v>
      </c>
      <c r="E132" s="20" t="s">
        <v>1745</v>
      </c>
      <c r="F132" s="16" t="str">
        <f>_xlfn.XLOOKUP(D132,'[3]DROP POINT AKTIF'!$B:$B,'[3]DROP POINT AKTIF'!$F:$F,"-")</f>
        <v>ROHMAN</v>
      </c>
      <c r="G132" s="21"/>
    </row>
    <row r="133" spans="2:7">
      <c r="B133" s="18" t="s">
        <v>99</v>
      </c>
      <c r="C133" s="16" t="s">
        <v>100</v>
      </c>
      <c r="D133" s="19" t="s">
        <v>160</v>
      </c>
      <c r="E133" s="20" t="s">
        <v>1745</v>
      </c>
      <c r="F133" s="16" t="str">
        <f>_xlfn.XLOOKUP(D133,'[3]DROP POINT AKTIF'!$B:$B,'[3]DROP POINT AKTIF'!$F:$F,"-")</f>
        <v>DEDI KUMAEDI</v>
      </c>
      <c r="G133" s="21"/>
    </row>
    <row r="134" spans="2:7">
      <c r="B134" s="18" t="s">
        <v>99</v>
      </c>
      <c r="C134" s="16" t="s">
        <v>100</v>
      </c>
      <c r="D134" s="19" t="s">
        <v>161</v>
      </c>
      <c r="E134" s="20" t="s">
        <v>1745</v>
      </c>
      <c r="F134" s="16" t="str">
        <f>_xlfn.XLOOKUP(D134,'[3]DROP POINT AKTIF'!$B:$B,'[3]DROP POINT AKTIF'!$F:$F,"-")</f>
        <v>HENDRA SAPUTRA</v>
      </c>
      <c r="G134" s="21"/>
    </row>
    <row r="135" spans="2:7">
      <c r="B135" s="18" t="s">
        <v>99</v>
      </c>
      <c r="C135" s="16" t="s">
        <v>100</v>
      </c>
      <c r="D135" s="19" t="s">
        <v>162</v>
      </c>
      <c r="E135" s="20" t="s">
        <v>1745</v>
      </c>
      <c r="F135" s="16" t="str">
        <f>_xlfn.XLOOKUP(D135,'[3]DROP POINT AKTIF'!$B:$B,'[3]DROP POINT AKTIF'!$F:$F,"-")</f>
        <v>AHMAD SUHENDI</v>
      </c>
      <c r="G135" s="21"/>
    </row>
    <row r="136" spans="2:7">
      <c r="B136" s="18" t="s">
        <v>99</v>
      </c>
      <c r="C136" s="16" t="s">
        <v>100</v>
      </c>
      <c r="D136" s="19" t="s">
        <v>163</v>
      </c>
      <c r="E136" s="20" t="s">
        <v>1745</v>
      </c>
      <c r="F136" s="16" t="str">
        <f>_xlfn.XLOOKUP(D136,'[3]DROP POINT AKTIF'!$B:$B,'[3]DROP POINT AKTIF'!$F:$F,"-")</f>
        <v>MUHAMMAD USUP</v>
      </c>
      <c r="G136" s="21"/>
    </row>
    <row r="137" spans="2:7">
      <c r="B137" s="18" t="s">
        <v>99</v>
      </c>
      <c r="C137" s="16" t="s">
        <v>100</v>
      </c>
      <c r="D137" s="19" t="s">
        <v>164</v>
      </c>
      <c r="E137" s="20" t="s">
        <v>1745</v>
      </c>
      <c r="F137" s="16" t="str">
        <f>_xlfn.XLOOKUP(D137,'[3]DROP POINT AKTIF'!$B:$B,'[3]DROP POINT AKTIF'!$F:$F,"-")</f>
        <v>ZAKARIA MAHMUD</v>
      </c>
      <c r="G137" s="21"/>
    </row>
    <row r="138" spans="2:7">
      <c r="B138" s="18" t="s">
        <v>99</v>
      </c>
      <c r="C138" s="16" t="s">
        <v>100</v>
      </c>
      <c r="D138" s="19" t="s">
        <v>165</v>
      </c>
      <c r="E138" s="20" t="s">
        <v>1745</v>
      </c>
      <c r="F138" s="16" t="str">
        <f>_xlfn.XLOOKUP(D138,'[3]DROP POINT AKTIF'!$B:$B,'[3]DROP POINT AKTIF'!$F:$F,"-")</f>
        <v>ADE MUKLIS</v>
      </c>
      <c r="G138" s="21"/>
    </row>
    <row r="139" spans="2:7">
      <c r="B139" s="18" t="s">
        <v>99</v>
      </c>
      <c r="C139" s="16" t="s">
        <v>100</v>
      </c>
      <c r="D139" s="19" t="s">
        <v>166</v>
      </c>
      <c r="E139" s="20" t="s">
        <v>1745</v>
      </c>
      <c r="F139" s="16" t="str">
        <f>_xlfn.XLOOKUP(D139,'[3]DROP POINT AKTIF'!$B:$B,'[3]DROP POINT AKTIF'!$F:$F,"-")</f>
        <v>WIDODO</v>
      </c>
      <c r="G139" s="21"/>
    </row>
    <row r="140" spans="2:7">
      <c r="B140" s="18" t="s">
        <v>99</v>
      </c>
      <c r="C140" s="16" t="s">
        <v>100</v>
      </c>
      <c r="D140" s="19" t="s">
        <v>167</v>
      </c>
      <c r="E140" s="20" t="s">
        <v>1745</v>
      </c>
      <c r="F140" s="16" t="str">
        <f>_xlfn.XLOOKUP(D140,'[3]DROP POINT AKTIF'!$B:$B,'[3]DROP POINT AKTIF'!$F:$F,"-")</f>
        <v>MUHAMAD HAMDAN</v>
      </c>
      <c r="G140" s="21"/>
    </row>
    <row r="141" spans="2:7">
      <c r="B141" s="18" t="s">
        <v>99</v>
      </c>
      <c r="C141" s="16" t="s">
        <v>100</v>
      </c>
      <c r="D141" s="19" t="s">
        <v>168</v>
      </c>
      <c r="E141" s="20" t="s">
        <v>1745</v>
      </c>
      <c r="F141" s="16" t="str">
        <f>_xlfn.XLOOKUP(D141,'[3]DROP POINT AKTIF'!$B:$B,'[3]DROP POINT AKTIF'!$F:$F,"-")</f>
        <v>MUHAMAD LUTFI SUHENDAR</v>
      </c>
      <c r="G141" s="21"/>
    </row>
    <row r="142" spans="2:7">
      <c r="B142" s="18" t="s">
        <v>99</v>
      </c>
      <c r="C142" s="16" t="s">
        <v>100</v>
      </c>
      <c r="D142" s="19" t="s">
        <v>169</v>
      </c>
      <c r="E142" s="20" t="s">
        <v>1745</v>
      </c>
      <c r="F142" s="16" t="str">
        <f>_xlfn.XLOOKUP(D142,'[3]DROP POINT AKTIF'!$B:$B,'[3]DROP POINT AKTIF'!$F:$F,"-")</f>
        <v>MELI ROMLI</v>
      </c>
      <c r="G142" s="21"/>
    </row>
    <row r="143" spans="2:7">
      <c r="B143" s="18" t="s">
        <v>99</v>
      </c>
      <c r="C143" s="16" t="s">
        <v>100</v>
      </c>
      <c r="D143" s="19" t="s">
        <v>170</v>
      </c>
      <c r="E143" s="20" t="s">
        <v>1745</v>
      </c>
      <c r="F143" s="16" t="str">
        <f>_xlfn.XLOOKUP(D143,'[3]DROP POINT AKTIF'!$B:$B,'[3]DROP POINT AKTIF'!$F:$F,"-")</f>
        <v>RIKIYANSAH</v>
      </c>
      <c r="G143" s="21"/>
    </row>
    <row r="144" spans="2:7">
      <c r="B144" s="18" t="s">
        <v>99</v>
      </c>
      <c r="C144" s="16" t="s">
        <v>100</v>
      </c>
      <c r="D144" s="19" t="s">
        <v>171</v>
      </c>
      <c r="E144" s="20" t="s">
        <v>1745</v>
      </c>
      <c r="F144" s="16" t="str">
        <f>_xlfn.XLOOKUP(D144,'[3]DROP POINT AKTIF'!$B:$B,'[3]DROP POINT AKTIF'!$F:$F,"-")</f>
        <v>SUHENDRIK</v>
      </c>
      <c r="G144" s="21"/>
    </row>
    <row r="145" spans="2:7">
      <c r="B145" s="18" t="s">
        <v>99</v>
      </c>
      <c r="C145" s="16" t="s">
        <v>100</v>
      </c>
      <c r="D145" s="19" t="s">
        <v>172</v>
      </c>
      <c r="E145" s="20" t="s">
        <v>1745</v>
      </c>
      <c r="F145" s="16" t="str">
        <f>_xlfn.XLOOKUP(D145,'[3]DROP POINT AKTIF'!$B:$B,'[3]DROP POINT AKTIF'!$F:$F,"-")</f>
        <v>MUHAMAD FICQIH</v>
      </c>
      <c r="G145" s="21"/>
    </row>
    <row r="146" spans="2:7">
      <c r="B146" s="18" t="s">
        <v>99</v>
      </c>
      <c r="C146" s="16" t="s">
        <v>100</v>
      </c>
      <c r="D146" s="19" t="s">
        <v>173</v>
      </c>
      <c r="E146" s="20" t="s">
        <v>1745</v>
      </c>
      <c r="F146" s="16" t="str">
        <f>_xlfn.XLOOKUP(D146,'[3]DROP POINT AKTIF'!$B:$B,'[3]DROP POINT AKTIF'!$F:$F,"-")</f>
        <v>RIKIYANSAH</v>
      </c>
      <c r="G146" s="21"/>
    </row>
    <row r="147" spans="2:7">
      <c r="B147" s="18" t="s">
        <v>99</v>
      </c>
      <c r="C147" s="16" t="s">
        <v>100</v>
      </c>
      <c r="D147" s="19" t="s">
        <v>174</v>
      </c>
      <c r="E147" s="20" t="s">
        <v>1722</v>
      </c>
      <c r="F147" s="16" t="str">
        <f>_xlfn.XLOOKUP(D147,'[3]DROP POINT AKTIF'!$B:$B,'[3]DROP POINT AKTIF'!$F:$F,"-")</f>
        <v>-</v>
      </c>
      <c r="G147" s="21"/>
    </row>
    <row r="148" spans="2:7">
      <c r="B148" s="18" t="s">
        <v>99</v>
      </c>
      <c r="C148" s="16" t="s">
        <v>100</v>
      </c>
      <c r="D148" s="19" t="s">
        <v>175</v>
      </c>
      <c r="E148" s="20" t="s">
        <v>1745</v>
      </c>
      <c r="F148" s="16" t="str">
        <f>_xlfn.XLOOKUP(D148,'[3]DROP POINT AKTIF'!$B:$B,'[3]DROP POINT AKTIF'!$F:$F,"-")</f>
        <v>MOHAMAD TOPAN BERI FIRMAN</v>
      </c>
      <c r="G148" s="21"/>
    </row>
    <row r="149" spans="2:7">
      <c r="B149" s="18" t="s">
        <v>99</v>
      </c>
      <c r="C149" s="16" t="s">
        <v>100</v>
      </c>
      <c r="D149" s="19" t="s">
        <v>176</v>
      </c>
      <c r="E149" s="20" t="s">
        <v>1745</v>
      </c>
      <c r="F149" s="16" t="str">
        <f>_xlfn.XLOOKUP(D149,'[3]DROP POINT AKTIF'!$B:$B,'[3]DROP POINT AKTIF'!$F:$F,"-")</f>
        <v>DIRGAHAYU</v>
      </c>
      <c r="G149" s="21"/>
    </row>
    <row r="150" spans="2:7">
      <c r="B150" s="18" t="s">
        <v>99</v>
      </c>
      <c r="C150" s="16" t="s">
        <v>100</v>
      </c>
      <c r="D150" s="19" t="s">
        <v>177</v>
      </c>
      <c r="E150" s="20" t="s">
        <v>1722</v>
      </c>
      <c r="F150" s="16" t="str">
        <f>_xlfn.XLOOKUP(D150,'[3]DROP POINT AKTIF'!$B:$B,'[3]DROP POINT AKTIF'!$F:$F,"-")</f>
        <v>MUHAMMAD BAGUS PRATAMA</v>
      </c>
      <c r="G150" s="21"/>
    </row>
    <row r="151" spans="2:7">
      <c r="B151" s="18" t="s">
        <v>99</v>
      </c>
      <c r="C151" s="16" t="s">
        <v>100</v>
      </c>
      <c r="D151" s="19" t="s">
        <v>178</v>
      </c>
      <c r="E151" s="20" t="s">
        <v>1745</v>
      </c>
      <c r="F151" s="16" t="str">
        <f>_xlfn.XLOOKUP(D151,'[3]DROP POINT AKTIF'!$B:$B,'[3]DROP POINT AKTIF'!$F:$F,"-")</f>
        <v>SYAMSURI</v>
      </c>
      <c r="G151" s="21"/>
    </row>
    <row r="152" spans="2:7">
      <c r="B152" s="18" t="s">
        <v>99</v>
      </c>
      <c r="C152" s="16" t="s">
        <v>100</v>
      </c>
      <c r="D152" s="19" t="s">
        <v>179</v>
      </c>
      <c r="E152" s="20" t="s">
        <v>1722</v>
      </c>
      <c r="F152" s="16" t="str">
        <f>_xlfn.XLOOKUP(D152,'[3]DROP POINT AKTIF'!$B:$B,'[3]DROP POINT AKTIF'!$F:$F,"-")</f>
        <v>FAUZUL HUSNAN</v>
      </c>
      <c r="G152" s="21"/>
    </row>
    <row r="153" spans="2:7">
      <c r="B153" s="18" t="s">
        <v>99</v>
      </c>
      <c r="C153" s="16" t="s">
        <v>100</v>
      </c>
      <c r="D153" s="19" t="s">
        <v>180</v>
      </c>
      <c r="E153" s="20" t="s">
        <v>1722</v>
      </c>
      <c r="F153" s="16" t="str">
        <f>_xlfn.XLOOKUP(D153,'[3]DROP POINT AKTIF'!$B:$B,'[3]DROP POINT AKTIF'!$F:$F,"-")</f>
        <v>NUR YOYO GUNARA</v>
      </c>
      <c r="G153" s="21"/>
    </row>
    <row r="154" spans="2:7">
      <c r="B154" s="18" t="s">
        <v>99</v>
      </c>
      <c r="C154" s="16" t="s">
        <v>100</v>
      </c>
      <c r="D154" s="19" t="s">
        <v>181</v>
      </c>
      <c r="E154" s="20" t="s">
        <v>1722</v>
      </c>
      <c r="F154" s="16" t="str">
        <f>_xlfn.XLOOKUP(D154,'[3]DROP POINT AKTIF'!$B:$B,'[3]DROP POINT AKTIF'!$F:$F,"-")</f>
        <v>SANDI IRAWAN</v>
      </c>
      <c r="G154" s="21"/>
    </row>
    <row r="155" spans="2:7">
      <c r="B155" s="18" t="s">
        <v>99</v>
      </c>
      <c r="C155" s="16" t="s">
        <v>100</v>
      </c>
      <c r="D155" s="19" t="s">
        <v>182</v>
      </c>
      <c r="E155" s="20" t="s">
        <v>1722</v>
      </c>
      <c r="F155" s="16" t="str">
        <f>_xlfn.XLOOKUP(D155,'[3]DROP POINT AKTIF'!$B:$B,'[3]DROP POINT AKTIF'!$F:$F,"-")</f>
        <v>AHMAD NURYAMAN</v>
      </c>
      <c r="G155" s="21"/>
    </row>
    <row r="156" spans="2:7">
      <c r="B156" s="18" t="s">
        <v>99</v>
      </c>
      <c r="C156" s="16" t="s">
        <v>100</v>
      </c>
      <c r="D156" s="19" t="s">
        <v>183</v>
      </c>
      <c r="E156" s="20" t="s">
        <v>1722</v>
      </c>
      <c r="F156" s="16" t="str">
        <f>_xlfn.XLOOKUP(D156,'[3]DROP POINT AKTIF'!$B:$B,'[3]DROP POINT AKTIF'!$F:$F,"-")</f>
        <v>AHMAD RONI SAFRONI</v>
      </c>
      <c r="G156" s="21"/>
    </row>
    <row r="157" spans="2:7">
      <c r="B157" s="18" t="s">
        <v>99</v>
      </c>
      <c r="C157" s="16" t="s">
        <v>100</v>
      </c>
      <c r="D157" s="19" t="s">
        <v>184</v>
      </c>
      <c r="E157" s="20" t="s">
        <v>1722</v>
      </c>
      <c r="F157" s="16" t="str">
        <f>_xlfn.XLOOKUP(D157,'[3]DROP POINT AKTIF'!$B:$B,'[3]DROP POINT AKTIF'!$F:$F,"-")</f>
        <v>DWI ADI SUTRISNO</v>
      </c>
      <c r="G157" s="21"/>
    </row>
    <row r="158" spans="2:7">
      <c r="B158" s="18" t="s">
        <v>99</v>
      </c>
      <c r="C158" s="16" t="s">
        <v>100</v>
      </c>
      <c r="D158" s="19" t="s">
        <v>185</v>
      </c>
      <c r="E158" s="20" t="s">
        <v>1745</v>
      </c>
      <c r="F158" s="16" t="str">
        <f>_xlfn.XLOOKUP(D158,'[3]DROP POINT AKTIF'!$B:$B,'[3]DROP POINT AKTIF'!$F:$F,"-")</f>
        <v>SAEPI</v>
      </c>
      <c r="G158" s="21"/>
    </row>
    <row r="159" spans="2:7">
      <c r="B159" s="18" t="s">
        <v>99</v>
      </c>
      <c r="C159" s="16" t="s">
        <v>100</v>
      </c>
      <c r="D159" s="19" t="s">
        <v>186</v>
      </c>
      <c r="E159" s="20" t="s">
        <v>1722</v>
      </c>
      <c r="F159" s="16" t="str">
        <f>_xlfn.XLOOKUP(D159,'[3]DROP POINT AKTIF'!$B:$B,'[3]DROP POINT AKTIF'!$F:$F,"-")</f>
        <v>EKO PURNAWAN SUHERI</v>
      </c>
      <c r="G159" s="21"/>
    </row>
    <row r="160" spans="2:7">
      <c r="B160" s="18" t="s">
        <v>99</v>
      </c>
      <c r="C160" s="16" t="s">
        <v>100</v>
      </c>
      <c r="D160" s="19" t="s">
        <v>187</v>
      </c>
      <c r="E160" s="20" t="s">
        <v>1745</v>
      </c>
      <c r="F160" s="16" t="str">
        <f>_xlfn.XLOOKUP(D160,'[3]DROP POINT AKTIF'!$B:$B,'[3]DROP POINT AKTIF'!$F:$F,"-")</f>
        <v>AZIS BACHTIAR</v>
      </c>
      <c r="G160" s="21"/>
    </row>
    <row r="161" spans="2:7">
      <c r="B161" s="18" t="s">
        <v>99</v>
      </c>
      <c r="C161" s="16" t="s">
        <v>100</v>
      </c>
      <c r="D161" s="19" t="s">
        <v>188</v>
      </c>
      <c r="E161" s="20" t="s">
        <v>1722</v>
      </c>
      <c r="F161" s="16" t="str">
        <f>_xlfn.XLOOKUP(D161,'[3]DROP POINT AKTIF'!$B:$B,'[3]DROP POINT AKTIF'!$F:$F,"-")</f>
        <v>AHMAD RONI SAFRONI</v>
      </c>
      <c r="G161" s="21"/>
    </row>
    <row r="162" spans="2:7">
      <c r="B162" s="18" t="s">
        <v>99</v>
      </c>
      <c r="C162" s="16" t="s">
        <v>100</v>
      </c>
      <c r="D162" s="19" t="s">
        <v>189</v>
      </c>
      <c r="E162" s="20" t="s">
        <v>1745</v>
      </c>
      <c r="F162" s="16" t="str">
        <f>_xlfn.XLOOKUP(D162,'[3]DROP POINT AKTIF'!$B:$B,'[3]DROP POINT AKTIF'!$F:$F,"-")</f>
        <v>NURDIN</v>
      </c>
      <c r="G162" s="21"/>
    </row>
    <row r="163" spans="2:7">
      <c r="B163" s="18" t="s">
        <v>99</v>
      </c>
      <c r="C163" s="16" t="s">
        <v>100</v>
      </c>
      <c r="D163" s="19" t="s">
        <v>190</v>
      </c>
      <c r="E163" s="20" t="s">
        <v>1745</v>
      </c>
      <c r="F163" s="16" t="str">
        <f>_xlfn.XLOOKUP(D163,'[3]DROP POINT AKTIF'!$B:$B,'[3]DROP POINT AKTIF'!$F:$F,"-")</f>
        <v>SYAMSURI</v>
      </c>
      <c r="G163" s="21"/>
    </row>
    <row r="164" spans="2:7">
      <c r="B164" s="18" t="s">
        <v>99</v>
      </c>
      <c r="C164" s="16" t="s">
        <v>100</v>
      </c>
      <c r="D164" s="19" t="s">
        <v>191</v>
      </c>
      <c r="E164" s="20" t="s">
        <v>1722</v>
      </c>
      <c r="F164" s="16" t="str">
        <f>_xlfn.XLOOKUP(D164,'[3]DROP POINT AKTIF'!$B:$B,'[3]DROP POINT AKTIF'!$F:$F,"-")</f>
        <v>MULYADI</v>
      </c>
      <c r="G164" s="21"/>
    </row>
    <row r="165" spans="2:7">
      <c r="B165" s="18" t="s">
        <v>99</v>
      </c>
      <c r="C165" s="16" t="s">
        <v>100</v>
      </c>
      <c r="D165" s="19" t="s">
        <v>192</v>
      </c>
      <c r="E165" s="20" t="s">
        <v>1722</v>
      </c>
      <c r="F165" s="16" t="str">
        <f>_xlfn.XLOOKUP(D165,'[3]DROP POINT AKTIF'!$B:$B,'[3]DROP POINT AKTIF'!$F:$F,"-")</f>
        <v>ISHAK DISTANSYAH</v>
      </c>
      <c r="G165" s="21"/>
    </row>
    <row r="166" spans="2:7">
      <c r="B166" s="18" t="s">
        <v>99</v>
      </c>
      <c r="C166" s="16" t="s">
        <v>100</v>
      </c>
      <c r="D166" s="19" t="s">
        <v>193</v>
      </c>
      <c r="E166" s="20" t="s">
        <v>1722</v>
      </c>
      <c r="F166" s="16" t="str">
        <f>_xlfn.XLOOKUP(D166,'[3]DROP POINT AKTIF'!$B:$B,'[3]DROP POINT AKTIF'!$F:$F,"-")</f>
        <v>SOFYAN DWI SAPUTRA</v>
      </c>
      <c r="G166" s="21"/>
    </row>
    <row r="167" spans="2:7">
      <c r="B167" s="18" t="s">
        <v>99</v>
      </c>
      <c r="C167" s="16" t="s">
        <v>100</v>
      </c>
      <c r="D167" s="19" t="s">
        <v>194</v>
      </c>
      <c r="E167" s="20" t="s">
        <v>1722</v>
      </c>
      <c r="F167" s="16" t="str">
        <f>_xlfn.XLOOKUP(D167,'[3]DROP POINT AKTIF'!$B:$B,'[3]DROP POINT AKTIF'!$F:$F,"-")</f>
        <v>ADITYA</v>
      </c>
      <c r="G167" s="21"/>
    </row>
    <row r="168" spans="2:7">
      <c r="B168" s="18" t="s">
        <v>99</v>
      </c>
      <c r="C168" s="16" t="s">
        <v>100</v>
      </c>
      <c r="D168" s="19" t="s">
        <v>195</v>
      </c>
      <c r="E168" s="20" t="s">
        <v>1722</v>
      </c>
      <c r="F168" s="16" t="str">
        <f>_xlfn.XLOOKUP(D168,'[3]DROP POINT AKTIF'!$B:$B,'[3]DROP POINT AKTIF'!$F:$F,"-")</f>
        <v>ERIK</v>
      </c>
      <c r="G168" s="21"/>
    </row>
    <row r="169" spans="2:7">
      <c r="B169" s="18" t="s">
        <v>99</v>
      </c>
      <c r="C169" s="16" t="s">
        <v>100</v>
      </c>
      <c r="D169" s="19" t="s">
        <v>196</v>
      </c>
      <c r="E169" s="20" t="s">
        <v>1745</v>
      </c>
      <c r="F169" s="16" t="str">
        <f>_xlfn.XLOOKUP(D169,'[3]DROP POINT AKTIF'!$B:$B,'[3]DROP POINT AKTIF'!$F:$F,"-")</f>
        <v>DONI ANGGARA</v>
      </c>
      <c r="G169" s="21"/>
    </row>
    <row r="170" spans="2:7">
      <c r="B170" s="18" t="s">
        <v>99</v>
      </c>
      <c r="C170" s="16" t="s">
        <v>100</v>
      </c>
      <c r="D170" s="19" t="s">
        <v>197</v>
      </c>
      <c r="E170" s="20" t="s">
        <v>1745</v>
      </c>
      <c r="F170" s="16" t="str">
        <f>_xlfn.XLOOKUP(D170,'[3]DROP POINT AKTIF'!$B:$B,'[3]DROP POINT AKTIF'!$F:$F,"-")</f>
        <v>IQBAL PURWANDI</v>
      </c>
      <c r="G170" s="21"/>
    </row>
    <row r="171" spans="2:7">
      <c r="B171" s="18" t="s">
        <v>99</v>
      </c>
      <c r="C171" s="16" t="s">
        <v>100</v>
      </c>
      <c r="D171" s="19" t="s">
        <v>198</v>
      </c>
      <c r="E171" s="20" t="s">
        <v>1722</v>
      </c>
      <c r="F171" s="16" t="str">
        <f>_xlfn.XLOOKUP(D171,'[3]DROP POINT AKTIF'!$B:$B,'[3]DROP POINT AKTIF'!$F:$F,"-")</f>
        <v>ALIZHAR</v>
      </c>
      <c r="G171" s="21"/>
    </row>
    <row r="172" spans="2:7">
      <c r="B172" s="18" t="s">
        <v>99</v>
      </c>
      <c r="C172" s="16" t="s">
        <v>100</v>
      </c>
      <c r="D172" s="19" t="s">
        <v>199</v>
      </c>
      <c r="E172" s="20" t="s">
        <v>1745</v>
      </c>
      <c r="F172" s="16" t="str">
        <f>_xlfn.XLOOKUP(D172,'[3]DROP POINT AKTIF'!$B:$B,'[3]DROP POINT AKTIF'!$F:$F,"-")</f>
        <v>HERI LISTIANTO</v>
      </c>
      <c r="G172" s="21"/>
    </row>
    <row r="173" spans="2:7">
      <c r="B173" s="18" t="s">
        <v>99</v>
      </c>
      <c r="C173" s="16" t="s">
        <v>100</v>
      </c>
      <c r="D173" s="19" t="s">
        <v>200</v>
      </c>
      <c r="E173" s="20" t="s">
        <v>1722</v>
      </c>
      <c r="F173" s="16" t="str">
        <f>_xlfn.XLOOKUP(D173,'[3]DROP POINT AKTIF'!$B:$B,'[3]DROP POINT AKTIF'!$F:$F,"-")</f>
        <v>DEDEN</v>
      </c>
      <c r="G173" s="21"/>
    </row>
    <row r="174" spans="2:7">
      <c r="B174" s="18" t="s">
        <v>99</v>
      </c>
      <c r="C174" s="16" t="s">
        <v>100</v>
      </c>
      <c r="D174" s="19" t="s">
        <v>201</v>
      </c>
      <c r="E174" s="20" t="s">
        <v>1745</v>
      </c>
      <c r="F174" s="16" t="str">
        <f>_xlfn.XLOOKUP(D174,'[3]DROP POINT AKTIF'!$B:$B,'[3]DROP POINT AKTIF'!$F:$F,"-")</f>
        <v>JIDAN ALFARIZQI</v>
      </c>
      <c r="G174" s="21"/>
    </row>
    <row r="175" spans="2:7">
      <c r="B175" s="18" t="s">
        <v>99</v>
      </c>
      <c r="C175" s="16" t="s">
        <v>100</v>
      </c>
      <c r="D175" s="19" t="s">
        <v>202</v>
      </c>
      <c r="E175" s="20" t="s">
        <v>1722</v>
      </c>
      <c r="F175" s="16" t="str">
        <f>_xlfn.XLOOKUP(D175,'[3]DROP POINT AKTIF'!$B:$B,'[3]DROP POINT AKTIF'!$F:$F,"-")</f>
        <v>-</v>
      </c>
      <c r="G175" s="21"/>
    </row>
    <row r="176" spans="2:7">
      <c r="B176" s="18" t="s">
        <v>99</v>
      </c>
      <c r="C176" s="16" t="s">
        <v>100</v>
      </c>
      <c r="D176" s="19" t="s">
        <v>203</v>
      </c>
      <c r="E176" s="20" t="s">
        <v>1745</v>
      </c>
      <c r="F176" s="16" t="str">
        <f>_xlfn.XLOOKUP(D176,'[3]DROP POINT AKTIF'!$B:$B,'[3]DROP POINT AKTIF'!$F:$F,"-")</f>
        <v>ADI IKUN</v>
      </c>
      <c r="G176" s="21"/>
    </row>
    <row r="177" spans="2:7">
      <c r="B177" s="18" t="s">
        <v>99</v>
      </c>
      <c r="C177" s="16" t="s">
        <v>100</v>
      </c>
      <c r="D177" s="19" t="s">
        <v>204</v>
      </c>
      <c r="E177" s="20" t="s">
        <v>1745</v>
      </c>
      <c r="F177" s="16" t="str">
        <f>_xlfn.XLOOKUP(D177,'[3]DROP POINT AKTIF'!$B:$B,'[3]DROP POINT AKTIF'!$F:$F,"-")</f>
        <v>LEGIYONO</v>
      </c>
      <c r="G177" s="21"/>
    </row>
    <row r="178" spans="2:7">
      <c r="B178" s="18" t="s">
        <v>99</v>
      </c>
      <c r="C178" s="16" t="s">
        <v>100</v>
      </c>
      <c r="D178" s="19" t="s">
        <v>205</v>
      </c>
      <c r="E178" s="20" t="s">
        <v>1745</v>
      </c>
      <c r="F178" s="16" t="str">
        <f>_xlfn.XLOOKUP(D178,'[3]DROP POINT AKTIF'!$B:$B,'[3]DROP POINT AKTIF'!$F:$F,"-")</f>
        <v>JALALUDIN</v>
      </c>
      <c r="G178" s="21"/>
    </row>
    <row r="179" spans="2:7">
      <c r="B179" s="18" t="s">
        <v>99</v>
      </c>
      <c r="C179" s="16" t="s">
        <v>100</v>
      </c>
      <c r="D179" s="19" t="s">
        <v>206</v>
      </c>
      <c r="E179" s="20" t="s">
        <v>1722</v>
      </c>
      <c r="F179" s="16" t="str">
        <f>_xlfn.XLOOKUP(D179,'[3]DROP POINT AKTIF'!$B:$B,'[3]DROP POINT AKTIF'!$F:$F,"-")</f>
        <v>SEPTIAN</v>
      </c>
      <c r="G179" s="21"/>
    </row>
    <row r="180" spans="2:7">
      <c r="B180" s="18" t="s">
        <v>99</v>
      </c>
      <c r="C180" s="16" t="s">
        <v>100</v>
      </c>
      <c r="D180" s="19" t="s">
        <v>207</v>
      </c>
      <c r="E180" s="20" t="s">
        <v>1722</v>
      </c>
      <c r="F180" s="16" t="str">
        <f>_xlfn.XLOOKUP(D180,'[3]DROP POINT AKTIF'!$B:$B,'[3]DROP POINT AKTIF'!$F:$F,"-")</f>
        <v>MUHAMMAD PRASETYA</v>
      </c>
      <c r="G180" s="21"/>
    </row>
    <row r="181" spans="2:7">
      <c r="B181" s="18" t="s">
        <v>99</v>
      </c>
      <c r="C181" s="16" t="s">
        <v>100</v>
      </c>
      <c r="D181" s="19" t="s">
        <v>208</v>
      </c>
      <c r="E181" s="20" t="s">
        <v>1722</v>
      </c>
      <c r="F181" s="16" t="str">
        <f>_xlfn.XLOOKUP(D181,'[3]DROP POINT AKTIF'!$B:$B,'[3]DROP POINT AKTIF'!$F:$F,"-")</f>
        <v>SANUSI</v>
      </c>
      <c r="G181" s="21"/>
    </row>
    <row r="182" spans="2:7">
      <c r="B182" s="18" t="s">
        <v>99</v>
      </c>
      <c r="C182" s="16" t="s">
        <v>100</v>
      </c>
      <c r="D182" s="19" t="s">
        <v>209</v>
      </c>
      <c r="E182" s="20" t="s">
        <v>1722</v>
      </c>
      <c r="F182" s="16" t="str">
        <f>_xlfn.XLOOKUP(D182,'[3]DROP POINT AKTIF'!$B:$B,'[3]DROP POINT AKTIF'!$F:$F,"-")</f>
        <v>-</v>
      </c>
      <c r="G182" s="21"/>
    </row>
    <row r="183" spans="2:7">
      <c r="B183" s="18" t="s">
        <v>210</v>
      </c>
      <c r="C183" s="16" t="s">
        <v>211</v>
      </c>
      <c r="D183" s="19" t="s">
        <v>212</v>
      </c>
      <c r="E183" s="20" t="s">
        <v>1722</v>
      </c>
      <c r="F183" s="16" t="str">
        <f>_xlfn.XLOOKUP(D183,'[4]DROP POINT BEKASI'!$B:$B,'[4]DROP POINT BEKASI'!$E:$E,"-")</f>
        <v>ERLANGGA ISMADYA PUTRA</v>
      </c>
      <c r="G183" s="21"/>
    </row>
    <row r="184" spans="2:7">
      <c r="B184" s="18" t="s">
        <v>210</v>
      </c>
      <c r="C184" s="16" t="s">
        <v>211</v>
      </c>
      <c r="D184" s="19" t="s">
        <v>213</v>
      </c>
      <c r="E184" s="20" t="s">
        <v>1745</v>
      </c>
      <c r="F184" s="16" t="str">
        <f>_xlfn.XLOOKUP(D184,'[4]DROP POINT BEKASI'!$B:$B,'[4]DROP POINT BEKASI'!$E:$E,"-")</f>
        <v>RICHSON FAHMI</v>
      </c>
      <c r="G184" s="21"/>
    </row>
    <row r="185" spans="2:7">
      <c r="B185" s="18" t="s">
        <v>210</v>
      </c>
      <c r="C185" s="16" t="s">
        <v>211</v>
      </c>
      <c r="D185" s="19" t="s">
        <v>214</v>
      </c>
      <c r="E185" s="20" t="s">
        <v>1745</v>
      </c>
      <c r="F185" s="16" t="str">
        <f>_xlfn.XLOOKUP(D185,'[4]DROP POINT BEKASI'!$B:$B,'[4]DROP POINT BEKASI'!$E:$E,"-")</f>
        <v>TITO ASWIN KARIM</v>
      </c>
      <c r="G185" s="21"/>
    </row>
    <row r="186" spans="2:7">
      <c r="B186" s="18" t="s">
        <v>210</v>
      </c>
      <c r="C186" s="16" t="s">
        <v>211</v>
      </c>
      <c r="D186" s="19" t="s">
        <v>215</v>
      </c>
      <c r="E186" s="20" t="s">
        <v>1745</v>
      </c>
      <c r="F186" s="16" t="str">
        <f>_xlfn.XLOOKUP(D186,'[4]DROP POINT BEKASI'!$B:$B,'[4]DROP POINT BEKASI'!$E:$E,"-")</f>
        <v>AHMAD RIQBAL</v>
      </c>
      <c r="G186" s="21"/>
    </row>
    <row r="187" spans="2:7">
      <c r="B187" s="18" t="s">
        <v>210</v>
      </c>
      <c r="C187" s="16" t="s">
        <v>211</v>
      </c>
      <c r="D187" s="19" t="s">
        <v>216</v>
      </c>
      <c r="E187" s="20" t="s">
        <v>1722</v>
      </c>
      <c r="F187" s="16" t="str">
        <f>_xlfn.XLOOKUP(D187,'[4]DROP POINT BEKASI'!$B:$B,'[4]DROP POINT BEKASI'!$E:$E,"-")</f>
        <v>NURROHIM</v>
      </c>
      <c r="G187" s="21"/>
    </row>
    <row r="188" spans="2:7">
      <c r="B188" s="18" t="s">
        <v>210</v>
      </c>
      <c r="C188" s="16" t="s">
        <v>211</v>
      </c>
      <c r="D188" s="19" t="s">
        <v>217</v>
      </c>
      <c r="E188" s="20" t="s">
        <v>1745</v>
      </c>
      <c r="F188" s="16" t="str">
        <f>_xlfn.XLOOKUP(D188,'[4]DROP POINT BEKASI'!$B:$B,'[4]DROP POINT BEKASI'!$E:$E,"-")</f>
        <v>ACHMAD MAZIRI</v>
      </c>
      <c r="G188" s="21"/>
    </row>
    <row r="189" spans="2:7">
      <c r="B189" s="18" t="s">
        <v>210</v>
      </c>
      <c r="C189" s="16" t="s">
        <v>211</v>
      </c>
      <c r="D189" s="19" t="s">
        <v>218</v>
      </c>
      <c r="E189" s="20" t="s">
        <v>1745</v>
      </c>
      <c r="F189" s="16" t="str">
        <f>_xlfn.XLOOKUP(D189,'[4]DROP POINT BEKASI'!$B:$B,'[4]DROP POINT BEKASI'!$E:$E,"-")</f>
        <v>SUTISNA</v>
      </c>
      <c r="G189" s="21"/>
    </row>
    <row r="190" spans="2:7">
      <c r="B190" s="18" t="s">
        <v>210</v>
      </c>
      <c r="C190" s="16" t="s">
        <v>211</v>
      </c>
      <c r="D190" s="19" t="s">
        <v>219</v>
      </c>
      <c r="E190" s="20" t="s">
        <v>1745</v>
      </c>
      <c r="F190" s="16" t="str">
        <f>_xlfn.XLOOKUP(D190,'[4]DROP POINT BEKASI'!$B:$B,'[4]DROP POINT BEKASI'!$E:$E,"-")</f>
        <v>FAHMI AL JUFRY</v>
      </c>
      <c r="G190" s="21"/>
    </row>
    <row r="191" spans="2:7">
      <c r="B191" s="18" t="s">
        <v>210</v>
      </c>
      <c r="C191" s="16" t="s">
        <v>211</v>
      </c>
      <c r="D191" s="19" t="s">
        <v>220</v>
      </c>
      <c r="E191" s="20" t="s">
        <v>1745</v>
      </c>
      <c r="F191" s="16" t="str">
        <f>_xlfn.XLOOKUP(D191,'[4]DROP POINT BEKASI'!$B:$B,'[4]DROP POINT BEKASI'!$E:$E,"-")</f>
        <v>YOGA WARDANA</v>
      </c>
      <c r="G191" s="21"/>
    </row>
    <row r="192" spans="2:7">
      <c r="B192" s="18" t="s">
        <v>210</v>
      </c>
      <c r="C192" s="16" t="s">
        <v>211</v>
      </c>
      <c r="D192" s="19" t="s">
        <v>221</v>
      </c>
      <c r="E192" s="20" t="s">
        <v>1745</v>
      </c>
      <c r="F192" s="16" t="str">
        <f>_xlfn.XLOOKUP(D192,'[4]DROP POINT BEKASI'!$B:$B,'[4]DROP POINT BEKASI'!$E:$E,"-")</f>
        <v>ANGGA KUSUMA</v>
      </c>
      <c r="G192" s="21"/>
    </row>
    <row r="193" spans="2:7">
      <c r="B193" s="18" t="s">
        <v>210</v>
      </c>
      <c r="C193" s="16" t="s">
        <v>211</v>
      </c>
      <c r="D193" s="19" t="s">
        <v>222</v>
      </c>
      <c r="E193" s="20" t="s">
        <v>1722</v>
      </c>
      <c r="F193" s="16" t="str">
        <f>_xlfn.XLOOKUP(D193,'[4]DROP POINT BEKASI'!$B:$B,'[4]DROP POINT BEKASI'!$E:$E,"-")</f>
        <v>ALI IBRAHIM</v>
      </c>
      <c r="G193" s="21"/>
    </row>
    <row r="194" spans="2:7">
      <c r="B194" s="18" t="s">
        <v>210</v>
      </c>
      <c r="C194" s="16" t="s">
        <v>211</v>
      </c>
      <c r="D194" s="19" t="s">
        <v>223</v>
      </c>
      <c r="E194" s="20" t="s">
        <v>1722</v>
      </c>
      <c r="F194" s="16" t="str">
        <f>_xlfn.XLOOKUP(D194,'[4]DROP POINT BEKASI'!$B:$B,'[4]DROP POINT BEKASI'!$E:$E,"-")</f>
        <v>ACHMAD MAULANA PUTRA</v>
      </c>
      <c r="G194" s="21"/>
    </row>
    <row r="195" spans="2:7">
      <c r="B195" s="18" t="s">
        <v>210</v>
      </c>
      <c r="C195" s="16" t="s">
        <v>211</v>
      </c>
      <c r="D195" s="19" t="s">
        <v>224</v>
      </c>
      <c r="E195" s="20" t="s">
        <v>1722</v>
      </c>
      <c r="F195" s="16" t="str">
        <f>_xlfn.XLOOKUP(D195,'[4]DROP POINT BEKASI'!$B:$B,'[4]DROP POINT BEKASI'!$E:$E,"-")</f>
        <v>ANNISAA NURULHUDA WAHIDIN</v>
      </c>
      <c r="G195" s="21"/>
    </row>
    <row r="196" spans="2:7">
      <c r="B196" s="18" t="s">
        <v>210</v>
      </c>
      <c r="C196" s="16" t="s">
        <v>211</v>
      </c>
      <c r="D196" s="19" t="s">
        <v>225</v>
      </c>
      <c r="E196" s="20" t="s">
        <v>1745</v>
      </c>
      <c r="F196" s="16" t="str">
        <f>_xlfn.XLOOKUP(D196,'[4]DROP POINT BEKASI'!$B:$B,'[4]DROP POINT BEKASI'!$E:$E,"-")</f>
        <v>DIDIT JAMALUDIN</v>
      </c>
      <c r="G196" s="21"/>
    </row>
    <row r="197" spans="2:7">
      <c r="B197" s="18" t="s">
        <v>210</v>
      </c>
      <c r="C197" s="16" t="s">
        <v>211</v>
      </c>
      <c r="D197" s="19" t="s">
        <v>226</v>
      </c>
      <c r="E197" s="20" t="s">
        <v>1745</v>
      </c>
      <c r="F197" s="16" t="str">
        <f>_xlfn.XLOOKUP(D197,'[4]DROP POINT BEKASI'!$B:$B,'[4]DROP POINT BEKASI'!$E:$E,"-")</f>
        <v>RENDY DIRGANTARA</v>
      </c>
      <c r="G197" s="21"/>
    </row>
    <row r="198" spans="2:7">
      <c r="B198" s="18" t="s">
        <v>210</v>
      </c>
      <c r="C198" s="16" t="s">
        <v>211</v>
      </c>
      <c r="D198" s="19" t="s">
        <v>227</v>
      </c>
      <c r="E198" s="20" t="s">
        <v>1745</v>
      </c>
      <c r="F198" s="16" t="str">
        <f>_xlfn.XLOOKUP(D198,'[4]DROP POINT BEKASI'!$B:$B,'[4]DROP POINT BEKASI'!$E:$E,"-")</f>
        <v>FAUZI AKBAR</v>
      </c>
      <c r="G198" s="21"/>
    </row>
    <row r="199" spans="2:7">
      <c r="B199" s="18" t="s">
        <v>210</v>
      </c>
      <c r="C199" s="16" t="s">
        <v>211</v>
      </c>
      <c r="D199" s="19" t="s">
        <v>228</v>
      </c>
      <c r="E199" s="20" t="s">
        <v>1745</v>
      </c>
      <c r="F199" s="16" t="str">
        <f>_xlfn.XLOOKUP(D199,'[4]DROP POINT BEKASI'!$B:$B,'[4]DROP POINT BEKASI'!$E:$E,"-")</f>
        <v>FACHRUDIN</v>
      </c>
      <c r="G199" s="21"/>
    </row>
    <row r="200" spans="2:7">
      <c r="B200" s="18" t="s">
        <v>210</v>
      </c>
      <c r="C200" s="16" t="s">
        <v>211</v>
      </c>
      <c r="D200" s="19" t="s">
        <v>229</v>
      </c>
      <c r="E200" s="20" t="s">
        <v>1745</v>
      </c>
      <c r="F200" s="16" t="str">
        <f>_xlfn.XLOOKUP(D200,'[4]DROP POINT BEKASI'!$B:$B,'[4]DROP POINT BEKASI'!$E:$E,"-")</f>
        <v>FAJAR SAPUTRA NOVEBRYANTO</v>
      </c>
      <c r="G200" s="21"/>
    </row>
    <row r="201" spans="2:7">
      <c r="B201" s="18" t="s">
        <v>210</v>
      </c>
      <c r="C201" s="16" t="s">
        <v>211</v>
      </c>
      <c r="D201" s="19" t="s">
        <v>230</v>
      </c>
      <c r="E201" s="20" t="s">
        <v>1745</v>
      </c>
      <c r="F201" s="16" t="str">
        <f>_xlfn.XLOOKUP(D201,'[4]DROP POINT BEKASI'!$B:$B,'[4]DROP POINT BEKASI'!$E:$E,"-")</f>
        <v>KHOIRUL ANWAR</v>
      </c>
      <c r="G201" s="21"/>
    </row>
    <row r="202" spans="2:7">
      <c r="B202" s="18" t="s">
        <v>210</v>
      </c>
      <c r="C202" s="16" t="s">
        <v>211</v>
      </c>
      <c r="D202" s="19" t="s">
        <v>231</v>
      </c>
      <c r="E202" s="20" t="s">
        <v>1745</v>
      </c>
      <c r="F202" s="16" t="str">
        <f>_xlfn.XLOOKUP(D202,'[4]DROP POINT BEKASI'!$B:$B,'[4]DROP POINT BEKASI'!$E:$E,"-")</f>
        <v>DENI PERMANA</v>
      </c>
      <c r="G202" s="21"/>
    </row>
    <row r="203" spans="2:7">
      <c r="B203" s="18" t="s">
        <v>210</v>
      </c>
      <c r="C203" s="16" t="s">
        <v>211</v>
      </c>
      <c r="D203" s="19" t="s">
        <v>232</v>
      </c>
      <c r="E203" s="20" t="s">
        <v>1722</v>
      </c>
      <c r="F203" s="16" t="str">
        <f>_xlfn.XLOOKUP(D203,'[4]DROP POINT BEKASI'!$B:$B,'[4]DROP POINT BEKASI'!$E:$E,"-")</f>
        <v>AROFIQ WALHIDAYAT</v>
      </c>
      <c r="G203" s="21"/>
    </row>
    <row r="204" spans="2:7">
      <c r="B204" s="18" t="s">
        <v>210</v>
      </c>
      <c r="C204" s="16" t="s">
        <v>211</v>
      </c>
      <c r="D204" s="19" t="s">
        <v>233</v>
      </c>
      <c r="E204" s="20" t="s">
        <v>1722</v>
      </c>
      <c r="F204" s="16" t="str">
        <f>_xlfn.XLOOKUP(D204,'[4]DROP POINT BEKASI'!$B:$B,'[4]DROP POINT BEKASI'!$E:$E,"-")</f>
        <v>AAN SUPRATMAN</v>
      </c>
      <c r="G204" s="21"/>
    </row>
    <row r="205" spans="2:7">
      <c r="B205" s="18" t="s">
        <v>210</v>
      </c>
      <c r="C205" s="16" t="s">
        <v>211</v>
      </c>
      <c r="D205" s="19" t="s">
        <v>234</v>
      </c>
      <c r="E205" s="20" t="s">
        <v>1722</v>
      </c>
      <c r="F205" s="16" t="str">
        <f>_xlfn.XLOOKUP(D205,'[4]DROP POINT BEKASI'!$B:$B,'[4]DROP POINT BEKASI'!$E:$E,"-")</f>
        <v>JHENIS ATHA NANDA</v>
      </c>
      <c r="G205" s="21"/>
    </row>
    <row r="206" spans="2:7">
      <c r="B206" s="18" t="s">
        <v>210</v>
      </c>
      <c r="C206" s="16" t="s">
        <v>211</v>
      </c>
      <c r="D206" s="19" t="s">
        <v>235</v>
      </c>
      <c r="E206" s="20" t="s">
        <v>1722</v>
      </c>
      <c r="F206" s="16" t="str">
        <f>_xlfn.XLOOKUP(D206,'[4]DROP POINT BEKASI'!$B:$B,'[4]DROP POINT BEKASI'!$E:$E,"-")</f>
        <v>SELAMET DARSIYO</v>
      </c>
      <c r="G206" s="21"/>
    </row>
    <row r="207" spans="2:7">
      <c r="B207" s="18" t="s">
        <v>210</v>
      </c>
      <c r="C207" s="16" t="s">
        <v>211</v>
      </c>
      <c r="D207" s="19" t="s">
        <v>236</v>
      </c>
      <c r="E207" s="20" t="s">
        <v>1722</v>
      </c>
      <c r="F207" s="16" t="str">
        <f>_xlfn.XLOOKUP(D207,'[4]DROP POINT BEKASI'!$B:$B,'[4]DROP POINT BEKASI'!$E:$E,"-")</f>
        <v>NANDA ARIS WANDI</v>
      </c>
      <c r="G207" s="21"/>
    </row>
    <row r="208" spans="2:7">
      <c r="B208" s="18" t="s">
        <v>210</v>
      </c>
      <c r="C208" s="16" t="s">
        <v>211</v>
      </c>
      <c r="D208" s="19" t="s">
        <v>237</v>
      </c>
      <c r="E208" s="20" t="s">
        <v>1745</v>
      </c>
      <c r="F208" s="16" t="str">
        <f>_xlfn.XLOOKUP(D208,'[4]DROP POINT BEKASI'!$B:$B,'[4]DROP POINT BEKASI'!$E:$E,"-")</f>
        <v>IHWAN RAMADHAN</v>
      </c>
      <c r="G208" s="21"/>
    </row>
    <row r="209" spans="2:7">
      <c r="B209" s="18" t="s">
        <v>210</v>
      </c>
      <c r="C209" s="16" t="s">
        <v>211</v>
      </c>
      <c r="D209" s="19" t="s">
        <v>238</v>
      </c>
      <c r="E209" s="20" t="s">
        <v>1722</v>
      </c>
      <c r="F209" s="16" t="str">
        <f>_xlfn.XLOOKUP(D209,'[4]DROP POINT BEKASI'!$B:$B,'[4]DROP POINT BEKASI'!$E:$E,"-")</f>
        <v>APRIYANTO</v>
      </c>
      <c r="G209" s="21"/>
    </row>
    <row r="210" spans="2:7">
      <c r="B210" s="18" t="s">
        <v>210</v>
      </c>
      <c r="C210" s="16" t="s">
        <v>211</v>
      </c>
      <c r="D210" s="19" t="s">
        <v>239</v>
      </c>
      <c r="E210" s="20" t="s">
        <v>1745</v>
      </c>
      <c r="F210" s="16" t="str">
        <f>_xlfn.XLOOKUP(D210,'[4]DROP POINT BEKASI'!$B:$B,'[4]DROP POINT BEKASI'!$E:$E,"-")</f>
        <v>ANDI RACHMANSYAH</v>
      </c>
      <c r="G210" s="21"/>
    </row>
    <row r="211" spans="2:7">
      <c r="B211" s="18" t="s">
        <v>210</v>
      </c>
      <c r="C211" s="16" t="s">
        <v>211</v>
      </c>
      <c r="D211" s="19" t="s">
        <v>240</v>
      </c>
      <c r="E211" s="20" t="s">
        <v>1745</v>
      </c>
      <c r="F211" s="16" t="str">
        <f>_xlfn.XLOOKUP(D211,'[4]DROP POINT BEKASI'!$B:$B,'[4]DROP POINT BEKASI'!$E:$E,"-")</f>
        <v>SARYONO</v>
      </c>
      <c r="G211" s="21"/>
    </row>
    <row r="212" spans="2:7">
      <c r="B212" s="18" t="s">
        <v>210</v>
      </c>
      <c r="C212" s="16" t="s">
        <v>211</v>
      </c>
      <c r="D212" s="19" t="s">
        <v>241</v>
      </c>
      <c r="E212" s="20" t="s">
        <v>1745</v>
      </c>
      <c r="F212" s="16" t="str">
        <f>_xlfn.XLOOKUP(D212,'[4]DROP POINT BEKASI'!$B:$B,'[4]DROP POINT BEKASI'!$E:$E,"-")</f>
        <v>ARI SABANDI</v>
      </c>
      <c r="G212" s="21"/>
    </row>
    <row r="213" spans="2:7">
      <c r="B213" s="18" t="s">
        <v>210</v>
      </c>
      <c r="C213" s="16" t="s">
        <v>211</v>
      </c>
      <c r="D213" s="19" t="s">
        <v>242</v>
      </c>
      <c r="E213" s="20" t="s">
        <v>1722</v>
      </c>
      <c r="F213" s="16" t="str">
        <f>_xlfn.XLOOKUP(D213,'[4]DROP POINT BEKASI'!$B:$B,'[4]DROP POINT BEKASI'!$E:$E,"-")</f>
        <v>FAHMI</v>
      </c>
      <c r="G213" s="21"/>
    </row>
    <row r="214" spans="2:7">
      <c r="B214" s="18" t="s">
        <v>210</v>
      </c>
      <c r="C214" s="16" t="s">
        <v>211</v>
      </c>
      <c r="D214" s="19" t="s">
        <v>243</v>
      </c>
      <c r="E214" s="20" t="s">
        <v>1722</v>
      </c>
      <c r="F214" s="16" t="str">
        <f>_xlfn.XLOOKUP(D214,'[4]DROP POINT BEKASI'!$B:$B,'[4]DROP POINT BEKASI'!$E:$E,"-")</f>
        <v>NOVA ANDRIANTO</v>
      </c>
      <c r="G214" s="21"/>
    </row>
    <row r="215" spans="2:7">
      <c r="B215" s="18" t="s">
        <v>210</v>
      </c>
      <c r="C215" s="16" t="s">
        <v>211</v>
      </c>
      <c r="D215" s="19" t="s">
        <v>244</v>
      </c>
      <c r="E215" s="20" t="s">
        <v>1722</v>
      </c>
      <c r="F215" s="16" t="str">
        <f>_xlfn.XLOOKUP(D215,'[4]DROP POINT BEKASI'!$B:$B,'[4]DROP POINT BEKASI'!$E:$E,"-")</f>
        <v>AGUNG HARTANTO</v>
      </c>
      <c r="G215" s="21"/>
    </row>
    <row r="216" spans="2:7">
      <c r="B216" s="18" t="s">
        <v>210</v>
      </c>
      <c r="C216" s="16" t="s">
        <v>211</v>
      </c>
      <c r="D216" s="19" t="s">
        <v>245</v>
      </c>
      <c r="E216" s="20" t="s">
        <v>1722</v>
      </c>
      <c r="F216" s="16" t="str">
        <f>_xlfn.XLOOKUP(D216,'[4]DROP POINT BEKASI'!$B:$B,'[4]DROP POINT BEKASI'!$E:$E,"-")</f>
        <v>SAFRIN PRIGIYANTO</v>
      </c>
      <c r="G216" s="21"/>
    </row>
    <row r="217" spans="2:7">
      <c r="B217" s="18" t="s">
        <v>210</v>
      </c>
      <c r="C217" s="16" t="s">
        <v>211</v>
      </c>
      <c r="D217" s="19" t="s">
        <v>246</v>
      </c>
      <c r="E217" s="20" t="s">
        <v>1745</v>
      </c>
      <c r="F217" s="16" t="str">
        <f>_xlfn.XLOOKUP(D217,'[4]DROP POINT BEKASI'!$B:$B,'[4]DROP POINT BEKASI'!$E:$E,"-")</f>
        <v>KHAIRUL WILDAN UMAM</v>
      </c>
      <c r="G217" s="21"/>
    </row>
    <row r="218" spans="2:7">
      <c r="B218" s="18" t="s">
        <v>210</v>
      </c>
      <c r="C218" s="16" t="s">
        <v>211</v>
      </c>
      <c r="D218" s="19" t="s">
        <v>247</v>
      </c>
      <c r="E218" s="20" t="s">
        <v>1745</v>
      </c>
      <c r="F218" s="16" t="str">
        <f>_xlfn.XLOOKUP(D218,'[4]DROP POINT BEKASI'!$B:$B,'[4]DROP POINT BEKASI'!$E:$E,"-")</f>
        <v>AEP BOIS</v>
      </c>
      <c r="G218" s="21"/>
    </row>
    <row r="219" spans="2:7">
      <c r="B219" s="18" t="s">
        <v>210</v>
      </c>
      <c r="C219" s="16" t="s">
        <v>211</v>
      </c>
      <c r="D219" s="19" t="s">
        <v>248</v>
      </c>
      <c r="E219" s="20" t="s">
        <v>1745</v>
      </c>
      <c r="F219" s="16" t="str">
        <f>_xlfn.XLOOKUP(D219,'[4]DROP POINT BEKASI'!$B:$B,'[4]DROP POINT BEKASI'!$E:$E,"-")</f>
        <v>FIRDAUS</v>
      </c>
      <c r="G219" s="21"/>
    </row>
    <row r="220" spans="2:7">
      <c r="B220" s="18" t="s">
        <v>210</v>
      </c>
      <c r="C220" s="16" t="s">
        <v>211</v>
      </c>
      <c r="D220" s="19" t="s">
        <v>249</v>
      </c>
      <c r="E220" s="20" t="s">
        <v>1745</v>
      </c>
      <c r="F220" s="16" t="str">
        <f>_xlfn.XLOOKUP(D220,'[4]DROP POINT BEKASI'!$B:$B,'[4]DROP POINT BEKASI'!$E:$E,"-")</f>
        <v>ZAKI RACHMADI NASUTION</v>
      </c>
      <c r="G220" s="21"/>
    </row>
    <row r="221" spans="2:7">
      <c r="B221" s="18" t="s">
        <v>210</v>
      </c>
      <c r="C221" s="16" t="s">
        <v>211</v>
      </c>
      <c r="D221" s="19" t="s">
        <v>250</v>
      </c>
      <c r="E221" s="20" t="s">
        <v>1722</v>
      </c>
      <c r="F221" s="16" t="str">
        <f>_xlfn.XLOOKUP(D221,'[4]DROP POINT BEKASI'!$B:$B,'[4]DROP POINT BEKASI'!$E:$E,"-")</f>
        <v>MUKHAMAD NOFANA ABDULLAH</v>
      </c>
      <c r="G221" s="21"/>
    </row>
    <row r="222" spans="2:7">
      <c r="B222" s="18" t="s">
        <v>210</v>
      </c>
      <c r="C222" s="16" t="s">
        <v>211</v>
      </c>
      <c r="D222" s="19" t="s">
        <v>251</v>
      </c>
      <c r="E222" s="20" t="s">
        <v>1745</v>
      </c>
      <c r="F222" s="16" t="str">
        <f>_xlfn.XLOOKUP(D222,'[4]DROP POINT BEKASI'!$B:$B,'[4]DROP POINT BEKASI'!$E:$E,"-")</f>
        <v>TIDAK ADA</v>
      </c>
      <c r="G222" s="21"/>
    </row>
    <row r="223" spans="2:7">
      <c r="B223" s="18" t="s">
        <v>210</v>
      </c>
      <c r="C223" s="16" t="s">
        <v>211</v>
      </c>
      <c r="D223" s="19" t="s">
        <v>252</v>
      </c>
      <c r="E223" s="20" t="s">
        <v>1745</v>
      </c>
      <c r="F223" s="16" t="str">
        <f>_xlfn.XLOOKUP(D223,'[4]DROP POINT BEKASI'!$B:$B,'[4]DROP POINT BEKASI'!$E:$E,"-")</f>
        <v>KIKIH RIJKI APNUR CAHYA</v>
      </c>
      <c r="G223" s="21"/>
    </row>
    <row r="224" spans="2:7">
      <c r="B224" s="18" t="s">
        <v>210</v>
      </c>
      <c r="C224" s="16" t="s">
        <v>211</v>
      </c>
      <c r="D224" s="19" t="s">
        <v>253</v>
      </c>
      <c r="E224" s="20" t="s">
        <v>1722</v>
      </c>
      <c r="F224" s="16" t="str">
        <f>_xlfn.XLOOKUP(D224,'[4]DROP POINT BEKASI'!$B:$B,'[4]DROP POINT BEKASI'!$E:$E,"-")</f>
        <v>HARRI SWANDI NAINGGOLAN</v>
      </c>
      <c r="G224" s="21"/>
    </row>
    <row r="225" spans="2:7">
      <c r="B225" s="18" t="s">
        <v>210</v>
      </c>
      <c r="C225" s="16" t="s">
        <v>211</v>
      </c>
      <c r="D225" s="19" t="s">
        <v>254</v>
      </c>
      <c r="E225" s="20" t="s">
        <v>1745</v>
      </c>
      <c r="F225" s="16" t="str">
        <f>_xlfn.XLOOKUP(D225,'[4]DROP POINT BEKASI'!$B:$B,'[4]DROP POINT BEKASI'!$E:$E,"-")</f>
        <v>IRFAN FAUZI</v>
      </c>
      <c r="G225" s="21"/>
    </row>
    <row r="226" spans="2:7">
      <c r="B226" s="18" t="s">
        <v>210</v>
      </c>
      <c r="C226" s="16" t="s">
        <v>211</v>
      </c>
      <c r="D226" s="19" t="s">
        <v>255</v>
      </c>
      <c r="E226" s="20" t="s">
        <v>1722</v>
      </c>
      <c r="F226" s="16" t="str">
        <f>_xlfn.XLOOKUP(D226,'[4]DROP POINT BEKASI'!$B:$B,'[4]DROP POINT BEKASI'!$E:$E,"-")</f>
        <v>M DAFIT SUHERLI</v>
      </c>
      <c r="G226" s="21"/>
    </row>
    <row r="227" spans="2:7">
      <c r="B227" s="18" t="s">
        <v>210</v>
      </c>
      <c r="C227" s="16" t="s">
        <v>211</v>
      </c>
      <c r="D227" s="19" t="s">
        <v>256</v>
      </c>
      <c r="E227" s="20" t="s">
        <v>1745</v>
      </c>
      <c r="F227" s="16" t="str">
        <f>_xlfn.XLOOKUP(D227,'[4]DROP POINT BEKASI'!$B:$B,'[4]DROP POINT BEKASI'!$E:$E,"-")</f>
        <v>DENI SETIAWAN</v>
      </c>
      <c r="G227" s="21"/>
    </row>
    <row r="228" spans="2:7">
      <c r="B228" s="18" t="s">
        <v>210</v>
      </c>
      <c r="C228" s="16" t="s">
        <v>211</v>
      </c>
      <c r="D228" s="19" t="s">
        <v>257</v>
      </c>
      <c r="E228" s="20" t="s">
        <v>1722</v>
      </c>
      <c r="F228" s="16" t="str">
        <f>_xlfn.XLOOKUP(D228,'[4]DROP POINT BEKASI'!$B:$B,'[4]DROP POINT BEKASI'!$E:$E,"-")</f>
        <v>IRZAN EFRIANSYAH</v>
      </c>
      <c r="G228" s="21"/>
    </row>
    <row r="229" spans="2:7">
      <c r="B229" s="18" t="s">
        <v>210</v>
      </c>
      <c r="C229" s="16" t="s">
        <v>211</v>
      </c>
      <c r="D229" s="19" t="s">
        <v>258</v>
      </c>
      <c r="E229" s="20" t="s">
        <v>1745</v>
      </c>
      <c r="F229" s="16" t="str">
        <f>_xlfn.XLOOKUP(D229,'[4]DROP POINT BEKASI'!$B:$B,'[4]DROP POINT BEKASI'!$E:$E,"-")</f>
        <v>FITRAH TEGAR RAMADHAN</v>
      </c>
      <c r="G229" s="21"/>
    </row>
    <row r="230" spans="2:7">
      <c r="B230" s="18" t="s">
        <v>210</v>
      </c>
      <c r="C230" s="16" t="s">
        <v>211</v>
      </c>
      <c r="D230" s="19" t="s">
        <v>259</v>
      </c>
      <c r="E230" s="20" t="s">
        <v>1745</v>
      </c>
      <c r="F230" s="16" t="str">
        <f>_xlfn.XLOOKUP(D230,'[4]DROP POINT BEKASI'!$B:$B,'[4]DROP POINT BEKASI'!$E:$E,"-")</f>
        <v>SARIFPUDIN</v>
      </c>
      <c r="G230" s="21"/>
    </row>
    <row r="231" spans="2:7">
      <c r="B231" s="18" t="s">
        <v>260</v>
      </c>
      <c r="C231" s="16" t="s">
        <v>261</v>
      </c>
      <c r="D231" s="19" t="s">
        <v>262</v>
      </c>
      <c r="E231" s="20" t="s">
        <v>1722</v>
      </c>
      <c r="F231" s="16" t="str">
        <f>_xlfn.XLOOKUP(D231,[5]Sheet1!$B:$B,[5]Sheet1!$E:$E,"-")</f>
        <v>AHMAD TOFIK YULFIKAR</v>
      </c>
      <c r="G231" s="21"/>
    </row>
    <row r="232" spans="2:7">
      <c r="B232" s="18" t="s">
        <v>260</v>
      </c>
      <c r="C232" s="16" t="s">
        <v>261</v>
      </c>
      <c r="D232" s="19" t="s">
        <v>263</v>
      </c>
      <c r="E232" s="20" t="s">
        <v>1722</v>
      </c>
      <c r="F232" s="16" t="str">
        <f>_xlfn.XLOOKUP(D232,[5]Sheet1!$B:$B,[5]Sheet1!$E:$E,"-")</f>
        <v>AHMAD TOFIK YULFIKAR</v>
      </c>
      <c r="G232" s="21"/>
    </row>
    <row r="233" spans="2:7">
      <c r="B233" s="18" t="s">
        <v>260</v>
      </c>
      <c r="C233" s="16" t="s">
        <v>261</v>
      </c>
      <c r="D233" s="19" t="s">
        <v>264</v>
      </c>
      <c r="E233" s="20" t="s">
        <v>1722</v>
      </c>
      <c r="F233" s="16" t="str">
        <f>_xlfn.XLOOKUP(D233,[5]Sheet1!$B:$B,[5]Sheet1!$E:$E,"-")</f>
        <v>AHMAD TOFIK YULFIKAR</v>
      </c>
      <c r="G233" s="21"/>
    </row>
    <row r="234" spans="2:7">
      <c r="B234" s="18" t="s">
        <v>260</v>
      </c>
      <c r="C234" s="16" t="s">
        <v>261</v>
      </c>
      <c r="D234" s="19" t="s">
        <v>265</v>
      </c>
      <c r="E234" s="20" t="s">
        <v>1722</v>
      </c>
      <c r="F234" s="16" t="str">
        <f>_xlfn.XLOOKUP(D234,[5]Sheet1!$B:$B,[5]Sheet1!$E:$E,"-")</f>
        <v>AHMAD TOFIK YULFIKAR</v>
      </c>
      <c r="G234" s="21"/>
    </row>
    <row r="235" spans="2:7">
      <c r="B235" s="18" t="s">
        <v>260</v>
      </c>
      <c r="C235" s="16" t="s">
        <v>261</v>
      </c>
      <c r="D235" s="19" t="s">
        <v>266</v>
      </c>
      <c r="E235" s="20" t="s">
        <v>1722</v>
      </c>
      <c r="F235" s="16" t="str">
        <f>_xlfn.XLOOKUP(D235,[5]Sheet1!$B:$B,[5]Sheet1!$E:$E,"-")</f>
        <v>AHMAD TOFIK YULFIKAR</v>
      </c>
      <c r="G235" s="21"/>
    </row>
    <row r="236" spans="2:7">
      <c r="B236" s="18" t="s">
        <v>260</v>
      </c>
      <c r="C236" s="16" t="s">
        <v>261</v>
      </c>
      <c r="D236" s="19" t="s">
        <v>267</v>
      </c>
      <c r="E236" s="20" t="s">
        <v>1745</v>
      </c>
      <c r="F236" s="16" t="str">
        <f>_xlfn.XLOOKUP(D236,[5]Sheet1!$B:$B,[5]Sheet1!$E:$E,"-")</f>
        <v>AHMAD TOFIK YULFIKAR</v>
      </c>
      <c r="G236" s="21"/>
    </row>
    <row r="237" spans="2:7">
      <c r="B237" s="18" t="s">
        <v>260</v>
      </c>
      <c r="C237" s="16" t="s">
        <v>261</v>
      </c>
      <c r="D237" s="19" t="s">
        <v>268</v>
      </c>
      <c r="E237" s="20" t="s">
        <v>1722</v>
      </c>
      <c r="F237" s="16" t="str">
        <f>_xlfn.XLOOKUP(D237,[5]Sheet1!$B:$B,[5]Sheet1!$E:$E,"-")</f>
        <v>AHMAD TOFIK YULFIKAR</v>
      </c>
      <c r="G237" s="21"/>
    </row>
    <row r="238" spans="2:7">
      <c r="B238" s="18" t="s">
        <v>260</v>
      </c>
      <c r="C238" s="16" t="s">
        <v>261</v>
      </c>
      <c r="D238" s="19" t="s">
        <v>269</v>
      </c>
      <c r="E238" s="20" t="s">
        <v>1722</v>
      </c>
      <c r="F238" s="16" t="str">
        <f>_xlfn.XLOOKUP(D238,[5]Sheet1!$B:$B,[5]Sheet1!$E:$E,"-")</f>
        <v>AHMAD TOFIK YULFIKAR</v>
      </c>
      <c r="G238" s="21"/>
    </row>
    <row r="239" spans="2:7">
      <c r="B239" s="18" t="s">
        <v>260</v>
      </c>
      <c r="C239" s="16" t="s">
        <v>261</v>
      </c>
      <c r="D239" s="19" t="s">
        <v>270</v>
      </c>
      <c r="E239" s="20" t="s">
        <v>1722</v>
      </c>
      <c r="F239" s="16" t="str">
        <f>_xlfn.XLOOKUP(D239,[5]Sheet1!$B:$B,[5]Sheet1!$E:$E,"-")</f>
        <v>AHMAD TOFIK YULFIKAR</v>
      </c>
      <c r="G239" s="21"/>
    </row>
    <row r="240" spans="2:7">
      <c r="B240" s="18" t="s">
        <v>260</v>
      </c>
      <c r="C240" s="16" t="s">
        <v>261</v>
      </c>
      <c r="D240" s="19" t="s">
        <v>271</v>
      </c>
      <c r="E240" s="20" t="s">
        <v>1745</v>
      </c>
      <c r="F240" s="16" t="str">
        <f>_xlfn.XLOOKUP(D240,[5]Sheet1!$B:$B,[5]Sheet1!$E:$E,"-")</f>
        <v>AHMAD TOFIK YULFIKAR</v>
      </c>
      <c r="G240" s="21"/>
    </row>
    <row r="241" spans="2:7">
      <c r="B241" s="18" t="s">
        <v>260</v>
      </c>
      <c r="C241" s="16" t="s">
        <v>261</v>
      </c>
      <c r="D241" s="19" t="s">
        <v>272</v>
      </c>
      <c r="E241" s="20" t="s">
        <v>1745</v>
      </c>
      <c r="F241" s="16" t="str">
        <f>_xlfn.XLOOKUP(D241,[5]Sheet1!$B:$B,[5]Sheet1!$E:$E,"-")</f>
        <v>AHMAD TOFIK YULFIKAR</v>
      </c>
      <c r="G241" s="21"/>
    </row>
    <row r="242" spans="2:7">
      <c r="B242" s="18" t="s">
        <v>260</v>
      </c>
      <c r="C242" s="16" t="s">
        <v>261</v>
      </c>
      <c r="D242" s="19" t="s">
        <v>273</v>
      </c>
      <c r="E242" s="20" t="s">
        <v>1745</v>
      </c>
      <c r="F242" s="16" t="str">
        <f>_xlfn.XLOOKUP(D242,[5]Sheet1!$B:$B,[5]Sheet1!$E:$E,"-")</f>
        <v>AHMAD TOFIK YULFIKAR</v>
      </c>
      <c r="G242" s="21"/>
    </row>
    <row r="243" spans="2:7">
      <c r="B243" s="18" t="s">
        <v>260</v>
      </c>
      <c r="C243" s="16" t="s">
        <v>261</v>
      </c>
      <c r="D243" s="19" t="s">
        <v>274</v>
      </c>
      <c r="E243" s="20" t="s">
        <v>1745</v>
      </c>
      <c r="F243" s="16" t="str">
        <f>_xlfn.XLOOKUP(D243,[5]Sheet1!$B:$B,[5]Sheet1!$E:$E,"-")</f>
        <v>AHMAD TOFIK YULFIKAR</v>
      </c>
      <c r="G243" s="21"/>
    </row>
    <row r="244" spans="2:7">
      <c r="B244" s="18" t="s">
        <v>260</v>
      </c>
      <c r="C244" s="16" t="s">
        <v>261</v>
      </c>
      <c r="D244" s="19" t="s">
        <v>275</v>
      </c>
      <c r="E244" s="20" t="s">
        <v>1745</v>
      </c>
      <c r="F244" s="16" t="str">
        <f>_xlfn.XLOOKUP(D244,[5]Sheet1!$B:$B,[5]Sheet1!$E:$E,"-")</f>
        <v>AHMAD TOFIK YULFIKAR</v>
      </c>
      <c r="G244" s="21"/>
    </row>
    <row r="245" spans="2:7">
      <c r="B245" s="18" t="s">
        <v>260</v>
      </c>
      <c r="C245" s="16" t="s">
        <v>261</v>
      </c>
      <c r="D245" s="19" t="s">
        <v>276</v>
      </c>
      <c r="E245" s="20" t="s">
        <v>1722</v>
      </c>
      <c r="F245" s="16" t="str">
        <f>_xlfn.XLOOKUP(D245,[5]Sheet1!$B:$B,[5]Sheet1!$E:$E,"-")</f>
        <v>FALDY FEDIANSYAH</v>
      </c>
      <c r="G245" s="21"/>
    </row>
    <row r="246" spans="2:7">
      <c r="B246" s="18" t="s">
        <v>260</v>
      </c>
      <c r="C246" s="16" t="s">
        <v>261</v>
      </c>
      <c r="D246" s="19" t="s">
        <v>277</v>
      </c>
      <c r="E246" s="20" t="s">
        <v>1722</v>
      </c>
      <c r="F246" s="16" t="str">
        <f>_xlfn.XLOOKUP(D246,[5]Sheet1!$B:$B,[5]Sheet1!$E:$E,"-")</f>
        <v>FALDY FEDIANSYAH</v>
      </c>
      <c r="G246" s="21"/>
    </row>
    <row r="247" spans="2:7">
      <c r="B247" s="18" t="s">
        <v>260</v>
      </c>
      <c r="C247" s="16" t="s">
        <v>261</v>
      </c>
      <c r="D247" s="19" t="s">
        <v>278</v>
      </c>
      <c r="E247" s="20" t="s">
        <v>1722</v>
      </c>
      <c r="F247" s="16" t="str">
        <f>_xlfn.XLOOKUP(D247,[5]Sheet1!$B:$B,[5]Sheet1!$E:$E,"-")</f>
        <v>FALDY FEDIANSYAH</v>
      </c>
      <c r="G247" s="21"/>
    </row>
    <row r="248" spans="2:7">
      <c r="B248" s="18" t="s">
        <v>260</v>
      </c>
      <c r="C248" s="16" t="s">
        <v>261</v>
      </c>
      <c r="D248" s="19" t="s">
        <v>279</v>
      </c>
      <c r="E248" s="20" t="s">
        <v>1722</v>
      </c>
      <c r="F248" s="16" t="str">
        <f>_xlfn.XLOOKUP(D248,[5]Sheet1!$B:$B,[5]Sheet1!$E:$E,"-")</f>
        <v>FALDY FEDIANSYAH</v>
      </c>
      <c r="G248" s="21"/>
    </row>
    <row r="249" spans="2:7">
      <c r="B249" s="18" t="s">
        <v>260</v>
      </c>
      <c r="C249" s="16" t="s">
        <v>261</v>
      </c>
      <c r="D249" s="19" t="s">
        <v>280</v>
      </c>
      <c r="E249" s="20" t="s">
        <v>1722</v>
      </c>
      <c r="F249" s="16" t="str">
        <f>_xlfn.XLOOKUP(D249,[5]Sheet1!$B:$B,[5]Sheet1!$E:$E,"-")</f>
        <v>FALDY FEDIANSYAH</v>
      </c>
      <c r="G249" s="21"/>
    </row>
    <row r="250" spans="2:7">
      <c r="B250" s="18" t="s">
        <v>260</v>
      </c>
      <c r="C250" s="16" t="s">
        <v>261</v>
      </c>
      <c r="D250" s="19" t="s">
        <v>281</v>
      </c>
      <c r="E250" s="20" t="s">
        <v>1745</v>
      </c>
      <c r="F250" s="16" t="str">
        <f>_xlfn.XLOOKUP(D250,[5]Sheet1!$B:$B,[5]Sheet1!$E:$E,"-")</f>
        <v>FALDY FEDIANSYAH</v>
      </c>
      <c r="G250" s="21"/>
    </row>
    <row r="251" spans="2:7">
      <c r="B251" s="18" t="s">
        <v>260</v>
      </c>
      <c r="C251" s="16" t="s">
        <v>261</v>
      </c>
      <c r="D251" s="19" t="s">
        <v>282</v>
      </c>
      <c r="E251" s="20" t="s">
        <v>1745</v>
      </c>
      <c r="F251" s="16" t="str">
        <f>_xlfn.XLOOKUP(D251,[5]Sheet1!$B:$B,[5]Sheet1!$E:$E,"-")</f>
        <v>FALDY FEDIANSYAH</v>
      </c>
      <c r="G251" s="21"/>
    </row>
    <row r="252" spans="2:7">
      <c r="B252" s="18" t="s">
        <v>260</v>
      </c>
      <c r="C252" s="16" t="s">
        <v>261</v>
      </c>
      <c r="D252" s="19" t="s">
        <v>283</v>
      </c>
      <c r="E252" s="20" t="s">
        <v>1745</v>
      </c>
      <c r="F252" s="16" t="str">
        <f>_xlfn.XLOOKUP(D252,[5]Sheet1!$B:$B,[5]Sheet1!$E:$E,"-")</f>
        <v>FALDY FEDIANSYAH</v>
      </c>
      <c r="G252" s="21"/>
    </row>
    <row r="253" spans="2:7">
      <c r="B253" s="18" t="s">
        <v>260</v>
      </c>
      <c r="C253" s="16" t="s">
        <v>261</v>
      </c>
      <c r="D253" s="19" t="s">
        <v>284</v>
      </c>
      <c r="E253" s="20" t="s">
        <v>1745</v>
      </c>
      <c r="F253" s="16" t="str">
        <f>_xlfn.XLOOKUP(D253,[5]Sheet1!$B:$B,[5]Sheet1!$E:$E,"-")</f>
        <v>FALDY FEDIANSYAH</v>
      </c>
      <c r="G253" s="21"/>
    </row>
    <row r="254" spans="2:7">
      <c r="B254" s="18" t="s">
        <v>260</v>
      </c>
      <c r="C254" s="16" t="s">
        <v>261</v>
      </c>
      <c r="D254" s="19" t="s">
        <v>285</v>
      </c>
      <c r="E254" s="20" t="s">
        <v>1745</v>
      </c>
      <c r="F254" s="16" t="str">
        <f>_xlfn.XLOOKUP(D254,[5]Sheet1!$B:$B,[5]Sheet1!$E:$E,"-")</f>
        <v>FALDY FEDIANSYAH</v>
      </c>
      <c r="G254" s="21"/>
    </row>
    <row r="255" spans="2:7">
      <c r="B255" s="18" t="s">
        <v>260</v>
      </c>
      <c r="C255" s="16" t="s">
        <v>261</v>
      </c>
      <c r="D255" s="19" t="s">
        <v>286</v>
      </c>
      <c r="E255" s="20" t="s">
        <v>1745</v>
      </c>
      <c r="F255" s="16" t="str">
        <f>_xlfn.XLOOKUP(D255,[5]Sheet1!$B:$B,[5]Sheet1!$E:$E,"-")</f>
        <v>FALDY FEDIANSYAH</v>
      </c>
      <c r="G255" s="21"/>
    </row>
    <row r="256" spans="2:7">
      <c r="B256" s="18" t="s">
        <v>260</v>
      </c>
      <c r="C256" s="16" t="s">
        <v>261</v>
      </c>
      <c r="D256" s="19" t="s">
        <v>287</v>
      </c>
      <c r="E256" s="20" t="s">
        <v>1745</v>
      </c>
      <c r="F256" s="16" t="str">
        <f>_xlfn.XLOOKUP(D256,[5]Sheet1!$B:$B,[5]Sheet1!$E:$E,"-")</f>
        <v>FALDY FEDIANSYAH</v>
      </c>
      <c r="G256" s="21"/>
    </row>
    <row r="257" spans="2:7">
      <c r="B257" s="18" t="s">
        <v>260</v>
      </c>
      <c r="C257" s="16" t="s">
        <v>261</v>
      </c>
      <c r="D257" s="19" t="s">
        <v>288</v>
      </c>
      <c r="E257" s="20" t="s">
        <v>1745</v>
      </c>
      <c r="F257" s="16" t="str">
        <f>_xlfn.XLOOKUP(D257,[5]Sheet1!$B:$B,[5]Sheet1!$E:$E,"-")</f>
        <v>FALDY FEDIANSYAH</v>
      </c>
      <c r="G257" s="21"/>
    </row>
    <row r="258" spans="2:7">
      <c r="B258" s="18" t="s">
        <v>260</v>
      </c>
      <c r="C258" s="16" t="s">
        <v>261</v>
      </c>
      <c r="D258" s="19" t="s">
        <v>289</v>
      </c>
      <c r="E258" s="20" t="s">
        <v>1745</v>
      </c>
      <c r="F258" s="16" t="str">
        <f>_xlfn.XLOOKUP(D258,[5]Sheet1!$B:$B,[5]Sheet1!$E:$E,"-")</f>
        <v>FALDY FEDIANSYAH</v>
      </c>
      <c r="G258" s="21"/>
    </row>
    <row r="259" spans="2:7">
      <c r="B259" s="18" t="s">
        <v>260</v>
      </c>
      <c r="C259" s="16" t="s">
        <v>261</v>
      </c>
      <c r="D259" s="19" t="s">
        <v>290</v>
      </c>
      <c r="E259" s="20" t="s">
        <v>1722</v>
      </c>
      <c r="F259" s="16" t="str">
        <f>_xlfn.XLOOKUP(D259,[5]Sheet1!$B:$B,[5]Sheet1!$E:$E,"-")</f>
        <v>FALDY FEDIANSYAH</v>
      </c>
      <c r="G259" s="21"/>
    </row>
    <row r="260" spans="2:7">
      <c r="B260" s="18" t="s">
        <v>260</v>
      </c>
      <c r="C260" s="16" t="s">
        <v>261</v>
      </c>
      <c r="D260" s="19" t="s">
        <v>291</v>
      </c>
      <c r="E260" s="20" t="s">
        <v>1722</v>
      </c>
      <c r="F260" s="16" t="str">
        <f>_xlfn.XLOOKUP(D260,[5]Sheet1!$B:$B,[5]Sheet1!$E:$E,"-")</f>
        <v>FALDY FEDIANSYAH</v>
      </c>
      <c r="G260" s="21"/>
    </row>
    <row r="261" spans="2:7">
      <c r="B261" s="18" t="s">
        <v>260</v>
      </c>
      <c r="C261" s="16" t="s">
        <v>261</v>
      </c>
      <c r="D261" s="19" t="s">
        <v>292</v>
      </c>
      <c r="E261" s="20" t="s">
        <v>1722</v>
      </c>
      <c r="F261" s="16" t="str">
        <f>_xlfn.XLOOKUP(D261,[5]Sheet1!$B:$B,[5]Sheet1!$E:$E,"-")</f>
        <v>FALDY FEDIANSYAH</v>
      </c>
      <c r="G261" s="21"/>
    </row>
    <row r="262" spans="2:7">
      <c r="B262" s="18" t="s">
        <v>260</v>
      </c>
      <c r="C262" s="16" t="s">
        <v>261</v>
      </c>
      <c r="D262" s="19" t="s">
        <v>293</v>
      </c>
      <c r="E262" s="20" t="s">
        <v>1745</v>
      </c>
      <c r="F262" s="16" t="str">
        <f>_xlfn.XLOOKUP(D262,[5]Sheet1!$B:$B,[5]Sheet1!$E:$E,"-")</f>
        <v>FALDY FEDIANSYAH</v>
      </c>
      <c r="G262" s="21"/>
    </row>
    <row r="263" spans="2:7">
      <c r="B263" s="18" t="s">
        <v>260</v>
      </c>
      <c r="C263" s="16" t="s">
        <v>261</v>
      </c>
      <c r="D263" s="19" t="s">
        <v>294</v>
      </c>
      <c r="E263" s="20" t="s">
        <v>1722</v>
      </c>
      <c r="F263" s="16" t="str">
        <f>_xlfn.XLOOKUP(D263,[5]Sheet1!$B:$B,[5]Sheet1!$E:$E,"-")</f>
        <v>HERI SUSANTO</v>
      </c>
      <c r="G263" s="21"/>
    </row>
    <row r="264" spans="2:7">
      <c r="B264" s="18" t="s">
        <v>260</v>
      </c>
      <c r="C264" s="16" t="s">
        <v>261</v>
      </c>
      <c r="D264" s="19" t="s">
        <v>295</v>
      </c>
      <c r="E264" s="20" t="s">
        <v>1722</v>
      </c>
      <c r="F264" s="16" t="str">
        <f>_xlfn.XLOOKUP(D264,[5]Sheet1!$B:$B,[5]Sheet1!$E:$E,"-")</f>
        <v>HERI SUSANTO</v>
      </c>
      <c r="G264" s="21"/>
    </row>
    <row r="265" spans="2:7">
      <c r="B265" s="18" t="s">
        <v>260</v>
      </c>
      <c r="C265" s="16" t="s">
        <v>261</v>
      </c>
      <c r="D265" s="19" t="s">
        <v>296</v>
      </c>
      <c r="E265" s="20" t="s">
        <v>1722</v>
      </c>
      <c r="F265" s="16" t="str">
        <f>_xlfn.XLOOKUP(D265,[5]Sheet1!$B:$B,[5]Sheet1!$E:$E,"-")</f>
        <v>HERI SUSANTO</v>
      </c>
      <c r="G265" s="21"/>
    </row>
    <row r="266" spans="2:7">
      <c r="B266" s="18" t="s">
        <v>260</v>
      </c>
      <c r="C266" s="16" t="s">
        <v>261</v>
      </c>
      <c r="D266" s="19" t="s">
        <v>297</v>
      </c>
      <c r="E266" s="20" t="s">
        <v>1722</v>
      </c>
      <c r="F266" s="16" t="str">
        <f>_xlfn.XLOOKUP(D266,[5]Sheet1!$B:$B,[5]Sheet1!$E:$E,"-")</f>
        <v>HERI SUSANTO</v>
      </c>
      <c r="G266" s="21"/>
    </row>
    <row r="267" spans="2:7">
      <c r="B267" s="18" t="s">
        <v>260</v>
      </c>
      <c r="C267" s="16" t="s">
        <v>261</v>
      </c>
      <c r="D267" s="19" t="s">
        <v>298</v>
      </c>
      <c r="E267" s="20" t="s">
        <v>1722</v>
      </c>
      <c r="F267" s="16" t="str">
        <f>_xlfn.XLOOKUP(D267,[5]Sheet1!$B:$B,[5]Sheet1!$E:$E,"-")</f>
        <v>HERI SUSANTO</v>
      </c>
      <c r="G267" s="21"/>
    </row>
    <row r="268" spans="2:7">
      <c r="B268" s="18" t="s">
        <v>260</v>
      </c>
      <c r="C268" s="16" t="s">
        <v>261</v>
      </c>
      <c r="D268" s="19" t="s">
        <v>299</v>
      </c>
      <c r="E268" s="20" t="s">
        <v>1722</v>
      </c>
      <c r="F268" s="16" t="str">
        <f>_xlfn.XLOOKUP(D268,[5]Sheet1!$B:$B,[5]Sheet1!$E:$E,"-")</f>
        <v>HERI SUSANTO</v>
      </c>
      <c r="G268" s="21"/>
    </row>
    <row r="269" spans="2:7">
      <c r="B269" s="18" t="s">
        <v>260</v>
      </c>
      <c r="C269" s="16" t="s">
        <v>261</v>
      </c>
      <c r="D269" s="19" t="s">
        <v>300</v>
      </c>
      <c r="E269" s="20" t="s">
        <v>1722</v>
      </c>
      <c r="F269" s="16" t="str">
        <f>_xlfn.XLOOKUP(D269,[5]Sheet1!$B:$B,[5]Sheet1!$E:$E,"-")</f>
        <v>HERI SUSANTO</v>
      </c>
      <c r="G269" s="21"/>
    </row>
    <row r="270" spans="2:7">
      <c r="B270" s="18" t="s">
        <v>260</v>
      </c>
      <c r="C270" s="16" t="s">
        <v>261</v>
      </c>
      <c r="D270" s="19" t="s">
        <v>301</v>
      </c>
      <c r="E270" s="20" t="s">
        <v>1722</v>
      </c>
      <c r="F270" s="16" t="str">
        <f>_xlfn.XLOOKUP(D270,[5]Sheet1!$B:$B,[5]Sheet1!$E:$E,"-")</f>
        <v>HERI SUSANTO</v>
      </c>
      <c r="G270" s="21"/>
    </row>
    <row r="271" spans="2:7">
      <c r="B271" s="18" t="s">
        <v>260</v>
      </c>
      <c r="C271" s="16" t="s">
        <v>261</v>
      </c>
      <c r="D271" s="19" t="s">
        <v>302</v>
      </c>
      <c r="E271" s="20" t="s">
        <v>1722</v>
      </c>
      <c r="F271" s="16" t="str">
        <f>_xlfn.XLOOKUP(D271,[5]Sheet1!$B:$B,[5]Sheet1!$E:$E,"-")</f>
        <v>HERI SUSANTO</v>
      </c>
      <c r="G271" s="21"/>
    </row>
    <row r="272" spans="2:7">
      <c r="B272" s="18" t="s">
        <v>260</v>
      </c>
      <c r="C272" s="16" t="s">
        <v>261</v>
      </c>
      <c r="D272" s="19" t="s">
        <v>303</v>
      </c>
      <c r="E272" s="20" t="s">
        <v>1722</v>
      </c>
      <c r="F272" s="16" t="str">
        <f>_xlfn.XLOOKUP(D272,[5]Sheet1!$B:$B,[5]Sheet1!$E:$E,"-")</f>
        <v>HERI SUSANTO</v>
      </c>
      <c r="G272" s="21"/>
    </row>
    <row r="273" spans="2:7">
      <c r="B273" s="18" t="s">
        <v>260</v>
      </c>
      <c r="C273" s="16" t="s">
        <v>261</v>
      </c>
      <c r="D273" s="19" t="s">
        <v>304</v>
      </c>
      <c r="E273" s="20" t="s">
        <v>1722</v>
      </c>
      <c r="F273" s="16" t="str">
        <f>_xlfn.XLOOKUP(D273,[5]Sheet1!$B:$B,[5]Sheet1!$E:$E,"-")</f>
        <v>HERI SUSANTO</v>
      </c>
      <c r="G273" s="21"/>
    </row>
    <row r="274" spans="2:7">
      <c r="B274" s="18" t="s">
        <v>260</v>
      </c>
      <c r="C274" s="16" t="s">
        <v>261</v>
      </c>
      <c r="D274" s="19" t="s">
        <v>305</v>
      </c>
      <c r="E274" s="20" t="s">
        <v>1745</v>
      </c>
      <c r="F274" s="16" t="str">
        <f>_xlfn.XLOOKUP(D274,[5]Sheet1!$B:$B,[5]Sheet1!$E:$E,"-")</f>
        <v>HERI SUSANTO</v>
      </c>
      <c r="G274" s="21"/>
    </row>
    <row r="275" spans="2:7">
      <c r="B275" s="18" t="s">
        <v>260</v>
      </c>
      <c r="C275" s="16" t="s">
        <v>261</v>
      </c>
      <c r="D275" s="19" t="s">
        <v>306</v>
      </c>
      <c r="E275" s="20" t="s">
        <v>1745</v>
      </c>
      <c r="F275" s="16" t="str">
        <f>_xlfn.XLOOKUP(D275,[5]Sheet1!$B:$B,[5]Sheet1!$E:$E,"-")</f>
        <v>HERI SUSANTO</v>
      </c>
      <c r="G275" s="21"/>
    </row>
    <row r="276" spans="2:7">
      <c r="B276" s="18" t="s">
        <v>260</v>
      </c>
      <c r="C276" s="16" t="s">
        <v>261</v>
      </c>
      <c r="D276" s="19" t="s">
        <v>307</v>
      </c>
      <c r="E276" s="20" t="s">
        <v>1722</v>
      </c>
      <c r="F276" s="16" t="str">
        <f>_xlfn.XLOOKUP(D276,[5]Sheet1!$B:$B,[5]Sheet1!$E:$E,"-")</f>
        <v>HERI SUSANTO</v>
      </c>
      <c r="G276" s="21"/>
    </row>
    <row r="277" spans="2:7">
      <c r="B277" s="18" t="s">
        <v>260</v>
      </c>
      <c r="C277" s="16" t="s">
        <v>261</v>
      </c>
      <c r="D277" s="19" t="s">
        <v>308</v>
      </c>
      <c r="E277" s="20" t="s">
        <v>1722</v>
      </c>
      <c r="F277" s="16" t="str">
        <f>_xlfn.XLOOKUP(D277,[5]Sheet1!$B:$B,[5]Sheet1!$E:$E,"-")</f>
        <v>NOVIAN</v>
      </c>
      <c r="G277" s="21"/>
    </row>
    <row r="278" spans="2:7">
      <c r="B278" s="18" t="s">
        <v>260</v>
      </c>
      <c r="C278" s="16" t="s">
        <v>261</v>
      </c>
      <c r="D278" s="19" t="s">
        <v>309</v>
      </c>
      <c r="E278" s="20" t="s">
        <v>1722</v>
      </c>
      <c r="F278" s="16" t="str">
        <f>_xlfn.XLOOKUP(D278,[5]Sheet1!$B:$B,[5]Sheet1!$E:$E,"-")</f>
        <v>NOVIAN</v>
      </c>
      <c r="G278" s="21"/>
    </row>
    <row r="279" spans="2:7">
      <c r="B279" s="18" t="s">
        <v>260</v>
      </c>
      <c r="C279" s="16" t="s">
        <v>261</v>
      </c>
      <c r="D279" s="19" t="s">
        <v>310</v>
      </c>
      <c r="E279" s="20" t="s">
        <v>1722</v>
      </c>
      <c r="F279" s="16" t="str">
        <f>_xlfn.XLOOKUP(D279,[5]Sheet1!$B:$B,[5]Sheet1!$E:$E,"-")</f>
        <v>NOVIAN</v>
      </c>
      <c r="G279" s="21"/>
    </row>
    <row r="280" spans="2:7">
      <c r="B280" s="18" t="s">
        <v>260</v>
      </c>
      <c r="C280" s="16" t="s">
        <v>261</v>
      </c>
      <c r="D280" s="19" t="s">
        <v>311</v>
      </c>
      <c r="E280" s="20" t="s">
        <v>1722</v>
      </c>
      <c r="F280" s="16" t="str">
        <f>_xlfn.XLOOKUP(D280,[5]Sheet1!$B:$B,[5]Sheet1!$E:$E,"-")</f>
        <v>NOVIAN</v>
      </c>
      <c r="G280" s="21"/>
    </row>
    <row r="281" spans="2:7">
      <c r="B281" s="18" t="s">
        <v>260</v>
      </c>
      <c r="C281" s="16" t="s">
        <v>261</v>
      </c>
      <c r="D281" s="19" t="s">
        <v>312</v>
      </c>
      <c r="E281" s="20" t="s">
        <v>1722</v>
      </c>
      <c r="F281" s="16" t="str">
        <f>_xlfn.XLOOKUP(D281,[5]Sheet1!$B:$B,[5]Sheet1!$E:$E,"-")</f>
        <v>NOVIAN</v>
      </c>
      <c r="G281" s="21"/>
    </row>
    <row r="282" spans="2:7">
      <c r="B282" s="18" t="s">
        <v>260</v>
      </c>
      <c r="C282" s="16" t="s">
        <v>261</v>
      </c>
      <c r="D282" s="19" t="s">
        <v>313</v>
      </c>
      <c r="E282" s="20" t="s">
        <v>1722</v>
      </c>
      <c r="F282" s="16" t="str">
        <f>_xlfn.XLOOKUP(D282,[5]Sheet1!$B:$B,[5]Sheet1!$E:$E,"-")</f>
        <v>NOVIAN</v>
      </c>
      <c r="G282" s="21"/>
    </row>
    <row r="283" spans="2:7">
      <c r="B283" s="18" t="s">
        <v>260</v>
      </c>
      <c r="C283" s="16" t="s">
        <v>261</v>
      </c>
      <c r="D283" s="19" t="s">
        <v>314</v>
      </c>
      <c r="E283" s="20" t="s">
        <v>1722</v>
      </c>
      <c r="F283" s="16" t="str">
        <f>_xlfn.XLOOKUP(D283,[5]Sheet1!$B:$B,[5]Sheet1!$E:$E,"-")</f>
        <v>NOVIAN</v>
      </c>
      <c r="G283" s="21"/>
    </row>
    <row r="284" spans="2:7">
      <c r="B284" s="18" t="s">
        <v>260</v>
      </c>
      <c r="C284" s="16" t="s">
        <v>261</v>
      </c>
      <c r="D284" s="19" t="s">
        <v>315</v>
      </c>
      <c r="E284" s="20" t="s">
        <v>1745</v>
      </c>
      <c r="F284" s="16" t="str">
        <f>_xlfn.XLOOKUP(D284,[5]Sheet1!$B:$B,[5]Sheet1!$E:$E,"-")</f>
        <v>NOVIAN</v>
      </c>
      <c r="G284" s="21"/>
    </row>
    <row r="285" spans="2:7">
      <c r="B285" s="18" t="s">
        <v>260</v>
      </c>
      <c r="C285" s="16" t="s">
        <v>261</v>
      </c>
      <c r="D285" s="19" t="s">
        <v>316</v>
      </c>
      <c r="E285" s="20" t="s">
        <v>1745</v>
      </c>
      <c r="F285" s="16" t="str">
        <f>_xlfn.XLOOKUP(D285,[5]Sheet1!$B:$B,[5]Sheet1!$E:$E,"-")</f>
        <v>NOVIAN</v>
      </c>
      <c r="G285" s="21"/>
    </row>
    <row r="286" spans="2:7">
      <c r="B286" s="18" t="s">
        <v>260</v>
      </c>
      <c r="C286" s="16" t="s">
        <v>261</v>
      </c>
      <c r="D286" s="19" t="s">
        <v>317</v>
      </c>
      <c r="E286" s="20" t="s">
        <v>1745</v>
      </c>
      <c r="F286" s="16" t="str">
        <f>_xlfn.XLOOKUP(D286,[5]Sheet1!$B:$B,[5]Sheet1!$E:$E,"-")</f>
        <v>NOVIAN</v>
      </c>
      <c r="G286" s="21"/>
    </row>
    <row r="287" spans="2:7">
      <c r="B287" s="18" t="s">
        <v>260</v>
      </c>
      <c r="C287" s="16" t="s">
        <v>261</v>
      </c>
      <c r="D287" s="19" t="s">
        <v>318</v>
      </c>
      <c r="E287" s="20" t="s">
        <v>1745</v>
      </c>
      <c r="F287" s="16" t="str">
        <f>_xlfn.XLOOKUP(D287,[5]Sheet1!$B:$B,[5]Sheet1!$E:$E,"-")</f>
        <v>NOVIAN</v>
      </c>
      <c r="G287" s="21"/>
    </row>
    <row r="288" spans="2:7">
      <c r="B288" s="18" t="s">
        <v>260</v>
      </c>
      <c r="C288" s="16" t="s">
        <v>261</v>
      </c>
      <c r="D288" s="19" t="s">
        <v>319</v>
      </c>
      <c r="E288" s="20" t="s">
        <v>1745</v>
      </c>
      <c r="F288" s="16" t="str">
        <f>_xlfn.XLOOKUP(D288,[5]Sheet1!$B:$B,[5]Sheet1!$E:$E,"-")</f>
        <v>NOVIAN</v>
      </c>
      <c r="G288" s="21"/>
    </row>
    <row r="289" spans="2:7">
      <c r="B289" s="18" t="s">
        <v>260</v>
      </c>
      <c r="C289" s="16" t="s">
        <v>261</v>
      </c>
      <c r="D289" s="19" t="s">
        <v>320</v>
      </c>
      <c r="E289" s="20" t="s">
        <v>1722</v>
      </c>
      <c r="F289" s="16" t="str">
        <f>_xlfn.XLOOKUP(D289,[5]Sheet1!$B:$B,[5]Sheet1!$E:$E,"-")</f>
        <v>NOVIAN</v>
      </c>
      <c r="G289" s="21"/>
    </row>
    <row r="290" spans="2:7">
      <c r="B290" s="18" t="s">
        <v>260</v>
      </c>
      <c r="C290" s="16" t="s">
        <v>261</v>
      </c>
      <c r="D290" s="19" t="s">
        <v>321</v>
      </c>
      <c r="E290" s="20" t="s">
        <v>1722</v>
      </c>
      <c r="F290" s="16" t="str">
        <f>_xlfn.XLOOKUP(D290,[5]Sheet1!$B:$B,[5]Sheet1!$E:$E,"-")</f>
        <v>M PAREZA NOVIK</v>
      </c>
      <c r="G290" s="21"/>
    </row>
    <row r="291" spans="2:7">
      <c r="B291" s="18" t="s">
        <v>260</v>
      </c>
      <c r="C291" s="16" t="s">
        <v>261</v>
      </c>
      <c r="D291" s="19" t="s">
        <v>322</v>
      </c>
      <c r="E291" s="20" t="s">
        <v>1722</v>
      </c>
      <c r="F291" s="16" t="str">
        <f>_xlfn.XLOOKUP(D291,[5]Sheet1!$B:$B,[5]Sheet1!$E:$E,"-")</f>
        <v>M PAREZA NOVIK</v>
      </c>
      <c r="G291" s="21"/>
    </row>
    <row r="292" spans="2:7">
      <c r="B292" s="18" t="s">
        <v>260</v>
      </c>
      <c r="C292" s="16" t="s">
        <v>261</v>
      </c>
      <c r="D292" s="19" t="s">
        <v>323</v>
      </c>
      <c r="E292" s="20" t="s">
        <v>1722</v>
      </c>
      <c r="F292" s="16" t="str">
        <f>_xlfn.XLOOKUP(D292,[5]Sheet1!$B:$B,[5]Sheet1!$E:$E,"-")</f>
        <v>M PAREZA NOVIK</v>
      </c>
      <c r="G292" s="21"/>
    </row>
    <row r="293" spans="2:7">
      <c r="B293" s="18" t="s">
        <v>260</v>
      </c>
      <c r="C293" s="16" t="s">
        <v>261</v>
      </c>
      <c r="D293" s="19" t="s">
        <v>324</v>
      </c>
      <c r="E293" s="20" t="s">
        <v>1722</v>
      </c>
      <c r="F293" s="16" t="str">
        <f>_xlfn.XLOOKUP(D293,[5]Sheet1!$B:$B,[5]Sheet1!$E:$E,"-")</f>
        <v>M PAREZA NOVIK</v>
      </c>
      <c r="G293" s="21"/>
    </row>
    <row r="294" spans="2:7">
      <c r="B294" s="18" t="s">
        <v>260</v>
      </c>
      <c r="C294" s="16" t="s">
        <v>261</v>
      </c>
      <c r="D294" s="19" t="s">
        <v>325</v>
      </c>
      <c r="E294" s="20" t="s">
        <v>1722</v>
      </c>
      <c r="F294" s="16" t="str">
        <f>_xlfn.XLOOKUP(D294,[5]Sheet1!$B:$B,[5]Sheet1!$E:$E,"-")</f>
        <v>M PAREZA NOVIK</v>
      </c>
      <c r="G294" s="21"/>
    </row>
    <row r="295" spans="2:7">
      <c r="B295" s="18" t="s">
        <v>260</v>
      </c>
      <c r="C295" s="16" t="s">
        <v>261</v>
      </c>
      <c r="D295" s="19" t="s">
        <v>326</v>
      </c>
      <c r="E295" s="20" t="s">
        <v>1745</v>
      </c>
      <c r="F295" s="16" t="str">
        <f>_xlfn.XLOOKUP(D295,[5]Sheet1!$B:$B,[5]Sheet1!$E:$E,"-")</f>
        <v>M PAREZA NOVIK</v>
      </c>
      <c r="G295" s="21"/>
    </row>
    <row r="296" spans="2:7">
      <c r="B296" s="18" t="s">
        <v>260</v>
      </c>
      <c r="C296" s="16" t="s">
        <v>261</v>
      </c>
      <c r="D296" s="19" t="s">
        <v>327</v>
      </c>
      <c r="E296" s="20" t="s">
        <v>1745</v>
      </c>
      <c r="F296" s="16" t="str">
        <f>_xlfn.XLOOKUP(D296,[5]Sheet1!$B:$B,[5]Sheet1!$E:$E,"-")</f>
        <v>M PAREZA NOVIK</v>
      </c>
      <c r="G296" s="21"/>
    </row>
    <row r="297" spans="2:7">
      <c r="B297" s="18" t="s">
        <v>260</v>
      </c>
      <c r="C297" s="16" t="s">
        <v>261</v>
      </c>
      <c r="D297" s="19" t="s">
        <v>328</v>
      </c>
      <c r="E297" s="20" t="s">
        <v>1745</v>
      </c>
      <c r="F297" s="16" t="str">
        <f>_xlfn.XLOOKUP(D297,[5]Sheet1!$B:$B,[5]Sheet1!$E:$E,"-")</f>
        <v>M PAREZA NOVIK</v>
      </c>
      <c r="G297" s="21"/>
    </row>
    <row r="298" spans="2:7">
      <c r="B298" s="18" t="s">
        <v>260</v>
      </c>
      <c r="C298" s="16" t="s">
        <v>261</v>
      </c>
      <c r="D298" s="19" t="s">
        <v>329</v>
      </c>
      <c r="E298" s="20" t="s">
        <v>1745</v>
      </c>
      <c r="F298" s="16" t="str">
        <f>_xlfn.XLOOKUP(D298,[5]Sheet1!$B:$B,[5]Sheet1!$E:$E,"-")</f>
        <v>M PAREZA NOVIK</v>
      </c>
      <c r="G298" s="21"/>
    </row>
    <row r="299" spans="2:7">
      <c r="B299" s="18" t="s">
        <v>260</v>
      </c>
      <c r="C299" s="16" t="s">
        <v>261</v>
      </c>
      <c r="D299" s="19" t="s">
        <v>330</v>
      </c>
      <c r="E299" s="20" t="s">
        <v>1745</v>
      </c>
      <c r="F299" s="16" t="str">
        <f>_xlfn.XLOOKUP(D299,[5]Sheet1!$B:$B,[5]Sheet1!$E:$E,"-")</f>
        <v>M PAREZA NOVIK</v>
      </c>
      <c r="G299" s="21"/>
    </row>
    <row r="300" spans="2:7">
      <c r="B300" s="18" t="s">
        <v>260</v>
      </c>
      <c r="C300" s="16" t="s">
        <v>261</v>
      </c>
      <c r="D300" s="19" t="s">
        <v>331</v>
      </c>
      <c r="E300" s="20" t="s">
        <v>1722</v>
      </c>
      <c r="F300" s="16" t="str">
        <f>_xlfn.XLOOKUP(D300,[5]Sheet1!$B:$B,[5]Sheet1!$E:$E,"-")</f>
        <v>M PAREZA NOVIK</v>
      </c>
      <c r="G300" s="21"/>
    </row>
    <row r="301" spans="2:7">
      <c r="B301" s="18" t="s">
        <v>260</v>
      </c>
      <c r="C301" s="16" t="s">
        <v>261</v>
      </c>
      <c r="D301" s="19" t="s">
        <v>332</v>
      </c>
      <c r="E301" s="20" t="s">
        <v>1722</v>
      </c>
      <c r="F301" s="16" t="str">
        <f>_xlfn.XLOOKUP(D301,[5]Sheet1!$B:$B,[5]Sheet1!$E:$E,"-")</f>
        <v>M PAREZA NOVIK</v>
      </c>
      <c r="G301" s="21"/>
    </row>
    <row r="302" spans="2:7">
      <c r="B302" s="18" t="s">
        <v>260</v>
      </c>
      <c r="C302" s="16" t="s">
        <v>261</v>
      </c>
      <c r="D302" s="19" t="s">
        <v>333</v>
      </c>
      <c r="E302" s="20" t="s">
        <v>1745</v>
      </c>
      <c r="F302" s="16" t="str">
        <f>_xlfn.XLOOKUP(D302,[5]Sheet1!$B:$B,[5]Sheet1!$E:$E,"-")</f>
        <v>M PAREZA NOVIK</v>
      </c>
      <c r="G302" s="21"/>
    </row>
    <row r="303" spans="2:7">
      <c r="B303" s="18" t="s">
        <v>260</v>
      </c>
      <c r="C303" s="16" t="s">
        <v>261</v>
      </c>
      <c r="D303" s="19" t="s">
        <v>334</v>
      </c>
      <c r="E303" s="20" t="s">
        <v>1722</v>
      </c>
      <c r="F303" s="16" t="str">
        <f>_xlfn.XLOOKUP(D303,[5]Sheet1!$B:$B,[5]Sheet1!$E:$E,"-")</f>
        <v>M PAREZA NOVIK</v>
      </c>
      <c r="G303" s="21"/>
    </row>
    <row r="304" spans="2:7">
      <c r="B304" s="18" t="s">
        <v>260</v>
      </c>
      <c r="C304" s="16" t="s">
        <v>261</v>
      </c>
      <c r="D304" s="19" t="s">
        <v>335</v>
      </c>
      <c r="E304" s="20" t="s">
        <v>1722</v>
      </c>
      <c r="F304" s="16" t="str">
        <f>_xlfn.XLOOKUP(D304,[5]Sheet1!$B:$B,[5]Sheet1!$E:$E,"-")</f>
        <v>WIN KARYADI H P</v>
      </c>
      <c r="G304" s="21"/>
    </row>
    <row r="305" spans="2:7">
      <c r="B305" s="18" t="s">
        <v>260</v>
      </c>
      <c r="C305" s="16" t="s">
        <v>261</v>
      </c>
      <c r="D305" s="19" t="s">
        <v>336</v>
      </c>
      <c r="E305" s="20" t="s">
        <v>1722</v>
      </c>
      <c r="F305" s="16" t="str">
        <f>_xlfn.XLOOKUP(D305,[5]Sheet1!$B:$B,[5]Sheet1!$E:$E,"-")</f>
        <v>WIN KARYADI H P</v>
      </c>
      <c r="G305" s="21"/>
    </row>
    <row r="306" spans="2:7">
      <c r="B306" s="18" t="s">
        <v>260</v>
      </c>
      <c r="C306" s="16" t="s">
        <v>261</v>
      </c>
      <c r="D306" s="19" t="s">
        <v>337</v>
      </c>
      <c r="E306" s="20" t="s">
        <v>1722</v>
      </c>
      <c r="F306" s="16" t="str">
        <f>_xlfn.XLOOKUP(D306,[5]Sheet1!$B:$B,[5]Sheet1!$E:$E,"-")</f>
        <v>WIN KARYADI H P</v>
      </c>
      <c r="G306" s="21"/>
    </row>
    <row r="307" spans="2:7">
      <c r="B307" s="18" t="s">
        <v>260</v>
      </c>
      <c r="C307" s="16" t="s">
        <v>261</v>
      </c>
      <c r="D307" s="19" t="s">
        <v>338</v>
      </c>
      <c r="E307" s="20" t="s">
        <v>1722</v>
      </c>
      <c r="F307" s="16" t="str">
        <f>_xlfn.XLOOKUP(D307,[5]Sheet1!$B:$B,[5]Sheet1!$E:$E,"-")</f>
        <v>WIN KARYADI H P</v>
      </c>
      <c r="G307" s="21"/>
    </row>
    <row r="308" spans="2:7">
      <c r="B308" s="18" t="s">
        <v>260</v>
      </c>
      <c r="C308" s="16" t="s">
        <v>261</v>
      </c>
      <c r="D308" s="19" t="s">
        <v>339</v>
      </c>
      <c r="E308" s="20" t="s">
        <v>1722</v>
      </c>
      <c r="F308" s="16" t="str">
        <f>_xlfn.XLOOKUP(D308,[5]Sheet1!$B:$B,[5]Sheet1!$E:$E,"-")</f>
        <v>WIN KARYADI H P</v>
      </c>
      <c r="G308" s="21"/>
    </row>
    <row r="309" spans="2:7">
      <c r="B309" s="18" t="s">
        <v>260</v>
      </c>
      <c r="C309" s="16" t="s">
        <v>261</v>
      </c>
      <c r="D309" s="19" t="s">
        <v>340</v>
      </c>
      <c r="E309" s="20" t="s">
        <v>1745</v>
      </c>
      <c r="F309" s="16" t="str">
        <f>_xlfn.XLOOKUP(D309,[5]Sheet1!$B:$B,[5]Sheet1!$E:$E,"-")</f>
        <v>WIN KARYADI H P</v>
      </c>
      <c r="G309" s="21"/>
    </row>
    <row r="310" spans="2:7">
      <c r="B310" s="18" t="s">
        <v>260</v>
      </c>
      <c r="C310" s="16" t="s">
        <v>261</v>
      </c>
      <c r="D310" s="19" t="s">
        <v>341</v>
      </c>
      <c r="E310" s="20" t="s">
        <v>1745</v>
      </c>
      <c r="F310" s="16" t="str">
        <f>_xlfn.XLOOKUP(D310,[5]Sheet1!$B:$B,[5]Sheet1!$E:$E,"-")</f>
        <v>WIN KARYADI H P</v>
      </c>
      <c r="G310" s="21"/>
    </row>
    <row r="311" spans="2:7">
      <c r="B311" s="18" t="s">
        <v>260</v>
      </c>
      <c r="C311" s="16" t="s">
        <v>261</v>
      </c>
      <c r="D311" s="19" t="s">
        <v>342</v>
      </c>
      <c r="E311" s="20" t="s">
        <v>1745</v>
      </c>
      <c r="F311" s="16" t="str">
        <f>_xlfn.XLOOKUP(D311,[5]Sheet1!$B:$B,[5]Sheet1!$E:$E,"-")</f>
        <v>WIN KARYADI H P</v>
      </c>
      <c r="G311" s="21"/>
    </row>
    <row r="312" spans="2:7">
      <c r="B312" s="18" t="s">
        <v>260</v>
      </c>
      <c r="C312" s="16" t="s">
        <v>261</v>
      </c>
      <c r="D312" s="19" t="s">
        <v>343</v>
      </c>
      <c r="E312" s="20" t="s">
        <v>1745</v>
      </c>
      <c r="F312" s="16" t="str">
        <f>_xlfn.XLOOKUP(D312,[5]Sheet1!$B:$B,[5]Sheet1!$E:$E,"-")</f>
        <v>WIN KARYADI H P</v>
      </c>
      <c r="G312" s="21"/>
    </row>
    <row r="313" spans="2:7">
      <c r="B313" s="18" t="s">
        <v>260</v>
      </c>
      <c r="C313" s="16" t="s">
        <v>261</v>
      </c>
      <c r="D313" s="19" t="s">
        <v>344</v>
      </c>
      <c r="E313" s="20" t="s">
        <v>1745</v>
      </c>
      <c r="F313" s="16" t="str">
        <f>_xlfn.XLOOKUP(D313,[5]Sheet1!$B:$B,[5]Sheet1!$E:$E,"-")</f>
        <v>WIN KARYADI H P</v>
      </c>
      <c r="G313" s="21"/>
    </row>
    <row r="314" spans="2:7">
      <c r="B314" s="18" t="s">
        <v>260</v>
      </c>
      <c r="C314" s="16" t="s">
        <v>261</v>
      </c>
      <c r="D314" s="19" t="s">
        <v>345</v>
      </c>
      <c r="E314" s="20" t="s">
        <v>1722</v>
      </c>
      <c r="F314" s="16" t="str">
        <f>_xlfn.XLOOKUP(D314,[5]Sheet1!$B:$B,[5]Sheet1!$E:$E,"-")</f>
        <v>WIN KARYADI H P</v>
      </c>
      <c r="G314" s="21"/>
    </row>
    <row r="315" spans="2:7">
      <c r="B315" s="18" t="s">
        <v>260</v>
      </c>
      <c r="C315" s="16" t="s">
        <v>261</v>
      </c>
      <c r="D315" s="19" t="s">
        <v>346</v>
      </c>
      <c r="E315" s="20" t="s">
        <v>1745</v>
      </c>
      <c r="F315" s="16" t="str">
        <f>_xlfn.XLOOKUP(D315,[5]Sheet1!$B:$B,[5]Sheet1!$E:$E,"-")</f>
        <v>WIN KARYADI H P</v>
      </c>
      <c r="G315" s="21"/>
    </row>
    <row r="316" spans="2:7">
      <c r="B316" s="18" t="s">
        <v>260</v>
      </c>
      <c r="C316" s="16" t="s">
        <v>261</v>
      </c>
      <c r="D316" s="19" t="s">
        <v>347</v>
      </c>
      <c r="E316" s="20" t="s">
        <v>1745</v>
      </c>
      <c r="F316" s="16" t="str">
        <f>_xlfn.XLOOKUP(D316,[5]Sheet1!$B:$B,[5]Sheet1!$E:$E,"-")</f>
        <v>WIN KARYADI H P</v>
      </c>
      <c r="G316" s="21"/>
    </row>
    <row r="317" spans="2:7">
      <c r="B317" s="18" t="s">
        <v>260</v>
      </c>
      <c r="C317" s="16" t="s">
        <v>261</v>
      </c>
      <c r="D317" s="19" t="s">
        <v>348</v>
      </c>
      <c r="E317" s="20" t="s">
        <v>1745</v>
      </c>
      <c r="F317" s="16" t="str">
        <f>_xlfn.XLOOKUP(D317,[5]Sheet1!$B:$B,[5]Sheet1!$E:$E,"-")</f>
        <v>WIN KARYADI H P</v>
      </c>
      <c r="G317" s="21"/>
    </row>
    <row r="318" spans="2:7">
      <c r="B318" s="18" t="s">
        <v>260</v>
      </c>
      <c r="C318" s="16" t="s">
        <v>261</v>
      </c>
      <c r="D318" s="19" t="s">
        <v>349</v>
      </c>
      <c r="E318" s="20" t="s">
        <v>1745</v>
      </c>
      <c r="F318" s="16" t="str">
        <f>_xlfn.XLOOKUP(D318,[5]Sheet1!$B:$B,[5]Sheet1!$E:$E,"-")</f>
        <v>WIN KARYADI H P</v>
      </c>
      <c r="G318" s="21"/>
    </row>
    <row r="319" spans="2:7">
      <c r="B319" s="18" t="s">
        <v>350</v>
      </c>
      <c r="C319" s="16" t="s">
        <v>351</v>
      </c>
      <c r="D319" s="19" t="s">
        <v>352</v>
      </c>
      <c r="E319" s="20" t="s">
        <v>1722</v>
      </c>
      <c r="F319" s="16" t="s">
        <v>1746</v>
      </c>
      <c r="G319" s="21"/>
    </row>
    <row r="320" spans="2:7">
      <c r="B320" s="18" t="s">
        <v>350</v>
      </c>
      <c r="C320" s="16" t="s">
        <v>351</v>
      </c>
      <c r="D320" s="19" t="s">
        <v>353</v>
      </c>
      <c r="E320" s="20" t="s">
        <v>1722</v>
      </c>
      <c r="F320" s="16"/>
      <c r="G320" s="21"/>
    </row>
    <row r="321" spans="2:7">
      <c r="B321" s="18" t="s">
        <v>350</v>
      </c>
      <c r="C321" s="16" t="s">
        <v>351</v>
      </c>
      <c r="D321" s="19" t="s">
        <v>354</v>
      </c>
      <c r="E321" s="20" t="s">
        <v>1722</v>
      </c>
      <c r="F321" s="16" t="s">
        <v>1747</v>
      </c>
      <c r="G321" s="21"/>
    </row>
    <row r="322" spans="2:7">
      <c r="B322" s="18" t="s">
        <v>350</v>
      </c>
      <c r="C322" s="16" t="s">
        <v>351</v>
      </c>
      <c r="D322" s="19" t="s">
        <v>355</v>
      </c>
      <c r="E322" s="20" t="s">
        <v>1722</v>
      </c>
      <c r="F322" s="16"/>
      <c r="G322" s="21"/>
    </row>
    <row r="323" spans="2:7">
      <c r="B323" s="18" t="s">
        <v>350</v>
      </c>
      <c r="C323" s="16" t="s">
        <v>351</v>
      </c>
      <c r="D323" s="19" t="s">
        <v>356</v>
      </c>
      <c r="E323" s="20" t="s">
        <v>1722</v>
      </c>
      <c r="F323" s="16" t="s">
        <v>1748</v>
      </c>
      <c r="G323" s="21"/>
    </row>
    <row r="324" spans="2:7">
      <c r="B324" s="18" t="s">
        <v>350</v>
      </c>
      <c r="C324" s="16" t="s">
        <v>351</v>
      </c>
      <c r="D324" s="19" t="s">
        <v>357</v>
      </c>
      <c r="E324" s="20" t="s">
        <v>1722</v>
      </c>
      <c r="F324" s="16" t="s">
        <v>1749</v>
      </c>
      <c r="G324" s="21"/>
    </row>
    <row r="325" spans="2:7">
      <c r="B325" s="18" t="s">
        <v>350</v>
      </c>
      <c r="C325" s="16" t="s">
        <v>351</v>
      </c>
      <c r="D325" s="19" t="s">
        <v>358</v>
      </c>
      <c r="E325" s="20" t="s">
        <v>1722</v>
      </c>
      <c r="F325" s="16" t="s">
        <v>1749</v>
      </c>
      <c r="G325" s="21"/>
    </row>
    <row r="326" spans="2:7">
      <c r="B326" s="18" t="s">
        <v>350</v>
      </c>
      <c r="C326" s="16" t="s">
        <v>351</v>
      </c>
      <c r="D326" s="19" t="s">
        <v>359</v>
      </c>
      <c r="E326" s="20" t="s">
        <v>1722</v>
      </c>
      <c r="F326" s="16" t="s">
        <v>1750</v>
      </c>
      <c r="G326" s="21"/>
    </row>
    <row r="327" spans="2:7">
      <c r="B327" s="18" t="s">
        <v>350</v>
      </c>
      <c r="C327" s="16" t="s">
        <v>351</v>
      </c>
      <c r="D327" s="19" t="s">
        <v>360</v>
      </c>
      <c r="E327" s="20" t="s">
        <v>1722</v>
      </c>
      <c r="F327" s="16" t="s">
        <v>1751</v>
      </c>
      <c r="G327" s="21"/>
    </row>
    <row r="328" spans="2:7">
      <c r="B328" s="18" t="s">
        <v>350</v>
      </c>
      <c r="C328" s="16" t="s">
        <v>351</v>
      </c>
      <c r="D328" s="19" t="s">
        <v>361</v>
      </c>
      <c r="E328" s="20" t="s">
        <v>1722</v>
      </c>
      <c r="F328" s="16" t="s">
        <v>1752</v>
      </c>
      <c r="G328" s="21"/>
    </row>
    <row r="329" spans="2:7">
      <c r="B329" s="18" t="s">
        <v>350</v>
      </c>
      <c r="C329" s="16" t="s">
        <v>351</v>
      </c>
      <c r="D329" s="19" t="s">
        <v>362</v>
      </c>
      <c r="E329" s="20" t="s">
        <v>1722</v>
      </c>
      <c r="F329" s="16" t="s">
        <v>1753</v>
      </c>
      <c r="G329" s="21"/>
    </row>
    <row r="330" spans="2:7">
      <c r="B330" s="18" t="s">
        <v>350</v>
      </c>
      <c r="C330" s="16" t="s">
        <v>351</v>
      </c>
      <c r="D330" s="19" t="s">
        <v>363</v>
      </c>
      <c r="E330" s="20" t="s">
        <v>1722</v>
      </c>
      <c r="F330" s="16" t="s">
        <v>1754</v>
      </c>
      <c r="G330" s="21"/>
    </row>
    <row r="331" spans="2:7">
      <c r="B331" s="18" t="s">
        <v>350</v>
      </c>
      <c r="C331" s="16" t="s">
        <v>351</v>
      </c>
      <c r="D331" s="19" t="s">
        <v>364</v>
      </c>
      <c r="E331" s="20" t="s">
        <v>1722</v>
      </c>
      <c r="F331" s="16" t="s">
        <v>1754</v>
      </c>
      <c r="G331" s="21"/>
    </row>
    <row r="332" spans="2:7">
      <c r="B332" s="18" t="s">
        <v>350</v>
      </c>
      <c r="C332" s="16" t="s">
        <v>351</v>
      </c>
      <c r="D332" s="19" t="s">
        <v>365</v>
      </c>
      <c r="E332" s="20" t="s">
        <v>1722</v>
      </c>
      <c r="F332" s="16" t="s">
        <v>1755</v>
      </c>
      <c r="G332" s="21"/>
    </row>
    <row r="333" spans="2:7">
      <c r="B333" s="18" t="s">
        <v>350</v>
      </c>
      <c r="C333" s="16" t="s">
        <v>351</v>
      </c>
      <c r="D333" s="19" t="s">
        <v>366</v>
      </c>
      <c r="E333" s="20" t="s">
        <v>1722</v>
      </c>
      <c r="F333" s="16" t="s">
        <v>1755</v>
      </c>
      <c r="G333" s="21"/>
    </row>
    <row r="334" spans="2:7">
      <c r="B334" s="18" t="s">
        <v>350</v>
      </c>
      <c r="C334" s="16" t="s">
        <v>351</v>
      </c>
      <c r="D334" s="19" t="s">
        <v>367</v>
      </c>
      <c r="E334" s="20" t="s">
        <v>1722</v>
      </c>
      <c r="F334" s="16" t="s">
        <v>1756</v>
      </c>
      <c r="G334" s="21"/>
    </row>
    <row r="335" spans="2:7">
      <c r="B335" s="18" t="s">
        <v>350</v>
      </c>
      <c r="C335" s="16" t="s">
        <v>351</v>
      </c>
      <c r="D335" s="19" t="s">
        <v>368</v>
      </c>
      <c r="E335" s="20" t="s">
        <v>1722</v>
      </c>
      <c r="F335" s="16" t="s">
        <v>1756</v>
      </c>
      <c r="G335" s="21"/>
    </row>
    <row r="336" spans="2:7">
      <c r="B336" s="18" t="s">
        <v>350</v>
      </c>
      <c r="C336" s="16" t="s">
        <v>351</v>
      </c>
      <c r="D336" s="19" t="s">
        <v>369</v>
      </c>
      <c r="E336" s="20" t="s">
        <v>1722</v>
      </c>
      <c r="F336" s="16" t="s">
        <v>1757</v>
      </c>
      <c r="G336" s="21"/>
    </row>
    <row r="337" spans="2:7">
      <c r="B337" s="18" t="s">
        <v>350</v>
      </c>
      <c r="C337" s="16" t="s">
        <v>351</v>
      </c>
      <c r="D337" s="19" t="s">
        <v>370</v>
      </c>
      <c r="E337" s="20" t="s">
        <v>1745</v>
      </c>
      <c r="F337" s="16" t="s">
        <v>1758</v>
      </c>
      <c r="G337" s="21"/>
    </row>
    <row r="338" spans="2:7">
      <c r="B338" s="18" t="s">
        <v>350</v>
      </c>
      <c r="C338" s="16" t="s">
        <v>351</v>
      </c>
      <c r="D338" s="19" t="s">
        <v>371</v>
      </c>
      <c r="E338" s="20" t="s">
        <v>1745</v>
      </c>
      <c r="F338" s="16" t="s">
        <v>1759</v>
      </c>
      <c r="G338" s="21"/>
    </row>
    <row r="339" spans="2:7">
      <c r="B339" s="18" t="s">
        <v>350</v>
      </c>
      <c r="C339" s="16" t="s">
        <v>351</v>
      </c>
      <c r="D339" s="19" t="s">
        <v>372</v>
      </c>
      <c r="E339" s="20" t="s">
        <v>1745</v>
      </c>
      <c r="F339" s="16" t="s">
        <v>1760</v>
      </c>
      <c r="G339" s="21"/>
    </row>
    <row r="340" spans="2:7">
      <c r="B340" s="18" t="s">
        <v>350</v>
      </c>
      <c r="C340" s="16" t="s">
        <v>351</v>
      </c>
      <c r="D340" s="19" t="s">
        <v>373</v>
      </c>
      <c r="E340" s="20" t="s">
        <v>1745</v>
      </c>
      <c r="F340" s="16" t="s">
        <v>1761</v>
      </c>
      <c r="G340" s="21"/>
    </row>
    <row r="341" spans="2:7">
      <c r="B341" s="18" t="s">
        <v>350</v>
      </c>
      <c r="C341" s="16" t="s">
        <v>351</v>
      </c>
      <c r="D341" s="19" t="s">
        <v>374</v>
      </c>
      <c r="E341" s="20" t="s">
        <v>1722</v>
      </c>
      <c r="F341" s="16" t="s">
        <v>1762</v>
      </c>
      <c r="G341" s="21"/>
    </row>
    <row r="342" spans="2:7">
      <c r="B342" s="22" t="s">
        <v>375</v>
      </c>
      <c r="C342" s="23" t="s">
        <v>376</v>
      </c>
      <c r="D342" s="24" t="s">
        <v>377</v>
      </c>
      <c r="E342" s="25" t="s">
        <v>1722</v>
      </c>
      <c r="F342" s="16" t="str">
        <f>_xlfn.XLOOKUP(D342,[6]Sheet1!$C:$C,[6]Sheet1!$F:$F,"-")</f>
        <v>Adang Suhara</v>
      </c>
      <c r="G342" s="21"/>
    </row>
    <row r="343" spans="2:7">
      <c r="B343" s="22" t="s">
        <v>375</v>
      </c>
      <c r="C343" s="23" t="s">
        <v>376</v>
      </c>
      <c r="D343" s="24" t="s">
        <v>378</v>
      </c>
      <c r="E343" s="25" t="s">
        <v>1722</v>
      </c>
      <c r="F343" s="16" t="str">
        <f>_xlfn.XLOOKUP(D343,[6]Sheet1!$C:$C,[6]Sheet1!$F:$F,"-")</f>
        <v>Aries Yudie Ahmadi, S.Kesos</v>
      </c>
      <c r="G343" s="21"/>
    </row>
    <row r="344" spans="2:7">
      <c r="B344" s="22" t="s">
        <v>375</v>
      </c>
      <c r="C344" s="23" t="s">
        <v>376</v>
      </c>
      <c r="D344" s="24" t="s">
        <v>379</v>
      </c>
      <c r="E344" s="25" t="s">
        <v>1722</v>
      </c>
      <c r="F344" s="16" t="str">
        <f>_xlfn.XLOOKUP(D344,[6]Sheet1!$C:$C,[6]Sheet1!$F:$F,"-")</f>
        <v>Budi Mulyana</v>
      </c>
      <c r="G344" s="21"/>
    </row>
    <row r="345" spans="2:7">
      <c r="B345" s="22" t="s">
        <v>375</v>
      </c>
      <c r="C345" s="23" t="s">
        <v>376</v>
      </c>
      <c r="D345" s="24" t="s">
        <v>380</v>
      </c>
      <c r="E345" s="25" t="s">
        <v>1722</v>
      </c>
      <c r="F345" s="16" t="str">
        <f>_xlfn.XLOOKUP(D345,[6]Sheet1!$C:$C,[6]Sheet1!$F:$F,"-")</f>
        <v>Deni Fathurrohman</v>
      </c>
      <c r="G345" s="21"/>
    </row>
    <row r="346" spans="2:7">
      <c r="B346" s="22" t="s">
        <v>375</v>
      </c>
      <c r="C346" s="23" t="s">
        <v>376</v>
      </c>
      <c r="D346" s="24" t="s">
        <v>381</v>
      </c>
      <c r="E346" s="25" t="s">
        <v>1722</v>
      </c>
      <c r="F346" s="16" t="str">
        <f>_xlfn.XLOOKUP(D346,[6]Sheet1!$C:$C,[6]Sheet1!$F:$F,"-")</f>
        <v>Didi Supriadi</v>
      </c>
      <c r="G346" s="21"/>
    </row>
    <row r="347" spans="2:7">
      <c r="B347" s="22" t="s">
        <v>375</v>
      </c>
      <c r="C347" s="23" t="s">
        <v>376</v>
      </c>
      <c r="D347" s="24" t="s">
        <v>382</v>
      </c>
      <c r="E347" s="25" t="s">
        <v>1722</v>
      </c>
      <c r="F347" s="16" t="str">
        <f>_xlfn.XLOOKUP(D347,[6]Sheet1!$C:$C,[6]Sheet1!$F:$F,"-")</f>
        <v>Dudin Joharudin</v>
      </c>
      <c r="G347" s="21"/>
    </row>
    <row r="348" spans="2:7">
      <c r="B348" s="22" t="s">
        <v>375</v>
      </c>
      <c r="C348" s="23" t="s">
        <v>376</v>
      </c>
      <c r="D348" s="24" t="s">
        <v>383</v>
      </c>
      <c r="E348" s="25" t="s">
        <v>1722</v>
      </c>
      <c r="F348" s="16" t="str">
        <f>_xlfn.XLOOKUP(D348,[6]Sheet1!$C:$C,[6]Sheet1!$F:$F,"-")</f>
        <v>Hikmat Maulana</v>
      </c>
      <c r="G348" s="21"/>
    </row>
    <row r="349" spans="2:7">
      <c r="B349" s="22" t="s">
        <v>375</v>
      </c>
      <c r="C349" s="23" t="s">
        <v>376</v>
      </c>
      <c r="D349" s="24" t="s">
        <v>384</v>
      </c>
      <c r="E349" s="25" t="s">
        <v>1722</v>
      </c>
      <c r="F349" s="16" t="str">
        <f>_xlfn.XLOOKUP(D349,[6]Sheet1!$C:$C,[6]Sheet1!$F:$F,"-")</f>
        <v>Iqbal Permana</v>
      </c>
      <c r="G349" s="21"/>
    </row>
    <row r="350" spans="2:7">
      <c r="B350" s="22" t="s">
        <v>375</v>
      </c>
      <c r="C350" s="23" t="s">
        <v>376</v>
      </c>
      <c r="D350" s="24" t="s">
        <v>385</v>
      </c>
      <c r="E350" s="25" t="s">
        <v>1722</v>
      </c>
      <c r="F350" s="16" t="str">
        <f>_xlfn.XLOOKUP(D350,[6]Sheet1!$C:$C,[6]Sheet1!$F:$F,"-")</f>
        <v>Nana suryana</v>
      </c>
      <c r="G350" s="21"/>
    </row>
    <row r="351" spans="2:7">
      <c r="B351" s="22" t="s">
        <v>375</v>
      </c>
      <c r="C351" s="23" t="s">
        <v>376</v>
      </c>
      <c r="D351" s="24" t="s">
        <v>386</v>
      </c>
      <c r="E351" s="25" t="s">
        <v>1722</v>
      </c>
      <c r="F351" s="16" t="str">
        <f>_xlfn.XLOOKUP(D351,[6]Sheet1!$C:$C,[6]Sheet1!$F:$F,"-")</f>
        <v>Paryono</v>
      </c>
      <c r="G351" s="21"/>
    </row>
    <row r="352" spans="2:7">
      <c r="B352" s="22" t="s">
        <v>375</v>
      </c>
      <c r="C352" s="23" t="s">
        <v>376</v>
      </c>
      <c r="D352" s="24" t="s">
        <v>387</v>
      </c>
      <c r="E352" s="25" t="s">
        <v>1722</v>
      </c>
      <c r="F352" s="16" t="str">
        <f>_xlfn.XLOOKUP(D352,[6]Sheet1!$C:$C,[6]Sheet1!$F:$F,"-")</f>
        <v>Vichi Ramadhan</v>
      </c>
      <c r="G352" s="21"/>
    </row>
    <row r="353" spans="2:7">
      <c r="B353" s="22" t="s">
        <v>375</v>
      </c>
      <c r="C353" s="23" t="s">
        <v>376</v>
      </c>
      <c r="D353" s="24" t="s">
        <v>388</v>
      </c>
      <c r="E353" s="25" t="s">
        <v>1722</v>
      </c>
      <c r="F353" s="16" t="str">
        <f>_xlfn.XLOOKUP(D353,[6]Sheet1!$C:$C,[6]Sheet1!$F:$F,"-")</f>
        <v>Yandi Cahyadi, SE</v>
      </c>
      <c r="G353" s="21"/>
    </row>
    <row r="354" spans="2:7">
      <c r="B354" s="22" t="s">
        <v>375</v>
      </c>
      <c r="C354" s="23" t="s">
        <v>376</v>
      </c>
      <c r="D354" s="24" t="s">
        <v>389</v>
      </c>
      <c r="E354" s="25" t="s">
        <v>1722</v>
      </c>
      <c r="F354" s="16" t="str">
        <f>_xlfn.XLOOKUP(D354,[6]Sheet1!$C:$C,[6]Sheet1!$F:$F,"-")</f>
        <v>-</v>
      </c>
      <c r="G354" s="21"/>
    </row>
    <row r="355" spans="2:7">
      <c r="B355" s="22" t="s">
        <v>375</v>
      </c>
      <c r="C355" s="23" t="s">
        <v>376</v>
      </c>
      <c r="D355" s="24" t="s">
        <v>390</v>
      </c>
      <c r="E355" s="25" t="s">
        <v>1745</v>
      </c>
      <c r="F355" s="16" t="str">
        <f>_xlfn.XLOOKUP(D355,[6]Sheet1!$C:$C,[6]Sheet1!$F:$F,"-")</f>
        <v>Bayu Triguna Putra</v>
      </c>
      <c r="G355" s="21"/>
    </row>
    <row r="356" spans="2:7">
      <c r="B356" s="22" t="s">
        <v>375</v>
      </c>
      <c r="C356" s="23" t="s">
        <v>376</v>
      </c>
      <c r="D356" s="24" t="s">
        <v>391</v>
      </c>
      <c r="E356" s="25" t="s">
        <v>1745</v>
      </c>
      <c r="F356" s="16" t="str">
        <f>_xlfn.XLOOKUP(D356,[6]Sheet1!$C:$C,[6]Sheet1!$F:$F,"-")</f>
        <v>Dadan Maulana</v>
      </c>
      <c r="G356" s="21"/>
    </row>
    <row r="357" spans="2:7">
      <c r="B357" s="22" t="s">
        <v>375</v>
      </c>
      <c r="C357" s="23" t="s">
        <v>376</v>
      </c>
      <c r="D357" s="24" t="s">
        <v>392</v>
      </c>
      <c r="E357" s="25" t="s">
        <v>1745</v>
      </c>
      <c r="F357" s="16" t="str">
        <f>_xlfn.XLOOKUP(D357,[6]Sheet1!$C:$C,[6]Sheet1!$F:$F,"-")</f>
        <v>Dandi Pardamean Nababan</v>
      </c>
      <c r="G357" s="21"/>
    </row>
    <row r="358" spans="2:7">
      <c r="B358" s="22" t="s">
        <v>375</v>
      </c>
      <c r="C358" s="23" t="s">
        <v>376</v>
      </c>
      <c r="D358" s="24" t="s">
        <v>393</v>
      </c>
      <c r="E358" s="25" t="s">
        <v>1745</v>
      </c>
      <c r="F358" s="16" t="str">
        <f>_xlfn.XLOOKUP(D358,[6]Sheet1!$C:$C,[6]Sheet1!$F:$F,"-")</f>
        <v>Danis</v>
      </c>
      <c r="G358" s="21"/>
    </row>
    <row r="359" spans="2:7">
      <c r="B359" s="22" t="s">
        <v>375</v>
      </c>
      <c r="C359" s="23" t="s">
        <v>376</v>
      </c>
      <c r="D359" s="24" t="s">
        <v>394</v>
      </c>
      <c r="E359" s="25" t="s">
        <v>1745</v>
      </c>
      <c r="F359" s="16" t="str">
        <f>_xlfn.XLOOKUP(D359,[6]Sheet1!$C:$C,[6]Sheet1!$F:$F,"-")</f>
        <v>Dicki Prayoga Irawan</v>
      </c>
      <c r="G359" s="21"/>
    </row>
    <row r="360" spans="2:7">
      <c r="B360" s="22" t="s">
        <v>375</v>
      </c>
      <c r="C360" s="23" t="s">
        <v>376</v>
      </c>
      <c r="D360" s="24" t="s">
        <v>395</v>
      </c>
      <c r="E360" s="25" t="s">
        <v>1745</v>
      </c>
      <c r="F360" s="16" t="str">
        <f>_xlfn.XLOOKUP(D360,[6]Sheet1!$C:$C,[6]Sheet1!$F:$F,"-")</f>
        <v>Eka Setiawan</v>
      </c>
      <c r="G360" s="21"/>
    </row>
    <row r="361" spans="2:7">
      <c r="B361" s="22" t="s">
        <v>375</v>
      </c>
      <c r="C361" s="23" t="s">
        <v>376</v>
      </c>
      <c r="D361" s="24" t="s">
        <v>396</v>
      </c>
      <c r="E361" s="25" t="s">
        <v>1745</v>
      </c>
      <c r="F361" s="16" t="str">
        <f>_xlfn.XLOOKUP(D361,[6]Sheet1!$C:$C,[6]Sheet1!$F:$F,"-")</f>
        <v>Luki Hardiyana</v>
      </c>
      <c r="G361" s="21"/>
    </row>
    <row r="362" spans="2:7">
      <c r="B362" s="22" t="s">
        <v>375</v>
      </c>
      <c r="C362" s="23" t="s">
        <v>376</v>
      </c>
      <c r="D362" s="24" t="s">
        <v>397</v>
      </c>
      <c r="E362" s="25" t="s">
        <v>1722</v>
      </c>
      <c r="F362" s="16" t="str">
        <f>_xlfn.XLOOKUP(D362,[6]Sheet1!$C:$C,[6]Sheet1!$F:$F,"-")</f>
        <v>Ade Ahmad Sail</v>
      </c>
      <c r="G362" s="21"/>
    </row>
    <row r="363" spans="2:7">
      <c r="B363" s="22" t="s">
        <v>375</v>
      </c>
      <c r="C363" s="23" t="s">
        <v>376</v>
      </c>
      <c r="D363" s="24" t="s">
        <v>398</v>
      </c>
      <c r="E363" s="25" t="s">
        <v>1722</v>
      </c>
      <c r="F363" s="16" t="str">
        <f>_xlfn.XLOOKUP(D363,[6]Sheet1!$C:$C,[6]Sheet1!$F:$F,"-")</f>
        <v>Dicki Setiawan</v>
      </c>
      <c r="G363" s="21"/>
    </row>
    <row r="364" spans="2:7">
      <c r="B364" s="22" t="s">
        <v>375</v>
      </c>
      <c r="C364" s="23" t="s">
        <v>376</v>
      </c>
      <c r="D364" s="24" t="s">
        <v>399</v>
      </c>
      <c r="E364" s="25" t="s">
        <v>1722</v>
      </c>
      <c r="F364" s="16" t="str">
        <f>_xlfn.XLOOKUP(D364,[6]Sheet1!$C:$C,[6]Sheet1!$F:$F,"-")</f>
        <v>Elvan Ihdinansyah Setiawan</v>
      </c>
      <c r="G364" s="21"/>
    </row>
    <row r="365" spans="2:7">
      <c r="B365" s="22" t="s">
        <v>375</v>
      </c>
      <c r="C365" s="23" t="s">
        <v>376</v>
      </c>
      <c r="D365" s="24" t="s">
        <v>400</v>
      </c>
      <c r="E365" s="25" t="s">
        <v>1722</v>
      </c>
      <c r="F365" s="16" t="str">
        <f>_xlfn.XLOOKUP(D365,[6]Sheet1!$C:$C,[6]Sheet1!$F:$F,"-")</f>
        <v>Febri Maulana</v>
      </c>
      <c r="G365" s="21"/>
    </row>
    <row r="366" spans="2:7">
      <c r="B366" s="22" t="s">
        <v>375</v>
      </c>
      <c r="C366" s="23" t="s">
        <v>376</v>
      </c>
      <c r="D366" s="24" t="s">
        <v>401</v>
      </c>
      <c r="E366" s="25" t="s">
        <v>1722</v>
      </c>
      <c r="F366" s="16" t="str">
        <f>_xlfn.XLOOKUP(D366,[6]Sheet1!$C:$C,[6]Sheet1!$F:$F,"-")</f>
        <v>Heri Kuswanto, S.Pd.</v>
      </c>
      <c r="G366" s="21"/>
    </row>
    <row r="367" spans="2:7">
      <c r="B367" s="22" t="s">
        <v>375</v>
      </c>
      <c r="C367" s="23" t="s">
        <v>376</v>
      </c>
      <c r="D367" s="24" t="s">
        <v>402</v>
      </c>
      <c r="E367" s="25" t="s">
        <v>1722</v>
      </c>
      <c r="F367" s="16" t="str">
        <f>_xlfn.XLOOKUP(D367,[6]Sheet1!$C:$C,[6]Sheet1!$F:$F,"-")</f>
        <v>Iqbal Aulia Rachman</v>
      </c>
      <c r="G367" s="21"/>
    </row>
    <row r="368" spans="2:7">
      <c r="B368" s="22" t="s">
        <v>375</v>
      </c>
      <c r="C368" s="23" t="s">
        <v>376</v>
      </c>
      <c r="D368" s="24" t="s">
        <v>403</v>
      </c>
      <c r="E368" s="25" t="s">
        <v>1722</v>
      </c>
      <c r="F368" s="16" t="str">
        <f>_xlfn.XLOOKUP(D368,[6]Sheet1!$C:$C,[6]Sheet1!$F:$F,"-")</f>
        <v>Muhamad Adit Nurcita</v>
      </c>
      <c r="G368" s="21"/>
    </row>
    <row r="369" spans="2:7">
      <c r="B369" s="22" t="s">
        <v>375</v>
      </c>
      <c r="C369" s="23" t="s">
        <v>376</v>
      </c>
      <c r="D369" s="24" t="s">
        <v>404</v>
      </c>
      <c r="E369" s="25" t="s">
        <v>1722</v>
      </c>
      <c r="F369" s="16" t="str">
        <f>_xlfn.XLOOKUP(D369,[6]Sheet1!$C:$C,[6]Sheet1!$F:$F,"-")</f>
        <v>Nur Fajar Abiyanto</v>
      </c>
      <c r="G369" s="21"/>
    </row>
    <row r="370" spans="2:7">
      <c r="B370" s="22" t="s">
        <v>375</v>
      </c>
      <c r="C370" s="23" t="s">
        <v>376</v>
      </c>
      <c r="D370" s="24" t="s">
        <v>405</v>
      </c>
      <c r="E370" s="25" t="s">
        <v>1722</v>
      </c>
      <c r="F370" s="16" t="str">
        <f>_xlfn.XLOOKUP(D370,[6]Sheet1!$C:$C,[6]Sheet1!$F:$F,"-")</f>
        <v>Romi Ajromi</v>
      </c>
      <c r="G370" s="21"/>
    </row>
    <row r="371" spans="2:7">
      <c r="B371" s="22" t="s">
        <v>375</v>
      </c>
      <c r="C371" s="23" t="s">
        <v>376</v>
      </c>
      <c r="D371" s="24" t="s">
        <v>406</v>
      </c>
      <c r="E371" s="25" t="s">
        <v>1722</v>
      </c>
      <c r="F371" s="16" t="str">
        <f>_xlfn.XLOOKUP(D371,[6]Sheet1!$C:$C,[6]Sheet1!$F:$F,"-")</f>
        <v>Sigit Prastio</v>
      </c>
      <c r="G371" s="21"/>
    </row>
    <row r="372" spans="2:7">
      <c r="B372" s="22" t="s">
        <v>375</v>
      </c>
      <c r="C372" s="23" t="s">
        <v>376</v>
      </c>
      <c r="D372" s="24" t="s">
        <v>407</v>
      </c>
      <c r="E372" s="25" t="s">
        <v>1722</v>
      </c>
      <c r="F372" s="16" t="str">
        <f>_xlfn.XLOOKUP(D372,[6]Sheet1!$C:$C,[6]Sheet1!$F:$F,"-")</f>
        <v>Yogi Faturahman</v>
      </c>
      <c r="G372" s="21"/>
    </row>
    <row r="373" spans="2:7">
      <c r="B373" s="22" t="s">
        <v>375</v>
      </c>
      <c r="C373" s="23" t="s">
        <v>376</v>
      </c>
      <c r="D373" s="24" t="s">
        <v>408</v>
      </c>
      <c r="E373" s="25" t="s">
        <v>1722</v>
      </c>
      <c r="F373" s="16" t="str">
        <f>_xlfn.XLOOKUP(D373,[6]Sheet1!$C:$C,[6]Sheet1!$F:$F,"-")</f>
        <v>Zaini Miftah</v>
      </c>
      <c r="G373" s="21"/>
    </row>
    <row r="374" spans="2:7">
      <c r="B374" s="22" t="s">
        <v>375</v>
      </c>
      <c r="C374" s="23" t="s">
        <v>376</v>
      </c>
      <c r="D374" s="24" t="s">
        <v>409</v>
      </c>
      <c r="E374" s="25" t="s">
        <v>1722</v>
      </c>
      <c r="F374" s="16" t="str">
        <f>_xlfn.XLOOKUP(D374,[6]Sheet1!$C:$C,[6]Sheet1!$F:$F,"-")</f>
        <v>Dian Wunandar</v>
      </c>
      <c r="G374" s="21"/>
    </row>
    <row r="375" spans="2:7">
      <c r="B375" s="22" t="s">
        <v>375</v>
      </c>
      <c r="C375" s="23" t="s">
        <v>376</v>
      </c>
      <c r="D375" s="24" t="s">
        <v>410</v>
      </c>
      <c r="E375" s="25" t="s">
        <v>1745</v>
      </c>
      <c r="F375" s="16" t="str">
        <f>_xlfn.XLOOKUP(D375,[6]Sheet1!$C:$C,[6]Sheet1!$F:$F,"-")</f>
        <v>Adam Supriatna</v>
      </c>
      <c r="G375" s="21"/>
    </row>
    <row r="376" spans="2:7">
      <c r="B376" s="22" t="s">
        <v>375</v>
      </c>
      <c r="C376" s="23" t="s">
        <v>376</v>
      </c>
      <c r="D376" s="24" t="s">
        <v>411</v>
      </c>
      <c r="E376" s="25" t="s">
        <v>1745</v>
      </c>
      <c r="F376" s="16" t="str">
        <f>_xlfn.XLOOKUP(D376,[6]Sheet1!$C:$C,[6]Sheet1!$F:$F,"-")</f>
        <v>Adi Firmansyah</v>
      </c>
      <c r="G376" s="21"/>
    </row>
    <row r="377" spans="2:7">
      <c r="B377" s="22" t="s">
        <v>375</v>
      </c>
      <c r="C377" s="23" t="s">
        <v>376</v>
      </c>
      <c r="D377" s="24" t="s">
        <v>412</v>
      </c>
      <c r="E377" s="25" t="s">
        <v>1745</v>
      </c>
      <c r="F377" s="16" t="str">
        <f>_xlfn.XLOOKUP(D377,[6]Sheet1!$C:$C,[6]Sheet1!$F:$F,"-")</f>
        <v>Adi Firmansyah</v>
      </c>
      <c r="G377" s="21"/>
    </row>
    <row r="378" spans="2:7">
      <c r="B378" s="22" t="s">
        <v>375</v>
      </c>
      <c r="C378" s="23" t="s">
        <v>376</v>
      </c>
      <c r="D378" s="24" t="s">
        <v>413</v>
      </c>
      <c r="E378" s="25" t="s">
        <v>1745</v>
      </c>
      <c r="F378" s="16" t="str">
        <f>_xlfn.XLOOKUP(D378,[6]Sheet1!$C:$C,[6]Sheet1!$F:$F,"-")</f>
        <v>Andri Henriyana</v>
      </c>
      <c r="G378" s="21"/>
    </row>
    <row r="379" spans="2:7">
      <c r="B379" s="22" t="s">
        <v>375</v>
      </c>
      <c r="C379" s="23" t="s">
        <v>376</v>
      </c>
      <c r="D379" s="24" t="s">
        <v>414</v>
      </c>
      <c r="E379" s="25" t="s">
        <v>1745</v>
      </c>
      <c r="F379" s="16" t="str">
        <f>_xlfn.XLOOKUP(D379,[6]Sheet1!$C:$C,[6]Sheet1!$F:$F,"-")</f>
        <v>Dedi Martin</v>
      </c>
      <c r="G379" s="21"/>
    </row>
    <row r="380" spans="2:7">
      <c r="B380" s="22" t="s">
        <v>375</v>
      </c>
      <c r="C380" s="23" t="s">
        <v>376</v>
      </c>
      <c r="D380" s="24" t="s">
        <v>415</v>
      </c>
      <c r="E380" s="25" t="s">
        <v>1745</v>
      </c>
      <c r="F380" s="16" t="str">
        <f>_xlfn.XLOOKUP(D380,[6]Sheet1!$C:$C,[6]Sheet1!$F:$F,"-")</f>
        <v>Deni Jaelani</v>
      </c>
      <c r="G380" s="21"/>
    </row>
    <row r="381" spans="2:7">
      <c r="B381" s="22" t="s">
        <v>375</v>
      </c>
      <c r="C381" s="23" t="s">
        <v>376</v>
      </c>
      <c r="D381" s="24" t="s">
        <v>416</v>
      </c>
      <c r="E381" s="25" t="s">
        <v>1745</v>
      </c>
      <c r="F381" s="16" t="str">
        <f>_xlfn.XLOOKUP(D381,[6]Sheet1!$C:$C,[6]Sheet1!$F:$F,"-")</f>
        <v>Edwin Iskandar</v>
      </c>
      <c r="G381" s="21"/>
    </row>
    <row r="382" spans="2:7">
      <c r="B382" s="22" t="s">
        <v>375</v>
      </c>
      <c r="C382" s="23" t="s">
        <v>376</v>
      </c>
      <c r="D382" s="24" t="s">
        <v>417</v>
      </c>
      <c r="E382" s="25" t="s">
        <v>1745</v>
      </c>
      <c r="F382" s="16" t="str">
        <f>_xlfn.XLOOKUP(D382,[6]Sheet1!$C:$C,[6]Sheet1!$F:$F,"-")</f>
        <v>Hasan Bisri</v>
      </c>
      <c r="G382" s="21"/>
    </row>
    <row r="383" spans="2:7">
      <c r="B383" s="22" t="s">
        <v>375</v>
      </c>
      <c r="C383" s="23" t="s">
        <v>376</v>
      </c>
      <c r="D383" s="24" t="s">
        <v>418</v>
      </c>
      <c r="E383" s="25" t="s">
        <v>1745</v>
      </c>
      <c r="F383" s="16" t="str">
        <f>_xlfn.XLOOKUP(D383,[6]Sheet1!$C:$C,[6]Sheet1!$F:$F,"-")</f>
        <v>Ichsan Purnama</v>
      </c>
      <c r="G383" s="21"/>
    </row>
    <row r="384" spans="2:7">
      <c r="B384" s="22" t="s">
        <v>375</v>
      </c>
      <c r="C384" s="23" t="s">
        <v>376</v>
      </c>
      <c r="D384" s="24" t="s">
        <v>419</v>
      </c>
      <c r="E384" s="25" t="s">
        <v>1745</v>
      </c>
      <c r="F384" s="16" t="str">
        <f>_xlfn.XLOOKUP(D384,[6]Sheet1!$C:$C,[6]Sheet1!$F:$F,"-")</f>
        <v>Kemal Nurjaman</v>
      </c>
      <c r="G384" s="21"/>
    </row>
    <row r="385" spans="2:7">
      <c r="B385" s="22" t="s">
        <v>375</v>
      </c>
      <c r="C385" s="23" t="s">
        <v>376</v>
      </c>
      <c r="D385" s="24" t="s">
        <v>420</v>
      </c>
      <c r="E385" s="25" t="s">
        <v>1745</v>
      </c>
      <c r="F385" s="16" t="str">
        <f>_xlfn.XLOOKUP(D385,[6]Sheet1!$C:$C,[6]Sheet1!$F:$F,"-")</f>
        <v>Lyusi Fathan Mubiena</v>
      </c>
      <c r="G385" s="21"/>
    </row>
    <row r="386" spans="2:7">
      <c r="B386" s="22" t="s">
        <v>375</v>
      </c>
      <c r="C386" s="23" t="s">
        <v>376</v>
      </c>
      <c r="D386" s="24" t="s">
        <v>421</v>
      </c>
      <c r="E386" s="25" t="s">
        <v>1745</v>
      </c>
      <c r="F386" s="16" t="str">
        <f>_xlfn.XLOOKUP(D386,[6]Sheet1!$C:$C,[6]Sheet1!$F:$F,"-")</f>
        <v>Maulana Hisbulloh</v>
      </c>
      <c r="G386" s="21"/>
    </row>
    <row r="387" spans="2:7">
      <c r="B387" s="22" t="s">
        <v>375</v>
      </c>
      <c r="C387" s="23" t="s">
        <v>376</v>
      </c>
      <c r="D387" s="24" t="s">
        <v>422</v>
      </c>
      <c r="E387" s="25" t="s">
        <v>1745</v>
      </c>
      <c r="F387" s="16" t="str">
        <f>_xlfn.XLOOKUP(D387,[6]Sheet1!$C:$C,[6]Sheet1!$F:$F,"-")</f>
        <v>Muhamad Ikhsan</v>
      </c>
      <c r="G387" s="21"/>
    </row>
    <row r="388" spans="2:7">
      <c r="B388" s="22" t="s">
        <v>375</v>
      </c>
      <c r="C388" s="23" t="s">
        <v>376</v>
      </c>
      <c r="D388" s="24" t="s">
        <v>423</v>
      </c>
      <c r="E388" s="25" t="s">
        <v>1745</v>
      </c>
      <c r="F388" s="16" t="str">
        <f>_xlfn.XLOOKUP(D388,[6]Sheet1!$C:$C,[6]Sheet1!$F:$F,"-")</f>
        <v>Neri Hidayat</v>
      </c>
      <c r="G388" s="21"/>
    </row>
    <row r="389" spans="2:7">
      <c r="B389" s="22" t="s">
        <v>375</v>
      </c>
      <c r="C389" s="23" t="s">
        <v>376</v>
      </c>
      <c r="D389" s="24" t="s">
        <v>424</v>
      </c>
      <c r="E389" s="25" t="s">
        <v>1745</v>
      </c>
      <c r="F389" s="16" t="str">
        <f>_xlfn.XLOOKUP(D389,[6]Sheet1!$C:$C,[6]Sheet1!$F:$F,"-")</f>
        <v>Regi Firmansyah</v>
      </c>
      <c r="G389" s="21"/>
    </row>
    <row r="390" spans="2:7">
      <c r="B390" s="22" t="s">
        <v>375</v>
      </c>
      <c r="C390" s="23" t="s">
        <v>376</v>
      </c>
      <c r="D390" s="24" t="s">
        <v>425</v>
      </c>
      <c r="E390" s="25" t="s">
        <v>1745</v>
      </c>
      <c r="F390" s="16" t="str">
        <f>_xlfn.XLOOKUP(D390,[6]Sheet1!$C:$C,[6]Sheet1!$F:$F,"-")</f>
        <v>Rifki Shafik Fadillah</v>
      </c>
      <c r="G390" s="21"/>
    </row>
    <row r="391" spans="2:7">
      <c r="B391" s="22" t="s">
        <v>375</v>
      </c>
      <c r="C391" s="23" t="s">
        <v>376</v>
      </c>
      <c r="D391" s="24" t="s">
        <v>426</v>
      </c>
      <c r="E391" s="25" t="s">
        <v>1745</v>
      </c>
      <c r="F391" s="16" t="str">
        <f>_xlfn.XLOOKUP(D391,[6]Sheet1!$C:$C,[6]Sheet1!$F:$F,"-")</f>
        <v>Rifki Shafik Fadillah</v>
      </c>
      <c r="G391" s="21"/>
    </row>
    <row r="392" spans="2:7">
      <c r="B392" s="22" t="s">
        <v>375</v>
      </c>
      <c r="C392" s="23" t="s">
        <v>376</v>
      </c>
      <c r="D392" s="24" t="s">
        <v>427</v>
      </c>
      <c r="E392" s="25" t="s">
        <v>1745</v>
      </c>
      <c r="F392" s="16" t="str">
        <f>_xlfn.XLOOKUP(D392,[6]Sheet1!$C:$C,[6]Sheet1!$F:$F,"-")</f>
        <v>Robi Ta'dim Nurdiansyah</v>
      </c>
      <c r="G392" s="21"/>
    </row>
    <row r="393" spans="2:7">
      <c r="B393" s="22" t="s">
        <v>375</v>
      </c>
      <c r="C393" s="23" t="s">
        <v>376</v>
      </c>
      <c r="D393" s="24" t="s">
        <v>428</v>
      </c>
      <c r="E393" s="25" t="s">
        <v>1745</v>
      </c>
      <c r="F393" s="16" t="str">
        <f>_xlfn.XLOOKUP(D393,[6]Sheet1!$C:$C,[6]Sheet1!$F:$F,"-")</f>
        <v>Rosi Riswanto</v>
      </c>
      <c r="G393" s="21"/>
    </row>
    <row r="394" spans="2:7">
      <c r="B394" s="22" t="s">
        <v>375</v>
      </c>
      <c r="C394" s="23" t="s">
        <v>376</v>
      </c>
      <c r="D394" s="24" t="s">
        <v>429</v>
      </c>
      <c r="E394" s="25" t="s">
        <v>1745</v>
      </c>
      <c r="F394" s="16" t="str">
        <f>_xlfn.XLOOKUP(D394,[6]Sheet1!$C:$C,[6]Sheet1!$F:$F,"-")</f>
        <v>Sayu Mulhasyim</v>
      </c>
      <c r="G394" s="21"/>
    </row>
    <row r="395" spans="2:7">
      <c r="B395" s="22" t="s">
        <v>375</v>
      </c>
      <c r="C395" s="23" t="s">
        <v>376</v>
      </c>
      <c r="D395" s="24" t="s">
        <v>430</v>
      </c>
      <c r="E395" s="25" t="s">
        <v>1745</v>
      </c>
      <c r="F395" s="16" t="str">
        <f>_xlfn.XLOOKUP(D395,[6]Sheet1!$C:$C,[6]Sheet1!$F:$F,"-")</f>
        <v>Syahrul Abu Bakar</v>
      </c>
      <c r="G395" s="21"/>
    </row>
    <row r="396" spans="2:7">
      <c r="B396" s="22" t="s">
        <v>375</v>
      </c>
      <c r="C396" s="23" t="s">
        <v>376</v>
      </c>
      <c r="D396" s="24" t="s">
        <v>431</v>
      </c>
      <c r="E396" s="25" t="s">
        <v>1745</v>
      </c>
      <c r="F396" s="16" t="str">
        <f>_xlfn.XLOOKUP(D396,[6]Sheet1!$C:$C,[6]Sheet1!$F:$F,"-")</f>
        <v>Undang Ramdani</v>
      </c>
      <c r="G396" s="21"/>
    </row>
    <row r="397" spans="2:7">
      <c r="B397" s="22" t="s">
        <v>375</v>
      </c>
      <c r="C397" s="23" t="s">
        <v>376</v>
      </c>
      <c r="D397" s="24" t="s">
        <v>432</v>
      </c>
      <c r="E397" s="25" t="s">
        <v>1745</v>
      </c>
      <c r="F397" s="16" t="str">
        <f>_xlfn.XLOOKUP(D397,[6]Sheet1!$C:$C,[6]Sheet1!$F:$F,"-")</f>
        <v>Undang Ramdani</v>
      </c>
      <c r="G397" s="21"/>
    </row>
    <row r="398" spans="2:7">
      <c r="B398" s="22" t="s">
        <v>375</v>
      </c>
      <c r="C398" s="23" t="s">
        <v>376</v>
      </c>
      <c r="D398" s="24" t="s">
        <v>433</v>
      </c>
      <c r="E398" s="25" t="s">
        <v>1745</v>
      </c>
      <c r="F398" s="16" t="str">
        <f>_xlfn.XLOOKUP(D398,[6]Sheet1!$C:$C,[6]Sheet1!$F:$F,"-")</f>
        <v>Usep kamaludin</v>
      </c>
      <c r="G398" s="21"/>
    </row>
    <row r="399" spans="2:7">
      <c r="B399" s="22" t="s">
        <v>375</v>
      </c>
      <c r="C399" s="23" t="s">
        <v>376</v>
      </c>
      <c r="D399" s="24" t="s">
        <v>434</v>
      </c>
      <c r="E399" s="25" t="s">
        <v>1745</v>
      </c>
      <c r="F399" s="16" t="str">
        <f>_xlfn.XLOOKUP(D399,[6]Sheet1!$C:$C,[6]Sheet1!$F:$F,"-")</f>
        <v>Ade Rahmat</v>
      </c>
      <c r="G399" s="21"/>
    </row>
    <row r="400" spans="2:7">
      <c r="B400" s="22" t="s">
        <v>375</v>
      </c>
      <c r="C400" s="23" t="s">
        <v>376</v>
      </c>
      <c r="D400" s="24" t="s">
        <v>435</v>
      </c>
      <c r="E400" s="25" t="s">
        <v>1745</v>
      </c>
      <c r="F400" s="16" t="str">
        <f>_xlfn.XLOOKUP(D400,[6]Sheet1!$C:$C,[6]Sheet1!$F:$F,"-")</f>
        <v>Anas Nazal Huda</v>
      </c>
      <c r="G400" s="21"/>
    </row>
    <row r="401" spans="2:7">
      <c r="B401" s="22" t="s">
        <v>375</v>
      </c>
      <c r="C401" s="23" t="s">
        <v>376</v>
      </c>
      <c r="D401" s="24" t="s">
        <v>436</v>
      </c>
      <c r="E401" s="25" t="s">
        <v>1745</v>
      </c>
      <c r="F401" s="16" t="str">
        <f>_xlfn.XLOOKUP(D401,[6]Sheet1!$C:$C,[6]Sheet1!$F:$F,"-")</f>
        <v>Andi Herdiansyah</v>
      </c>
      <c r="G401" s="21"/>
    </row>
    <row r="402" spans="2:7">
      <c r="B402" s="22" t="s">
        <v>375</v>
      </c>
      <c r="C402" s="23" t="s">
        <v>376</v>
      </c>
      <c r="D402" s="24" t="s">
        <v>437</v>
      </c>
      <c r="E402" s="25" t="s">
        <v>1745</v>
      </c>
      <c r="F402" s="16" t="str">
        <f>_xlfn.XLOOKUP(D402,[6]Sheet1!$C:$C,[6]Sheet1!$F:$F,"-")</f>
        <v>Andi Saeful Rahman</v>
      </c>
      <c r="G402" s="21"/>
    </row>
    <row r="403" spans="2:7">
      <c r="B403" s="22" t="s">
        <v>375</v>
      </c>
      <c r="C403" s="23" t="s">
        <v>376</v>
      </c>
      <c r="D403" s="24" t="s">
        <v>438</v>
      </c>
      <c r="E403" s="25" t="s">
        <v>1745</v>
      </c>
      <c r="F403" s="16" t="str">
        <f>_xlfn.XLOOKUP(D403,[6]Sheet1!$C:$C,[6]Sheet1!$F:$F,"-")</f>
        <v>Asep Romli</v>
      </c>
      <c r="G403" s="21"/>
    </row>
    <row r="404" spans="2:7">
      <c r="B404" s="22" t="s">
        <v>375</v>
      </c>
      <c r="C404" s="23" t="s">
        <v>376</v>
      </c>
      <c r="D404" s="24" t="s">
        <v>439</v>
      </c>
      <c r="E404" s="25" t="s">
        <v>1745</v>
      </c>
      <c r="F404" s="16" t="str">
        <f>_xlfn.XLOOKUP(D404,[6]Sheet1!$C:$C,[6]Sheet1!$F:$F,"-")</f>
        <v>Dani Alvin</v>
      </c>
      <c r="G404" s="21"/>
    </row>
    <row r="405" spans="2:7">
      <c r="B405" s="22" t="s">
        <v>375</v>
      </c>
      <c r="C405" s="23" t="s">
        <v>376</v>
      </c>
      <c r="D405" s="24" t="s">
        <v>440</v>
      </c>
      <c r="E405" s="25" t="s">
        <v>1745</v>
      </c>
      <c r="F405" s="16" t="str">
        <f>_xlfn.XLOOKUP(D405,[6]Sheet1!$C:$C,[6]Sheet1!$F:$F,"-")</f>
        <v>Denira Novalita</v>
      </c>
      <c r="G405" s="21"/>
    </row>
    <row r="406" spans="2:7">
      <c r="B406" s="22" t="s">
        <v>375</v>
      </c>
      <c r="C406" s="23" t="s">
        <v>376</v>
      </c>
      <c r="D406" s="24" t="s">
        <v>441</v>
      </c>
      <c r="E406" s="25" t="s">
        <v>1745</v>
      </c>
      <c r="F406" s="16" t="str">
        <f>_xlfn.XLOOKUP(D406,[6]Sheet1!$C:$C,[6]Sheet1!$F:$F,"-")</f>
        <v>Dionofan Kurnia Pratama</v>
      </c>
      <c r="G406" s="21"/>
    </row>
    <row r="407" spans="2:7">
      <c r="B407" s="22" t="s">
        <v>375</v>
      </c>
      <c r="C407" s="23" t="s">
        <v>376</v>
      </c>
      <c r="D407" s="24" t="s">
        <v>442</v>
      </c>
      <c r="E407" s="25" t="s">
        <v>1745</v>
      </c>
      <c r="F407" s="16" t="str">
        <f>_xlfn.XLOOKUP(D407,[6]Sheet1!$C:$C,[6]Sheet1!$F:$F,"-")</f>
        <v>Faisal Maisandi</v>
      </c>
      <c r="G407" s="21"/>
    </row>
    <row r="408" spans="2:7">
      <c r="B408" s="22" t="s">
        <v>375</v>
      </c>
      <c r="C408" s="23" t="s">
        <v>376</v>
      </c>
      <c r="D408" s="24" t="s">
        <v>443</v>
      </c>
      <c r="E408" s="25" t="s">
        <v>1745</v>
      </c>
      <c r="F408" s="16" t="str">
        <f>_xlfn.XLOOKUP(D408,[6]Sheet1!$C:$C,[6]Sheet1!$F:$F,"-")</f>
        <v>Ilham Achmad Muhadzir</v>
      </c>
      <c r="G408" s="21"/>
    </row>
    <row r="409" spans="2:7">
      <c r="B409" s="22" t="s">
        <v>375</v>
      </c>
      <c r="C409" s="23" t="s">
        <v>376</v>
      </c>
      <c r="D409" s="24" t="s">
        <v>444</v>
      </c>
      <c r="E409" s="25" t="s">
        <v>1745</v>
      </c>
      <c r="F409" s="16" t="str">
        <f>_xlfn.XLOOKUP(D409,[6]Sheet1!$C:$C,[6]Sheet1!$F:$F,"-")</f>
        <v>Mario Aditya Firmansyah</v>
      </c>
      <c r="G409" s="21"/>
    </row>
    <row r="410" spans="2:7">
      <c r="B410" s="22" t="s">
        <v>375</v>
      </c>
      <c r="C410" s="23" t="s">
        <v>376</v>
      </c>
      <c r="D410" s="24" t="s">
        <v>445</v>
      </c>
      <c r="E410" s="25" t="s">
        <v>1745</v>
      </c>
      <c r="F410" s="16" t="str">
        <f>_xlfn.XLOOKUP(D410,[6]Sheet1!$C:$C,[6]Sheet1!$F:$F,"-")</f>
        <v>Muhammad Salim Riyadul Gupron</v>
      </c>
      <c r="G410" s="21"/>
    </row>
    <row r="411" spans="2:7">
      <c r="B411" s="22" t="s">
        <v>375</v>
      </c>
      <c r="C411" s="23" t="s">
        <v>376</v>
      </c>
      <c r="D411" s="24" t="s">
        <v>446</v>
      </c>
      <c r="E411" s="25" t="s">
        <v>1745</v>
      </c>
      <c r="F411" s="16" t="str">
        <f>_xlfn.XLOOKUP(D411,[6]Sheet1!$C:$C,[6]Sheet1!$F:$F,"-")</f>
        <v>Novi Septriani</v>
      </c>
      <c r="G411" s="21"/>
    </row>
    <row r="412" spans="2:7">
      <c r="B412" s="22" t="s">
        <v>375</v>
      </c>
      <c r="C412" s="23" t="s">
        <v>376</v>
      </c>
      <c r="D412" s="24" t="s">
        <v>447</v>
      </c>
      <c r="E412" s="25" t="s">
        <v>1745</v>
      </c>
      <c r="F412" s="16" t="str">
        <f>_xlfn.XLOOKUP(D412,[6]Sheet1!$C:$C,[6]Sheet1!$F:$F,"-")</f>
        <v>Rizky Zidan Haris Muharomi</v>
      </c>
      <c r="G412" s="21"/>
    </row>
    <row r="413" spans="2:7">
      <c r="B413" s="22" t="s">
        <v>375</v>
      </c>
      <c r="C413" s="23" t="s">
        <v>376</v>
      </c>
      <c r="D413" s="24" t="s">
        <v>448</v>
      </c>
      <c r="E413" s="25" t="s">
        <v>1745</v>
      </c>
      <c r="F413" s="16" t="str">
        <f>_xlfn.XLOOKUP(D413,[6]Sheet1!$C:$C,[6]Sheet1!$F:$F,"-")</f>
        <v>Sendi Moh Rahayu</v>
      </c>
      <c r="G413" s="21"/>
    </row>
    <row r="414" spans="2:7">
      <c r="B414" s="22" t="s">
        <v>375</v>
      </c>
      <c r="C414" s="23" t="s">
        <v>376</v>
      </c>
      <c r="D414" s="24" t="s">
        <v>449</v>
      </c>
      <c r="E414" s="25" t="s">
        <v>1745</v>
      </c>
      <c r="F414" s="16" t="str">
        <f>_xlfn.XLOOKUP(D414,[6]Sheet1!$C:$C,[6]Sheet1!$F:$F,"-")</f>
        <v>Soni</v>
      </c>
      <c r="G414" s="21"/>
    </row>
    <row r="415" spans="2:7">
      <c r="B415" s="22" t="s">
        <v>375</v>
      </c>
      <c r="C415" s="23" t="s">
        <v>376</v>
      </c>
      <c r="D415" s="24" t="s">
        <v>450</v>
      </c>
      <c r="E415" s="25" t="s">
        <v>1745</v>
      </c>
      <c r="F415" s="16" t="str">
        <f>_xlfn.XLOOKUP(D415,[6]Sheet1!$C:$C,[6]Sheet1!$F:$F,"-")</f>
        <v>Soni</v>
      </c>
      <c r="G415" s="21"/>
    </row>
    <row r="416" spans="2:7">
      <c r="B416" s="22" t="s">
        <v>375</v>
      </c>
      <c r="C416" s="23" t="s">
        <v>376</v>
      </c>
      <c r="D416" s="24" t="s">
        <v>451</v>
      </c>
      <c r="E416" s="25" t="s">
        <v>1745</v>
      </c>
      <c r="F416" s="16" t="str">
        <f>_xlfn.XLOOKUP(D416,[6]Sheet1!$C:$C,[6]Sheet1!$F:$F,"-")</f>
        <v>Syifa Agustian</v>
      </c>
      <c r="G416" s="21"/>
    </row>
    <row r="417" spans="2:7">
      <c r="B417" s="22" t="s">
        <v>375</v>
      </c>
      <c r="C417" s="23" t="s">
        <v>376</v>
      </c>
      <c r="D417" s="24" t="s">
        <v>452</v>
      </c>
      <c r="E417" s="25" t="s">
        <v>1745</v>
      </c>
      <c r="F417" s="16" t="str">
        <f>_xlfn.XLOOKUP(D417,[6]Sheet1!$C:$C,[6]Sheet1!$F:$F,"-")</f>
        <v>Ansor Fauzi Fadillah</v>
      </c>
      <c r="G417" s="21"/>
    </row>
    <row r="418" spans="2:7">
      <c r="B418" s="22" t="s">
        <v>375</v>
      </c>
      <c r="C418" s="23" t="s">
        <v>376</v>
      </c>
      <c r="D418" s="24" t="s">
        <v>453</v>
      </c>
      <c r="E418" s="25" t="s">
        <v>1745</v>
      </c>
      <c r="F418" s="16" t="str">
        <f>_xlfn.XLOOKUP(D418,[6]Sheet1!$C:$C,[6]Sheet1!$F:$F,"-")</f>
        <v>Ansor Fauzi Fadillah</v>
      </c>
      <c r="G418" s="21"/>
    </row>
    <row r="419" spans="2:7">
      <c r="B419" s="22" t="s">
        <v>375</v>
      </c>
      <c r="C419" s="23" t="s">
        <v>376</v>
      </c>
      <c r="D419" s="24" t="s">
        <v>454</v>
      </c>
      <c r="E419" s="25" t="s">
        <v>1745</v>
      </c>
      <c r="F419" s="16" t="str">
        <f>_xlfn.XLOOKUP(D419,[6]Sheet1!$C:$C,[6]Sheet1!$F:$F,"-")</f>
        <v>Ari Budaeri Addawami</v>
      </c>
      <c r="G419" s="21"/>
    </row>
    <row r="420" spans="2:7">
      <c r="B420" s="22" t="s">
        <v>375</v>
      </c>
      <c r="C420" s="23" t="s">
        <v>376</v>
      </c>
      <c r="D420" s="24" t="s">
        <v>455</v>
      </c>
      <c r="E420" s="25" t="s">
        <v>1745</v>
      </c>
      <c r="F420" s="16" t="str">
        <f>_xlfn.XLOOKUP(D420,[6]Sheet1!$C:$C,[6]Sheet1!$F:$F,"-")</f>
        <v>Aril Ardiansyah</v>
      </c>
      <c r="G420" s="21"/>
    </row>
    <row r="421" spans="2:7">
      <c r="B421" s="22" t="s">
        <v>375</v>
      </c>
      <c r="C421" s="23" t="s">
        <v>376</v>
      </c>
      <c r="D421" s="24" t="s">
        <v>456</v>
      </c>
      <c r="E421" s="25" t="s">
        <v>1745</v>
      </c>
      <c r="F421" s="16" t="str">
        <f>_xlfn.XLOOKUP(D421,[6]Sheet1!$C:$C,[6]Sheet1!$F:$F,"-")</f>
        <v>Asep</v>
      </c>
      <c r="G421" s="21"/>
    </row>
    <row r="422" spans="2:7">
      <c r="B422" s="22" t="s">
        <v>375</v>
      </c>
      <c r="C422" s="23" t="s">
        <v>376</v>
      </c>
      <c r="D422" s="24" t="s">
        <v>457</v>
      </c>
      <c r="E422" s="25" t="s">
        <v>1745</v>
      </c>
      <c r="F422" s="16" t="str">
        <f>_xlfn.XLOOKUP(D422,[6]Sheet1!$C:$C,[6]Sheet1!$F:$F,"-")</f>
        <v>Dede Asikin</v>
      </c>
      <c r="G422" s="21"/>
    </row>
    <row r="423" spans="2:7">
      <c r="B423" s="22" t="s">
        <v>375</v>
      </c>
      <c r="C423" s="23" t="s">
        <v>376</v>
      </c>
      <c r="D423" s="24" t="s">
        <v>458</v>
      </c>
      <c r="E423" s="25" t="s">
        <v>1745</v>
      </c>
      <c r="F423" s="16" t="str">
        <f>_xlfn.XLOOKUP(D423,[6]Sheet1!$C:$C,[6]Sheet1!$F:$F,"-")</f>
        <v>Fauzi Alimashyar</v>
      </c>
      <c r="G423" s="21"/>
    </row>
    <row r="424" spans="2:7">
      <c r="B424" s="22" t="s">
        <v>375</v>
      </c>
      <c r="C424" s="23" t="s">
        <v>376</v>
      </c>
      <c r="D424" s="24" t="s">
        <v>459</v>
      </c>
      <c r="E424" s="25" t="s">
        <v>1745</v>
      </c>
      <c r="F424" s="16" t="str">
        <f>_xlfn.XLOOKUP(D424,[6]Sheet1!$C:$C,[6]Sheet1!$F:$F,"-")</f>
        <v>Indra Rukmana</v>
      </c>
      <c r="G424" s="21"/>
    </row>
    <row r="425" spans="2:7">
      <c r="B425" s="22" t="s">
        <v>375</v>
      </c>
      <c r="C425" s="23" t="s">
        <v>376</v>
      </c>
      <c r="D425" s="24" t="s">
        <v>460</v>
      </c>
      <c r="E425" s="25" t="s">
        <v>1745</v>
      </c>
      <c r="F425" s="16" t="str">
        <f>_xlfn.XLOOKUP(D425,[6]Sheet1!$C:$C,[6]Sheet1!$F:$F,"-")</f>
        <v>Indra Rukmana</v>
      </c>
      <c r="G425" s="21"/>
    </row>
    <row r="426" spans="2:7">
      <c r="B426" s="22" t="s">
        <v>375</v>
      </c>
      <c r="C426" s="23" t="s">
        <v>376</v>
      </c>
      <c r="D426" s="24" t="s">
        <v>461</v>
      </c>
      <c r="E426" s="25" t="s">
        <v>1745</v>
      </c>
      <c r="F426" s="16" t="str">
        <f>_xlfn.XLOOKUP(D426,[6]Sheet1!$C:$C,[6]Sheet1!$F:$F,"-")</f>
        <v>Januar Egy Panjayu</v>
      </c>
      <c r="G426" s="21"/>
    </row>
    <row r="427" spans="2:7">
      <c r="B427" s="22" t="s">
        <v>375</v>
      </c>
      <c r="C427" s="23" t="s">
        <v>376</v>
      </c>
      <c r="D427" s="24" t="s">
        <v>462</v>
      </c>
      <c r="E427" s="25" t="s">
        <v>1745</v>
      </c>
      <c r="F427" s="16" t="str">
        <f>_xlfn.XLOOKUP(D427,[6]Sheet1!$C:$C,[6]Sheet1!$F:$F,"-")</f>
        <v>Khoeruman Sunjaya</v>
      </c>
      <c r="G427" s="21"/>
    </row>
    <row r="428" spans="2:7">
      <c r="B428" s="22" t="s">
        <v>375</v>
      </c>
      <c r="C428" s="23" t="s">
        <v>376</v>
      </c>
      <c r="D428" s="24" t="s">
        <v>463</v>
      </c>
      <c r="E428" s="25" t="s">
        <v>1745</v>
      </c>
      <c r="F428" s="16" t="str">
        <f>_xlfn.XLOOKUP(D428,[6]Sheet1!$C:$C,[6]Sheet1!$F:$F,"-")</f>
        <v>Muhammad Agung Maulidia</v>
      </c>
      <c r="G428" s="21"/>
    </row>
    <row r="429" spans="2:7">
      <c r="B429" s="22" t="s">
        <v>375</v>
      </c>
      <c r="C429" s="23" t="s">
        <v>376</v>
      </c>
      <c r="D429" s="24" t="s">
        <v>464</v>
      </c>
      <c r="E429" s="25" t="s">
        <v>1745</v>
      </c>
      <c r="F429" s="16" t="str">
        <f>_xlfn.XLOOKUP(D429,[6]Sheet1!$C:$C,[6]Sheet1!$F:$F,"-")</f>
        <v>Muhammad Bagus Rifa'i</v>
      </c>
      <c r="G429" s="21"/>
    </row>
    <row r="430" spans="2:7">
      <c r="B430" s="22" t="s">
        <v>375</v>
      </c>
      <c r="C430" s="23" t="s">
        <v>376</v>
      </c>
      <c r="D430" s="24" t="s">
        <v>465</v>
      </c>
      <c r="E430" s="25" t="s">
        <v>1745</v>
      </c>
      <c r="F430" s="16" t="str">
        <f>_xlfn.XLOOKUP(D430,[6]Sheet1!$C:$C,[6]Sheet1!$F:$F,"-")</f>
        <v>Muhammad Rusdiyanto Dinata</v>
      </c>
      <c r="G430" s="21"/>
    </row>
    <row r="431" spans="2:7">
      <c r="B431" s="22" t="s">
        <v>375</v>
      </c>
      <c r="C431" s="23" t="s">
        <v>376</v>
      </c>
      <c r="D431" s="24" t="s">
        <v>466</v>
      </c>
      <c r="E431" s="25" t="s">
        <v>1745</v>
      </c>
      <c r="F431" s="16" t="str">
        <f>_xlfn.XLOOKUP(D431,[6]Sheet1!$C:$C,[6]Sheet1!$F:$F,"-")</f>
        <v>Nur Maulana Hasan</v>
      </c>
      <c r="G431" s="21"/>
    </row>
    <row r="432" spans="2:7">
      <c r="B432" s="22" t="s">
        <v>375</v>
      </c>
      <c r="C432" s="23" t="s">
        <v>376</v>
      </c>
      <c r="D432" s="24" t="s">
        <v>467</v>
      </c>
      <c r="E432" s="25" t="s">
        <v>1745</v>
      </c>
      <c r="F432" s="16" t="str">
        <f>_xlfn.XLOOKUP(D432,[6]Sheet1!$C:$C,[6]Sheet1!$F:$F,"-")</f>
        <v>Reza Zaqiyuddin</v>
      </c>
      <c r="G432" s="21"/>
    </row>
    <row r="433" spans="2:7">
      <c r="B433" s="22" t="s">
        <v>375</v>
      </c>
      <c r="C433" s="23" t="s">
        <v>376</v>
      </c>
      <c r="D433" s="24" t="s">
        <v>468</v>
      </c>
      <c r="E433" s="25" t="s">
        <v>1745</v>
      </c>
      <c r="F433" s="16" t="str">
        <f>_xlfn.XLOOKUP(D433,[6]Sheet1!$C:$C,[6]Sheet1!$F:$F,"-")</f>
        <v>Reza Zaqiyuddin</v>
      </c>
      <c r="G433" s="21"/>
    </row>
    <row r="434" spans="2:7">
      <c r="B434" s="22" t="s">
        <v>375</v>
      </c>
      <c r="C434" s="23" t="s">
        <v>376</v>
      </c>
      <c r="D434" s="24" t="s">
        <v>469</v>
      </c>
      <c r="E434" s="25" t="s">
        <v>1745</v>
      </c>
      <c r="F434" s="16" t="str">
        <f>_xlfn.XLOOKUP(D434,[6]Sheet1!$C:$C,[6]Sheet1!$F:$F,"-")</f>
        <v>Toni Anwar</v>
      </c>
      <c r="G434" s="21"/>
    </row>
    <row r="435" spans="2:7">
      <c r="B435" s="22" t="s">
        <v>375</v>
      </c>
      <c r="C435" s="23" t="s">
        <v>376</v>
      </c>
      <c r="D435" s="24" t="s">
        <v>470</v>
      </c>
      <c r="E435" s="25" t="s">
        <v>1745</v>
      </c>
      <c r="F435" s="16" t="str">
        <f>_xlfn.XLOOKUP(D435,[6]Sheet1!$C:$C,[6]Sheet1!$F:$F,"-")</f>
        <v>Yandi Sutardi</v>
      </c>
      <c r="G435" s="21"/>
    </row>
    <row r="436" spans="2:7">
      <c r="B436" s="22" t="s">
        <v>375</v>
      </c>
      <c r="C436" s="23" t="s">
        <v>376</v>
      </c>
      <c r="D436" s="24" t="s">
        <v>471</v>
      </c>
      <c r="E436" s="25" t="s">
        <v>1745</v>
      </c>
      <c r="F436" s="16" t="str">
        <f>_xlfn.XLOOKUP(D436,[6]Sheet1!$C:$C,[6]Sheet1!$F:$F,"-")</f>
        <v>Zezen Zaenul Arip</v>
      </c>
      <c r="G436" s="21"/>
    </row>
    <row r="437" spans="2:7">
      <c r="B437" s="22" t="s">
        <v>375</v>
      </c>
      <c r="C437" s="23" t="s">
        <v>376</v>
      </c>
      <c r="D437" s="24" t="s">
        <v>472</v>
      </c>
      <c r="E437" s="25" t="s">
        <v>1745</v>
      </c>
      <c r="F437" s="16" t="str">
        <f>_xlfn.XLOOKUP(D437,[6]Sheet1!$C:$C,[6]Sheet1!$F:$F,"-")</f>
        <v>Andriana Susanto</v>
      </c>
      <c r="G437" s="21"/>
    </row>
    <row r="438" spans="2:7">
      <c r="B438" s="22" t="s">
        <v>375</v>
      </c>
      <c r="C438" s="23" t="s">
        <v>376</v>
      </c>
      <c r="D438" s="24" t="s">
        <v>473</v>
      </c>
      <c r="E438" s="25" t="s">
        <v>1745</v>
      </c>
      <c r="F438" s="16" t="str">
        <f>_xlfn.XLOOKUP(D438,[6]Sheet1!$C:$C,[6]Sheet1!$F:$F,"-")</f>
        <v>Danil Sutiarso</v>
      </c>
      <c r="G438" s="21"/>
    </row>
    <row r="439" spans="2:7">
      <c r="B439" s="22" t="s">
        <v>375</v>
      </c>
      <c r="C439" s="23" t="s">
        <v>376</v>
      </c>
      <c r="D439" s="24" t="s">
        <v>474</v>
      </c>
      <c r="E439" s="25" t="s">
        <v>1745</v>
      </c>
      <c r="F439" s="16" t="str">
        <f>_xlfn.XLOOKUP(D439,[6]Sheet1!$C:$C,[6]Sheet1!$F:$F,"-")</f>
        <v>Dindin Irawan</v>
      </c>
      <c r="G439" s="21"/>
    </row>
    <row r="440" spans="2:7">
      <c r="B440" s="22" t="s">
        <v>375</v>
      </c>
      <c r="C440" s="23" t="s">
        <v>376</v>
      </c>
      <c r="D440" s="24" t="s">
        <v>475</v>
      </c>
      <c r="E440" s="25" t="s">
        <v>1745</v>
      </c>
      <c r="F440" s="16" t="str">
        <f>_xlfn.XLOOKUP(D440,[6]Sheet1!$C:$C,[6]Sheet1!$F:$F,"-")</f>
        <v>Faiz Achmad Yasin</v>
      </c>
      <c r="G440" s="21"/>
    </row>
    <row r="441" spans="2:7">
      <c r="B441" s="22" t="s">
        <v>375</v>
      </c>
      <c r="C441" s="23" t="s">
        <v>376</v>
      </c>
      <c r="D441" s="24" t="s">
        <v>476</v>
      </c>
      <c r="E441" s="25" t="s">
        <v>1745</v>
      </c>
      <c r="F441" s="16" t="str">
        <f>_xlfn.XLOOKUP(D441,[6]Sheet1!$C:$C,[6]Sheet1!$F:$F,"-")</f>
        <v>Faiz Achmad Yasin</v>
      </c>
      <c r="G441" s="21"/>
    </row>
    <row r="442" spans="2:7">
      <c r="B442" s="22" t="s">
        <v>375</v>
      </c>
      <c r="C442" s="23" t="s">
        <v>376</v>
      </c>
      <c r="D442" s="24" t="s">
        <v>477</v>
      </c>
      <c r="E442" s="25" t="s">
        <v>1745</v>
      </c>
      <c r="F442" s="16" t="str">
        <f>_xlfn.XLOOKUP(D442,[6]Sheet1!$C:$C,[6]Sheet1!$F:$F,"-")</f>
        <v>Hari Pardian</v>
      </c>
      <c r="G442" s="21"/>
    </row>
    <row r="443" spans="2:7">
      <c r="B443" s="22" t="s">
        <v>375</v>
      </c>
      <c r="C443" s="23" t="s">
        <v>376</v>
      </c>
      <c r="D443" s="24" t="s">
        <v>478</v>
      </c>
      <c r="E443" s="25" t="s">
        <v>1745</v>
      </c>
      <c r="F443" s="16" t="str">
        <f>_xlfn.XLOOKUP(D443,[6]Sheet1!$C:$C,[6]Sheet1!$F:$F,"-")</f>
        <v>Herdi Kurniawan</v>
      </c>
      <c r="G443" s="21"/>
    </row>
    <row r="444" spans="2:7">
      <c r="B444" s="22" t="s">
        <v>375</v>
      </c>
      <c r="C444" s="23" t="s">
        <v>376</v>
      </c>
      <c r="D444" s="24" t="s">
        <v>479</v>
      </c>
      <c r="E444" s="25" t="s">
        <v>1745</v>
      </c>
      <c r="F444" s="16" t="str">
        <f>_xlfn.XLOOKUP(D444,[6]Sheet1!$C:$C,[6]Sheet1!$F:$F,"-")</f>
        <v>Ipan Pathurrahman</v>
      </c>
      <c r="G444" s="21"/>
    </row>
    <row r="445" spans="2:7">
      <c r="B445" s="22" t="s">
        <v>375</v>
      </c>
      <c r="C445" s="23" t="s">
        <v>376</v>
      </c>
      <c r="D445" s="24" t="s">
        <v>480</v>
      </c>
      <c r="E445" s="25" t="s">
        <v>1745</v>
      </c>
      <c r="F445" s="16" t="str">
        <f>_xlfn.XLOOKUP(D445,[6]Sheet1!$C:$C,[6]Sheet1!$F:$F,"-")</f>
        <v>Jamjam ramdani</v>
      </c>
      <c r="G445" s="21"/>
    </row>
    <row r="446" spans="2:7">
      <c r="B446" s="22" t="s">
        <v>375</v>
      </c>
      <c r="C446" s="23" t="s">
        <v>376</v>
      </c>
      <c r="D446" s="24" t="s">
        <v>481</v>
      </c>
      <c r="E446" s="25" t="s">
        <v>1745</v>
      </c>
      <c r="F446" s="16" t="str">
        <f>_xlfn.XLOOKUP(D446,[6]Sheet1!$C:$C,[6]Sheet1!$F:$F,"-")</f>
        <v>Muhammad Abdul Rozi</v>
      </c>
      <c r="G446" s="21"/>
    </row>
    <row r="447" spans="2:7">
      <c r="B447" s="22" t="s">
        <v>375</v>
      </c>
      <c r="C447" s="23" t="s">
        <v>376</v>
      </c>
      <c r="D447" s="24" t="s">
        <v>482</v>
      </c>
      <c r="E447" s="25" t="s">
        <v>1745</v>
      </c>
      <c r="F447" s="16" t="str">
        <f>_xlfn.XLOOKUP(D447,[6]Sheet1!$C:$C,[6]Sheet1!$F:$F,"-")</f>
        <v>Muhammad Abdul Rozi</v>
      </c>
      <c r="G447" s="21"/>
    </row>
    <row r="448" spans="2:7">
      <c r="B448" s="22" t="s">
        <v>375</v>
      </c>
      <c r="C448" s="23" t="s">
        <v>376</v>
      </c>
      <c r="D448" s="24" t="s">
        <v>483</v>
      </c>
      <c r="E448" s="25" t="s">
        <v>1745</v>
      </c>
      <c r="F448" s="16" t="str">
        <f>_xlfn.XLOOKUP(D448,[6]Sheet1!$C:$C,[6]Sheet1!$F:$F,"-")</f>
        <v>Ridwan Ginanjar</v>
      </c>
      <c r="G448" s="21"/>
    </row>
    <row r="449" spans="2:7">
      <c r="B449" s="22" t="s">
        <v>375</v>
      </c>
      <c r="C449" s="23" t="s">
        <v>376</v>
      </c>
      <c r="D449" s="24" t="s">
        <v>484</v>
      </c>
      <c r="E449" s="25" t="s">
        <v>1745</v>
      </c>
      <c r="F449" s="16" t="str">
        <f>_xlfn.XLOOKUP(D449,[6]Sheet1!$C:$C,[6]Sheet1!$F:$F,"-")</f>
        <v>Sandi Mutakin</v>
      </c>
      <c r="G449" s="21"/>
    </row>
    <row r="450" spans="2:7">
      <c r="B450" s="22" t="s">
        <v>375</v>
      </c>
      <c r="C450" s="23" t="s">
        <v>376</v>
      </c>
      <c r="D450" s="24" t="s">
        <v>485</v>
      </c>
      <c r="E450" s="25" t="s">
        <v>1745</v>
      </c>
      <c r="F450" s="16" t="str">
        <f>_xlfn.XLOOKUP(D450,[6]Sheet1!$C:$C,[6]Sheet1!$F:$F,"-")</f>
        <v>Sandra Cahya Permana</v>
      </c>
      <c r="G450" s="21"/>
    </row>
    <row r="451" spans="2:7">
      <c r="B451" s="22" t="s">
        <v>375</v>
      </c>
      <c r="C451" s="23" t="s">
        <v>376</v>
      </c>
      <c r="D451" s="24" t="s">
        <v>486</v>
      </c>
      <c r="E451" s="25" t="s">
        <v>1745</v>
      </c>
      <c r="F451" s="16" t="str">
        <f>_xlfn.XLOOKUP(D451,[6]Sheet1!$C:$C,[6]Sheet1!$F:$F,"-")</f>
        <v>Tresha Oktariana</v>
      </c>
      <c r="G451" s="21"/>
    </row>
    <row r="452" spans="2:7">
      <c r="B452" s="22" t="s">
        <v>375</v>
      </c>
      <c r="C452" s="23" t="s">
        <v>376</v>
      </c>
      <c r="D452" s="24" t="s">
        <v>487</v>
      </c>
      <c r="E452" s="25" t="s">
        <v>1745</v>
      </c>
      <c r="F452" s="16" t="str">
        <f>_xlfn.XLOOKUP(D452,[6]Sheet1!$C:$C,[6]Sheet1!$F:$F,"-")</f>
        <v>Akbar Rizki Mulyana</v>
      </c>
      <c r="G452" s="21"/>
    </row>
    <row r="453" spans="2:7">
      <c r="B453" s="22" t="s">
        <v>375</v>
      </c>
      <c r="C453" s="23" t="s">
        <v>376</v>
      </c>
      <c r="D453" s="24" t="s">
        <v>488</v>
      </c>
      <c r="E453" s="25" t="s">
        <v>1745</v>
      </c>
      <c r="F453" s="16" t="str">
        <f>_xlfn.XLOOKUP(D453,[6]Sheet1!$C:$C,[6]Sheet1!$F:$F,"-")</f>
        <v>Deni Purnama</v>
      </c>
      <c r="G453" s="21"/>
    </row>
    <row r="454" spans="2:7">
      <c r="B454" s="22" t="s">
        <v>375</v>
      </c>
      <c r="C454" s="23" t="s">
        <v>376</v>
      </c>
      <c r="D454" s="24" t="s">
        <v>489</v>
      </c>
      <c r="E454" s="25" t="s">
        <v>1745</v>
      </c>
      <c r="F454" s="16" t="str">
        <f>_xlfn.XLOOKUP(D454,[6]Sheet1!$C:$C,[6]Sheet1!$F:$F,"-")</f>
        <v>Dicky Aditia</v>
      </c>
      <c r="G454" s="21"/>
    </row>
    <row r="455" spans="2:7">
      <c r="B455" s="22" t="s">
        <v>375</v>
      </c>
      <c r="C455" s="23" t="s">
        <v>376</v>
      </c>
      <c r="D455" s="24" t="s">
        <v>490</v>
      </c>
      <c r="E455" s="25" t="s">
        <v>1745</v>
      </c>
      <c r="F455" s="16" t="str">
        <f>_xlfn.XLOOKUP(D455,[6]Sheet1!$C:$C,[6]Sheet1!$F:$F,"-")</f>
        <v>Fikri Nurhidayat</v>
      </c>
      <c r="G455" s="21"/>
    </row>
    <row r="456" spans="2:7">
      <c r="B456" s="22" t="s">
        <v>375</v>
      </c>
      <c r="C456" s="23" t="s">
        <v>376</v>
      </c>
      <c r="D456" s="24" t="s">
        <v>491</v>
      </c>
      <c r="E456" s="25" t="s">
        <v>1745</v>
      </c>
      <c r="F456" s="16" t="str">
        <f>_xlfn.XLOOKUP(D456,[6]Sheet1!$C:$C,[6]Sheet1!$F:$F,"-")</f>
        <v>Irfan Abdur Rochim</v>
      </c>
      <c r="G456" s="21"/>
    </row>
    <row r="457" spans="2:7">
      <c r="B457" s="22" t="s">
        <v>375</v>
      </c>
      <c r="C457" s="23" t="s">
        <v>376</v>
      </c>
      <c r="D457" s="24" t="s">
        <v>492</v>
      </c>
      <c r="E457" s="25" t="s">
        <v>1745</v>
      </c>
      <c r="F457" s="16" t="str">
        <f>_xlfn.XLOOKUP(D457,[6]Sheet1!$C:$C,[6]Sheet1!$F:$F,"-")</f>
        <v>Irfan Abdur Rochim</v>
      </c>
      <c r="G457" s="21"/>
    </row>
    <row r="458" spans="2:7">
      <c r="B458" s="22" t="s">
        <v>375</v>
      </c>
      <c r="C458" s="23" t="s">
        <v>376</v>
      </c>
      <c r="D458" s="24" t="s">
        <v>493</v>
      </c>
      <c r="E458" s="25" t="s">
        <v>1745</v>
      </c>
      <c r="F458" s="16" t="str">
        <f>_xlfn.XLOOKUP(D458,[6]Sheet1!$C:$C,[6]Sheet1!$F:$F,"-")</f>
        <v>Iyan Diana</v>
      </c>
      <c r="G458" s="21"/>
    </row>
    <row r="459" spans="2:7">
      <c r="B459" s="22" t="s">
        <v>375</v>
      </c>
      <c r="C459" s="23" t="s">
        <v>376</v>
      </c>
      <c r="D459" s="24" t="s">
        <v>494</v>
      </c>
      <c r="E459" s="25" t="s">
        <v>1745</v>
      </c>
      <c r="F459" s="16" t="str">
        <f>_xlfn.XLOOKUP(D459,[6]Sheet1!$C:$C,[6]Sheet1!$F:$F,"-")</f>
        <v>Nunu Nugraha</v>
      </c>
      <c r="G459" s="21"/>
    </row>
    <row r="460" spans="2:7">
      <c r="B460" s="22" t="s">
        <v>375</v>
      </c>
      <c r="C460" s="23" t="s">
        <v>376</v>
      </c>
      <c r="D460" s="24" t="s">
        <v>495</v>
      </c>
      <c r="E460" s="25" t="s">
        <v>1745</v>
      </c>
      <c r="F460" s="16" t="str">
        <f>_xlfn.XLOOKUP(D460,[6]Sheet1!$C:$C,[6]Sheet1!$F:$F,"-")</f>
        <v>Nuralamsah</v>
      </c>
      <c r="G460" s="21"/>
    </row>
    <row r="461" spans="2:7">
      <c r="B461" s="22" t="s">
        <v>375</v>
      </c>
      <c r="C461" s="23" t="s">
        <v>376</v>
      </c>
      <c r="D461" s="24" t="s">
        <v>496</v>
      </c>
      <c r="E461" s="25" t="s">
        <v>1745</v>
      </c>
      <c r="F461" s="16" t="str">
        <f>_xlfn.XLOOKUP(D461,[6]Sheet1!$C:$C,[6]Sheet1!$F:$F,"-")</f>
        <v>Opie Gustriana</v>
      </c>
      <c r="G461" s="21"/>
    </row>
    <row r="462" spans="2:7">
      <c r="B462" s="22" t="s">
        <v>375</v>
      </c>
      <c r="C462" s="23" t="s">
        <v>376</v>
      </c>
      <c r="D462" s="24" t="s">
        <v>497</v>
      </c>
      <c r="E462" s="25" t="s">
        <v>1745</v>
      </c>
      <c r="F462" s="16" t="str">
        <f>_xlfn.XLOOKUP(D462,[6]Sheet1!$C:$C,[6]Sheet1!$F:$F,"-")</f>
        <v>Opie Gustriana</v>
      </c>
      <c r="G462" s="21"/>
    </row>
    <row r="463" spans="2:7">
      <c r="B463" s="22" t="s">
        <v>375</v>
      </c>
      <c r="C463" s="23" t="s">
        <v>376</v>
      </c>
      <c r="D463" s="24" t="s">
        <v>498</v>
      </c>
      <c r="E463" s="25" t="s">
        <v>1745</v>
      </c>
      <c r="F463" s="16" t="str">
        <f>_xlfn.XLOOKUP(D463,[6]Sheet1!$C:$C,[6]Sheet1!$F:$F,"-")</f>
        <v>Rachman Setyadi</v>
      </c>
      <c r="G463" s="21"/>
    </row>
    <row r="464" spans="2:7">
      <c r="B464" s="22" t="s">
        <v>375</v>
      </c>
      <c r="C464" s="23" t="s">
        <v>376</v>
      </c>
      <c r="D464" s="24" t="s">
        <v>499</v>
      </c>
      <c r="E464" s="25" t="s">
        <v>1745</v>
      </c>
      <c r="F464" s="16" t="str">
        <f>_xlfn.XLOOKUP(D464,[6]Sheet1!$C:$C,[6]Sheet1!$F:$F,"-")</f>
        <v>Redi Heriadi</v>
      </c>
      <c r="G464" s="21"/>
    </row>
    <row r="465" spans="2:7">
      <c r="B465" s="22" t="s">
        <v>375</v>
      </c>
      <c r="C465" s="23" t="s">
        <v>376</v>
      </c>
      <c r="D465" s="24" t="s">
        <v>500</v>
      </c>
      <c r="E465" s="25" t="s">
        <v>1745</v>
      </c>
      <c r="F465" s="16" t="str">
        <f>_xlfn.XLOOKUP(D465,[6]Sheet1!$C:$C,[6]Sheet1!$F:$F,"-")</f>
        <v>Rizki Kurniawan Akbar</v>
      </c>
      <c r="G465" s="21"/>
    </row>
    <row r="466" spans="2:7">
      <c r="B466" s="22" t="s">
        <v>375</v>
      </c>
      <c r="C466" s="23" t="s">
        <v>376</v>
      </c>
      <c r="D466" s="24" t="s">
        <v>501</v>
      </c>
      <c r="E466" s="25" t="s">
        <v>1745</v>
      </c>
      <c r="F466" s="16" t="str">
        <f>_xlfn.XLOOKUP(D466,[6]Sheet1!$C:$C,[6]Sheet1!$F:$F,"-")</f>
        <v>Rizki Kurniawan Akbar</v>
      </c>
      <c r="G466" s="21"/>
    </row>
    <row r="467" spans="2:7">
      <c r="B467" s="22" t="s">
        <v>375</v>
      </c>
      <c r="C467" s="23" t="s">
        <v>376</v>
      </c>
      <c r="D467" s="24" t="s">
        <v>502</v>
      </c>
      <c r="E467" s="25" t="s">
        <v>1745</v>
      </c>
      <c r="F467" s="16" t="str">
        <f>_xlfn.XLOOKUP(D467,[6]Sheet1!$C:$C,[6]Sheet1!$F:$F,"-")</f>
        <v>Septian Nuralamsyah</v>
      </c>
      <c r="G467" s="21"/>
    </row>
    <row r="468" spans="2:7">
      <c r="B468" s="22" t="s">
        <v>375</v>
      </c>
      <c r="C468" s="23" t="s">
        <v>376</v>
      </c>
      <c r="D468" s="24" t="s">
        <v>503</v>
      </c>
      <c r="E468" s="25" t="s">
        <v>1745</v>
      </c>
      <c r="F468" s="16" t="str">
        <f>_xlfn.XLOOKUP(D468,[6]Sheet1!$C:$C,[6]Sheet1!$F:$F,"-")</f>
        <v>Widodo Iqbal Baharudin</v>
      </c>
      <c r="G468" s="21"/>
    </row>
    <row r="469" spans="2:7">
      <c r="B469" s="22" t="s">
        <v>375</v>
      </c>
      <c r="C469" s="23" t="s">
        <v>376</v>
      </c>
      <c r="D469" s="24" t="s">
        <v>504</v>
      </c>
      <c r="E469" s="25" t="s">
        <v>1745</v>
      </c>
      <c r="F469" s="16" t="str">
        <f>_xlfn.XLOOKUP(D469,[6]Sheet1!$C:$C,[6]Sheet1!$F:$F,"-")</f>
        <v>Akhmad Wildan Heryanto</v>
      </c>
      <c r="G469" s="21"/>
    </row>
    <row r="470" spans="2:7">
      <c r="B470" s="22" t="s">
        <v>375</v>
      </c>
      <c r="C470" s="23" t="s">
        <v>376</v>
      </c>
      <c r="D470" s="24" t="s">
        <v>505</v>
      </c>
      <c r="E470" s="25" t="s">
        <v>1745</v>
      </c>
      <c r="F470" s="16" t="str">
        <f>_xlfn.XLOOKUP(D470,[6]Sheet1!$C:$C,[6]Sheet1!$F:$F,"-")</f>
        <v>Akhmad Wildan Heryanto</v>
      </c>
      <c r="G470" s="21"/>
    </row>
    <row r="471" spans="2:7">
      <c r="B471" s="22" t="s">
        <v>375</v>
      </c>
      <c r="C471" s="23" t="s">
        <v>376</v>
      </c>
      <c r="D471" s="24" t="s">
        <v>506</v>
      </c>
      <c r="E471" s="25" t="s">
        <v>1745</v>
      </c>
      <c r="F471" s="16" t="str">
        <f>_xlfn.XLOOKUP(D471,[6]Sheet1!$C:$C,[6]Sheet1!$F:$F,"-")</f>
        <v>Dwiyanto</v>
      </c>
      <c r="G471" s="21"/>
    </row>
    <row r="472" spans="2:7">
      <c r="B472" s="22" t="s">
        <v>375</v>
      </c>
      <c r="C472" s="23" t="s">
        <v>376</v>
      </c>
      <c r="D472" s="24" t="s">
        <v>507</v>
      </c>
      <c r="E472" s="25" t="s">
        <v>1745</v>
      </c>
      <c r="F472" s="16" t="str">
        <f>_xlfn.XLOOKUP(D472,[6]Sheet1!$C:$C,[6]Sheet1!$F:$F,"-")</f>
        <v>Endang Rudi Rohana</v>
      </c>
      <c r="G472" s="21"/>
    </row>
    <row r="473" spans="2:7">
      <c r="B473" s="22" t="s">
        <v>375</v>
      </c>
      <c r="C473" s="23" t="s">
        <v>376</v>
      </c>
      <c r="D473" s="24" t="s">
        <v>508</v>
      </c>
      <c r="E473" s="25" t="s">
        <v>1745</v>
      </c>
      <c r="F473" s="16" t="str">
        <f>_xlfn.XLOOKUP(D473,[6]Sheet1!$C:$C,[6]Sheet1!$F:$F,"-")</f>
        <v>Endang Rudi Rohana</v>
      </c>
      <c r="G473" s="21"/>
    </row>
    <row r="474" spans="2:7">
      <c r="B474" s="22" t="s">
        <v>375</v>
      </c>
      <c r="C474" s="23" t="s">
        <v>376</v>
      </c>
      <c r="D474" s="24" t="s">
        <v>509</v>
      </c>
      <c r="E474" s="25" t="s">
        <v>1745</v>
      </c>
      <c r="F474" s="16" t="str">
        <f>_xlfn.XLOOKUP(D474,[6]Sheet1!$C:$C,[6]Sheet1!$F:$F,"-")</f>
        <v>Indra Nuryanto</v>
      </c>
      <c r="G474" s="21"/>
    </row>
    <row r="475" spans="2:7">
      <c r="B475" s="22" t="s">
        <v>375</v>
      </c>
      <c r="C475" s="23" t="s">
        <v>376</v>
      </c>
      <c r="D475" s="24" t="s">
        <v>510</v>
      </c>
      <c r="E475" s="25" t="s">
        <v>1745</v>
      </c>
      <c r="F475" s="16" t="str">
        <f>_xlfn.XLOOKUP(D475,[6]Sheet1!$C:$C,[6]Sheet1!$F:$F,"-")</f>
        <v>Mochamad Taofik</v>
      </c>
      <c r="G475" s="21"/>
    </row>
    <row r="476" spans="2:7">
      <c r="B476" s="22" t="s">
        <v>375</v>
      </c>
      <c r="C476" s="23" t="s">
        <v>376</v>
      </c>
      <c r="D476" s="24" t="s">
        <v>511</v>
      </c>
      <c r="E476" s="25" t="s">
        <v>1745</v>
      </c>
      <c r="F476" s="16" t="str">
        <f>_xlfn.XLOOKUP(D476,[6]Sheet1!$C:$C,[6]Sheet1!$F:$F,"-")</f>
        <v>Muhammad Iqbal</v>
      </c>
      <c r="G476" s="21"/>
    </row>
    <row r="477" spans="2:7">
      <c r="B477" s="22" t="s">
        <v>375</v>
      </c>
      <c r="C477" s="23" t="s">
        <v>376</v>
      </c>
      <c r="D477" s="24" t="s">
        <v>512</v>
      </c>
      <c r="E477" s="25" t="s">
        <v>1745</v>
      </c>
      <c r="F477" s="16" t="str">
        <f>_xlfn.XLOOKUP(D477,[6]Sheet1!$C:$C,[6]Sheet1!$F:$F,"-")</f>
        <v>Muhammad Ramdhan</v>
      </c>
      <c r="G477" s="21"/>
    </row>
    <row r="478" spans="2:7">
      <c r="B478" s="22" t="s">
        <v>375</v>
      </c>
      <c r="C478" s="23" t="s">
        <v>376</v>
      </c>
      <c r="D478" s="24" t="s">
        <v>513</v>
      </c>
      <c r="E478" s="25" t="s">
        <v>1745</v>
      </c>
      <c r="F478" s="16" t="str">
        <f>_xlfn.XLOOKUP(D478,[6]Sheet1!$C:$C,[6]Sheet1!$F:$F,"-")</f>
        <v>Muhammad Ramdhan</v>
      </c>
      <c r="G478" s="21"/>
    </row>
    <row r="479" spans="2:7">
      <c r="B479" s="22" t="s">
        <v>375</v>
      </c>
      <c r="C479" s="23" t="s">
        <v>376</v>
      </c>
      <c r="D479" s="24" t="s">
        <v>514</v>
      </c>
      <c r="E479" s="25" t="s">
        <v>1745</v>
      </c>
      <c r="F479" s="16" t="str">
        <f>_xlfn.XLOOKUP(D479,[6]Sheet1!$C:$C,[6]Sheet1!$F:$F,"-")</f>
        <v>Rudi Hermawan</v>
      </c>
      <c r="G479" s="21"/>
    </row>
    <row r="480" spans="2:7">
      <c r="B480" s="22" t="s">
        <v>375</v>
      </c>
      <c r="C480" s="23" t="s">
        <v>376</v>
      </c>
      <c r="D480" s="24" t="s">
        <v>515</v>
      </c>
      <c r="E480" s="25" t="s">
        <v>1745</v>
      </c>
      <c r="F480" s="16" t="str">
        <f>_xlfn.XLOOKUP(D480,[6]Sheet1!$C:$C,[6]Sheet1!$F:$F,"-")</f>
        <v>Shevina Shevriyana</v>
      </c>
      <c r="G480" s="21"/>
    </row>
    <row r="481" spans="2:7">
      <c r="B481" s="22" t="s">
        <v>375</v>
      </c>
      <c r="C481" s="23" t="s">
        <v>376</v>
      </c>
      <c r="D481" s="24" t="s">
        <v>516</v>
      </c>
      <c r="E481" s="25" t="s">
        <v>1745</v>
      </c>
      <c r="F481" s="16" t="str">
        <f>_xlfn.XLOOKUP(D481,[6]Sheet1!$C:$C,[6]Sheet1!$F:$F,"-")</f>
        <v>Abdul Azid</v>
      </c>
      <c r="G481" s="21"/>
    </row>
    <row r="482" spans="2:7">
      <c r="B482" s="22" t="s">
        <v>375</v>
      </c>
      <c r="C482" s="23" t="s">
        <v>376</v>
      </c>
      <c r="D482" s="24" t="s">
        <v>517</v>
      </c>
      <c r="E482" s="25" t="s">
        <v>1745</v>
      </c>
      <c r="F482" s="16" t="str">
        <f>_xlfn.XLOOKUP(D482,[6]Sheet1!$C:$C,[6]Sheet1!$F:$F,"-")</f>
        <v>Agung Problema Huda</v>
      </c>
      <c r="G482" s="21"/>
    </row>
    <row r="483" spans="2:7">
      <c r="B483" s="22" t="s">
        <v>375</v>
      </c>
      <c r="C483" s="23" t="s">
        <v>376</v>
      </c>
      <c r="D483" s="24" t="s">
        <v>518</v>
      </c>
      <c r="E483" s="25" t="s">
        <v>1745</v>
      </c>
      <c r="F483" s="16" t="str">
        <f>_xlfn.XLOOKUP(D483,[6]Sheet1!$C:$C,[6]Sheet1!$F:$F,"-")</f>
        <v>Aris Sopiana</v>
      </c>
      <c r="G483" s="21"/>
    </row>
    <row r="484" spans="2:7">
      <c r="B484" s="22" t="s">
        <v>375</v>
      </c>
      <c r="C484" s="23" t="s">
        <v>376</v>
      </c>
      <c r="D484" s="24" t="s">
        <v>519</v>
      </c>
      <c r="E484" s="25" t="s">
        <v>1745</v>
      </c>
      <c r="F484" s="16" t="str">
        <f>_xlfn.XLOOKUP(D484,[6]Sheet1!$C:$C,[6]Sheet1!$F:$F,"-")</f>
        <v>Bambang Hermanto</v>
      </c>
      <c r="G484" s="21"/>
    </row>
    <row r="485" spans="2:7">
      <c r="B485" s="22" t="s">
        <v>375</v>
      </c>
      <c r="C485" s="23" t="s">
        <v>376</v>
      </c>
      <c r="D485" s="24" t="s">
        <v>520</v>
      </c>
      <c r="E485" s="25" t="s">
        <v>1745</v>
      </c>
      <c r="F485" s="16" t="str">
        <f>_xlfn.XLOOKUP(D485,[6]Sheet1!$C:$C,[6]Sheet1!$F:$F,"-")</f>
        <v>Dani Mardani</v>
      </c>
      <c r="G485" s="21"/>
    </row>
    <row r="486" spans="2:7">
      <c r="B486" s="22" t="s">
        <v>375</v>
      </c>
      <c r="C486" s="23" t="s">
        <v>376</v>
      </c>
      <c r="D486" s="24" t="s">
        <v>521</v>
      </c>
      <c r="E486" s="25" t="s">
        <v>1745</v>
      </c>
      <c r="F486" s="16" t="str">
        <f>_xlfn.XLOOKUP(D486,[6]Sheet1!$C:$C,[6]Sheet1!$F:$F,"-")</f>
        <v>Decky Verdian</v>
      </c>
      <c r="G486" s="21"/>
    </row>
    <row r="487" spans="2:7">
      <c r="B487" s="22" t="s">
        <v>375</v>
      </c>
      <c r="C487" s="23" t="s">
        <v>376</v>
      </c>
      <c r="D487" s="24" t="s">
        <v>522</v>
      </c>
      <c r="E487" s="25" t="s">
        <v>1745</v>
      </c>
      <c r="F487" s="16" t="str">
        <f>_xlfn.XLOOKUP(D487,[6]Sheet1!$C:$C,[6]Sheet1!$F:$F,"-")</f>
        <v>Dodi Rikiyandi</v>
      </c>
      <c r="G487" s="21"/>
    </row>
    <row r="488" spans="2:7">
      <c r="B488" s="22" t="s">
        <v>375</v>
      </c>
      <c r="C488" s="23" t="s">
        <v>376</v>
      </c>
      <c r="D488" s="24" t="s">
        <v>523</v>
      </c>
      <c r="E488" s="25" t="s">
        <v>1745</v>
      </c>
      <c r="F488" s="16" t="str">
        <f>_xlfn.XLOOKUP(D488,[6]Sheet1!$C:$C,[6]Sheet1!$F:$F,"-")</f>
        <v>Fadhlan Zazmi Hilman</v>
      </c>
      <c r="G488" s="21"/>
    </row>
    <row r="489" spans="2:7">
      <c r="B489" s="22" t="s">
        <v>375</v>
      </c>
      <c r="C489" s="23" t="s">
        <v>376</v>
      </c>
      <c r="D489" s="24" t="s">
        <v>524</v>
      </c>
      <c r="E489" s="25" t="s">
        <v>1745</v>
      </c>
      <c r="F489" s="16" t="str">
        <f>_xlfn.XLOOKUP(D489,[6]Sheet1!$C:$C,[6]Sheet1!$F:$F,"-")</f>
        <v>Fadillah Pratama Putra</v>
      </c>
      <c r="G489" s="21"/>
    </row>
    <row r="490" spans="2:7">
      <c r="B490" s="22" t="s">
        <v>375</v>
      </c>
      <c r="C490" s="23" t="s">
        <v>376</v>
      </c>
      <c r="D490" s="24" t="s">
        <v>525</v>
      </c>
      <c r="E490" s="25" t="s">
        <v>1745</v>
      </c>
      <c r="F490" s="16" t="str">
        <f>_xlfn.XLOOKUP(D490,[6]Sheet1!$C:$C,[6]Sheet1!$F:$F,"-")</f>
        <v>Herdiansyah</v>
      </c>
      <c r="G490" s="21"/>
    </row>
    <row r="491" spans="2:7">
      <c r="B491" s="22" t="s">
        <v>375</v>
      </c>
      <c r="C491" s="23" t="s">
        <v>376</v>
      </c>
      <c r="D491" s="24" t="s">
        <v>526</v>
      </c>
      <c r="E491" s="25" t="s">
        <v>1745</v>
      </c>
      <c r="F491" s="16" t="str">
        <f>_xlfn.XLOOKUP(D491,[6]Sheet1!$C:$C,[6]Sheet1!$F:$F,"-")</f>
        <v>Heriyanto</v>
      </c>
      <c r="G491" s="21"/>
    </row>
    <row r="492" spans="2:7">
      <c r="B492" s="22" t="s">
        <v>375</v>
      </c>
      <c r="C492" s="23" t="s">
        <v>376</v>
      </c>
      <c r="D492" s="24" t="s">
        <v>527</v>
      </c>
      <c r="E492" s="25" t="s">
        <v>1745</v>
      </c>
      <c r="F492" s="16" t="str">
        <f>_xlfn.XLOOKUP(D492,[6]Sheet1!$C:$C,[6]Sheet1!$F:$F,"-")</f>
        <v>Indra Gunawan</v>
      </c>
      <c r="G492" s="21"/>
    </row>
    <row r="493" spans="2:7">
      <c r="B493" s="22" t="s">
        <v>375</v>
      </c>
      <c r="C493" s="23" t="s">
        <v>376</v>
      </c>
      <c r="D493" s="24" t="s">
        <v>528</v>
      </c>
      <c r="E493" s="25" t="s">
        <v>1745</v>
      </c>
      <c r="F493" s="16" t="str">
        <f>_xlfn.XLOOKUP(D493,[6]Sheet1!$C:$C,[6]Sheet1!$F:$F,"-")</f>
        <v>Jamaludin</v>
      </c>
      <c r="G493" s="21"/>
    </row>
    <row r="494" spans="2:7">
      <c r="B494" s="22" t="s">
        <v>375</v>
      </c>
      <c r="C494" s="23" t="s">
        <v>376</v>
      </c>
      <c r="D494" s="24" t="s">
        <v>529</v>
      </c>
      <c r="E494" s="25" t="s">
        <v>1745</v>
      </c>
      <c r="F494" s="16" t="str">
        <f>_xlfn.XLOOKUP(D494,[6]Sheet1!$C:$C,[6]Sheet1!$F:$F,"-")</f>
        <v>Jamaludin</v>
      </c>
      <c r="G494" s="21"/>
    </row>
    <row r="495" spans="2:7">
      <c r="B495" s="22" t="s">
        <v>375</v>
      </c>
      <c r="C495" s="23" t="s">
        <v>376</v>
      </c>
      <c r="D495" s="24" t="s">
        <v>530</v>
      </c>
      <c r="E495" s="25" t="s">
        <v>1745</v>
      </c>
      <c r="F495" s="16" t="str">
        <f>_xlfn.XLOOKUP(D495,[6]Sheet1!$C:$C,[6]Sheet1!$F:$F,"-")</f>
        <v>Muhammad Mahfudin</v>
      </c>
      <c r="G495" s="21"/>
    </row>
    <row r="496" spans="2:7">
      <c r="B496" s="22" t="s">
        <v>375</v>
      </c>
      <c r="C496" s="23" t="s">
        <v>376</v>
      </c>
      <c r="D496" s="24" t="s">
        <v>531</v>
      </c>
      <c r="E496" s="25" t="s">
        <v>1745</v>
      </c>
      <c r="F496" s="16" t="str">
        <f>_xlfn.XLOOKUP(D496,[6]Sheet1!$C:$C,[6]Sheet1!$F:$F,"-")</f>
        <v>Nondi Rismaya</v>
      </c>
      <c r="G496" s="21"/>
    </row>
    <row r="497" spans="2:7">
      <c r="B497" s="22" t="s">
        <v>375</v>
      </c>
      <c r="C497" s="23" t="s">
        <v>376</v>
      </c>
      <c r="D497" s="24" t="s">
        <v>532</v>
      </c>
      <c r="E497" s="25" t="s">
        <v>1745</v>
      </c>
      <c r="F497" s="16" t="str">
        <f>_xlfn.XLOOKUP(D497,[6]Sheet1!$C:$C,[6]Sheet1!$F:$F,"-")</f>
        <v>Rahmat Fauzi</v>
      </c>
      <c r="G497" s="21"/>
    </row>
    <row r="498" spans="2:7">
      <c r="B498" s="22" t="s">
        <v>375</v>
      </c>
      <c r="C498" s="23" t="s">
        <v>376</v>
      </c>
      <c r="D498" s="24" t="s">
        <v>533</v>
      </c>
      <c r="E498" s="25" t="s">
        <v>1745</v>
      </c>
      <c r="F498" s="16" t="str">
        <f>_xlfn.XLOOKUP(D498,[6]Sheet1!$C:$C,[6]Sheet1!$F:$F,"-")</f>
        <v>Reja Suherlan</v>
      </c>
      <c r="G498" s="21"/>
    </row>
    <row r="499" spans="2:7">
      <c r="B499" s="22" t="s">
        <v>375</v>
      </c>
      <c r="C499" s="23" t="s">
        <v>376</v>
      </c>
      <c r="D499" s="24" t="s">
        <v>534</v>
      </c>
      <c r="E499" s="25" t="s">
        <v>1745</v>
      </c>
      <c r="F499" s="16" t="str">
        <f>_xlfn.XLOOKUP(D499,[6]Sheet1!$C:$C,[6]Sheet1!$F:$F,"-")</f>
        <v>Reja Suherlan</v>
      </c>
      <c r="G499" s="21"/>
    </row>
    <row r="500" spans="2:7">
      <c r="B500" s="22" t="s">
        <v>375</v>
      </c>
      <c r="C500" s="23" t="s">
        <v>376</v>
      </c>
      <c r="D500" s="24" t="s">
        <v>535</v>
      </c>
      <c r="E500" s="25" t="s">
        <v>1745</v>
      </c>
      <c r="F500" s="16" t="str">
        <f>_xlfn.XLOOKUP(D500,[6]Sheet1!$C:$C,[6]Sheet1!$F:$F,"-")</f>
        <v>Rendi Muhamad</v>
      </c>
      <c r="G500" s="21"/>
    </row>
    <row r="501" spans="2:7">
      <c r="B501" s="22" t="s">
        <v>375</v>
      </c>
      <c r="C501" s="23" t="s">
        <v>376</v>
      </c>
      <c r="D501" s="24" t="s">
        <v>536</v>
      </c>
      <c r="E501" s="25" t="s">
        <v>1745</v>
      </c>
      <c r="F501" s="16" t="str">
        <f>_xlfn.XLOOKUP(D501,[6]Sheet1!$C:$C,[6]Sheet1!$F:$F,"-")</f>
        <v>Restu Sanjaya</v>
      </c>
      <c r="G501" s="21"/>
    </row>
    <row r="502" spans="2:7">
      <c r="B502" s="22" t="s">
        <v>375</v>
      </c>
      <c r="C502" s="23" t="s">
        <v>376</v>
      </c>
      <c r="D502" s="24" t="s">
        <v>537</v>
      </c>
      <c r="E502" s="25" t="s">
        <v>1745</v>
      </c>
      <c r="F502" s="16" t="str">
        <f>_xlfn.XLOOKUP(D502,[6]Sheet1!$C:$C,[6]Sheet1!$F:$F,"-")</f>
        <v>Saepul Bahri</v>
      </c>
      <c r="G502" s="21"/>
    </row>
    <row r="503" spans="2:7">
      <c r="B503" s="22" t="s">
        <v>375</v>
      </c>
      <c r="C503" s="23" t="s">
        <v>376</v>
      </c>
      <c r="D503" s="24" t="s">
        <v>538</v>
      </c>
      <c r="E503" s="25" t="s">
        <v>1745</v>
      </c>
      <c r="F503" s="16" t="str">
        <f>_xlfn.XLOOKUP(D503,[6]Sheet1!$C:$C,[6]Sheet1!$F:$F,"-")</f>
        <v>Saepul Iman</v>
      </c>
      <c r="G503" s="21"/>
    </row>
    <row r="504" spans="2:7">
      <c r="B504" s="22" t="s">
        <v>375</v>
      </c>
      <c r="C504" s="23" t="s">
        <v>376</v>
      </c>
      <c r="D504" s="24" t="s">
        <v>539</v>
      </c>
      <c r="E504" s="25" t="s">
        <v>1745</v>
      </c>
      <c r="F504" s="16" t="str">
        <f>_xlfn.XLOOKUP(D504,[6]Sheet1!$C:$C,[6]Sheet1!$F:$F,"-")</f>
        <v>Sandi Purnama</v>
      </c>
      <c r="G504" s="21"/>
    </row>
    <row r="505" spans="2:7">
      <c r="B505" s="22" t="s">
        <v>375</v>
      </c>
      <c r="C505" s="23" t="s">
        <v>376</v>
      </c>
      <c r="D505" s="24" t="s">
        <v>540</v>
      </c>
      <c r="E505" s="25" t="s">
        <v>1745</v>
      </c>
      <c r="F505" s="16" t="str">
        <f>_xlfn.XLOOKUP(D505,[6]Sheet1!$C:$C,[6]Sheet1!$F:$F,"-")</f>
        <v>Yandi Ramdani</v>
      </c>
      <c r="G505" s="21"/>
    </row>
    <row r="506" spans="2:7">
      <c r="B506" s="22" t="s">
        <v>375</v>
      </c>
      <c r="C506" s="23" t="s">
        <v>376</v>
      </c>
      <c r="D506" s="24" t="s">
        <v>541</v>
      </c>
      <c r="E506" s="25" t="s">
        <v>1745</v>
      </c>
      <c r="F506" s="16" t="str">
        <f>_xlfn.XLOOKUP(D506,[6]Sheet1!$C:$C,[6]Sheet1!$F:$F,"-")</f>
        <v>Yogi Iskandar</v>
      </c>
      <c r="G506" s="21"/>
    </row>
    <row r="507" spans="2:7">
      <c r="B507" s="22" t="s">
        <v>375</v>
      </c>
      <c r="C507" s="23" t="s">
        <v>376</v>
      </c>
      <c r="D507" s="24" t="s">
        <v>542</v>
      </c>
      <c r="E507" s="25" t="s">
        <v>1745</v>
      </c>
      <c r="F507" s="16" t="str">
        <f>_xlfn.XLOOKUP(D507,[6]Sheet1!$C:$C,[6]Sheet1!$F:$F,"-")</f>
        <v>Yogi Iskandar</v>
      </c>
      <c r="G507" s="21"/>
    </row>
    <row r="508" spans="2:7">
      <c r="B508" s="22" t="s">
        <v>375</v>
      </c>
      <c r="C508" s="23" t="s">
        <v>376</v>
      </c>
      <c r="D508" s="24" t="s">
        <v>543</v>
      </c>
      <c r="E508" s="25" t="s">
        <v>1745</v>
      </c>
      <c r="F508" s="16" t="str">
        <f>_xlfn.XLOOKUP(D508,[6]Sheet1!$C:$C,[6]Sheet1!$F:$F,"-")</f>
        <v>Yunus Abdul Lyi Sadjidin</v>
      </c>
      <c r="G508" s="21"/>
    </row>
    <row r="509" spans="2:7">
      <c r="B509" s="22" t="s">
        <v>375</v>
      </c>
      <c r="C509" s="23" t="s">
        <v>376</v>
      </c>
      <c r="D509" s="24" t="s">
        <v>544</v>
      </c>
      <c r="E509" s="25" t="s">
        <v>1722</v>
      </c>
      <c r="F509" s="16" t="str">
        <f>_xlfn.XLOOKUP(D509,[6]Sheet1!$C:$C,[6]Sheet1!$F:$F,"-")</f>
        <v>Ardi Rahman Suwandi</v>
      </c>
      <c r="G509" s="21"/>
    </row>
    <row r="510" spans="2:7">
      <c r="B510" s="22" t="s">
        <v>375</v>
      </c>
      <c r="C510" s="23" t="s">
        <v>376</v>
      </c>
      <c r="D510" s="24" t="s">
        <v>545</v>
      </c>
      <c r="E510" s="25" t="s">
        <v>1722</v>
      </c>
      <c r="F510" s="16" t="str">
        <f>_xlfn.XLOOKUP(D510,[6]Sheet1!$C:$C,[6]Sheet1!$F:$F,"-")</f>
        <v>Argam Maulana</v>
      </c>
      <c r="G510" s="21"/>
    </row>
    <row r="511" spans="2:7">
      <c r="B511" s="22" t="s">
        <v>375</v>
      </c>
      <c r="C511" s="23" t="s">
        <v>376</v>
      </c>
      <c r="D511" s="24" t="s">
        <v>546</v>
      </c>
      <c r="E511" s="25" t="s">
        <v>1722</v>
      </c>
      <c r="F511" s="16" t="str">
        <f>_xlfn.XLOOKUP(D511,[6]Sheet1!$C:$C,[6]Sheet1!$F:$F,"-")</f>
        <v>Ari Apriadi</v>
      </c>
      <c r="G511" s="21"/>
    </row>
    <row r="512" spans="2:7">
      <c r="B512" s="22" t="s">
        <v>375</v>
      </c>
      <c r="C512" s="23" t="s">
        <v>376</v>
      </c>
      <c r="D512" s="24" t="s">
        <v>547</v>
      </c>
      <c r="E512" s="25" t="s">
        <v>1722</v>
      </c>
      <c r="F512" s="16" t="str">
        <f>_xlfn.XLOOKUP(D512,[6]Sheet1!$C:$C,[6]Sheet1!$F:$F,"-")</f>
        <v>Ari Apriadi</v>
      </c>
      <c r="G512" s="21"/>
    </row>
    <row r="513" spans="2:7">
      <c r="B513" s="22" t="s">
        <v>375</v>
      </c>
      <c r="C513" s="23" t="s">
        <v>376</v>
      </c>
      <c r="D513" s="24" t="s">
        <v>548</v>
      </c>
      <c r="E513" s="25" t="s">
        <v>1722</v>
      </c>
      <c r="F513" s="16" t="str">
        <f>_xlfn.XLOOKUP(D513,[6]Sheet1!$C:$C,[6]Sheet1!$F:$F,"-")</f>
        <v>Caswin Aprianto</v>
      </c>
      <c r="G513" s="21"/>
    </row>
    <row r="514" spans="2:7">
      <c r="B514" s="22" t="s">
        <v>375</v>
      </c>
      <c r="C514" s="23" t="s">
        <v>376</v>
      </c>
      <c r="D514" s="24" t="s">
        <v>549</v>
      </c>
      <c r="E514" s="25" t="s">
        <v>1722</v>
      </c>
      <c r="F514" s="16" t="str">
        <f>_xlfn.XLOOKUP(D514,[6]Sheet1!$C:$C,[6]Sheet1!$F:$F,"-")</f>
        <v>Dede Rino Mailudin</v>
      </c>
      <c r="G514" s="21"/>
    </row>
    <row r="515" spans="2:7">
      <c r="B515" s="22" t="s">
        <v>375</v>
      </c>
      <c r="C515" s="23" t="s">
        <v>376</v>
      </c>
      <c r="D515" s="24" t="s">
        <v>550</v>
      </c>
      <c r="E515" s="25" t="s">
        <v>1722</v>
      </c>
      <c r="F515" s="16" t="str">
        <f>_xlfn.XLOOKUP(D515,[6]Sheet1!$C:$C,[6]Sheet1!$F:$F,"-")</f>
        <v>Deden Maulana</v>
      </c>
      <c r="G515" s="21"/>
    </row>
    <row r="516" spans="2:7">
      <c r="B516" s="22" t="s">
        <v>375</v>
      </c>
      <c r="C516" s="23" t="s">
        <v>376</v>
      </c>
      <c r="D516" s="24" t="s">
        <v>551</v>
      </c>
      <c r="E516" s="25" t="s">
        <v>1722</v>
      </c>
      <c r="F516" s="16" t="str">
        <f>_xlfn.XLOOKUP(D516,[6]Sheet1!$C:$C,[6]Sheet1!$F:$F,"-")</f>
        <v>Deden Maulana</v>
      </c>
      <c r="G516" s="21"/>
    </row>
    <row r="517" spans="2:7">
      <c r="B517" s="22" t="s">
        <v>375</v>
      </c>
      <c r="C517" s="23" t="s">
        <v>376</v>
      </c>
      <c r="D517" s="24" t="s">
        <v>552</v>
      </c>
      <c r="E517" s="25" t="s">
        <v>1722</v>
      </c>
      <c r="F517" s="16" t="str">
        <f>_xlfn.XLOOKUP(D517,[6]Sheet1!$C:$C,[6]Sheet1!$F:$F,"-")</f>
        <v>Deni Herdian</v>
      </c>
      <c r="G517" s="21"/>
    </row>
    <row r="518" spans="2:7">
      <c r="B518" s="22" t="s">
        <v>375</v>
      </c>
      <c r="C518" s="23" t="s">
        <v>376</v>
      </c>
      <c r="D518" s="24" t="s">
        <v>553</v>
      </c>
      <c r="E518" s="25" t="s">
        <v>1722</v>
      </c>
      <c r="F518" s="16" t="str">
        <f>_xlfn.XLOOKUP(D518,[6]Sheet1!$C:$C,[6]Sheet1!$F:$F,"-")</f>
        <v>Fikri Hidayatuloh</v>
      </c>
      <c r="G518" s="21"/>
    </row>
    <row r="519" spans="2:7">
      <c r="B519" s="22" t="s">
        <v>375</v>
      </c>
      <c r="C519" s="23" t="s">
        <v>376</v>
      </c>
      <c r="D519" s="24" t="s">
        <v>554</v>
      </c>
      <c r="E519" s="25" t="s">
        <v>1722</v>
      </c>
      <c r="F519" s="16" t="str">
        <f>_xlfn.XLOOKUP(D519,[6]Sheet1!$C:$C,[6]Sheet1!$F:$F,"-")</f>
        <v>Ilyas Roya</v>
      </c>
      <c r="G519" s="21"/>
    </row>
    <row r="520" spans="2:7">
      <c r="B520" s="22" t="s">
        <v>375</v>
      </c>
      <c r="C520" s="23" t="s">
        <v>376</v>
      </c>
      <c r="D520" s="24" t="s">
        <v>555</v>
      </c>
      <c r="E520" s="25" t="s">
        <v>1722</v>
      </c>
      <c r="F520" s="16" t="str">
        <f>_xlfn.XLOOKUP(D520,[6]Sheet1!$C:$C,[6]Sheet1!$F:$F,"-")</f>
        <v>Ilyas Roya</v>
      </c>
      <c r="G520" s="21"/>
    </row>
    <row r="521" spans="2:7">
      <c r="B521" s="22" t="s">
        <v>375</v>
      </c>
      <c r="C521" s="23" t="s">
        <v>376</v>
      </c>
      <c r="D521" s="24" t="s">
        <v>556</v>
      </c>
      <c r="E521" s="25" t="s">
        <v>1722</v>
      </c>
      <c r="F521" s="16" t="str">
        <f>_xlfn.XLOOKUP(D521,[6]Sheet1!$C:$C,[6]Sheet1!$F:$F,"-")</f>
        <v>Ilyas Roya</v>
      </c>
      <c r="G521" s="21"/>
    </row>
    <row r="522" spans="2:7">
      <c r="B522" s="22" t="s">
        <v>375</v>
      </c>
      <c r="C522" s="23" t="s">
        <v>376</v>
      </c>
      <c r="D522" s="24" t="s">
        <v>557</v>
      </c>
      <c r="E522" s="25" t="s">
        <v>1722</v>
      </c>
      <c r="F522" s="16" t="str">
        <f>_xlfn.XLOOKUP(D522,[6]Sheet1!$C:$C,[6]Sheet1!$F:$F,"-")</f>
        <v>Muhamad Alimudin</v>
      </c>
      <c r="G522" s="21"/>
    </row>
    <row r="523" spans="2:7">
      <c r="B523" s="22" t="s">
        <v>375</v>
      </c>
      <c r="C523" s="23" t="s">
        <v>376</v>
      </c>
      <c r="D523" s="24" t="s">
        <v>558</v>
      </c>
      <c r="E523" s="25" t="s">
        <v>1722</v>
      </c>
      <c r="F523" s="16" t="str">
        <f>_xlfn.XLOOKUP(D523,[6]Sheet1!$C:$C,[6]Sheet1!$F:$F,"-")</f>
        <v>Regy Permana</v>
      </c>
      <c r="G523" s="21"/>
    </row>
    <row r="524" spans="2:7">
      <c r="B524" s="22" t="s">
        <v>375</v>
      </c>
      <c r="C524" s="23" t="s">
        <v>376</v>
      </c>
      <c r="D524" s="24" t="s">
        <v>559</v>
      </c>
      <c r="E524" s="25" t="s">
        <v>1722</v>
      </c>
      <c r="F524" s="16" t="str">
        <f>_xlfn.XLOOKUP(D524,[6]Sheet1!$C:$C,[6]Sheet1!$F:$F,"-")</f>
        <v>Regy Permana</v>
      </c>
      <c r="G524" s="21"/>
    </row>
    <row r="525" spans="2:7">
      <c r="B525" s="22" t="s">
        <v>375</v>
      </c>
      <c r="C525" s="23" t="s">
        <v>376</v>
      </c>
      <c r="D525" s="24" t="s">
        <v>560</v>
      </c>
      <c r="E525" s="25" t="s">
        <v>1722</v>
      </c>
      <c r="F525" s="16" t="str">
        <f>_xlfn.XLOOKUP(D525,[6]Sheet1!$C:$C,[6]Sheet1!$F:$F,"-")</f>
        <v>Rijal</v>
      </c>
      <c r="G525" s="21"/>
    </row>
    <row r="526" spans="2:7">
      <c r="B526" s="22" t="s">
        <v>375</v>
      </c>
      <c r="C526" s="23" t="s">
        <v>376</v>
      </c>
      <c r="D526" s="24" t="s">
        <v>561</v>
      </c>
      <c r="E526" s="25" t="s">
        <v>1745</v>
      </c>
      <c r="F526" s="16" t="str">
        <f>_xlfn.XLOOKUP(D526,[6]Sheet1!$C:$C,[6]Sheet1!$F:$F,"-")</f>
        <v>Agustian Sholeh</v>
      </c>
      <c r="G526" s="21"/>
    </row>
    <row r="527" spans="2:7">
      <c r="B527" s="22" t="s">
        <v>375</v>
      </c>
      <c r="C527" s="23" t="s">
        <v>376</v>
      </c>
      <c r="D527" s="24" t="s">
        <v>562</v>
      </c>
      <c r="E527" s="25" t="s">
        <v>1745</v>
      </c>
      <c r="F527" s="16" t="str">
        <f>_xlfn.XLOOKUP(D527,[6]Sheet1!$C:$C,[6]Sheet1!$F:$F,"-")</f>
        <v>Billy Jenawi</v>
      </c>
      <c r="G527" s="21"/>
    </row>
    <row r="528" spans="2:7">
      <c r="B528" s="22" t="s">
        <v>375</v>
      </c>
      <c r="C528" s="23" t="s">
        <v>376</v>
      </c>
      <c r="D528" s="24" t="s">
        <v>563</v>
      </c>
      <c r="E528" s="25" t="s">
        <v>1745</v>
      </c>
      <c r="F528" s="16" t="str">
        <f>_xlfn.XLOOKUP(D528,[6]Sheet1!$C:$C,[6]Sheet1!$F:$F,"-")</f>
        <v>Budi Sunandar</v>
      </c>
      <c r="G528" s="21"/>
    </row>
    <row r="529" spans="2:7">
      <c r="B529" s="22" t="s">
        <v>375</v>
      </c>
      <c r="C529" s="23" t="s">
        <v>376</v>
      </c>
      <c r="D529" s="24" t="s">
        <v>564</v>
      </c>
      <c r="E529" s="25" t="s">
        <v>1745</v>
      </c>
      <c r="F529" s="16" t="str">
        <f>_xlfn.XLOOKUP(D529,[6]Sheet1!$C:$C,[6]Sheet1!$F:$F,"-")</f>
        <v>Dadan Darusman</v>
      </c>
      <c r="G529" s="21"/>
    </row>
    <row r="530" spans="2:7">
      <c r="B530" s="22" t="s">
        <v>375</v>
      </c>
      <c r="C530" s="23" t="s">
        <v>376</v>
      </c>
      <c r="D530" s="24" t="s">
        <v>565</v>
      </c>
      <c r="E530" s="25" t="s">
        <v>1745</v>
      </c>
      <c r="F530" s="16" t="str">
        <f>_xlfn.XLOOKUP(D530,[6]Sheet1!$C:$C,[6]Sheet1!$F:$F,"-")</f>
        <v>Dede Kurnia</v>
      </c>
      <c r="G530" s="21"/>
    </row>
    <row r="531" spans="2:7">
      <c r="B531" s="22" t="s">
        <v>375</v>
      </c>
      <c r="C531" s="23" t="s">
        <v>376</v>
      </c>
      <c r="D531" s="24" t="s">
        <v>566</v>
      </c>
      <c r="E531" s="25" t="s">
        <v>1745</v>
      </c>
      <c r="F531" s="16" t="str">
        <f>_xlfn.XLOOKUP(D531,[6]Sheet1!$C:$C,[6]Sheet1!$F:$F,"-")</f>
        <v>Faisal Malik</v>
      </c>
      <c r="G531" s="21"/>
    </row>
    <row r="532" spans="2:7">
      <c r="B532" s="22" t="s">
        <v>375</v>
      </c>
      <c r="C532" s="23" t="s">
        <v>376</v>
      </c>
      <c r="D532" s="24" t="s">
        <v>567</v>
      </c>
      <c r="E532" s="25" t="s">
        <v>1745</v>
      </c>
      <c r="F532" s="16" t="str">
        <f>_xlfn.XLOOKUP(D532,[6]Sheet1!$C:$C,[6]Sheet1!$F:$F,"-")</f>
        <v>Gilang Maulana Yusuf</v>
      </c>
      <c r="G532" s="21"/>
    </row>
    <row r="533" spans="2:7">
      <c r="B533" s="22" t="s">
        <v>375</v>
      </c>
      <c r="C533" s="23" t="s">
        <v>376</v>
      </c>
      <c r="D533" s="24" t="s">
        <v>568</v>
      </c>
      <c r="E533" s="25" t="s">
        <v>1745</v>
      </c>
      <c r="F533" s="16" t="str">
        <f>_xlfn.XLOOKUP(D533,[6]Sheet1!$C:$C,[6]Sheet1!$F:$F,"-")</f>
        <v>Harry Satria Rachman</v>
      </c>
      <c r="G533" s="21"/>
    </row>
    <row r="534" spans="2:7">
      <c r="B534" s="22" t="s">
        <v>375</v>
      </c>
      <c r="C534" s="23" t="s">
        <v>376</v>
      </c>
      <c r="D534" s="24" t="s">
        <v>569</v>
      </c>
      <c r="E534" s="25" t="s">
        <v>1745</v>
      </c>
      <c r="F534" s="16" t="str">
        <f>_xlfn.XLOOKUP(D534,[6]Sheet1!$C:$C,[6]Sheet1!$F:$F,"-")</f>
        <v>Iman Sulaeman</v>
      </c>
      <c r="G534" s="21"/>
    </row>
    <row r="535" spans="2:7">
      <c r="B535" s="22" t="s">
        <v>375</v>
      </c>
      <c r="C535" s="23" t="s">
        <v>376</v>
      </c>
      <c r="D535" s="24" t="s">
        <v>570</v>
      </c>
      <c r="E535" s="25" t="s">
        <v>1745</v>
      </c>
      <c r="F535" s="16" t="str">
        <f>_xlfn.XLOOKUP(D535,[6]Sheet1!$C:$C,[6]Sheet1!$F:$F,"-")</f>
        <v>Jamaludin Syah</v>
      </c>
      <c r="G535" s="21"/>
    </row>
    <row r="536" spans="2:7">
      <c r="B536" s="22" t="s">
        <v>375</v>
      </c>
      <c r="C536" s="23" t="s">
        <v>376</v>
      </c>
      <c r="D536" s="24" t="s">
        <v>571</v>
      </c>
      <c r="E536" s="25" t="s">
        <v>1745</v>
      </c>
      <c r="F536" s="16" t="str">
        <f>_xlfn.XLOOKUP(D536,[6]Sheet1!$C:$C,[6]Sheet1!$F:$F,"-")</f>
        <v>Kamaludin</v>
      </c>
      <c r="G536" s="21"/>
    </row>
    <row r="537" spans="2:7">
      <c r="B537" s="22" t="s">
        <v>375</v>
      </c>
      <c r="C537" s="23" t="s">
        <v>376</v>
      </c>
      <c r="D537" s="24" t="s">
        <v>572</v>
      </c>
      <c r="E537" s="25" t="s">
        <v>1745</v>
      </c>
      <c r="F537" s="16" t="str">
        <f>_xlfn.XLOOKUP(D537,[6]Sheet1!$C:$C,[6]Sheet1!$F:$F,"-")</f>
        <v>Muhamad Hendar Ali</v>
      </c>
      <c r="G537" s="21"/>
    </row>
    <row r="538" spans="2:7">
      <c r="B538" s="22" t="s">
        <v>375</v>
      </c>
      <c r="C538" s="23" t="s">
        <v>376</v>
      </c>
      <c r="D538" s="24" t="s">
        <v>573</v>
      </c>
      <c r="E538" s="25" t="s">
        <v>1745</v>
      </c>
      <c r="F538" s="16" t="str">
        <f>_xlfn.XLOOKUP(D538,[6]Sheet1!$C:$C,[6]Sheet1!$F:$F,"-")</f>
        <v>Muhammad Nurani Kholis</v>
      </c>
      <c r="G538" s="21"/>
    </row>
    <row r="539" spans="2:7">
      <c r="B539" s="22" t="s">
        <v>375</v>
      </c>
      <c r="C539" s="23" t="s">
        <v>376</v>
      </c>
      <c r="D539" s="24" t="s">
        <v>574</v>
      </c>
      <c r="E539" s="25" t="s">
        <v>1745</v>
      </c>
      <c r="F539" s="16" t="str">
        <f>_xlfn.XLOOKUP(D539,[6]Sheet1!$C:$C,[6]Sheet1!$F:$F,"-")</f>
        <v>Rahmat Efendi</v>
      </c>
      <c r="G539" s="21"/>
    </row>
    <row r="540" spans="2:7">
      <c r="B540" s="22" t="s">
        <v>375</v>
      </c>
      <c r="C540" s="23" t="s">
        <v>376</v>
      </c>
      <c r="D540" s="24" t="s">
        <v>575</v>
      </c>
      <c r="E540" s="25" t="s">
        <v>1745</v>
      </c>
      <c r="F540" s="16" t="str">
        <f>_xlfn.XLOOKUP(D540,[6]Sheet1!$C:$C,[6]Sheet1!$F:$F,"-")</f>
        <v>Ricky Nurdiansyah</v>
      </c>
      <c r="G540" s="21"/>
    </row>
    <row r="541" spans="2:7">
      <c r="B541" s="22" t="s">
        <v>375</v>
      </c>
      <c r="C541" s="23" t="s">
        <v>376</v>
      </c>
      <c r="D541" s="24" t="s">
        <v>576</v>
      </c>
      <c r="E541" s="25" t="s">
        <v>1745</v>
      </c>
      <c r="F541" s="16" t="str">
        <f>_xlfn.XLOOKUP(D541,[6]Sheet1!$C:$C,[6]Sheet1!$F:$F,"-")</f>
        <v>Tanto Taufik</v>
      </c>
      <c r="G541" s="21"/>
    </row>
    <row r="542" spans="2:7">
      <c r="B542" s="22" t="s">
        <v>375</v>
      </c>
      <c r="C542" s="23" t="s">
        <v>376</v>
      </c>
      <c r="D542" s="24" t="s">
        <v>577</v>
      </c>
      <c r="E542" s="25" t="s">
        <v>1745</v>
      </c>
      <c r="F542" s="16" t="str">
        <f>_xlfn.XLOOKUP(D542,[6]Sheet1!$C:$C,[6]Sheet1!$F:$F,"-")</f>
        <v>Tanto Taufik</v>
      </c>
      <c r="G542" s="21"/>
    </row>
    <row r="543" spans="2:7">
      <c r="B543" s="22" t="s">
        <v>375</v>
      </c>
      <c r="C543" s="23" t="s">
        <v>376</v>
      </c>
      <c r="D543" s="24" t="s">
        <v>578</v>
      </c>
      <c r="E543" s="25" t="s">
        <v>1745</v>
      </c>
      <c r="F543" s="16" t="str">
        <f>_xlfn.XLOOKUP(D543,[6]Sheet1!$C:$C,[6]Sheet1!$F:$F,"-")</f>
        <v>Ujang Andi</v>
      </c>
      <c r="G543" s="21"/>
    </row>
    <row r="544" spans="2:7">
      <c r="B544" s="22" t="s">
        <v>375</v>
      </c>
      <c r="C544" s="23" t="s">
        <v>376</v>
      </c>
      <c r="D544" s="24" t="s">
        <v>579</v>
      </c>
      <c r="E544" s="25" t="s">
        <v>1745</v>
      </c>
      <c r="F544" s="16" t="str">
        <f>_xlfn.XLOOKUP(D544,[6]Sheet1!$C:$C,[6]Sheet1!$F:$F,"-")</f>
        <v>Zam zam Mugni fadil</v>
      </c>
      <c r="G544" s="21"/>
    </row>
    <row r="545" spans="2:7">
      <c r="B545" s="22" t="s">
        <v>375</v>
      </c>
      <c r="C545" s="23" t="s">
        <v>376</v>
      </c>
      <c r="D545" s="24" t="s">
        <v>580</v>
      </c>
      <c r="E545" s="25" t="s">
        <v>1745</v>
      </c>
      <c r="F545" s="16" t="str">
        <f>_xlfn.XLOOKUP(D545,[6]Sheet1!$C:$C,[6]Sheet1!$F:$F,"-")</f>
        <v>Andy Risqi Pratama S</v>
      </c>
      <c r="G545" s="21"/>
    </row>
    <row r="546" spans="2:7">
      <c r="B546" s="22" t="s">
        <v>375</v>
      </c>
      <c r="C546" s="23" t="s">
        <v>376</v>
      </c>
      <c r="D546" s="24" t="s">
        <v>581</v>
      </c>
      <c r="E546" s="25" t="s">
        <v>1745</v>
      </c>
      <c r="F546" s="16" t="str">
        <f>_xlfn.XLOOKUP(D546,[6]Sheet1!$C:$C,[6]Sheet1!$F:$F,"-")</f>
        <v>Darwanto</v>
      </c>
      <c r="G546" s="21"/>
    </row>
    <row r="547" spans="2:7">
      <c r="B547" s="22" t="s">
        <v>375</v>
      </c>
      <c r="C547" s="23" t="s">
        <v>376</v>
      </c>
      <c r="D547" s="24" t="s">
        <v>582</v>
      </c>
      <c r="E547" s="25" t="s">
        <v>1745</v>
      </c>
      <c r="F547" s="16" t="str">
        <f>_xlfn.XLOOKUP(D547,[6]Sheet1!$C:$C,[6]Sheet1!$F:$F,"-")</f>
        <v>Deni Sukmana</v>
      </c>
      <c r="G547" s="21"/>
    </row>
    <row r="548" spans="2:7">
      <c r="B548" s="22" t="s">
        <v>375</v>
      </c>
      <c r="C548" s="23" t="s">
        <v>376</v>
      </c>
      <c r="D548" s="24" t="s">
        <v>583</v>
      </c>
      <c r="E548" s="25" t="s">
        <v>1745</v>
      </c>
      <c r="F548" s="16" t="str">
        <f>_xlfn.XLOOKUP(D548,[6]Sheet1!$C:$C,[6]Sheet1!$F:$F,"-")</f>
        <v>Hafiz Muhammad Siddiq</v>
      </c>
      <c r="G548" s="21"/>
    </row>
    <row r="549" spans="2:7">
      <c r="B549" s="22" t="s">
        <v>375</v>
      </c>
      <c r="C549" s="23" t="s">
        <v>376</v>
      </c>
      <c r="D549" s="24" t="s">
        <v>584</v>
      </c>
      <c r="E549" s="25" t="s">
        <v>1745</v>
      </c>
      <c r="F549" s="16" t="str">
        <f>_xlfn.XLOOKUP(D549,[6]Sheet1!$C:$C,[6]Sheet1!$F:$F,"-")</f>
        <v>Haliman Apriyadi</v>
      </c>
      <c r="G549" s="21"/>
    </row>
    <row r="550" spans="2:7">
      <c r="B550" s="22" t="s">
        <v>375</v>
      </c>
      <c r="C550" s="23" t="s">
        <v>376</v>
      </c>
      <c r="D550" s="24" t="s">
        <v>585</v>
      </c>
      <c r="E550" s="25" t="s">
        <v>1745</v>
      </c>
      <c r="F550" s="16" t="str">
        <f>_xlfn.XLOOKUP(D550,[6]Sheet1!$C:$C,[6]Sheet1!$F:$F,"-")</f>
        <v>Jejen Jaenudin</v>
      </c>
      <c r="G550" s="21"/>
    </row>
    <row r="551" spans="2:7">
      <c r="B551" s="22" t="s">
        <v>375</v>
      </c>
      <c r="C551" s="23" t="s">
        <v>376</v>
      </c>
      <c r="D551" s="24" t="s">
        <v>586</v>
      </c>
      <c r="E551" s="25" t="s">
        <v>1745</v>
      </c>
      <c r="F551" s="16" t="str">
        <f>_xlfn.XLOOKUP(D551,[6]Sheet1!$C:$C,[6]Sheet1!$F:$F,"-")</f>
        <v>M. Sanusi</v>
      </c>
      <c r="G551" s="21"/>
    </row>
    <row r="552" spans="2:7">
      <c r="B552" s="22" t="s">
        <v>375</v>
      </c>
      <c r="C552" s="23" t="s">
        <v>376</v>
      </c>
      <c r="D552" s="24" t="s">
        <v>587</v>
      </c>
      <c r="E552" s="25" t="s">
        <v>1745</v>
      </c>
      <c r="F552" s="16" t="str">
        <f>_xlfn.XLOOKUP(D552,[6]Sheet1!$C:$C,[6]Sheet1!$F:$F,"-")</f>
        <v>Muhamad Ali Assegap</v>
      </c>
      <c r="G552" s="21"/>
    </row>
    <row r="553" spans="2:7">
      <c r="B553" s="22" t="s">
        <v>375</v>
      </c>
      <c r="C553" s="23" t="s">
        <v>376</v>
      </c>
      <c r="D553" s="24" t="s">
        <v>588</v>
      </c>
      <c r="E553" s="25" t="s">
        <v>1745</v>
      </c>
      <c r="F553" s="16" t="str">
        <f>_xlfn.XLOOKUP(D553,[6]Sheet1!$C:$C,[6]Sheet1!$F:$F,"-")</f>
        <v>Muhamad Basir Gusfian</v>
      </c>
      <c r="G553" s="21"/>
    </row>
    <row r="554" spans="2:7">
      <c r="B554" s="22" t="s">
        <v>375</v>
      </c>
      <c r="C554" s="23" t="s">
        <v>376</v>
      </c>
      <c r="D554" s="24" t="s">
        <v>589</v>
      </c>
      <c r="E554" s="25" t="s">
        <v>1745</v>
      </c>
      <c r="F554" s="16" t="str">
        <f>_xlfn.XLOOKUP(D554,[6]Sheet1!$C:$C,[6]Sheet1!$F:$F,"-")</f>
        <v>Nanang Kosim</v>
      </c>
      <c r="G554" s="21"/>
    </row>
    <row r="555" spans="2:7">
      <c r="B555" s="22" t="s">
        <v>375</v>
      </c>
      <c r="C555" s="23" t="s">
        <v>376</v>
      </c>
      <c r="D555" s="24" t="s">
        <v>590</v>
      </c>
      <c r="E555" s="25" t="s">
        <v>1745</v>
      </c>
      <c r="F555" s="16" t="str">
        <f>_xlfn.XLOOKUP(D555,[6]Sheet1!$C:$C,[6]Sheet1!$F:$F,"-")</f>
        <v>Rahayu Akbar Permana</v>
      </c>
      <c r="G555" s="21"/>
    </row>
    <row r="556" spans="2:7">
      <c r="B556" s="22" t="s">
        <v>375</v>
      </c>
      <c r="C556" s="23" t="s">
        <v>376</v>
      </c>
      <c r="D556" s="24" t="s">
        <v>591</v>
      </c>
      <c r="E556" s="25" t="s">
        <v>1745</v>
      </c>
      <c r="F556" s="16" t="str">
        <f>_xlfn.XLOOKUP(D556,[6]Sheet1!$C:$C,[6]Sheet1!$F:$F,"-")</f>
        <v>Reza Cahya Jamaludin</v>
      </c>
      <c r="G556" s="21"/>
    </row>
    <row r="557" spans="2:7">
      <c r="B557" s="22" t="s">
        <v>375</v>
      </c>
      <c r="C557" s="23" t="s">
        <v>376</v>
      </c>
      <c r="D557" s="24" t="s">
        <v>592</v>
      </c>
      <c r="E557" s="25" t="s">
        <v>1745</v>
      </c>
      <c r="F557" s="16" t="str">
        <f>_xlfn.XLOOKUP(D557,[6]Sheet1!$C:$C,[6]Sheet1!$F:$F,"-")</f>
        <v>Rifki Satria Nasution</v>
      </c>
      <c r="G557" s="21"/>
    </row>
    <row r="558" spans="2:7">
      <c r="B558" s="22" t="s">
        <v>375</v>
      </c>
      <c r="C558" s="23" t="s">
        <v>376</v>
      </c>
      <c r="D558" s="24" t="s">
        <v>593</v>
      </c>
      <c r="E558" s="25" t="s">
        <v>1745</v>
      </c>
      <c r="F558" s="16" t="str">
        <f>_xlfn.XLOOKUP(D558,[6]Sheet1!$C:$C,[6]Sheet1!$F:$F,"-")</f>
        <v>Sarip Nurdin</v>
      </c>
      <c r="G558" s="21"/>
    </row>
    <row r="559" spans="2:7">
      <c r="B559" s="22" t="s">
        <v>375</v>
      </c>
      <c r="C559" s="23" t="s">
        <v>376</v>
      </c>
      <c r="D559" s="24" t="s">
        <v>594</v>
      </c>
      <c r="E559" s="25" t="s">
        <v>1745</v>
      </c>
      <c r="F559" s="16" t="str">
        <f>_xlfn.XLOOKUP(D559,[6]Sheet1!$C:$C,[6]Sheet1!$F:$F,"-")</f>
        <v>Suheri</v>
      </c>
      <c r="G559" s="21"/>
    </row>
    <row r="560" spans="2:7">
      <c r="B560" s="22" t="s">
        <v>375</v>
      </c>
      <c r="C560" s="23" t="s">
        <v>376</v>
      </c>
      <c r="D560" s="24" t="s">
        <v>595</v>
      </c>
      <c r="E560" s="25" t="s">
        <v>1745</v>
      </c>
      <c r="F560" s="16" t="str">
        <f>_xlfn.XLOOKUP(D560,[6]Sheet1!$C:$C,[6]Sheet1!$F:$F,"-")</f>
        <v>Yanuar Firmansyah</v>
      </c>
      <c r="G560" s="21"/>
    </row>
    <row r="561" spans="2:7">
      <c r="B561" s="22" t="s">
        <v>375</v>
      </c>
      <c r="C561" s="23" t="s">
        <v>376</v>
      </c>
      <c r="D561" s="24" t="s">
        <v>596</v>
      </c>
      <c r="E561" s="25" t="s">
        <v>1745</v>
      </c>
      <c r="F561" s="16" t="str">
        <f>_xlfn.XLOOKUP(D561,[6]Sheet1!$C:$C,[6]Sheet1!$F:$F,"-")</f>
        <v>Deden Ahmad Saepudin</v>
      </c>
      <c r="G561" s="21"/>
    </row>
    <row r="562" spans="2:7">
      <c r="B562" s="22" t="s">
        <v>375</v>
      </c>
      <c r="C562" s="23" t="s">
        <v>376</v>
      </c>
      <c r="D562" s="24" t="s">
        <v>597</v>
      </c>
      <c r="E562" s="25" t="s">
        <v>1745</v>
      </c>
      <c r="F562" s="16" t="str">
        <f>_xlfn.XLOOKUP(D562,[6]Sheet1!$C:$C,[6]Sheet1!$F:$F,"-")</f>
        <v>Raza Alfianzy</v>
      </c>
      <c r="G562" s="21"/>
    </row>
    <row r="563" spans="2:7">
      <c r="B563" s="22" t="s">
        <v>375</v>
      </c>
      <c r="C563" s="23" t="s">
        <v>376</v>
      </c>
      <c r="D563" s="24" t="s">
        <v>598</v>
      </c>
      <c r="E563" s="25" t="s">
        <v>1745</v>
      </c>
      <c r="F563" s="16" t="str">
        <f>_xlfn.XLOOKUP(D563,[6]Sheet1!$C:$C,[6]Sheet1!$F:$F,"-")</f>
        <v>Adi Viki, S.E</v>
      </c>
      <c r="G563" s="21"/>
    </row>
    <row r="564" spans="2:7">
      <c r="B564" s="22" t="s">
        <v>375</v>
      </c>
      <c r="C564" s="23" t="s">
        <v>376</v>
      </c>
      <c r="D564" s="24" t="s">
        <v>599</v>
      </c>
      <c r="E564" s="25" t="s">
        <v>1745</v>
      </c>
      <c r="F564" s="16" t="str">
        <f>_xlfn.XLOOKUP(D564,[6]Sheet1!$C:$C,[6]Sheet1!$F:$F,"-")</f>
        <v>Agung Maulana</v>
      </c>
      <c r="G564" s="21"/>
    </row>
    <row r="565" spans="2:7">
      <c r="B565" s="22" t="s">
        <v>375</v>
      </c>
      <c r="C565" s="23" t="s">
        <v>376</v>
      </c>
      <c r="D565" s="24" t="s">
        <v>600</v>
      </c>
      <c r="E565" s="25" t="s">
        <v>1745</v>
      </c>
      <c r="F565" s="16" t="str">
        <f>_xlfn.XLOOKUP(D565,[6]Sheet1!$C:$C,[6]Sheet1!$F:$F,"-")</f>
        <v>Agung Maulana</v>
      </c>
      <c r="G565" s="21"/>
    </row>
    <row r="566" spans="2:7">
      <c r="B566" s="22" t="s">
        <v>375</v>
      </c>
      <c r="C566" s="23" t="s">
        <v>376</v>
      </c>
      <c r="D566" s="24" t="s">
        <v>601</v>
      </c>
      <c r="E566" s="25" t="s">
        <v>1722</v>
      </c>
      <c r="F566" s="16" t="str">
        <f>_xlfn.XLOOKUP(D566,[6]Sheet1!$C:$C,[6]Sheet1!$F:$F,"-")</f>
        <v>Arief Firmansyah</v>
      </c>
      <c r="G566" s="21"/>
    </row>
    <row r="567" spans="2:7">
      <c r="B567" s="22" t="s">
        <v>375</v>
      </c>
      <c r="C567" s="23" t="s">
        <v>376</v>
      </c>
      <c r="D567" s="24" t="s">
        <v>602</v>
      </c>
      <c r="E567" s="25" t="s">
        <v>1745</v>
      </c>
      <c r="F567" s="16" t="str">
        <f>_xlfn.XLOOKUP(D567,[6]Sheet1!$C:$C,[6]Sheet1!$F:$F,"-")</f>
        <v>Ervan Budi Nugraha, S.Kom</v>
      </c>
      <c r="G567" s="21"/>
    </row>
    <row r="568" spans="2:7">
      <c r="B568" s="22" t="s">
        <v>375</v>
      </c>
      <c r="C568" s="23" t="s">
        <v>376</v>
      </c>
      <c r="D568" s="24" t="s">
        <v>603</v>
      </c>
      <c r="E568" s="25" t="s">
        <v>1745</v>
      </c>
      <c r="F568" s="16" t="str">
        <f>_xlfn.XLOOKUP(D568,[6]Sheet1!$C:$C,[6]Sheet1!$F:$F,"-")</f>
        <v>Ervan Budi Nugraha, S.Kom</v>
      </c>
      <c r="G568" s="21"/>
    </row>
    <row r="569" spans="2:7">
      <c r="B569" s="22" t="s">
        <v>375</v>
      </c>
      <c r="C569" s="23" t="s">
        <v>376</v>
      </c>
      <c r="D569" s="24" t="s">
        <v>604</v>
      </c>
      <c r="E569" s="25" t="s">
        <v>1745</v>
      </c>
      <c r="F569" s="16" t="str">
        <f>_xlfn.XLOOKUP(D569,[6]Sheet1!$C:$C,[6]Sheet1!$F:$F,"-")</f>
        <v>Fahrul Rizal</v>
      </c>
      <c r="G569" s="21"/>
    </row>
    <row r="570" spans="2:7">
      <c r="B570" s="22" t="s">
        <v>375</v>
      </c>
      <c r="C570" s="23" t="s">
        <v>376</v>
      </c>
      <c r="D570" s="24" t="s">
        <v>605</v>
      </c>
      <c r="E570" s="25" t="s">
        <v>1745</v>
      </c>
      <c r="F570" s="16" t="str">
        <f>_xlfn.XLOOKUP(D570,[6]Sheet1!$C:$C,[6]Sheet1!$F:$F,"-")</f>
        <v>Haggi Hermawan, S.Pd</v>
      </c>
      <c r="G570" s="21"/>
    </row>
    <row r="571" spans="2:7">
      <c r="B571" s="22" t="s">
        <v>375</v>
      </c>
      <c r="C571" s="23" t="s">
        <v>376</v>
      </c>
      <c r="D571" s="24" t="s">
        <v>606</v>
      </c>
      <c r="E571" s="25" t="s">
        <v>1745</v>
      </c>
      <c r="F571" s="16" t="str">
        <f>_xlfn.XLOOKUP(D571,[6]Sheet1!$C:$C,[6]Sheet1!$F:$F,"-")</f>
        <v>Irfan Anwar Musyadad, S.Pd</v>
      </c>
      <c r="G571" s="21"/>
    </row>
    <row r="572" spans="2:7">
      <c r="B572" s="22" t="s">
        <v>375</v>
      </c>
      <c r="C572" s="23" t="s">
        <v>376</v>
      </c>
      <c r="D572" s="24" t="s">
        <v>607</v>
      </c>
      <c r="E572" s="25" t="s">
        <v>1745</v>
      </c>
      <c r="F572" s="16" t="str">
        <f>_xlfn.XLOOKUP(D572,[6]Sheet1!$C:$C,[6]Sheet1!$F:$F,"-")</f>
        <v>Jenal Yusuf</v>
      </c>
      <c r="G572" s="21"/>
    </row>
    <row r="573" spans="2:7">
      <c r="B573" s="22" t="s">
        <v>375</v>
      </c>
      <c r="C573" s="23" t="s">
        <v>376</v>
      </c>
      <c r="D573" s="24" t="s">
        <v>608</v>
      </c>
      <c r="E573" s="25" t="s">
        <v>1722</v>
      </c>
      <c r="F573" s="16" t="str">
        <f>_xlfn.XLOOKUP(D573,[6]Sheet1!$C:$C,[6]Sheet1!$F:$F,"-")</f>
        <v>Jujun Juandi</v>
      </c>
      <c r="G573" s="21"/>
    </row>
    <row r="574" spans="2:7">
      <c r="B574" s="22" t="s">
        <v>375</v>
      </c>
      <c r="C574" s="23" t="s">
        <v>376</v>
      </c>
      <c r="D574" s="24" t="s">
        <v>609</v>
      </c>
      <c r="E574" s="25" t="s">
        <v>1745</v>
      </c>
      <c r="F574" s="16" t="str">
        <f>_xlfn.XLOOKUP(D574,[6]Sheet1!$C:$C,[6]Sheet1!$F:$F,"-")</f>
        <v>Mahrus Ali</v>
      </c>
      <c r="G574" s="21"/>
    </row>
    <row r="575" spans="2:7">
      <c r="B575" s="22" t="s">
        <v>375</v>
      </c>
      <c r="C575" s="23" t="s">
        <v>376</v>
      </c>
      <c r="D575" s="24" t="s">
        <v>610</v>
      </c>
      <c r="E575" s="25" t="s">
        <v>1745</v>
      </c>
      <c r="F575" s="16" t="str">
        <f>_xlfn.XLOOKUP(D575,[6]Sheet1!$C:$C,[6]Sheet1!$F:$F,"-")</f>
        <v>Mochamad Alvin Viery Pratama</v>
      </c>
      <c r="G575" s="21"/>
    </row>
    <row r="576" spans="2:7">
      <c r="B576" s="22" t="s">
        <v>375</v>
      </c>
      <c r="C576" s="23" t="s">
        <v>376</v>
      </c>
      <c r="D576" s="24" t="s">
        <v>611</v>
      </c>
      <c r="E576" s="25" t="s">
        <v>1745</v>
      </c>
      <c r="F576" s="16" t="str">
        <f>_xlfn.XLOOKUP(D576,[6]Sheet1!$C:$C,[6]Sheet1!$F:$F,"-")</f>
        <v>Peri Rakasiwi, S.kom</v>
      </c>
      <c r="G576" s="21"/>
    </row>
    <row r="577" spans="2:7">
      <c r="B577" s="22" t="s">
        <v>375</v>
      </c>
      <c r="C577" s="23" t="s">
        <v>376</v>
      </c>
      <c r="D577" s="24" t="s">
        <v>612</v>
      </c>
      <c r="E577" s="25" t="s">
        <v>1745</v>
      </c>
      <c r="F577" s="16" t="str">
        <f>_xlfn.XLOOKUP(D577,[6]Sheet1!$C:$C,[6]Sheet1!$F:$F,"-")</f>
        <v>Ricki Wahyudi</v>
      </c>
      <c r="G577" s="21"/>
    </row>
    <row r="578" spans="2:7">
      <c r="B578" s="22" t="s">
        <v>375</v>
      </c>
      <c r="C578" s="23" t="s">
        <v>376</v>
      </c>
      <c r="D578" s="24" t="s">
        <v>613</v>
      </c>
      <c r="E578" s="25" t="s">
        <v>1745</v>
      </c>
      <c r="F578" s="16" t="str">
        <f>_xlfn.XLOOKUP(D578,[6]Sheet1!$C:$C,[6]Sheet1!$F:$F,"-")</f>
        <v>Ridwan Muhammad Abdul Baqi</v>
      </c>
      <c r="G578" s="21"/>
    </row>
    <row r="579" spans="2:7">
      <c r="B579" s="22" t="s">
        <v>375</v>
      </c>
      <c r="C579" s="23" t="s">
        <v>376</v>
      </c>
      <c r="D579" s="24" t="s">
        <v>614</v>
      </c>
      <c r="E579" s="25" t="s">
        <v>1745</v>
      </c>
      <c r="F579" s="16" t="str">
        <f>_xlfn.XLOOKUP(D579,[6]Sheet1!$C:$C,[6]Sheet1!$F:$F,"-")</f>
        <v>Rio Gilang Prakasa</v>
      </c>
      <c r="G579" s="21"/>
    </row>
    <row r="580" spans="2:7">
      <c r="B580" s="22" t="s">
        <v>375</v>
      </c>
      <c r="C580" s="23" t="s">
        <v>376</v>
      </c>
      <c r="D580" s="24" t="s">
        <v>615</v>
      </c>
      <c r="E580" s="25" t="s">
        <v>1745</v>
      </c>
      <c r="F580" s="16" t="str">
        <f>_xlfn.XLOOKUP(D580,[6]Sheet1!$C:$C,[6]Sheet1!$F:$F,"-")</f>
        <v>Rizki Harmawan</v>
      </c>
      <c r="G580" s="21"/>
    </row>
    <row r="581" spans="2:7">
      <c r="B581" s="22" t="s">
        <v>375</v>
      </c>
      <c r="C581" s="23" t="s">
        <v>376</v>
      </c>
      <c r="D581" s="24" t="s">
        <v>616</v>
      </c>
      <c r="E581" s="25" t="s">
        <v>1745</v>
      </c>
      <c r="F581" s="16" t="str">
        <f>_xlfn.XLOOKUP(D581,[6]Sheet1!$C:$C,[6]Sheet1!$F:$F,"-")</f>
        <v>Sansan Riswandi</v>
      </c>
      <c r="G581" s="21"/>
    </row>
    <row r="582" spans="2:7">
      <c r="B582" s="22" t="s">
        <v>375</v>
      </c>
      <c r="C582" s="23" t="s">
        <v>376</v>
      </c>
      <c r="D582" s="24" t="s">
        <v>617</v>
      </c>
      <c r="E582" s="25" t="s">
        <v>1745</v>
      </c>
      <c r="F582" s="16" t="str">
        <f>_xlfn.XLOOKUP(D582,[6]Sheet1!$C:$C,[6]Sheet1!$F:$F,"-")</f>
        <v>Soni Setiadi</v>
      </c>
      <c r="G582" s="21"/>
    </row>
    <row r="583" spans="2:7">
      <c r="B583" s="22" t="s">
        <v>375</v>
      </c>
      <c r="C583" s="23" t="s">
        <v>376</v>
      </c>
      <c r="D583" s="24" t="s">
        <v>618</v>
      </c>
      <c r="E583" s="25" t="s">
        <v>1745</v>
      </c>
      <c r="F583" s="16" t="str">
        <f>_xlfn.XLOOKUP(D583,[6]Sheet1!$C:$C,[6]Sheet1!$F:$F,"-")</f>
        <v>Soni Solehhudin</v>
      </c>
      <c r="G583" s="21"/>
    </row>
    <row r="584" spans="2:7">
      <c r="B584" s="22" t="s">
        <v>375</v>
      </c>
      <c r="C584" s="23" t="s">
        <v>376</v>
      </c>
      <c r="D584" s="24" t="s">
        <v>619</v>
      </c>
      <c r="E584" s="25" t="s">
        <v>1745</v>
      </c>
      <c r="F584" s="16" t="str">
        <f>_xlfn.XLOOKUP(D584,[6]Sheet1!$C:$C,[6]Sheet1!$F:$F,"-")</f>
        <v>Yopha Azizulindar</v>
      </c>
      <c r="G584" s="21"/>
    </row>
    <row r="585" spans="2:7">
      <c r="B585" s="22" t="s">
        <v>375</v>
      </c>
      <c r="C585" s="23" t="s">
        <v>376</v>
      </c>
      <c r="D585" s="24" t="s">
        <v>620</v>
      </c>
      <c r="E585" s="25" t="s">
        <v>1745</v>
      </c>
      <c r="F585" s="16" t="str">
        <f>_xlfn.XLOOKUP(D585,[6]Sheet1!$C:$C,[6]Sheet1!$F:$F,"-")</f>
        <v>Adam Muhammad Ramdan</v>
      </c>
      <c r="G585" s="21"/>
    </row>
    <row r="586" spans="2:7">
      <c r="B586" s="22" t="s">
        <v>375</v>
      </c>
      <c r="C586" s="23" t="s">
        <v>376</v>
      </c>
      <c r="D586" s="24" t="s">
        <v>621</v>
      </c>
      <c r="E586" s="25" t="s">
        <v>1745</v>
      </c>
      <c r="F586" s="16" t="str">
        <f>_xlfn.XLOOKUP(D586,[6]Sheet1!$C:$C,[6]Sheet1!$F:$F,"-")</f>
        <v>Adi Hapri Perdiansyah</v>
      </c>
      <c r="G586" s="21"/>
    </row>
    <row r="587" spans="2:7">
      <c r="B587" s="22" t="s">
        <v>375</v>
      </c>
      <c r="C587" s="23" t="s">
        <v>376</v>
      </c>
      <c r="D587" s="24" t="s">
        <v>622</v>
      </c>
      <c r="E587" s="25" t="s">
        <v>1745</v>
      </c>
      <c r="F587" s="16" t="str">
        <f>_xlfn.XLOOKUP(D587,[6]Sheet1!$C:$C,[6]Sheet1!$F:$F,"-")</f>
        <v>Ahmad Misik Akyas Al-Kaesy</v>
      </c>
      <c r="G587" s="21"/>
    </row>
    <row r="588" spans="2:7">
      <c r="B588" s="22" t="s">
        <v>375</v>
      </c>
      <c r="C588" s="23" t="s">
        <v>376</v>
      </c>
      <c r="D588" s="24" t="s">
        <v>623</v>
      </c>
      <c r="E588" s="25" t="s">
        <v>1722</v>
      </c>
      <c r="F588" s="16" t="str">
        <f>_xlfn.XLOOKUP(D588,[6]Sheet1!$C:$C,[6]Sheet1!$F:$F,"-")</f>
        <v>Ahmad Misik Akyas Al-Kaesy</v>
      </c>
      <c r="G588" s="21"/>
    </row>
    <row r="589" spans="2:7">
      <c r="B589" s="22" t="s">
        <v>375</v>
      </c>
      <c r="C589" s="23" t="s">
        <v>376</v>
      </c>
      <c r="D589" s="24" t="s">
        <v>624</v>
      </c>
      <c r="E589" s="25" t="s">
        <v>1745</v>
      </c>
      <c r="F589" s="16" t="str">
        <f>_xlfn.XLOOKUP(D589,[6]Sheet1!$C:$C,[6]Sheet1!$F:$F,"-")</f>
        <v>Cecep Ramadhan Heryana</v>
      </c>
      <c r="G589" s="21"/>
    </row>
    <row r="590" spans="2:7">
      <c r="B590" s="22" t="s">
        <v>375</v>
      </c>
      <c r="C590" s="23" t="s">
        <v>376</v>
      </c>
      <c r="D590" s="24" t="s">
        <v>625</v>
      </c>
      <c r="E590" s="25" t="s">
        <v>1745</v>
      </c>
      <c r="F590" s="16" t="str">
        <f>_xlfn.XLOOKUP(D590,[6]Sheet1!$C:$C,[6]Sheet1!$F:$F,"-")</f>
        <v>Cucun Iryanto</v>
      </c>
      <c r="G590" s="21"/>
    </row>
    <row r="591" spans="2:7">
      <c r="B591" s="22" t="s">
        <v>375</v>
      </c>
      <c r="C591" s="23" t="s">
        <v>376</v>
      </c>
      <c r="D591" s="24" t="s">
        <v>626</v>
      </c>
      <c r="E591" s="25" t="s">
        <v>1745</v>
      </c>
      <c r="F591" s="16" t="str">
        <f>_xlfn.XLOOKUP(D591,[6]Sheet1!$C:$C,[6]Sheet1!$F:$F,"-")</f>
        <v>J. Hilmy Malik</v>
      </c>
      <c r="G591" s="21"/>
    </row>
    <row r="592" spans="2:7">
      <c r="B592" s="22" t="s">
        <v>375</v>
      </c>
      <c r="C592" s="23" t="s">
        <v>376</v>
      </c>
      <c r="D592" s="24" t="s">
        <v>627</v>
      </c>
      <c r="E592" s="25" t="s">
        <v>1745</v>
      </c>
      <c r="F592" s="16" t="str">
        <f>_xlfn.XLOOKUP(D592,[6]Sheet1!$C:$C,[6]Sheet1!$F:$F,"-")</f>
        <v>Mochamad Wildan Fahddino</v>
      </c>
      <c r="G592" s="21"/>
    </row>
    <row r="593" spans="2:7">
      <c r="B593" s="22" t="s">
        <v>375</v>
      </c>
      <c r="C593" s="23" t="s">
        <v>376</v>
      </c>
      <c r="D593" s="24" t="s">
        <v>628</v>
      </c>
      <c r="E593" s="25" t="s">
        <v>1745</v>
      </c>
      <c r="F593" s="16" t="str">
        <f>_xlfn.XLOOKUP(D593,[6]Sheet1!$C:$C,[6]Sheet1!$F:$F,"-")</f>
        <v>Muhammad Dwi Fawzi Hakim</v>
      </c>
      <c r="G593" s="21"/>
    </row>
    <row r="594" spans="2:7">
      <c r="B594" s="22" t="s">
        <v>375</v>
      </c>
      <c r="C594" s="23" t="s">
        <v>376</v>
      </c>
      <c r="D594" s="24" t="s">
        <v>629</v>
      </c>
      <c r="E594" s="25" t="s">
        <v>1745</v>
      </c>
      <c r="F594" s="16" t="str">
        <f>_xlfn.XLOOKUP(D594,[6]Sheet1!$C:$C,[6]Sheet1!$F:$F,"-")</f>
        <v>Muhammad Dwi Fawzi Hakim</v>
      </c>
      <c r="G594" s="21"/>
    </row>
    <row r="595" spans="2:7">
      <c r="B595" s="22" t="s">
        <v>375</v>
      </c>
      <c r="C595" s="23" t="s">
        <v>376</v>
      </c>
      <c r="D595" s="24" t="s">
        <v>630</v>
      </c>
      <c r="E595" s="25" t="s">
        <v>1745</v>
      </c>
      <c r="F595" s="16" t="str">
        <f>_xlfn.XLOOKUP(D595,[6]Sheet1!$C:$C,[6]Sheet1!$F:$F,"-")</f>
        <v>Muhammad Fariz Arief Rachman</v>
      </c>
      <c r="G595" s="21"/>
    </row>
    <row r="596" spans="2:7">
      <c r="B596" s="22" t="s">
        <v>375</v>
      </c>
      <c r="C596" s="23" t="s">
        <v>376</v>
      </c>
      <c r="D596" s="24" t="s">
        <v>631</v>
      </c>
      <c r="E596" s="25" t="s">
        <v>1745</v>
      </c>
      <c r="F596" s="16" t="str">
        <f>_xlfn.XLOOKUP(D596,[6]Sheet1!$C:$C,[6]Sheet1!$F:$F,"-")</f>
        <v>Restu Fauzi</v>
      </c>
      <c r="G596" s="21"/>
    </row>
    <row r="597" spans="2:7">
      <c r="B597" s="22" t="s">
        <v>375</v>
      </c>
      <c r="C597" s="23" t="s">
        <v>376</v>
      </c>
      <c r="D597" s="24" t="s">
        <v>632</v>
      </c>
      <c r="E597" s="25" t="s">
        <v>1745</v>
      </c>
      <c r="F597" s="16" t="str">
        <f>_xlfn.XLOOKUP(D597,[6]Sheet1!$C:$C,[6]Sheet1!$F:$F,"-")</f>
        <v>Rian Anjaswara</v>
      </c>
      <c r="G597" s="21"/>
    </row>
    <row r="598" spans="2:7">
      <c r="B598" s="22" t="s">
        <v>375</v>
      </c>
      <c r="C598" s="23" t="s">
        <v>376</v>
      </c>
      <c r="D598" s="24" t="s">
        <v>633</v>
      </c>
      <c r="E598" s="25" t="s">
        <v>1745</v>
      </c>
      <c r="F598" s="16" t="str">
        <f>_xlfn.XLOOKUP(D598,[6]Sheet1!$C:$C,[6]Sheet1!$F:$F,"-")</f>
        <v>Rizki Gunawan</v>
      </c>
      <c r="G598" s="21"/>
    </row>
    <row r="599" spans="2:7">
      <c r="B599" s="22" t="s">
        <v>375</v>
      </c>
      <c r="C599" s="23" t="s">
        <v>376</v>
      </c>
      <c r="D599" s="24" t="s">
        <v>634</v>
      </c>
      <c r="E599" s="25" t="s">
        <v>1745</v>
      </c>
      <c r="F599" s="16" t="str">
        <f>_xlfn.XLOOKUP(D599,[6]Sheet1!$C:$C,[6]Sheet1!$F:$F,"-")</f>
        <v>Toni</v>
      </c>
      <c r="G599" s="21"/>
    </row>
    <row r="600" spans="2:7">
      <c r="B600" s="22" t="s">
        <v>375</v>
      </c>
      <c r="C600" s="23" t="s">
        <v>376</v>
      </c>
      <c r="D600" s="24" t="s">
        <v>635</v>
      </c>
      <c r="E600" s="25" t="s">
        <v>1745</v>
      </c>
      <c r="F600" s="16" t="str">
        <f>_xlfn.XLOOKUP(D600,[6]Sheet1!$C:$C,[6]Sheet1!$F:$F,"-")</f>
        <v>Adi Triandi</v>
      </c>
      <c r="G600" s="21"/>
    </row>
    <row r="601" spans="2:7">
      <c r="B601" s="22" t="s">
        <v>375</v>
      </c>
      <c r="C601" s="23" t="s">
        <v>376</v>
      </c>
      <c r="D601" s="24" t="s">
        <v>636</v>
      </c>
      <c r="E601" s="25" t="s">
        <v>1745</v>
      </c>
      <c r="F601" s="16" t="str">
        <f>_xlfn.XLOOKUP(D601,[6]Sheet1!$C:$C,[6]Sheet1!$F:$F,"-")</f>
        <v>Cahya Purnama</v>
      </c>
      <c r="G601" s="21"/>
    </row>
    <row r="602" spans="2:7">
      <c r="B602" s="22" t="s">
        <v>375</v>
      </c>
      <c r="C602" s="23" t="s">
        <v>376</v>
      </c>
      <c r="D602" s="24" t="s">
        <v>637</v>
      </c>
      <c r="E602" s="25" t="s">
        <v>1745</v>
      </c>
      <c r="F602" s="16" t="str">
        <f>_xlfn.XLOOKUP(D602,[6]Sheet1!$C:$C,[6]Sheet1!$F:$F,"-")</f>
        <v>Fani Grahamulya Gandamiharja</v>
      </c>
      <c r="G602" s="21"/>
    </row>
    <row r="603" spans="2:7">
      <c r="B603" s="22" t="s">
        <v>375</v>
      </c>
      <c r="C603" s="23" t="s">
        <v>376</v>
      </c>
      <c r="D603" s="24" t="s">
        <v>638</v>
      </c>
      <c r="E603" s="25" t="s">
        <v>1745</v>
      </c>
      <c r="F603" s="16" t="str">
        <f>_xlfn.XLOOKUP(D603,[6]Sheet1!$C:$C,[6]Sheet1!$F:$F,"-")</f>
        <v>Muhamad Iqbal Firdaus</v>
      </c>
      <c r="G603" s="21"/>
    </row>
    <row r="604" spans="2:7">
      <c r="B604" s="22" t="s">
        <v>375</v>
      </c>
      <c r="C604" s="23" t="s">
        <v>376</v>
      </c>
      <c r="D604" s="24" t="s">
        <v>639</v>
      </c>
      <c r="E604" s="25" t="s">
        <v>1745</v>
      </c>
      <c r="F604" s="16" t="str">
        <f>_xlfn.XLOOKUP(D604,[6]Sheet1!$C:$C,[6]Sheet1!$F:$F,"-")</f>
        <v>Muhamad Lukman Hakim</v>
      </c>
      <c r="G604" s="21"/>
    </row>
    <row r="605" spans="2:7">
      <c r="B605" s="22" t="s">
        <v>375</v>
      </c>
      <c r="C605" s="23" t="s">
        <v>376</v>
      </c>
      <c r="D605" s="24" t="s">
        <v>640</v>
      </c>
      <c r="E605" s="25" t="s">
        <v>1745</v>
      </c>
      <c r="F605" s="16" t="str">
        <f>_xlfn.XLOOKUP(D605,[6]Sheet1!$C:$C,[6]Sheet1!$F:$F,"-")</f>
        <v>Rachman Mulyawan</v>
      </c>
      <c r="G605" s="21"/>
    </row>
    <row r="606" spans="2:7">
      <c r="B606" s="22" t="s">
        <v>375</v>
      </c>
      <c r="C606" s="23" t="s">
        <v>376</v>
      </c>
      <c r="D606" s="24" t="s">
        <v>641</v>
      </c>
      <c r="E606" s="25" t="s">
        <v>1745</v>
      </c>
      <c r="F606" s="16" t="str">
        <f>_xlfn.XLOOKUP(D606,[6]Sheet1!$C:$C,[6]Sheet1!$F:$F,"-")</f>
        <v>Rizal Raetriansyah</v>
      </c>
      <c r="G606" s="21"/>
    </row>
    <row r="607" spans="2:7">
      <c r="B607" s="22" t="s">
        <v>375</v>
      </c>
      <c r="C607" s="23" t="s">
        <v>376</v>
      </c>
      <c r="D607" s="24" t="s">
        <v>642</v>
      </c>
      <c r="E607" s="25" t="s">
        <v>1745</v>
      </c>
      <c r="F607" s="16" t="str">
        <f>_xlfn.XLOOKUP(D607,[6]Sheet1!$C:$C,[6]Sheet1!$F:$F,"-")</f>
        <v>Rizki Ahmad Fauzi</v>
      </c>
      <c r="G607" s="21"/>
    </row>
    <row r="608" spans="2:7">
      <c r="B608" s="22" t="s">
        <v>375</v>
      </c>
      <c r="C608" s="23" t="s">
        <v>376</v>
      </c>
      <c r="D608" s="24" t="s">
        <v>643</v>
      </c>
      <c r="E608" s="25" t="s">
        <v>1745</v>
      </c>
      <c r="F608" s="16" t="str">
        <f>_xlfn.XLOOKUP(D608,[6]Sheet1!$C:$C,[6]Sheet1!$F:$F,"-")</f>
        <v>Aly Irsyad Robani</v>
      </c>
      <c r="G608" s="21"/>
    </row>
    <row r="609" spans="2:7">
      <c r="B609" s="22" t="s">
        <v>375</v>
      </c>
      <c r="C609" s="23" t="s">
        <v>376</v>
      </c>
      <c r="D609" s="24" t="s">
        <v>644</v>
      </c>
      <c r="E609" s="25" t="s">
        <v>1745</v>
      </c>
      <c r="F609" s="16" t="str">
        <f>_xlfn.XLOOKUP(D609,[6]Sheet1!$C:$C,[6]Sheet1!$F:$F,"-")</f>
        <v>Anggiardy Prayudha</v>
      </c>
      <c r="G609" s="21"/>
    </row>
    <row r="610" spans="2:7">
      <c r="B610" s="22" t="s">
        <v>375</v>
      </c>
      <c r="C610" s="23" t="s">
        <v>376</v>
      </c>
      <c r="D610" s="24" t="s">
        <v>645</v>
      </c>
      <c r="E610" s="25" t="s">
        <v>1745</v>
      </c>
      <c r="F610" s="16" t="str">
        <f>_xlfn.XLOOKUP(D610,[6]Sheet1!$C:$C,[6]Sheet1!$F:$F,"-")</f>
        <v>Azka Nujjiya Fauzan</v>
      </c>
      <c r="G610" s="21"/>
    </row>
    <row r="611" spans="2:7">
      <c r="B611" s="22" t="s">
        <v>375</v>
      </c>
      <c r="C611" s="23" t="s">
        <v>376</v>
      </c>
      <c r="D611" s="24" t="s">
        <v>646</v>
      </c>
      <c r="E611" s="25" t="s">
        <v>1745</v>
      </c>
      <c r="F611" s="16" t="str">
        <f>_xlfn.XLOOKUP(D611,[6]Sheet1!$C:$C,[6]Sheet1!$F:$F,"-")</f>
        <v>Dadan Firmansyah</v>
      </c>
      <c r="G611" s="21"/>
    </row>
    <row r="612" spans="2:7">
      <c r="B612" s="22" t="s">
        <v>375</v>
      </c>
      <c r="C612" s="23" t="s">
        <v>376</v>
      </c>
      <c r="D612" s="24" t="s">
        <v>647</v>
      </c>
      <c r="E612" s="25" t="s">
        <v>1745</v>
      </c>
      <c r="F612" s="16" t="str">
        <f>_xlfn.XLOOKUP(D612,[6]Sheet1!$C:$C,[6]Sheet1!$F:$F,"-")</f>
        <v>Deni Mardiana Ruswandi</v>
      </c>
      <c r="G612" s="21"/>
    </row>
    <row r="613" spans="2:7">
      <c r="B613" s="22" t="s">
        <v>375</v>
      </c>
      <c r="C613" s="23" t="s">
        <v>376</v>
      </c>
      <c r="D613" s="24" t="s">
        <v>648</v>
      </c>
      <c r="E613" s="25" t="s">
        <v>1745</v>
      </c>
      <c r="F613" s="16" t="str">
        <f>_xlfn.XLOOKUP(D613,[6]Sheet1!$C:$C,[6]Sheet1!$F:$F,"-")</f>
        <v>Kiptiah</v>
      </c>
      <c r="G613" s="21"/>
    </row>
    <row r="614" spans="2:7">
      <c r="B614" s="22" t="s">
        <v>375</v>
      </c>
      <c r="C614" s="23" t="s">
        <v>376</v>
      </c>
      <c r="D614" s="24" t="s">
        <v>649</v>
      </c>
      <c r="E614" s="25" t="s">
        <v>1745</v>
      </c>
      <c r="F614" s="16" t="str">
        <f>_xlfn.XLOOKUP(D614,[6]Sheet1!$C:$C,[6]Sheet1!$F:$F,"-")</f>
        <v>Krisna Aditya Putra</v>
      </c>
      <c r="G614" s="21"/>
    </row>
    <row r="615" spans="2:7">
      <c r="B615" s="22" t="s">
        <v>375</v>
      </c>
      <c r="C615" s="23" t="s">
        <v>376</v>
      </c>
      <c r="D615" s="24" t="s">
        <v>650</v>
      </c>
      <c r="E615" s="25" t="s">
        <v>1745</v>
      </c>
      <c r="F615" s="16" t="str">
        <f>_xlfn.XLOOKUP(D615,[6]Sheet1!$C:$C,[6]Sheet1!$F:$F,"-")</f>
        <v>Muchamad Yasir Komaeni</v>
      </c>
      <c r="G615" s="21"/>
    </row>
    <row r="616" spans="2:7">
      <c r="B616" s="22" t="s">
        <v>375</v>
      </c>
      <c r="C616" s="23" t="s">
        <v>376</v>
      </c>
      <c r="D616" s="24" t="s">
        <v>651</v>
      </c>
      <c r="E616" s="25" t="s">
        <v>1745</v>
      </c>
      <c r="F616" s="16" t="str">
        <f>_xlfn.XLOOKUP(D616,[6]Sheet1!$C:$C,[6]Sheet1!$F:$F,"-")</f>
        <v>Muhammad Farlan Dzulfikar</v>
      </c>
      <c r="G616" s="21"/>
    </row>
    <row r="617" spans="2:7">
      <c r="B617" s="22" t="s">
        <v>375</v>
      </c>
      <c r="C617" s="23" t="s">
        <v>376</v>
      </c>
      <c r="D617" s="24" t="s">
        <v>652</v>
      </c>
      <c r="E617" s="25" t="s">
        <v>1745</v>
      </c>
      <c r="F617" s="16" t="str">
        <f>_xlfn.XLOOKUP(D617,[6]Sheet1!$C:$C,[6]Sheet1!$F:$F,"-")</f>
        <v>Nezar Hikmatiar</v>
      </c>
      <c r="G617" s="21"/>
    </row>
    <row r="618" spans="2:7">
      <c r="B618" s="22" t="s">
        <v>375</v>
      </c>
      <c r="C618" s="23" t="s">
        <v>376</v>
      </c>
      <c r="D618" s="24" t="s">
        <v>653</v>
      </c>
      <c r="E618" s="25" t="s">
        <v>1745</v>
      </c>
      <c r="F618" s="16" t="str">
        <f>_xlfn.XLOOKUP(D618,[6]Sheet1!$C:$C,[6]Sheet1!$F:$F,"-")</f>
        <v>Ade Setiawan</v>
      </c>
      <c r="G618" s="21"/>
    </row>
    <row r="619" spans="2:7">
      <c r="B619" s="22" t="s">
        <v>375</v>
      </c>
      <c r="C619" s="23" t="s">
        <v>376</v>
      </c>
      <c r="D619" s="24" t="s">
        <v>654</v>
      </c>
      <c r="E619" s="25" t="s">
        <v>1745</v>
      </c>
      <c r="F619" s="16" t="str">
        <f>_xlfn.XLOOKUP(D619,[6]Sheet1!$C:$C,[6]Sheet1!$F:$F,"-")</f>
        <v>Adi Riyana</v>
      </c>
      <c r="G619" s="21"/>
    </row>
    <row r="620" spans="2:7">
      <c r="B620" s="22" t="s">
        <v>375</v>
      </c>
      <c r="C620" s="23" t="s">
        <v>376</v>
      </c>
      <c r="D620" s="24" t="s">
        <v>655</v>
      </c>
      <c r="E620" s="25" t="s">
        <v>1745</v>
      </c>
      <c r="F620" s="16" t="str">
        <f>_xlfn.XLOOKUP(D620,[6]Sheet1!$C:$C,[6]Sheet1!$F:$F,"-")</f>
        <v>Dadan Ramdan</v>
      </c>
      <c r="G620" s="21"/>
    </row>
    <row r="621" spans="2:7">
      <c r="B621" s="22" t="s">
        <v>375</v>
      </c>
      <c r="C621" s="23" t="s">
        <v>376</v>
      </c>
      <c r="D621" s="24" t="s">
        <v>656</v>
      </c>
      <c r="E621" s="25" t="s">
        <v>1745</v>
      </c>
      <c r="F621" s="16" t="str">
        <f>_xlfn.XLOOKUP(D621,[6]Sheet1!$C:$C,[6]Sheet1!$F:$F,"-")</f>
        <v>Dany Kurniawan</v>
      </c>
      <c r="G621" s="21"/>
    </row>
    <row r="622" spans="2:7">
      <c r="B622" s="22" t="s">
        <v>375</v>
      </c>
      <c r="C622" s="23" t="s">
        <v>376</v>
      </c>
      <c r="D622" s="24" t="s">
        <v>657</v>
      </c>
      <c r="E622" s="25" t="s">
        <v>1745</v>
      </c>
      <c r="F622" s="16" t="str">
        <f>_xlfn.XLOOKUP(D622,[6]Sheet1!$C:$C,[6]Sheet1!$F:$F,"-")</f>
        <v>Kiki Nugraha</v>
      </c>
      <c r="G622" s="21"/>
    </row>
    <row r="623" spans="2:7">
      <c r="B623" s="22" t="s">
        <v>375</v>
      </c>
      <c r="C623" s="23" t="s">
        <v>376</v>
      </c>
      <c r="D623" s="24" t="s">
        <v>658</v>
      </c>
      <c r="E623" s="25" t="s">
        <v>1745</v>
      </c>
      <c r="F623" s="16" t="str">
        <f>_xlfn.XLOOKUP(D623,[6]Sheet1!$C:$C,[6]Sheet1!$F:$F,"-")</f>
        <v>Kuswanto Hendriyana</v>
      </c>
      <c r="G623" s="21"/>
    </row>
    <row r="624" spans="2:7">
      <c r="B624" s="22" t="s">
        <v>375</v>
      </c>
      <c r="C624" s="23" t="s">
        <v>376</v>
      </c>
      <c r="D624" s="24" t="s">
        <v>659</v>
      </c>
      <c r="E624" s="25" t="s">
        <v>1745</v>
      </c>
      <c r="F624" s="16" t="str">
        <f>_xlfn.XLOOKUP(D624,[6]Sheet1!$C:$C,[6]Sheet1!$F:$F,"-")</f>
        <v>Muhammad Akbar Cokro Pamungkas</v>
      </c>
      <c r="G624" s="21"/>
    </row>
    <row r="625" spans="2:7">
      <c r="B625" s="22" t="s">
        <v>375</v>
      </c>
      <c r="C625" s="23" t="s">
        <v>376</v>
      </c>
      <c r="D625" s="24" t="s">
        <v>660</v>
      </c>
      <c r="E625" s="25" t="s">
        <v>1745</v>
      </c>
      <c r="F625" s="16" t="str">
        <f>_xlfn.XLOOKUP(D625,[6]Sheet1!$C:$C,[6]Sheet1!$F:$F,"-")</f>
        <v>Muhammad Rafi Febryawan</v>
      </c>
      <c r="G625" s="21"/>
    </row>
    <row r="626" spans="2:7">
      <c r="B626" s="22" t="s">
        <v>375</v>
      </c>
      <c r="C626" s="23" t="s">
        <v>376</v>
      </c>
      <c r="D626" s="24" t="s">
        <v>661</v>
      </c>
      <c r="E626" s="25" t="s">
        <v>1745</v>
      </c>
      <c r="F626" s="16" t="str">
        <f>_xlfn.XLOOKUP(D626,[6]Sheet1!$C:$C,[6]Sheet1!$F:$F,"-")</f>
        <v>Muhandani Gifari Razoni</v>
      </c>
      <c r="G626" s="21"/>
    </row>
    <row r="627" spans="2:7">
      <c r="B627" s="22" t="s">
        <v>375</v>
      </c>
      <c r="C627" s="23" t="s">
        <v>376</v>
      </c>
      <c r="D627" s="24" t="s">
        <v>662</v>
      </c>
      <c r="E627" s="25" t="s">
        <v>1745</v>
      </c>
      <c r="F627" s="16" t="str">
        <f>_xlfn.XLOOKUP(D627,[6]Sheet1!$C:$C,[6]Sheet1!$F:$F,"-")</f>
        <v>Nasruloh Abdul Zalil</v>
      </c>
      <c r="G627" s="21"/>
    </row>
    <row r="628" spans="2:7">
      <c r="B628" s="22" t="s">
        <v>375</v>
      </c>
      <c r="C628" s="23" t="s">
        <v>376</v>
      </c>
      <c r="D628" s="24" t="s">
        <v>663</v>
      </c>
      <c r="E628" s="25" t="s">
        <v>1745</v>
      </c>
      <c r="F628" s="16" t="str">
        <f>_xlfn.XLOOKUP(D628,[6]Sheet1!$C:$C,[6]Sheet1!$F:$F,"-")</f>
        <v>Rama Dicky Montana</v>
      </c>
      <c r="G628" s="21"/>
    </row>
    <row r="629" spans="2:7">
      <c r="B629" s="22" t="s">
        <v>375</v>
      </c>
      <c r="C629" s="23" t="s">
        <v>376</v>
      </c>
      <c r="D629" s="24" t="s">
        <v>664</v>
      </c>
      <c r="E629" s="25" t="s">
        <v>1745</v>
      </c>
      <c r="F629" s="16" t="str">
        <f>_xlfn.XLOOKUP(D629,[6]Sheet1!$C:$C,[6]Sheet1!$F:$F,"-")</f>
        <v>Rama Dicky Montana</v>
      </c>
      <c r="G629" s="21"/>
    </row>
    <row r="630" spans="2:7">
      <c r="B630" s="22" t="s">
        <v>375</v>
      </c>
      <c r="C630" s="23" t="s">
        <v>376</v>
      </c>
      <c r="D630" s="24" t="s">
        <v>665</v>
      </c>
      <c r="E630" s="25" t="s">
        <v>1745</v>
      </c>
      <c r="F630" s="16" t="str">
        <f>_xlfn.XLOOKUP(D630,[6]Sheet1!$C:$C,[6]Sheet1!$F:$F,"-")</f>
        <v>Riduan</v>
      </c>
      <c r="G630" s="21"/>
    </row>
    <row r="631" spans="2:7">
      <c r="B631" s="22" t="s">
        <v>375</v>
      </c>
      <c r="C631" s="23" t="s">
        <v>376</v>
      </c>
      <c r="D631" s="24" t="s">
        <v>666</v>
      </c>
      <c r="E631" s="25" t="s">
        <v>1745</v>
      </c>
      <c r="F631" s="16" t="str">
        <f>_xlfn.XLOOKUP(D631,[6]Sheet1!$C:$C,[6]Sheet1!$F:$F,"-")</f>
        <v>Rizal Adilla</v>
      </c>
      <c r="G631" s="21"/>
    </row>
    <row r="632" spans="2:7">
      <c r="B632" s="22" t="s">
        <v>375</v>
      </c>
      <c r="C632" s="23" t="s">
        <v>376</v>
      </c>
      <c r="D632" s="24" t="s">
        <v>667</v>
      </c>
      <c r="E632" s="25" t="s">
        <v>1745</v>
      </c>
      <c r="F632" s="16" t="str">
        <f>_xlfn.XLOOKUP(D632,[6]Sheet1!$C:$C,[6]Sheet1!$F:$F,"-")</f>
        <v>Sugianto</v>
      </c>
      <c r="G632" s="21"/>
    </row>
    <row r="633" spans="2:7">
      <c r="B633" s="22" t="s">
        <v>668</v>
      </c>
      <c r="C633" s="23" t="s">
        <v>669</v>
      </c>
      <c r="D633" s="24" t="s">
        <v>670</v>
      </c>
      <c r="E633" s="25" t="s">
        <v>1722</v>
      </c>
      <c r="F633" s="16" t="str">
        <f>_xlfn.XLOOKUP(D633,'[7]Database DP'!$C:$C,'[7]Database DP'!$F:$F,"Tidak Ditemukan")</f>
        <v>AGUS</v>
      </c>
      <c r="G633" s="21"/>
    </row>
    <row r="634" spans="2:7">
      <c r="B634" s="22" t="s">
        <v>668</v>
      </c>
      <c r="C634" s="23" t="s">
        <v>669</v>
      </c>
      <c r="D634" s="24" t="s">
        <v>671</v>
      </c>
      <c r="E634" s="25" t="s">
        <v>1722</v>
      </c>
      <c r="F634" s="16" t="str">
        <f>_xlfn.XLOOKUP(D634,'[7]Database DP'!$C:$C,'[7]Database DP'!$F:$F,"Tidak Ditemukan")</f>
        <v>AGUS</v>
      </c>
      <c r="G634" s="21"/>
    </row>
    <row r="635" spans="2:7">
      <c r="B635" s="22" t="s">
        <v>668</v>
      </c>
      <c r="C635" s="23" t="s">
        <v>669</v>
      </c>
      <c r="D635" s="24" t="s">
        <v>672</v>
      </c>
      <c r="E635" s="25" t="s">
        <v>1722</v>
      </c>
      <c r="F635" s="16" t="str">
        <f>_xlfn.XLOOKUP(D635,'[7]Database DP'!$C:$C,'[7]Database DP'!$F:$F,"Tidak Ditemukan")</f>
        <v>AGUS</v>
      </c>
      <c r="G635" s="21"/>
    </row>
    <row r="636" spans="2:7">
      <c r="B636" s="22" t="s">
        <v>668</v>
      </c>
      <c r="C636" s="23" t="s">
        <v>669</v>
      </c>
      <c r="D636" s="24" t="s">
        <v>673</v>
      </c>
      <c r="E636" s="25" t="s">
        <v>1722</v>
      </c>
      <c r="F636" s="16" t="str">
        <f>_xlfn.XLOOKUP(D636,'[7]Database DP'!$C:$C,'[7]Database DP'!$F:$F,"Tidak Ditemukan")</f>
        <v>AGUS</v>
      </c>
      <c r="G636" s="21"/>
    </row>
    <row r="637" spans="2:7">
      <c r="B637" s="22" t="s">
        <v>668</v>
      </c>
      <c r="C637" s="23" t="s">
        <v>669</v>
      </c>
      <c r="D637" s="24" t="s">
        <v>674</v>
      </c>
      <c r="E637" s="25" t="s">
        <v>1722</v>
      </c>
      <c r="F637" s="16" t="str">
        <f>_xlfn.XLOOKUP(D637,'[7]Database DP'!$C:$C,'[7]Database DP'!$F:$F,"Tidak Ditemukan")</f>
        <v>AGUS</v>
      </c>
      <c r="G637" s="21"/>
    </row>
    <row r="638" spans="2:7">
      <c r="B638" s="22" t="s">
        <v>668</v>
      </c>
      <c r="C638" s="23" t="s">
        <v>669</v>
      </c>
      <c r="D638" s="24" t="s">
        <v>675</v>
      </c>
      <c r="E638" s="25" t="s">
        <v>1722</v>
      </c>
      <c r="F638" s="16" t="str">
        <f>_xlfn.XLOOKUP(D638,'[7]Database DP'!$C:$C,'[7]Database DP'!$F:$F,"Tidak Ditemukan")</f>
        <v>AGUS</v>
      </c>
      <c r="G638" s="21"/>
    </row>
    <row r="639" spans="2:7">
      <c r="B639" s="22" t="s">
        <v>668</v>
      </c>
      <c r="C639" s="23" t="s">
        <v>669</v>
      </c>
      <c r="D639" s="24" t="s">
        <v>676</v>
      </c>
      <c r="E639" s="25" t="s">
        <v>1722</v>
      </c>
      <c r="F639" s="16" t="str">
        <f>_xlfn.XLOOKUP(D639,'[7]Database DP'!$C:$C,'[7]Database DP'!$F:$F,"Tidak Ditemukan")</f>
        <v>AGUS</v>
      </c>
      <c r="G639" s="21"/>
    </row>
    <row r="640" spans="2:7">
      <c r="B640" s="22" t="s">
        <v>668</v>
      </c>
      <c r="C640" s="23" t="s">
        <v>669</v>
      </c>
      <c r="D640" s="24" t="s">
        <v>677</v>
      </c>
      <c r="E640" s="25" t="s">
        <v>1722</v>
      </c>
      <c r="F640" s="16" t="str">
        <f>_xlfn.XLOOKUP(D640,'[7]Database DP'!$C:$C,'[7]Database DP'!$F:$F,"Tidak Ditemukan")</f>
        <v>AGUS</v>
      </c>
      <c r="G640" s="21"/>
    </row>
    <row r="641" spans="2:7">
      <c r="B641" s="22" t="s">
        <v>668</v>
      </c>
      <c r="C641" s="23" t="s">
        <v>669</v>
      </c>
      <c r="D641" s="24" t="s">
        <v>678</v>
      </c>
      <c r="E641" s="25" t="s">
        <v>1722</v>
      </c>
      <c r="F641" s="16" t="str">
        <f>_xlfn.XLOOKUP(D641,'[7]Database DP'!$C:$C,'[7]Database DP'!$F:$F,"Tidak Ditemukan")</f>
        <v>AGUS</v>
      </c>
      <c r="G641" s="21"/>
    </row>
    <row r="642" spans="2:7">
      <c r="B642" s="22" t="s">
        <v>668</v>
      </c>
      <c r="C642" s="23" t="s">
        <v>669</v>
      </c>
      <c r="D642" s="24" t="s">
        <v>679</v>
      </c>
      <c r="E642" s="25" t="s">
        <v>1722</v>
      </c>
      <c r="F642" s="16" t="str">
        <f>_xlfn.XLOOKUP(D642,'[7]Database DP'!$C:$C,'[7]Database DP'!$F:$F,"Tidak Ditemukan")</f>
        <v>AI RIFIAN</v>
      </c>
      <c r="G642" s="21"/>
    </row>
    <row r="643" spans="2:7">
      <c r="B643" s="22" t="s">
        <v>668</v>
      </c>
      <c r="C643" s="23" t="s">
        <v>669</v>
      </c>
      <c r="D643" s="24" t="s">
        <v>680</v>
      </c>
      <c r="E643" s="25" t="s">
        <v>1722</v>
      </c>
      <c r="F643" s="16" t="str">
        <f>_xlfn.XLOOKUP(D643,'[7]Database DP'!$C:$C,'[7]Database DP'!$F:$F,"Tidak Ditemukan")</f>
        <v>AI RIFIAN</v>
      </c>
      <c r="G643" s="21"/>
    </row>
    <row r="644" spans="2:7">
      <c r="B644" s="22" t="s">
        <v>668</v>
      </c>
      <c r="C644" s="23" t="s">
        <v>669</v>
      </c>
      <c r="D644" s="24" t="s">
        <v>681</v>
      </c>
      <c r="E644" s="25" t="s">
        <v>1722</v>
      </c>
      <c r="F644" s="16" t="str">
        <f>_xlfn.XLOOKUP(D644,'[7]Database DP'!$C:$C,'[7]Database DP'!$F:$F,"Tidak Ditemukan")</f>
        <v>AI RIFIAN</v>
      </c>
      <c r="G644" s="21"/>
    </row>
    <row r="645" spans="2:7">
      <c r="B645" s="22" t="s">
        <v>668</v>
      </c>
      <c r="C645" s="23" t="s">
        <v>669</v>
      </c>
      <c r="D645" s="24" t="s">
        <v>682</v>
      </c>
      <c r="E645" s="25" t="s">
        <v>1722</v>
      </c>
      <c r="F645" s="16" t="str">
        <f>_xlfn.XLOOKUP(D645,'[7]Database DP'!$C:$C,'[7]Database DP'!$F:$F,"Tidak Ditemukan")</f>
        <v>AI RIFIAN</v>
      </c>
      <c r="G645" s="21"/>
    </row>
    <row r="646" spans="2:7">
      <c r="B646" s="22" t="s">
        <v>668</v>
      </c>
      <c r="C646" s="23" t="s">
        <v>669</v>
      </c>
      <c r="D646" s="24" t="s">
        <v>683</v>
      </c>
      <c r="E646" s="25" t="s">
        <v>1722</v>
      </c>
      <c r="F646" s="16" t="str">
        <f>_xlfn.XLOOKUP(D646,'[7]Database DP'!$C:$C,'[7]Database DP'!$F:$F,"Tidak Ditemukan")</f>
        <v>AI RIFIAN</v>
      </c>
      <c r="G646" s="21"/>
    </row>
    <row r="647" spans="2:7">
      <c r="B647" s="22" t="s">
        <v>668</v>
      </c>
      <c r="C647" s="23" t="s">
        <v>669</v>
      </c>
      <c r="D647" s="24" t="s">
        <v>684</v>
      </c>
      <c r="E647" s="25" t="s">
        <v>1722</v>
      </c>
      <c r="F647" s="16" t="str">
        <f>_xlfn.XLOOKUP(D647,'[7]Database DP'!$C:$C,'[7]Database DP'!$F:$F,"Tidak Ditemukan")</f>
        <v>AI RIFIAN</v>
      </c>
      <c r="G647" s="21"/>
    </row>
    <row r="648" spans="2:7">
      <c r="B648" s="22" t="s">
        <v>668</v>
      </c>
      <c r="C648" s="23" t="s">
        <v>669</v>
      </c>
      <c r="D648" s="24" t="s">
        <v>685</v>
      </c>
      <c r="E648" s="25" t="s">
        <v>1722</v>
      </c>
      <c r="F648" s="16" t="str">
        <f>_xlfn.XLOOKUP(D648,'[7]Database DP'!$C:$C,'[7]Database DP'!$F:$F,"Tidak Ditemukan")</f>
        <v>AI RIFIAN</v>
      </c>
      <c r="G648" s="21"/>
    </row>
    <row r="649" spans="2:7">
      <c r="B649" s="22" t="s">
        <v>668</v>
      </c>
      <c r="C649" s="23" t="s">
        <v>669</v>
      </c>
      <c r="D649" s="24" t="s">
        <v>686</v>
      </c>
      <c r="E649" s="25" t="s">
        <v>1722</v>
      </c>
      <c r="F649" s="16" t="str">
        <f>_xlfn.XLOOKUP(D649,'[7]Database DP'!$C:$C,'[7]Database DP'!$F:$F,"Tidak Ditemukan")</f>
        <v>AI RIFIAN</v>
      </c>
      <c r="G649" s="21"/>
    </row>
    <row r="650" spans="2:7">
      <c r="B650" s="22" t="s">
        <v>668</v>
      </c>
      <c r="C650" s="23" t="s">
        <v>669</v>
      </c>
      <c r="D650" s="24" t="s">
        <v>687</v>
      </c>
      <c r="E650" s="25" t="s">
        <v>1722</v>
      </c>
      <c r="F650" s="16" t="str">
        <f>_xlfn.XLOOKUP(D650,'[7]Database DP'!$C:$C,'[7]Database DP'!$F:$F,"Tidak Ditemukan")</f>
        <v>AI RIFIAN</v>
      </c>
      <c r="G650" s="21"/>
    </row>
    <row r="651" spans="2:7">
      <c r="B651" s="22" t="s">
        <v>668</v>
      </c>
      <c r="C651" s="23" t="s">
        <v>669</v>
      </c>
      <c r="D651" s="24" t="s">
        <v>688</v>
      </c>
      <c r="E651" s="25" t="s">
        <v>1722</v>
      </c>
      <c r="F651" s="16" t="str">
        <f>_xlfn.XLOOKUP(D651,'[7]Database DP'!$C:$C,'[7]Database DP'!$F:$F,"Tidak Ditemukan")</f>
        <v>AI RIFIAN</v>
      </c>
      <c r="G651" s="21"/>
    </row>
    <row r="652" spans="2:7">
      <c r="B652" s="22" t="s">
        <v>668</v>
      </c>
      <c r="C652" s="23" t="s">
        <v>669</v>
      </c>
      <c r="D652" s="24" t="s">
        <v>689</v>
      </c>
      <c r="E652" s="25" t="s">
        <v>1745</v>
      </c>
      <c r="F652" s="16" t="str">
        <f>_xlfn.XLOOKUP(D652,'[7]Database DP'!$C:$C,'[7]Database DP'!$F:$F,"Tidak Ditemukan")</f>
        <v>BOWO</v>
      </c>
      <c r="G652" s="21"/>
    </row>
    <row r="653" spans="2:7">
      <c r="B653" s="22" t="s">
        <v>668</v>
      </c>
      <c r="C653" s="23" t="s">
        <v>669</v>
      </c>
      <c r="D653" s="24" t="s">
        <v>690</v>
      </c>
      <c r="E653" s="25" t="s">
        <v>1745</v>
      </c>
      <c r="F653" s="16" t="str">
        <f>_xlfn.XLOOKUP(D653,'[7]Database DP'!$C:$C,'[7]Database DP'!$F:$F,"Tidak Ditemukan")</f>
        <v>BOWO</v>
      </c>
      <c r="G653" s="21"/>
    </row>
    <row r="654" spans="2:7">
      <c r="B654" s="22" t="s">
        <v>668</v>
      </c>
      <c r="C654" s="23" t="s">
        <v>669</v>
      </c>
      <c r="D654" s="24" t="s">
        <v>691</v>
      </c>
      <c r="E654" s="25" t="s">
        <v>1745</v>
      </c>
      <c r="F654" s="16" t="str">
        <f>_xlfn.XLOOKUP(D654,'[7]Database DP'!$C:$C,'[7]Database DP'!$F:$F,"Tidak Ditemukan")</f>
        <v>BOWO</v>
      </c>
      <c r="G654" s="21"/>
    </row>
    <row r="655" spans="2:7">
      <c r="B655" s="22" t="s">
        <v>668</v>
      </c>
      <c r="C655" s="23" t="s">
        <v>669</v>
      </c>
      <c r="D655" s="24" t="s">
        <v>692</v>
      </c>
      <c r="E655" s="25" t="s">
        <v>1722</v>
      </c>
      <c r="F655" s="16" t="str">
        <f>_xlfn.XLOOKUP(D655,'[7]Database DP'!$C:$C,'[7]Database DP'!$F:$F,"Tidak Ditemukan")</f>
        <v>BOWO</v>
      </c>
      <c r="G655" s="21"/>
    </row>
    <row r="656" spans="2:7">
      <c r="B656" s="22" t="s">
        <v>668</v>
      </c>
      <c r="C656" s="23" t="s">
        <v>669</v>
      </c>
      <c r="D656" s="24" t="s">
        <v>693</v>
      </c>
      <c r="E656" s="25" t="s">
        <v>1722</v>
      </c>
      <c r="F656" s="16" t="str">
        <f>_xlfn.XLOOKUP(D656,'[7]Database DP'!$C:$C,'[7]Database DP'!$F:$F,"Tidak Ditemukan")</f>
        <v>BOWO</v>
      </c>
      <c r="G656" s="21"/>
    </row>
    <row r="657" spans="2:7">
      <c r="B657" s="22" t="s">
        <v>668</v>
      </c>
      <c r="C657" s="23" t="s">
        <v>669</v>
      </c>
      <c r="D657" s="24" t="s">
        <v>694</v>
      </c>
      <c r="E657" s="25" t="s">
        <v>1722</v>
      </c>
      <c r="F657" s="16" t="str">
        <f>_xlfn.XLOOKUP(D657,'[7]Database DP'!$C:$C,'[7]Database DP'!$F:$F,"Tidak Ditemukan")</f>
        <v>BOWO</v>
      </c>
      <c r="G657" s="21"/>
    </row>
    <row r="658" spans="2:7">
      <c r="B658" s="22" t="s">
        <v>668</v>
      </c>
      <c r="C658" s="23" t="s">
        <v>669</v>
      </c>
      <c r="D658" s="24" t="s">
        <v>695</v>
      </c>
      <c r="E658" s="25" t="s">
        <v>1722</v>
      </c>
      <c r="F658" s="16" t="str">
        <f>_xlfn.XLOOKUP(D658,'[7]Database DP'!$C:$C,'[7]Database DP'!$F:$F,"Tidak Ditemukan")</f>
        <v>BOWO</v>
      </c>
      <c r="G658" s="21"/>
    </row>
    <row r="659" spans="2:7">
      <c r="B659" s="22" t="s">
        <v>668</v>
      </c>
      <c r="C659" s="23" t="s">
        <v>669</v>
      </c>
      <c r="D659" s="24" t="s">
        <v>696</v>
      </c>
      <c r="E659" s="25" t="s">
        <v>1722</v>
      </c>
      <c r="F659" s="16" t="str">
        <f>_xlfn.XLOOKUP(D659,'[7]Database DP'!$C:$C,'[7]Database DP'!$F:$F,"Tidak Ditemukan")</f>
        <v>BOWO</v>
      </c>
      <c r="G659" s="21"/>
    </row>
    <row r="660" spans="2:7">
      <c r="B660" s="22" t="s">
        <v>668</v>
      </c>
      <c r="C660" s="23" t="s">
        <v>669</v>
      </c>
      <c r="D660" s="24" t="s">
        <v>697</v>
      </c>
      <c r="E660" s="25" t="s">
        <v>1722</v>
      </c>
      <c r="F660" s="16" t="str">
        <f>_xlfn.XLOOKUP(D660,'[7]Database DP'!$C:$C,'[7]Database DP'!$F:$F,"Tidak Ditemukan")</f>
        <v>DADANG</v>
      </c>
      <c r="G660" s="21"/>
    </row>
    <row r="661" spans="2:7">
      <c r="B661" s="22" t="s">
        <v>668</v>
      </c>
      <c r="C661" s="23" t="s">
        <v>669</v>
      </c>
      <c r="D661" s="24" t="s">
        <v>698</v>
      </c>
      <c r="E661" s="25" t="s">
        <v>1722</v>
      </c>
      <c r="F661" s="16" t="str">
        <f>_xlfn.XLOOKUP(D661,'[7]Database DP'!$C:$C,'[7]Database DP'!$F:$F,"Tidak Ditemukan")</f>
        <v>DADANG</v>
      </c>
      <c r="G661" s="21"/>
    </row>
    <row r="662" spans="2:7">
      <c r="B662" s="22" t="s">
        <v>668</v>
      </c>
      <c r="C662" s="23" t="s">
        <v>669</v>
      </c>
      <c r="D662" s="24" t="s">
        <v>699</v>
      </c>
      <c r="E662" s="25" t="s">
        <v>1722</v>
      </c>
      <c r="F662" s="16" t="str">
        <f>_xlfn.XLOOKUP(D662,'[7]Database DP'!$C:$C,'[7]Database DP'!$F:$F,"Tidak Ditemukan")</f>
        <v>DADANG</v>
      </c>
      <c r="G662" s="21"/>
    </row>
    <row r="663" spans="2:7">
      <c r="B663" s="22" t="s">
        <v>668</v>
      </c>
      <c r="C663" s="23" t="s">
        <v>669</v>
      </c>
      <c r="D663" s="24" t="s">
        <v>700</v>
      </c>
      <c r="E663" s="25" t="s">
        <v>1722</v>
      </c>
      <c r="F663" s="16" t="str">
        <f>_xlfn.XLOOKUP(D663,'[7]Database DP'!$C:$C,'[7]Database DP'!$F:$F,"Tidak Ditemukan")</f>
        <v>DADANG</v>
      </c>
      <c r="G663" s="21"/>
    </row>
    <row r="664" spans="2:7">
      <c r="B664" s="22" t="s">
        <v>668</v>
      </c>
      <c r="C664" s="23" t="s">
        <v>669</v>
      </c>
      <c r="D664" s="24" t="s">
        <v>701</v>
      </c>
      <c r="E664" s="25" t="s">
        <v>1722</v>
      </c>
      <c r="F664" s="16" t="str">
        <f>_xlfn.XLOOKUP(D664,'[7]Database DP'!$C:$C,'[7]Database DP'!$F:$F,"Tidak Ditemukan")</f>
        <v>DADANG</v>
      </c>
      <c r="G664" s="21"/>
    </row>
    <row r="665" spans="2:7">
      <c r="B665" s="22" t="s">
        <v>668</v>
      </c>
      <c r="C665" s="23" t="s">
        <v>669</v>
      </c>
      <c r="D665" s="24" t="s">
        <v>702</v>
      </c>
      <c r="E665" s="25" t="s">
        <v>1722</v>
      </c>
      <c r="F665" s="16" t="str">
        <f>_xlfn.XLOOKUP(D665,'[7]Database DP'!$C:$C,'[7]Database DP'!$F:$F,"Tidak Ditemukan")</f>
        <v>DADANG</v>
      </c>
      <c r="G665" s="21"/>
    </row>
    <row r="666" spans="2:7">
      <c r="B666" s="22" t="s">
        <v>668</v>
      </c>
      <c r="C666" s="23" t="s">
        <v>669</v>
      </c>
      <c r="D666" s="24" t="s">
        <v>703</v>
      </c>
      <c r="E666" s="25" t="s">
        <v>1722</v>
      </c>
      <c r="F666" s="16" t="str">
        <f>_xlfn.XLOOKUP(D666,'[7]Database DP'!$C:$C,'[7]Database DP'!$F:$F,"Tidak Ditemukan")</f>
        <v>DADANG</v>
      </c>
      <c r="G666" s="21"/>
    </row>
    <row r="667" spans="2:7">
      <c r="B667" s="22" t="s">
        <v>668</v>
      </c>
      <c r="C667" s="23" t="s">
        <v>669</v>
      </c>
      <c r="D667" s="24" t="s">
        <v>704</v>
      </c>
      <c r="E667" s="25" t="s">
        <v>1722</v>
      </c>
      <c r="F667" s="16" t="str">
        <f>_xlfn.XLOOKUP(D667,'[7]Database DP'!$C:$C,'[7]Database DP'!$F:$F,"Tidak Ditemukan")</f>
        <v>DADANG</v>
      </c>
      <c r="G667" s="21"/>
    </row>
    <row r="668" spans="2:7">
      <c r="B668" s="22" t="s">
        <v>668</v>
      </c>
      <c r="C668" s="23" t="s">
        <v>669</v>
      </c>
      <c r="D668" s="24" t="s">
        <v>705</v>
      </c>
      <c r="E668" s="25" t="s">
        <v>1722</v>
      </c>
      <c r="F668" s="16" t="str">
        <f>_xlfn.XLOOKUP(D668,'[7]Database DP'!$C:$C,'[7]Database DP'!$F:$F,"Tidak Ditemukan")</f>
        <v>DADANG</v>
      </c>
      <c r="G668" s="21"/>
    </row>
    <row r="669" spans="2:7">
      <c r="B669" s="22" t="s">
        <v>668</v>
      </c>
      <c r="C669" s="23" t="s">
        <v>669</v>
      </c>
      <c r="D669" s="24" t="s">
        <v>706</v>
      </c>
      <c r="E669" s="25" t="s">
        <v>1722</v>
      </c>
      <c r="F669" s="16" t="str">
        <f>_xlfn.XLOOKUP(D669,'[7]Database DP'!$C:$C,'[7]Database DP'!$F:$F,"Tidak Ditemukan")</f>
        <v>DADANG</v>
      </c>
      <c r="G669" s="21"/>
    </row>
    <row r="670" spans="2:7">
      <c r="B670" s="22" t="s">
        <v>668</v>
      </c>
      <c r="C670" s="23" t="s">
        <v>669</v>
      </c>
      <c r="D670" s="24" t="s">
        <v>707</v>
      </c>
      <c r="E670" s="25" t="s">
        <v>1722</v>
      </c>
      <c r="F670" s="16" t="str">
        <f>_xlfn.XLOOKUP(D670,'[7]Database DP'!$C:$C,'[7]Database DP'!$F:$F,"Tidak Ditemukan")</f>
        <v>DANIEL</v>
      </c>
      <c r="G670" s="21"/>
    </row>
    <row r="671" spans="2:7">
      <c r="B671" s="22" t="s">
        <v>668</v>
      </c>
      <c r="C671" s="23" t="s">
        <v>669</v>
      </c>
      <c r="D671" s="24" t="s">
        <v>708</v>
      </c>
      <c r="E671" s="25" t="s">
        <v>1722</v>
      </c>
      <c r="F671" s="16" t="str">
        <f>_xlfn.XLOOKUP(D671,'[7]Database DP'!$C:$C,'[7]Database DP'!$F:$F,"Tidak Ditemukan")</f>
        <v>DANIEL</v>
      </c>
      <c r="G671" s="21"/>
    </row>
    <row r="672" spans="2:7">
      <c r="B672" s="22" t="s">
        <v>668</v>
      </c>
      <c r="C672" s="23" t="s">
        <v>669</v>
      </c>
      <c r="D672" s="24" t="s">
        <v>709</v>
      </c>
      <c r="E672" s="25" t="s">
        <v>1722</v>
      </c>
      <c r="F672" s="16" t="str">
        <f>_xlfn.XLOOKUP(D672,'[7]Database DP'!$C:$C,'[7]Database DP'!$F:$F,"Tidak Ditemukan")</f>
        <v>DANIEL</v>
      </c>
      <c r="G672" s="21"/>
    </row>
    <row r="673" spans="2:7">
      <c r="B673" s="22" t="s">
        <v>668</v>
      </c>
      <c r="C673" s="23" t="s">
        <v>669</v>
      </c>
      <c r="D673" s="24" t="s">
        <v>710</v>
      </c>
      <c r="E673" s="25" t="s">
        <v>1722</v>
      </c>
      <c r="F673" s="16" t="str">
        <f>_xlfn.XLOOKUP(D673,'[7]Database DP'!$C:$C,'[7]Database DP'!$F:$F,"Tidak Ditemukan")</f>
        <v>DANIEL</v>
      </c>
      <c r="G673" s="21"/>
    </row>
    <row r="674" spans="2:7">
      <c r="B674" s="22" t="s">
        <v>668</v>
      </c>
      <c r="C674" s="23" t="s">
        <v>669</v>
      </c>
      <c r="D674" s="24" t="s">
        <v>711</v>
      </c>
      <c r="E674" s="25" t="s">
        <v>1722</v>
      </c>
      <c r="F674" s="16" t="str">
        <f>_xlfn.XLOOKUP(D674,'[7]Database DP'!$C:$C,'[7]Database DP'!$F:$F,"Tidak Ditemukan")</f>
        <v>DANIEL</v>
      </c>
      <c r="G674" s="21"/>
    </row>
    <row r="675" spans="2:7">
      <c r="B675" s="22" t="s">
        <v>668</v>
      </c>
      <c r="C675" s="23" t="s">
        <v>669</v>
      </c>
      <c r="D675" s="24" t="s">
        <v>712</v>
      </c>
      <c r="E675" s="25" t="s">
        <v>1722</v>
      </c>
      <c r="F675" s="16" t="str">
        <f>_xlfn.XLOOKUP(D675,'[7]Database DP'!$C:$C,'[7]Database DP'!$F:$F,"Tidak Ditemukan")</f>
        <v>DANIEL</v>
      </c>
      <c r="G675" s="21"/>
    </row>
    <row r="676" spans="2:7">
      <c r="B676" s="22" t="s">
        <v>668</v>
      </c>
      <c r="C676" s="23" t="s">
        <v>669</v>
      </c>
      <c r="D676" s="24" t="s">
        <v>713</v>
      </c>
      <c r="E676" s="25" t="s">
        <v>1722</v>
      </c>
      <c r="F676" s="16" t="str">
        <f>_xlfn.XLOOKUP(D676,'[7]Database DP'!$C:$C,'[7]Database DP'!$F:$F,"Tidak Ditemukan")</f>
        <v>DANIEL</v>
      </c>
      <c r="G676" s="21"/>
    </row>
    <row r="677" spans="2:7">
      <c r="B677" s="22" t="s">
        <v>668</v>
      </c>
      <c r="C677" s="23" t="s">
        <v>669</v>
      </c>
      <c r="D677" s="24" t="s">
        <v>714</v>
      </c>
      <c r="E677" s="25" t="s">
        <v>1722</v>
      </c>
      <c r="F677" s="16" t="str">
        <f>_xlfn.XLOOKUP(D677,'[7]Database DP'!$C:$C,'[7]Database DP'!$F:$F,"Tidak Ditemukan")</f>
        <v>DANIEL</v>
      </c>
      <c r="G677" s="21"/>
    </row>
    <row r="678" spans="2:7">
      <c r="B678" s="22" t="s">
        <v>668</v>
      </c>
      <c r="C678" s="23" t="s">
        <v>669</v>
      </c>
      <c r="D678" s="24" t="s">
        <v>715</v>
      </c>
      <c r="E678" s="25" t="s">
        <v>1722</v>
      </c>
      <c r="F678" s="16" t="str">
        <f>_xlfn.XLOOKUP(D678,'[7]Database DP'!$C:$C,'[7]Database DP'!$F:$F,"Tidak Ditemukan")</f>
        <v>GERRY</v>
      </c>
      <c r="G678" s="21"/>
    </row>
    <row r="679" spans="2:7">
      <c r="B679" s="22" t="s">
        <v>668</v>
      </c>
      <c r="C679" s="23" t="s">
        <v>669</v>
      </c>
      <c r="D679" s="24" t="s">
        <v>716</v>
      </c>
      <c r="E679" s="25" t="s">
        <v>1722</v>
      </c>
      <c r="F679" s="16" t="str">
        <f>_xlfn.XLOOKUP(D679,'[7]Database DP'!$C:$C,'[7]Database DP'!$F:$F,"Tidak Ditemukan")</f>
        <v>GERRY</v>
      </c>
      <c r="G679" s="21"/>
    </row>
    <row r="680" spans="2:7">
      <c r="B680" s="22" t="s">
        <v>668</v>
      </c>
      <c r="C680" s="23" t="s">
        <v>669</v>
      </c>
      <c r="D680" s="24" t="s">
        <v>717</v>
      </c>
      <c r="E680" s="25" t="s">
        <v>1722</v>
      </c>
      <c r="F680" s="16" t="str">
        <f>_xlfn.XLOOKUP(D680,'[7]Database DP'!$C:$C,'[7]Database DP'!$F:$F,"Tidak Ditemukan")</f>
        <v>GERRY</v>
      </c>
      <c r="G680" s="21"/>
    </row>
    <row r="681" spans="2:7">
      <c r="B681" s="22" t="s">
        <v>668</v>
      </c>
      <c r="C681" s="23" t="s">
        <v>669</v>
      </c>
      <c r="D681" s="24" t="s">
        <v>718</v>
      </c>
      <c r="E681" s="25" t="s">
        <v>1722</v>
      </c>
      <c r="F681" s="16" t="str">
        <f>_xlfn.XLOOKUP(D681,'[7]Database DP'!$C:$C,'[7]Database DP'!$F:$F,"Tidak Ditemukan")</f>
        <v>GERRY</v>
      </c>
      <c r="G681" s="21"/>
    </row>
    <row r="682" spans="2:7">
      <c r="B682" s="22" t="s">
        <v>668</v>
      </c>
      <c r="C682" s="23" t="s">
        <v>669</v>
      </c>
      <c r="D682" s="24" t="s">
        <v>719</v>
      </c>
      <c r="E682" s="25" t="s">
        <v>1722</v>
      </c>
      <c r="F682" s="16" t="str">
        <f>_xlfn.XLOOKUP(D682,'[7]Database DP'!$C:$C,'[7]Database DP'!$F:$F,"Tidak Ditemukan")</f>
        <v>GERRY</v>
      </c>
      <c r="G682" s="21"/>
    </row>
    <row r="683" spans="2:7">
      <c r="B683" s="22" t="s">
        <v>668</v>
      </c>
      <c r="C683" s="23" t="s">
        <v>669</v>
      </c>
      <c r="D683" s="24" t="s">
        <v>720</v>
      </c>
      <c r="E683" s="25" t="s">
        <v>1722</v>
      </c>
      <c r="F683" s="16" t="str">
        <f>_xlfn.XLOOKUP(D683,'[7]Database DP'!$C:$C,'[7]Database DP'!$F:$F,"Tidak Ditemukan")</f>
        <v>HERI</v>
      </c>
      <c r="G683" s="21"/>
    </row>
    <row r="684" spans="2:7">
      <c r="B684" s="22" t="s">
        <v>668</v>
      </c>
      <c r="C684" s="23" t="s">
        <v>669</v>
      </c>
      <c r="D684" s="24" t="s">
        <v>721</v>
      </c>
      <c r="E684" s="25" t="s">
        <v>1722</v>
      </c>
      <c r="F684" s="16" t="str">
        <f>_xlfn.XLOOKUP(D684,'[7]Database DP'!$C:$C,'[7]Database DP'!$F:$F,"Tidak Ditemukan")</f>
        <v>HERI</v>
      </c>
      <c r="G684" s="21"/>
    </row>
    <row r="685" spans="2:7">
      <c r="B685" s="22" t="s">
        <v>668</v>
      </c>
      <c r="C685" s="23" t="s">
        <v>669</v>
      </c>
      <c r="D685" s="24" t="s">
        <v>722</v>
      </c>
      <c r="E685" s="25" t="s">
        <v>1722</v>
      </c>
      <c r="F685" s="16" t="str">
        <f>_xlfn.XLOOKUP(D685,'[7]Database DP'!$C:$C,'[7]Database DP'!$F:$F,"Tidak Ditemukan")</f>
        <v>HERI</v>
      </c>
      <c r="G685" s="21"/>
    </row>
    <row r="686" spans="2:7">
      <c r="B686" s="22" t="s">
        <v>668</v>
      </c>
      <c r="C686" s="23" t="s">
        <v>669</v>
      </c>
      <c r="D686" s="24" t="s">
        <v>723</v>
      </c>
      <c r="E686" s="25" t="s">
        <v>1722</v>
      </c>
      <c r="F686" s="16" t="str">
        <f>_xlfn.XLOOKUP(D686,'[7]Database DP'!$C:$C,'[7]Database DP'!$F:$F,"Tidak Ditemukan")</f>
        <v>HERI</v>
      </c>
      <c r="G686" s="21"/>
    </row>
    <row r="687" spans="2:7">
      <c r="B687" s="22" t="s">
        <v>668</v>
      </c>
      <c r="C687" s="23" t="s">
        <v>669</v>
      </c>
      <c r="D687" s="24" t="s">
        <v>724</v>
      </c>
      <c r="E687" s="25" t="s">
        <v>1722</v>
      </c>
      <c r="F687" s="16" t="str">
        <f>_xlfn.XLOOKUP(D687,'[7]Database DP'!$C:$C,'[7]Database DP'!$F:$F,"Tidak Ditemukan")</f>
        <v>HERI</v>
      </c>
      <c r="G687" s="21"/>
    </row>
    <row r="688" spans="2:7">
      <c r="B688" s="22" t="s">
        <v>668</v>
      </c>
      <c r="C688" s="23" t="s">
        <v>669</v>
      </c>
      <c r="D688" s="24" t="s">
        <v>725</v>
      </c>
      <c r="E688" s="25" t="s">
        <v>1722</v>
      </c>
      <c r="F688" s="16" t="str">
        <f>_xlfn.XLOOKUP(D688,'[7]Database DP'!$C:$C,'[7]Database DP'!$F:$F,"Tidak Ditemukan")</f>
        <v>HERI</v>
      </c>
      <c r="G688" s="21"/>
    </row>
    <row r="689" spans="2:7">
      <c r="B689" s="22" t="s">
        <v>668</v>
      </c>
      <c r="C689" s="23" t="s">
        <v>669</v>
      </c>
      <c r="D689" s="24" t="s">
        <v>726</v>
      </c>
      <c r="E689" s="25" t="s">
        <v>1722</v>
      </c>
      <c r="F689" s="16" t="str">
        <f>_xlfn.XLOOKUP(D689,'[7]Database DP'!$C:$C,'[7]Database DP'!$F:$F,"Tidak Ditemukan")</f>
        <v>HERI</v>
      </c>
      <c r="G689" s="21"/>
    </row>
    <row r="690" spans="2:7">
      <c r="B690" s="22" t="s">
        <v>668</v>
      </c>
      <c r="C690" s="23" t="s">
        <v>669</v>
      </c>
      <c r="D690" s="24" t="s">
        <v>727</v>
      </c>
      <c r="E690" s="25" t="s">
        <v>1722</v>
      </c>
      <c r="F690" s="16" t="str">
        <f>_xlfn.XLOOKUP(D690,'[7]Database DP'!$C:$C,'[7]Database DP'!$F:$F,"Tidak Ditemukan")</f>
        <v>HERI</v>
      </c>
      <c r="G690" s="21"/>
    </row>
    <row r="691" spans="2:7">
      <c r="B691" s="22" t="s">
        <v>668</v>
      </c>
      <c r="C691" s="23" t="s">
        <v>669</v>
      </c>
      <c r="D691" s="24" t="s">
        <v>728</v>
      </c>
      <c r="E691" s="25" t="s">
        <v>1722</v>
      </c>
      <c r="F691" s="16" t="str">
        <f>_xlfn.XLOOKUP(D691,'[7]Database DP'!$C:$C,'[7]Database DP'!$F:$F,"Tidak Ditemukan")</f>
        <v>HERI</v>
      </c>
      <c r="G691" s="21"/>
    </row>
    <row r="692" spans="2:7">
      <c r="B692" s="22" t="s">
        <v>668</v>
      </c>
      <c r="C692" s="23" t="s">
        <v>669</v>
      </c>
      <c r="D692" s="24" t="s">
        <v>729</v>
      </c>
      <c r="E692" s="25" t="s">
        <v>1722</v>
      </c>
      <c r="F692" s="16" t="str">
        <f>_xlfn.XLOOKUP(D692,'[7]Database DP'!$C:$C,'[7]Database DP'!$F:$F,"Tidak Ditemukan")</f>
        <v>HERI</v>
      </c>
      <c r="G692" s="21"/>
    </row>
    <row r="693" spans="2:7">
      <c r="B693" s="22" t="s">
        <v>668</v>
      </c>
      <c r="C693" s="23" t="s">
        <v>669</v>
      </c>
      <c r="D693" s="24" t="s">
        <v>730</v>
      </c>
      <c r="E693" s="25" t="s">
        <v>1722</v>
      </c>
      <c r="F693" s="16" t="str">
        <f>_xlfn.XLOOKUP(D693,'[7]Database DP'!$C:$C,'[7]Database DP'!$F:$F,"Tidak Ditemukan")</f>
        <v>HERI</v>
      </c>
      <c r="G693" s="21"/>
    </row>
    <row r="694" spans="2:7">
      <c r="B694" s="22" t="s">
        <v>668</v>
      </c>
      <c r="C694" s="23" t="s">
        <v>669</v>
      </c>
      <c r="D694" s="24" t="s">
        <v>731</v>
      </c>
      <c r="E694" s="25" t="s">
        <v>1722</v>
      </c>
      <c r="F694" s="16" t="str">
        <f>_xlfn.XLOOKUP(D694,'[7]Database DP'!$C:$C,'[7]Database DP'!$F:$F,"Tidak Ditemukan")</f>
        <v>HERI</v>
      </c>
      <c r="G694" s="21"/>
    </row>
    <row r="695" spans="2:7">
      <c r="B695" s="22" t="s">
        <v>668</v>
      </c>
      <c r="C695" s="23" t="s">
        <v>669</v>
      </c>
      <c r="D695" s="24" t="s">
        <v>732</v>
      </c>
      <c r="E695" s="25" t="s">
        <v>1722</v>
      </c>
      <c r="F695" s="16" t="str">
        <f>_xlfn.XLOOKUP(D695,'[7]Database DP'!$C:$C,'[7]Database DP'!$F:$F,"Tidak Ditemukan")</f>
        <v>HERI</v>
      </c>
      <c r="G695" s="21"/>
    </row>
    <row r="696" spans="2:7">
      <c r="B696" s="22" t="s">
        <v>668</v>
      </c>
      <c r="C696" s="23" t="s">
        <v>669</v>
      </c>
      <c r="D696" s="24" t="s">
        <v>733</v>
      </c>
      <c r="E696" s="25" t="s">
        <v>1722</v>
      </c>
      <c r="F696" s="16" t="str">
        <f>_xlfn.XLOOKUP(D696,'[7]Database DP'!$C:$C,'[7]Database DP'!$F:$F,"Tidak Ditemukan")</f>
        <v>HERI</v>
      </c>
      <c r="G696" s="21"/>
    </row>
    <row r="697" spans="2:7">
      <c r="B697" s="22" t="s">
        <v>668</v>
      </c>
      <c r="C697" s="23" t="s">
        <v>669</v>
      </c>
      <c r="D697" s="24" t="s">
        <v>734</v>
      </c>
      <c r="E697" s="25" t="s">
        <v>1722</v>
      </c>
      <c r="F697" s="16" t="str">
        <f>_xlfn.XLOOKUP(D697,'[7]Database DP'!$C:$C,'[7]Database DP'!$F:$F,"Tidak Ditemukan")</f>
        <v>RISWANTO</v>
      </c>
      <c r="G697" s="21"/>
    </row>
    <row r="698" spans="2:7">
      <c r="B698" s="22" t="s">
        <v>668</v>
      </c>
      <c r="C698" s="23" t="s">
        <v>669</v>
      </c>
      <c r="D698" s="24" t="s">
        <v>735</v>
      </c>
      <c r="E698" s="25" t="s">
        <v>1722</v>
      </c>
      <c r="F698" s="16" t="str">
        <f>_xlfn.XLOOKUP(D698,'[7]Database DP'!$C:$C,'[7]Database DP'!$F:$F,"Tidak Ditemukan")</f>
        <v>RISWANTO</v>
      </c>
      <c r="G698" s="21"/>
    </row>
    <row r="699" spans="2:7">
      <c r="B699" s="22" t="s">
        <v>668</v>
      </c>
      <c r="C699" s="23" t="s">
        <v>669</v>
      </c>
      <c r="D699" s="24" t="s">
        <v>736</v>
      </c>
      <c r="E699" s="25" t="s">
        <v>1722</v>
      </c>
      <c r="F699" s="16" t="str">
        <f>_xlfn.XLOOKUP(D699,'[7]Database DP'!$C:$C,'[7]Database DP'!$F:$F,"Tidak Ditemukan")</f>
        <v>RISWANTO</v>
      </c>
      <c r="G699" s="21"/>
    </row>
    <row r="700" spans="2:7">
      <c r="B700" s="22" t="s">
        <v>668</v>
      </c>
      <c r="C700" s="23" t="s">
        <v>669</v>
      </c>
      <c r="D700" s="24" t="s">
        <v>737</v>
      </c>
      <c r="E700" s="25" t="s">
        <v>1722</v>
      </c>
      <c r="F700" s="16" t="str">
        <f>_xlfn.XLOOKUP(D700,'[7]Database DP'!$C:$C,'[7]Database DP'!$F:$F,"Tidak Ditemukan")</f>
        <v>RISWANTO</v>
      </c>
      <c r="G700" s="21"/>
    </row>
    <row r="701" spans="2:7">
      <c r="B701" s="22" t="s">
        <v>668</v>
      </c>
      <c r="C701" s="23" t="s">
        <v>669</v>
      </c>
      <c r="D701" s="24" t="s">
        <v>738</v>
      </c>
      <c r="E701" s="25" t="s">
        <v>1722</v>
      </c>
      <c r="F701" s="16" t="str">
        <f>_xlfn.XLOOKUP(D701,'[7]Database DP'!$C:$C,'[7]Database DP'!$F:$F,"Tidak Ditemukan")</f>
        <v>RISWANTO</v>
      </c>
      <c r="G701" s="21"/>
    </row>
    <row r="702" spans="2:7">
      <c r="B702" s="22" t="s">
        <v>668</v>
      </c>
      <c r="C702" s="23" t="s">
        <v>669</v>
      </c>
      <c r="D702" s="24" t="s">
        <v>739</v>
      </c>
      <c r="E702" s="25" t="s">
        <v>1722</v>
      </c>
      <c r="F702" s="16" t="str">
        <f>_xlfn.XLOOKUP(D702,'[7]Database DP'!$C:$C,'[7]Database DP'!$F:$F,"Tidak Ditemukan")</f>
        <v>RISWANTO</v>
      </c>
      <c r="G702" s="21"/>
    </row>
    <row r="703" spans="2:7">
      <c r="B703" s="22" t="s">
        <v>668</v>
      </c>
      <c r="C703" s="23" t="s">
        <v>669</v>
      </c>
      <c r="D703" s="24" t="s">
        <v>740</v>
      </c>
      <c r="E703" s="25" t="s">
        <v>1722</v>
      </c>
      <c r="F703" s="16" t="str">
        <f>_xlfn.XLOOKUP(D703,'[7]Database DP'!$C:$C,'[7]Database DP'!$F:$F,"Tidak Ditemukan")</f>
        <v>RISWANTO</v>
      </c>
      <c r="G703" s="21"/>
    </row>
    <row r="704" spans="2:7">
      <c r="B704" s="22" t="s">
        <v>668</v>
      </c>
      <c r="C704" s="23" t="s">
        <v>669</v>
      </c>
      <c r="D704" s="24" t="s">
        <v>741</v>
      </c>
      <c r="E704" s="25" t="s">
        <v>1722</v>
      </c>
      <c r="F704" s="16" t="str">
        <f>_xlfn.XLOOKUP(D704,'[7]Database DP'!$C:$C,'[7]Database DP'!$F:$F,"Tidak Ditemukan")</f>
        <v>RISWANTO</v>
      </c>
      <c r="G704" s="21"/>
    </row>
    <row r="705" spans="2:7">
      <c r="B705" s="22" t="s">
        <v>668</v>
      </c>
      <c r="C705" s="23" t="s">
        <v>669</v>
      </c>
      <c r="D705" s="24" t="s">
        <v>742</v>
      </c>
      <c r="E705" s="25" t="s">
        <v>1722</v>
      </c>
      <c r="F705" s="16" t="str">
        <f>_xlfn.XLOOKUP(D705,'[7]Database DP'!$C:$C,'[7]Database DP'!$F:$F,"Tidak Ditemukan")</f>
        <v>RISWANTO</v>
      </c>
      <c r="G705" s="21"/>
    </row>
    <row r="706" spans="2:7">
      <c r="B706" s="22" t="s">
        <v>668</v>
      </c>
      <c r="C706" s="23" t="s">
        <v>669</v>
      </c>
      <c r="D706" s="24" t="s">
        <v>743</v>
      </c>
      <c r="E706" s="25" t="s">
        <v>1722</v>
      </c>
      <c r="F706" s="16" t="str">
        <f>_xlfn.XLOOKUP(D706,'[7]Database DP'!$C:$C,'[7]Database DP'!$F:$F,"Tidak Ditemukan")</f>
        <v>RISWANTO</v>
      </c>
      <c r="G706" s="21"/>
    </row>
    <row r="707" spans="2:7">
      <c r="B707" s="22" t="s">
        <v>668</v>
      </c>
      <c r="C707" s="23" t="s">
        <v>669</v>
      </c>
      <c r="D707" s="24" t="s">
        <v>744</v>
      </c>
      <c r="E707" s="25" t="s">
        <v>1722</v>
      </c>
      <c r="F707" s="16" t="str">
        <f>_xlfn.XLOOKUP(D707,'[7]Database DP'!$C:$C,'[7]Database DP'!$F:$F,"Tidak Ditemukan")</f>
        <v>RISWANTO</v>
      </c>
      <c r="G707" s="21"/>
    </row>
    <row r="708" spans="2:7">
      <c r="B708" s="22" t="s">
        <v>668</v>
      </c>
      <c r="C708" s="23" t="s">
        <v>669</v>
      </c>
      <c r="D708" s="24" t="s">
        <v>745</v>
      </c>
      <c r="E708" s="25" t="s">
        <v>1722</v>
      </c>
      <c r="F708" s="16" t="str">
        <f>_xlfn.XLOOKUP(D708,'[7]Database DP'!$C:$C,'[7]Database DP'!$F:$F,"Tidak Ditemukan")</f>
        <v>RISWANTO</v>
      </c>
      <c r="G708" s="21"/>
    </row>
    <row r="709" spans="2:7">
      <c r="B709" s="22" t="s">
        <v>668</v>
      </c>
      <c r="C709" s="23" t="s">
        <v>669</v>
      </c>
      <c r="D709" s="24" t="s">
        <v>746</v>
      </c>
      <c r="E709" s="25" t="s">
        <v>1722</v>
      </c>
      <c r="F709" s="16" t="str">
        <f>_xlfn.XLOOKUP(D709,'[7]Database DP'!$C:$C,'[7]Database DP'!$F:$F,"Tidak Ditemukan")</f>
        <v>KHABIB</v>
      </c>
      <c r="G709" s="21"/>
    </row>
    <row r="710" spans="2:7">
      <c r="B710" s="22" t="s">
        <v>668</v>
      </c>
      <c r="C710" s="23" t="s">
        <v>669</v>
      </c>
      <c r="D710" s="24" t="s">
        <v>747</v>
      </c>
      <c r="E710" s="25" t="s">
        <v>1722</v>
      </c>
      <c r="F710" s="16" t="str">
        <f>_xlfn.XLOOKUP(D710,'[7]Database DP'!$C:$C,'[7]Database DP'!$F:$F,"Tidak Ditemukan")</f>
        <v>KHABIB</v>
      </c>
      <c r="G710" s="21"/>
    </row>
    <row r="711" spans="2:7">
      <c r="B711" s="22" t="s">
        <v>668</v>
      </c>
      <c r="C711" s="23" t="s">
        <v>669</v>
      </c>
      <c r="D711" s="24" t="s">
        <v>748</v>
      </c>
      <c r="E711" s="25" t="s">
        <v>1722</v>
      </c>
      <c r="F711" s="16" t="str">
        <f>_xlfn.XLOOKUP(D711,'[7]Database DP'!$C:$C,'[7]Database DP'!$F:$F,"Tidak Ditemukan")</f>
        <v>KHABIB</v>
      </c>
      <c r="G711" s="21"/>
    </row>
    <row r="712" spans="2:7">
      <c r="B712" s="22" t="s">
        <v>668</v>
      </c>
      <c r="C712" s="23" t="s">
        <v>669</v>
      </c>
      <c r="D712" s="24" t="s">
        <v>749</v>
      </c>
      <c r="E712" s="25" t="s">
        <v>1722</v>
      </c>
      <c r="F712" s="16" t="str">
        <f>_xlfn.XLOOKUP(D712,'[7]Database DP'!$C:$C,'[7]Database DP'!$F:$F,"Tidak Ditemukan")</f>
        <v>KHABIB</v>
      </c>
      <c r="G712" s="21"/>
    </row>
    <row r="713" spans="2:7">
      <c r="B713" s="22" t="s">
        <v>668</v>
      </c>
      <c r="C713" s="23" t="s">
        <v>669</v>
      </c>
      <c r="D713" s="24" t="s">
        <v>750</v>
      </c>
      <c r="E713" s="25" t="s">
        <v>1722</v>
      </c>
      <c r="F713" s="16" t="str">
        <f>_xlfn.XLOOKUP(D713,'[7]Database DP'!$C:$C,'[7]Database DP'!$F:$F,"Tidak Ditemukan")</f>
        <v>KHABIB</v>
      </c>
      <c r="G713" s="21"/>
    </row>
    <row r="714" spans="2:7">
      <c r="B714" s="22" t="s">
        <v>668</v>
      </c>
      <c r="C714" s="23" t="s">
        <v>669</v>
      </c>
      <c r="D714" s="24" t="s">
        <v>751</v>
      </c>
      <c r="E714" s="25" t="s">
        <v>1722</v>
      </c>
      <c r="F714" s="16" t="str">
        <f>_xlfn.XLOOKUP(D714,'[7]Database DP'!$C:$C,'[7]Database DP'!$F:$F,"Tidak Ditemukan")</f>
        <v>KHABIB</v>
      </c>
      <c r="G714" s="21"/>
    </row>
    <row r="715" spans="2:7">
      <c r="B715" s="22" t="s">
        <v>668</v>
      </c>
      <c r="C715" s="23" t="s">
        <v>669</v>
      </c>
      <c r="D715" s="24" t="s">
        <v>752</v>
      </c>
      <c r="E715" s="25" t="s">
        <v>1722</v>
      </c>
      <c r="F715" s="16" t="str">
        <f>_xlfn.XLOOKUP(D715,'[7]Database DP'!$C:$C,'[7]Database DP'!$F:$F,"Tidak Ditemukan")</f>
        <v>KHABIB</v>
      </c>
      <c r="G715" s="21"/>
    </row>
    <row r="716" spans="2:7">
      <c r="B716" s="22" t="s">
        <v>668</v>
      </c>
      <c r="C716" s="23" t="s">
        <v>669</v>
      </c>
      <c r="D716" s="24" t="s">
        <v>753</v>
      </c>
      <c r="E716" s="25" t="s">
        <v>1722</v>
      </c>
      <c r="F716" s="16" t="str">
        <f>_xlfn.XLOOKUP(D716,'[7]Database DP'!$C:$C,'[7]Database DP'!$F:$F,"Tidak Ditemukan")</f>
        <v>KHABIB</v>
      </c>
      <c r="G716" s="21"/>
    </row>
    <row r="717" spans="2:7">
      <c r="B717" s="22" t="s">
        <v>668</v>
      </c>
      <c r="C717" s="23" t="s">
        <v>669</v>
      </c>
      <c r="D717" s="24" t="s">
        <v>754</v>
      </c>
      <c r="E717" s="25" t="s">
        <v>1722</v>
      </c>
      <c r="F717" s="16" t="str">
        <f>_xlfn.XLOOKUP(D717,'[7]Database DP'!$C:$C,'[7]Database DP'!$F:$F,"Tidak Ditemukan")</f>
        <v>KHABIB</v>
      </c>
      <c r="G717" s="21"/>
    </row>
    <row r="718" spans="2:7">
      <c r="B718" s="22" t="s">
        <v>668</v>
      </c>
      <c r="C718" s="23" t="s">
        <v>669</v>
      </c>
      <c r="D718" s="24" t="s">
        <v>755</v>
      </c>
      <c r="E718" s="25" t="s">
        <v>1722</v>
      </c>
      <c r="F718" s="16" t="str">
        <f>_xlfn.XLOOKUP(D718,'[7]Database DP'!$C:$C,'[7]Database DP'!$F:$F,"Tidak Ditemukan")</f>
        <v>KHOLIK</v>
      </c>
      <c r="G718" s="21"/>
    </row>
    <row r="719" spans="2:7">
      <c r="B719" s="22" t="s">
        <v>668</v>
      </c>
      <c r="C719" s="23" t="s">
        <v>669</v>
      </c>
      <c r="D719" s="24" t="s">
        <v>756</v>
      </c>
      <c r="E719" s="25" t="s">
        <v>1722</v>
      </c>
      <c r="F719" s="16" t="str">
        <f>_xlfn.XLOOKUP(D719,'[7]Database DP'!$C:$C,'[7]Database DP'!$F:$F,"Tidak Ditemukan")</f>
        <v>KHOLIK</v>
      </c>
      <c r="G719" s="21"/>
    </row>
    <row r="720" spans="2:7">
      <c r="B720" s="22" t="s">
        <v>668</v>
      </c>
      <c r="C720" s="23" t="s">
        <v>669</v>
      </c>
      <c r="D720" s="24" t="s">
        <v>757</v>
      </c>
      <c r="E720" s="25" t="s">
        <v>1722</v>
      </c>
      <c r="F720" s="16" t="str">
        <f>_xlfn.XLOOKUP(D720,'[7]Database DP'!$C:$C,'[7]Database DP'!$F:$F,"Tidak Ditemukan")</f>
        <v>KHOLIK</v>
      </c>
      <c r="G720" s="21"/>
    </row>
    <row r="721" spans="2:7">
      <c r="B721" s="22" t="s">
        <v>668</v>
      </c>
      <c r="C721" s="23" t="s">
        <v>669</v>
      </c>
      <c r="D721" s="24" t="s">
        <v>758</v>
      </c>
      <c r="E721" s="25" t="s">
        <v>1722</v>
      </c>
      <c r="F721" s="16" t="str">
        <f>_xlfn.XLOOKUP(D721,'[7]Database DP'!$C:$C,'[7]Database DP'!$F:$F,"Tidak Ditemukan")</f>
        <v>KHOLIK</v>
      </c>
      <c r="G721" s="21"/>
    </row>
    <row r="722" spans="2:7">
      <c r="B722" s="22" t="s">
        <v>668</v>
      </c>
      <c r="C722" s="23" t="s">
        <v>669</v>
      </c>
      <c r="D722" s="24" t="s">
        <v>759</v>
      </c>
      <c r="E722" s="25" t="s">
        <v>1722</v>
      </c>
      <c r="F722" s="16" t="str">
        <f>_xlfn.XLOOKUP(D722,'[7]Database DP'!$C:$C,'[7]Database DP'!$F:$F,"Tidak Ditemukan")</f>
        <v>KHOLIK</v>
      </c>
      <c r="G722" s="21"/>
    </row>
    <row r="723" spans="2:7">
      <c r="B723" s="22" t="s">
        <v>668</v>
      </c>
      <c r="C723" s="23" t="s">
        <v>669</v>
      </c>
      <c r="D723" s="24" t="s">
        <v>760</v>
      </c>
      <c r="E723" s="25" t="s">
        <v>1722</v>
      </c>
      <c r="F723" s="16" t="str">
        <f>_xlfn.XLOOKUP(D723,'[7]Database DP'!$C:$C,'[7]Database DP'!$F:$F,"Tidak Ditemukan")</f>
        <v>KHOLIK</v>
      </c>
      <c r="G723" s="21"/>
    </row>
    <row r="724" spans="2:7">
      <c r="B724" s="22" t="s">
        <v>668</v>
      </c>
      <c r="C724" s="23" t="s">
        <v>669</v>
      </c>
      <c r="D724" s="24" t="s">
        <v>761</v>
      </c>
      <c r="E724" s="25" t="s">
        <v>1722</v>
      </c>
      <c r="F724" s="16" t="str">
        <f>_xlfn.XLOOKUP(D724,'[7]Database DP'!$C:$C,'[7]Database DP'!$F:$F,"Tidak Ditemukan")</f>
        <v>KHOLIK</v>
      </c>
      <c r="G724" s="21"/>
    </row>
    <row r="725" spans="2:7">
      <c r="B725" s="22" t="s">
        <v>668</v>
      </c>
      <c r="C725" s="23" t="s">
        <v>669</v>
      </c>
      <c r="D725" s="24" t="s">
        <v>762</v>
      </c>
      <c r="E725" s="25" t="s">
        <v>1722</v>
      </c>
      <c r="F725" s="16" t="str">
        <f>_xlfn.XLOOKUP(D725,'[7]Database DP'!$C:$C,'[7]Database DP'!$F:$F,"Tidak Ditemukan")</f>
        <v>KHOLIK</v>
      </c>
      <c r="G725" s="21"/>
    </row>
    <row r="726" spans="2:7">
      <c r="B726" s="22" t="s">
        <v>668</v>
      </c>
      <c r="C726" s="23" t="s">
        <v>669</v>
      </c>
      <c r="D726" s="24" t="s">
        <v>763</v>
      </c>
      <c r="E726" s="25" t="s">
        <v>1722</v>
      </c>
      <c r="F726" s="16" t="str">
        <f>_xlfn.XLOOKUP(D726,'[7]Database DP'!$C:$C,'[7]Database DP'!$F:$F,"Tidak Ditemukan")</f>
        <v>KHOLIK</v>
      </c>
      <c r="G726" s="21"/>
    </row>
    <row r="727" spans="2:7">
      <c r="B727" s="22" t="s">
        <v>668</v>
      </c>
      <c r="C727" s="23" t="s">
        <v>669</v>
      </c>
      <c r="D727" s="24" t="s">
        <v>764</v>
      </c>
      <c r="E727" s="25" t="s">
        <v>1722</v>
      </c>
      <c r="F727" s="16" t="str">
        <f>_xlfn.XLOOKUP(D727,'[7]Database DP'!$C:$C,'[7]Database DP'!$F:$F,"Tidak Ditemukan")</f>
        <v>KHOLIL</v>
      </c>
      <c r="G727" s="21"/>
    </row>
    <row r="728" spans="2:7">
      <c r="B728" s="22" t="s">
        <v>668</v>
      </c>
      <c r="C728" s="23" t="s">
        <v>669</v>
      </c>
      <c r="D728" s="24" t="s">
        <v>765</v>
      </c>
      <c r="E728" s="25" t="s">
        <v>1722</v>
      </c>
      <c r="F728" s="16" t="str">
        <f>_xlfn.XLOOKUP(D728,'[7]Database DP'!$C:$C,'[7]Database DP'!$F:$F,"Tidak Ditemukan")</f>
        <v>KHOLIL</v>
      </c>
      <c r="G728" s="21"/>
    </row>
    <row r="729" spans="2:7">
      <c r="B729" s="22" t="s">
        <v>668</v>
      </c>
      <c r="C729" s="23" t="s">
        <v>669</v>
      </c>
      <c r="D729" s="24" t="s">
        <v>766</v>
      </c>
      <c r="E729" s="25" t="s">
        <v>1722</v>
      </c>
      <c r="F729" s="16" t="str">
        <f>_xlfn.XLOOKUP(D729,'[7]Database DP'!$C:$C,'[7]Database DP'!$F:$F,"Tidak Ditemukan")</f>
        <v>KHOLIL</v>
      </c>
      <c r="G729" s="21"/>
    </row>
    <row r="730" spans="2:7">
      <c r="B730" s="22" t="s">
        <v>668</v>
      </c>
      <c r="C730" s="23" t="s">
        <v>669</v>
      </c>
      <c r="D730" s="24" t="s">
        <v>767</v>
      </c>
      <c r="E730" s="25" t="s">
        <v>1722</v>
      </c>
      <c r="F730" s="16" t="str">
        <f>_xlfn.XLOOKUP(D730,'[7]Database DP'!$C:$C,'[7]Database DP'!$F:$F,"Tidak Ditemukan")</f>
        <v>KHOLIL</v>
      </c>
      <c r="G730" s="21"/>
    </row>
    <row r="731" spans="2:7">
      <c r="B731" s="22" t="s">
        <v>668</v>
      </c>
      <c r="C731" s="23" t="s">
        <v>669</v>
      </c>
      <c r="D731" s="24" t="s">
        <v>768</v>
      </c>
      <c r="E731" s="25" t="s">
        <v>1722</v>
      </c>
      <c r="F731" s="16" t="str">
        <f>_xlfn.XLOOKUP(D731,'[7]Database DP'!$C:$C,'[7]Database DP'!$F:$F,"Tidak Ditemukan")</f>
        <v>KHOLIL</v>
      </c>
      <c r="G731" s="21"/>
    </row>
    <row r="732" spans="2:7">
      <c r="B732" s="22" t="s">
        <v>668</v>
      </c>
      <c r="C732" s="23" t="s">
        <v>669</v>
      </c>
      <c r="D732" s="24" t="s">
        <v>769</v>
      </c>
      <c r="E732" s="25" t="s">
        <v>1722</v>
      </c>
      <c r="F732" s="16" t="str">
        <f>_xlfn.XLOOKUP(D732,'[7]Database DP'!$C:$C,'[7]Database DP'!$F:$F,"Tidak Ditemukan")</f>
        <v>KHOLIL</v>
      </c>
      <c r="G732" s="21"/>
    </row>
    <row r="733" spans="2:7">
      <c r="B733" s="22" t="s">
        <v>668</v>
      </c>
      <c r="C733" s="23" t="s">
        <v>669</v>
      </c>
      <c r="D733" s="24" t="s">
        <v>770</v>
      </c>
      <c r="E733" s="25" t="s">
        <v>1722</v>
      </c>
      <c r="F733" s="16" t="str">
        <f>_xlfn.XLOOKUP(D733,'[7]Database DP'!$C:$C,'[7]Database DP'!$F:$F,"Tidak Ditemukan")</f>
        <v>KHOLIL</v>
      </c>
      <c r="G733" s="21"/>
    </row>
    <row r="734" spans="2:7">
      <c r="B734" s="22" t="s">
        <v>668</v>
      </c>
      <c r="C734" s="23" t="s">
        <v>669</v>
      </c>
      <c r="D734" s="24" t="s">
        <v>771</v>
      </c>
      <c r="E734" s="25" t="s">
        <v>1722</v>
      </c>
      <c r="F734" s="16" t="str">
        <f>_xlfn.XLOOKUP(D734,'[7]Database DP'!$C:$C,'[7]Database DP'!$F:$F,"Tidak Ditemukan")</f>
        <v>KHOLIL</v>
      </c>
      <c r="G734" s="21"/>
    </row>
    <row r="735" spans="2:7">
      <c r="B735" s="22" t="s">
        <v>668</v>
      </c>
      <c r="C735" s="23" t="s">
        <v>669</v>
      </c>
      <c r="D735" s="24" t="s">
        <v>772</v>
      </c>
      <c r="E735" s="25" t="s">
        <v>1722</v>
      </c>
      <c r="F735" s="16" t="str">
        <f>_xlfn.XLOOKUP(D735,'[7]Database DP'!$C:$C,'[7]Database DP'!$F:$F,"Tidak Ditemukan")</f>
        <v>KHOLIL</v>
      </c>
      <c r="G735" s="21"/>
    </row>
    <row r="736" spans="2:7">
      <c r="B736" s="22" t="s">
        <v>668</v>
      </c>
      <c r="C736" s="23" t="s">
        <v>669</v>
      </c>
      <c r="D736" s="24" t="s">
        <v>773</v>
      </c>
      <c r="E736" s="25" t="s">
        <v>1722</v>
      </c>
      <c r="F736" s="16" t="str">
        <f>_xlfn.XLOOKUP(D736,'[7]Database DP'!$C:$C,'[7]Database DP'!$F:$F,"Tidak Ditemukan")</f>
        <v>KHOLIL</v>
      </c>
      <c r="G736" s="21"/>
    </row>
    <row r="737" spans="2:7">
      <c r="B737" s="22" t="s">
        <v>668</v>
      </c>
      <c r="C737" s="23" t="s">
        <v>669</v>
      </c>
      <c r="D737" s="24" t="s">
        <v>774</v>
      </c>
      <c r="E737" s="25" t="s">
        <v>1722</v>
      </c>
      <c r="F737" s="16" t="str">
        <f>_xlfn.XLOOKUP(D737,'[7]Database DP'!$C:$C,'[7]Database DP'!$F:$F,"Tidak Ditemukan")</f>
        <v>KHOLIL</v>
      </c>
      <c r="G737" s="21"/>
    </row>
    <row r="738" spans="2:7">
      <c r="B738" s="22" t="s">
        <v>668</v>
      </c>
      <c r="C738" s="23" t="s">
        <v>669</v>
      </c>
      <c r="D738" s="24" t="s">
        <v>775</v>
      </c>
      <c r="E738" s="25" t="s">
        <v>1722</v>
      </c>
      <c r="F738" s="16" t="str">
        <f>_xlfn.XLOOKUP(D738,'[7]Database DP'!$C:$C,'[7]Database DP'!$F:$F,"Tidak Ditemukan")</f>
        <v>KHOLIL</v>
      </c>
      <c r="G738" s="21"/>
    </row>
    <row r="739" spans="2:7">
      <c r="B739" s="22" t="s">
        <v>668</v>
      </c>
      <c r="C739" s="23" t="s">
        <v>669</v>
      </c>
      <c r="D739" s="24" t="s">
        <v>776</v>
      </c>
      <c r="E739" s="25" t="s">
        <v>1722</v>
      </c>
      <c r="F739" s="16" t="str">
        <f>_xlfn.XLOOKUP(D739,'[7]Database DP'!$C:$C,'[7]Database DP'!$F:$F,"Tidak Ditemukan")</f>
        <v>SUPRIYADI</v>
      </c>
      <c r="G739" s="21"/>
    </row>
    <row r="740" spans="2:7">
      <c r="B740" s="22" t="s">
        <v>668</v>
      </c>
      <c r="C740" s="23" t="s">
        <v>669</v>
      </c>
      <c r="D740" s="24" t="s">
        <v>777</v>
      </c>
      <c r="E740" s="25" t="s">
        <v>1722</v>
      </c>
      <c r="F740" s="16" t="str">
        <f>_xlfn.XLOOKUP(D740,'[7]Database DP'!$C:$C,'[7]Database DP'!$F:$F,"Tidak Ditemukan")</f>
        <v>SUPRIYADI</v>
      </c>
      <c r="G740" s="21"/>
    </row>
    <row r="741" spans="2:7">
      <c r="B741" s="22" t="s">
        <v>668</v>
      </c>
      <c r="C741" s="23" t="s">
        <v>669</v>
      </c>
      <c r="D741" s="24" t="s">
        <v>778</v>
      </c>
      <c r="E741" s="25" t="s">
        <v>1722</v>
      </c>
      <c r="F741" s="16" t="str">
        <f>_xlfn.XLOOKUP(D741,'[7]Database DP'!$C:$C,'[7]Database DP'!$F:$F,"Tidak Ditemukan")</f>
        <v>SUPRIYADI</v>
      </c>
      <c r="G741" s="21"/>
    </row>
    <row r="742" spans="2:7">
      <c r="B742" s="22" t="s">
        <v>668</v>
      </c>
      <c r="C742" s="23" t="s">
        <v>669</v>
      </c>
      <c r="D742" s="24" t="s">
        <v>779</v>
      </c>
      <c r="E742" s="25" t="s">
        <v>1722</v>
      </c>
      <c r="F742" s="16" t="str">
        <f>_xlfn.XLOOKUP(D742,'[7]Database DP'!$C:$C,'[7]Database DP'!$F:$F,"Tidak Ditemukan")</f>
        <v>SUPRIYADI</v>
      </c>
      <c r="G742" s="21"/>
    </row>
    <row r="743" spans="2:7">
      <c r="B743" s="22" t="s">
        <v>668</v>
      </c>
      <c r="C743" s="23" t="s">
        <v>669</v>
      </c>
      <c r="D743" s="24" t="s">
        <v>780</v>
      </c>
      <c r="E743" s="25" t="s">
        <v>1722</v>
      </c>
      <c r="F743" s="16" t="str">
        <f>_xlfn.XLOOKUP(D743,'[7]Database DP'!$C:$C,'[7]Database DP'!$F:$F,"Tidak Ditemukan")</f>
        <v>SUPRIYADI</v>
      </c>
      <c r="G743" s="21"/>
    </row>
    <row r="744" spans="2:7">
      <c r="B744" s="22" t="s">
        <v>668</v>
      </c>
      <c r="C744" s="23" t="s">
        <v>669</v>
      </c>
      <c r="D744" s="24" t="s">
        <v>781</v>
      </c>
      <c r="E744" s="25" t="s">
        <v>1722</v>
      </c>
      <c r="F744" s="16" t="str">
        <f>_xlfn.XLOOKUP(D744,'[7]Database DP'!$C:$C,'[7]Database DP'!$F:$F,"Tidak Ditemukan")</f>
        <v>SUPRIYADI</v>
      </c>
      <c r="G744" s="21"/>
    </row>
    <row r="745" spans="2:7">
      <c r="B745" s="22" t="s">
        <v>668</v>
      </c>
      <c r="C745" s="23" t="s">
        <v>669</v>
      </c>
      <c r="D745" s="24" t="s">
        <v>782</v>
      </c>
      <c r="E745" s="25" t="s">
        <v>1722</v>
      </c>
      <c r="F745" s="16" t="str">
        <f>_xlfn.XLOOKUP(D745,'[7]Database DP'!$C:$C,'[7]Database DP'!$F:$F,"Tidak Ditemukan")</f>
        <v>SUPRIYADI</v>
      </c>
      <c r="G745" s="21"/>
    </row>
    <row r="746" spans="2:7">
      <c r="B746" s="22" t="s">
        <v>668</v>
      </c>
      <c r="C746" s="23" t="s">
        <v>669</v>
      </c>
      <c r="D746" s="24" t="s">
        <v>783</v>
      </c>
      <c r="E746" s="25" t="s">
        <v>1722</v>
      </c>
      <c r="F746" s="16" t="str">
        <f>_xlfn.XLOOKUP(D746,'[7]Database DP'!$C:$C,'[7]Database DP'!$F:$F,"Tidak Ditemukan")</f>
        <v>SUPRIYADI</v>
      </c>
      <c r="G746" s="21"/>
    </row>
    <row r="747" spans="2:7">
      <c r="B747" s="22" t="s">
        <v>668</v>
      </c>
      <c r="C747" s="23" t="s">
        <v>669</v>
      </c>
      <c r="D747" s="24" t="s">
        <v>784</v>
      </c>
      <c r="E747" s="25" t="s">
        <v>1722</v>
      </c>
      <c r="F747" s="16" t="str">
        <f>_xlfn.XLOOKUP(D747,'[7]Database DP'!$C:$C,'[7]Database DP'!$F:$F,"Tidak Ditemukan")</f>
        <v>SUPRIYADI</v>
      </c>
      <c r="G747" s="21"/>
    </row>
    <row r="748" spans="2:7">
      <c r="B748" s="22" t="s">
        <v>668</v>
      </c>
      <c r="C748" s="23" t="s">
        <v>669</v>
      </c>
      <c r="D748" s="24" t="s">
        <v>785</v>
      </c>
      <c r="E748" s="25" t="s">
        <v>1722</v>
      </c>
      <c r="F748" s="16" t="str">
        <f>_xlfn.XLOOKUP(D748,'[7]Database DP'!$C:$C,'[7]Database DP'!$F:$F,"Tidak Ditemukan")</f>
        <v>SUPRIYADI</v>
      </c>
      <c r="G748" s="21"/>
    </row>
    <row r="749" spans="2:7">
      <c r="B749" s="22" t="s">
        <v>668</v>
      </c>
      <c r="C749" s="23" t="s">
        <v>669</v>
      </c>
      <c r="D749" s="24" t="s">
        <v>786</v>
      </c>
      <c r="E749" s="25" t="s">
        <v>1722</v>
      </c>
      <c r="F749" s="16" t="str">
        <f>_xlfn.XLOOKUP(D749,'[7]Database DP'!$C:$C,'[7]Database DP'!$F:$F,"Tidak Ditemukan")</f>
        <v>SUPRIYADI</v>
      </c>
      <c r="G749" s="21"/>
    </row>
    <row r="750" spans="2:7">
      <c r="B750" s="22" t="s">
        <v>668</v>
      </c>
      <c r="C750" s="23" t="s">
        <v>669</v>
      </c>
      <c r="D750" s="24" t="s">
        <v>787</v>
      </c>
      <c r="E750" s="25" t="s">
        <v>1722</v>
      </c>
      <c r="F750" s="16" t="str">
        <f>_xlfn.XLOOKUP(D750,'[7]Database DP'!$C:$C,'[7]Database DP'!$F:$F,"Tidak Ditemukan")</f>
        <v>OKI</v>
      </c>
      <c r="G750" s="21"/>
    </row>
    <row r="751" spans="2:7">
      <c r="B751" s="22" t="s">
        <v>668</v>
      </c>
      <c r="C751" s="23" t="s">
        <v>669</v>
      </c>
      <c r="D751" s="24" t="s">
        <v>788</v>
      </c>
      <c r="E751" s="25" t="s">
        <v>1722</v>
      </c>
      <c r="F751" s="16" t="str">
        <f>_xlfn.XLOOKUP(D751,'[7]Database DP'!$C:$C,'[7]Database DP'!$F:$F,"Tidak Ditemukan")</f>
        <v>OKI</v>
      </c>
      <c r="G751" s="21"/>
    </row>
    <row r="752" spans="2:7">
      <c r="B752" s="22" t="s">
        <v>668</v>
      </c>
      <c r="C752" s="23" t="s">
        <v>669</v>
      </c>
      <c r="D752" s="24" t="s">
        <v>789</v>
      </c>
      <c r="E752" s="25" t="s">
        <v>1722</v>
      </c>
      <c r="F752" s="16" t="str">
        <f>_xlfn.XLOOKUP(D752,'[7]Database DP'!$C:$C,'[7]Database DP'!$F:$F,"Tidak Ditemukan")</f>
        <v>OKI</v>
      </c>
      <c r="G752" s="21"/>
    </row>
    <row r="753" spans="2:7">
      <c r="B753" s="22" t="s">
        <v>668</v>
      </c>
      <c r="C753" s="23" t="s">
        <v>669</v>
      </c>
      <c r="D753" s="24" t="s">
        <v>790</v>
      </c>
      <c r="E753" s="25" t="s">
        <v>1722</v>
      </c>
      <c r="F753" s="16" t="str">
        <f>_xlfn.XLOOKUP(D753,'[7]Database DP'!$C:$C,'[7]Database DP'!$F:$F,"Tidak Ditemukan")</f>
        <v>OKI</v>
      </c>
      <c r="G753" s="21"/>
    </row>
    <row r="754" spans="2:7">
      <c r="B754" s="22" t="s">
        <v>668</v>
      </c>
      <c r="C754" s="23" t="s">
        <v>669</v>
      </c>
      <c r="D754" s="24" t="s">
        <v>791</v>
      </c>
      <c r="E754" s="25" t="s">
        <v>1722</v>
      </c>
      <c r="F754" s="16" t="str">
        <f>_xlfn.XLOOKUP(D754,'[7]Database DP'!$C:$C,'[7]Database DP'!$F:$F,"Tidak Ditemukan")</f>
        <v>OKI</v>
      </c>
      <c r="G754" s="21"/>
    </row>
    <row r="755" spans="2:7">
      <c r="B755" s="22" t="s">
        <v>668</v>
      </c>
      <c r="C755" s="23" t="s">
        <v>669</v>
      </c>
      <c r="D755" s="24" t="s">
        <v>792</v>
      </c>
      <c r="E755" s="25" t="s">
        <v>1722</v>
      </c>
      <c r="F755" s="16" t="str">
        <f>_xlfn.XLOOKUP(D755,'[7]Database DP'!$C:$C,'[7]Database DP'!$F:$F,"Tidak Ditemukan")</f>
        <v>OKI</v>
      </c>
      <c r="G755" s="21"/>
    </row>
    <row r="756" spans="2:7">
      <c r="B756" s="22" t="s">
        <v>668</v>
      </c>
      <c r="C756" s="23" t="s">
        <v>669</v>
      </c>
      <c r="D756" s="24" t="s">
        <v>793</v>
      </c>
      <c r="E756" s="25" t="s">
        <v>1722</v>
      </c>
      <c r="F756" s="16" t="str">
        <f>_xlfn.XLOOKUP(D756,'[7]Database DP'!$C:$C,'[7]Database DP'!$F:$F,"Tidak Ditemukan")</f>
        <v>OKI</v>
      </c>
      <c r="G756" s="21"/>
    </row>
    <row r="757" spans="2:7">
      <c r="B757" s="22" t="s">
        <v>668</v>
      </c>
      <c r="C757" s="23" t="s">
        <v>669</v>
      </c>
      <c r="D757" s="24" t="s">
        <v>794</v>
      </c>
      <c r="E757" s="25" t="s">
        <v>1722</v>
      </c>
      <c r="F757" s="16" t="str">
        <f>_xlfn.XLOOKUP(D757,'[7]Database DP'!$C:$C,'[7]Database DP'!$F:$F,"Tidak Ditemukan")</f>
        <v>OKI</v>
      </c>
      <c r="G757" s="21"/>
    </row>
    <row r="758" spans="2:7">
      <c r="B758" s="22" t="s">
        <v>668</v>
      </c>
      <c r="C758" s="23" t="s">
        <v>669</v>
      </c>
      <c r="D758" s="24" t="s">
        <v>795</v>
      </c>
      <c r="E758" s="25" t="s">
        <v>1722</v>
      </c>
      <c r="F758" s="16" t="str">
        <f>_xlfn.XLOOKUP(D758,'[7]Database DP'!$C:$C,'[7]Database DP'!$F:$F,"Tidak Ditemukan")</f>
        <v>OKI</v>
      </c>
      <c r="G758" s="21"/>
    </row>
    <row r="759" spans="2:7">
      <c r="B759" s="22" t="s">
        <v>668</v>
      </c>
      <c r="C759" s="23" t="s">
        <v>669</v>
      </c>
      <c r="D759" s="24" t="s">
        <v>796</v>
      </c>
      <c r="E759" s="25" t="s">
        <v>1722</v>
      </c>
      <c r="F759" s="16" t="str">
        <f>_xlfn.XLOOKUP(D759,'[7]Database DP'!$C:$C,'[7]Database DP'!$F:$F,"Tidak Ditemukan")</f>
        <v>RAGIL</v>
      </c>
      <c r="G759" s="21"/>
    </row>
    <row r="760" spans="2:7">
      <c r="B760" s="22" t="s">
        <v>668</v>
      </c>
      <c r="C760" s="23" t="s">
        <v>669</v>
      </c>
      <c r="D760" s="24" t="s">
        <v>797</v>
      </c>
      <c r="E760" s="25" t="s">
        <v>1722</v>
      </c>
      <c r="F760" s="16" t="str">
        <f>_xlfn.XLOOKUP(D760,'[7]Database DP'!$C:$C,'[7]Database DP'!$F:$F,"Tidak Ditemukan")</f>
        <v>RAGIL</v>
      </c>
      <c r="G760" s="21"/>
    </row>
    <row r="761" spans="2:7">
      <c r="B761" s="22" t="s">
        <v>668</v>
      </c>
      <c r="C761" s="23" t="s">
        <v>669</v>
      </c>
      <c r="D761" s="24" t="s">
        <v>798</v>
      </c>
      <c r="E761" s="25" t="s">
        <v>1722</v>
      </c>
      <c r="F761" s="16" t="str">
        <f>_xlfn.XLOOKUP(D761,'[7]Database DP'!$C:$C,'[7]Database DP'!$F:$F,"Tidak Ditemukan")</f>
        <v>RAGIL</v>
      </c>
      <c r="G761" s="21"/>
    </row>
    <row r="762" spans="2:7">
      <c r="B762" s="22" t="s">
        <v>668</v>
      </c>
      <c r="C762" s="23" t="s">
        <v>669</v>
      </c>
      <c r="D762" s="24" t="s">
        <v>799</v>
      </c>
      <c r="E762" s="25" t="s">
        <v>1722</v>
      </c>
      <c r="F762" s="16" t="str">
        <f>_xlfn.XLOOKUP(D762,'[7]Database DP'!$C:$C,'[7]Database DP'!$F:$F,"Tidak Ditemukan")</f>
        <v>RAGIL</v>
      </c>
      <c r="G762" s="21"/>
    </row>
    <row r="763" spans="2:7">
      <c r="B763" s="22" t="s">
        <v>668</v>
      </c>
      <c r="C763" s="23" t="s">
        <v>669</v>
      </c>
      <c r="D763" s="24" t="s">
        <v>800</v>
      </c>
      <c r="E763" s="25" t="s">
        <v>1722</v>
      </c>
      <c r="F763" s="16" t="str">
        <f>_xlfn.XLOOKUP(D763,'[7]Database DP'!$C:$C,'[7]Database DP'!$F:$F,"Tidak Ditemukan")</f>
        <v>RAGIL</v>
      </c>
      <c r="G763" s="21"/>
    </row>
    <row r="764" spans="2:7">
      <c r="B764" s="22" t="s">
        <v>668</v>
      </c>
      <c r="C764" s="23" t="s">
        <v>669</v>
      </c>
      <c r="D764" s="24" t="s">
        <v>801</v>
      </c>
      <c r="E764" s="25" t="s">
        <v>1722</v>
      </c>
      <c r="F764" s="16" t="str">
        <f>_xlfn.XLOOKUP(D764,'[7]Database DP'!$C:$C,'[7]Database DP'!$F:$F,"Tidak Ditemukan")</f>
        <v>RAGIL</v>
      </c>
      <c r="G764" s="21"/>
    </row>
    <row r="765" spans="2:7">
      <c r="B765" s="22" t="s">
        <v>668</v>
      </c>
      <c r="C765" s="23" t="s">
        <v>669</v>
      </c>
      <c r="D765" s="24" t="s">
        <v>802</v>
      </c>
      <c r="E765" s="25" t="s">
        <v>1722</v>
      </c>
      <c r="F765" s="16" t="str">
        <f>_xlfn.XLOOKUP(D765,'[7]Database DP'!$C:$C,'[7]Database DP'!$F:$F,"Tidak Ditemukan")</f>
        <v>RAGIL</v>
      </c>
      <c r="G765" s="21"/>
    </row>
    <row r="766" spans="2:7">
      <c r="B766" s="22" t="s">
        <v>668</v>
      </c>
      <c r="C766" s="23" t="s">
        <v>669</v>
      </c>
      <c r="D766" s="24" t="s">
        <v>803</v>
      </c>
      <c r="E766" s="25" t="s">
        <v>1722</v>
      </c>
      <c r="F766" s="16" t="str">
        <f>_xlfn.XLOOKUP(D766,'[7]Database DP'!$C:$C,'[7]Database DP'!$F:$F,"Tidak Ditemukan")</f>
        <v>RAGIL</v>
      </c>
      <c r="G766" s="21"/>
    </row>
    <row r="767" spans="2:7">
      <c r="B767" s="22" t="s">
        <v>668</v>
      </c>
      <c r="C767" s="23" t="s">
        <v>669</v>
      </c>
      <c r="D767" s="24" t="s">
        <v>804</v>
      </c>
      <c r="E767" s="25" t="s">
        <v>1722</v>
      </c>
      <c r="F767" s="16" t="str">
        <f>_xlfn.XLOOKUP(D767,'[7]Database DP'!$C:$C,'[7]Database DP'!$F:$F,"Tidak Ditemukan")</f>
        <v>RAGIL</v>
      </c>
      <c r="G767" s="21"/>
    </row>
    <row r="768" spans="2:7">
      <c r="B768" s="22" t="s">
        <v>668</v>
      </c>
      <c r="C768" s="23" t="s">
        <v>669</v>
      </c>
      <c r="D768" s="24" t="s">
        <v>805</v>
      </c>
      <c r="E768" s="25" t="s">
        <v>1722</v>
      </c>
      <c r="F768" s="16" t="str">
        <f>_xlfn.XLOOKUP(D768,'[7]Database DP'!$C:$C,'[7]Database DP'!$F:$F,"Tidak Ditemukan")</f>
        <v>RAGIL</v>
      </c>
      <c r="G768" s="21"/>
    </row>
    <row r="769" spans="2:7">
      <c r="B769" s="22" t="s">
        <v>668</v>
      </c>
      <c r="C769" s="23" t="s">
        <v>669</v>
      </c>
      <c r="D769" s="24" t="s">
        <v>806</v>
      </c>
      <c r="E769" s="25" t="s">
        <v>1722</v>
      </c>
      <c r="F769" s="16" t="str">
        <f>_xlfn.XLOOKUP(D769,'[7]Database DP'!$C:$C,'[7]Database DP'!$F:$F,"Tidak Ditemukan")</f>
        <v>RAGIL</v>
      </c>
      <c r="G769" s="21"/>
    </row>
    <row r="770" spans="2:7">
      <c r="B770" s="22" t="s">
        <v>668</v>
      </c>
      <c r="C770" s="23" t="s">
        <v>669</v>
      </c>
      <c r="D770" s="24" t="s">
        <v>807</v>
      </c>
      <c r="E770" s="25" t="s">
        <v>1722</v>
      </c>
      <c r="F770" s="16" t="str">
        <f>_xlfn.XLOOKUP(D770,'[7]Database DP'!$C:$C,'[7]Database DP'!$F:$F,"Tidak Ditemukan")</f>
        <v>RAGIL</v>
      </c>
      <c r="G770" s="21"/>
    </row>
    <row r="771" spans="2:7">
      <c r="B771" s="22" t="s">
        <v>668</v>
      </c>
      <c r="C771" s="23" t="s">
        <v>669</v>
      </c>
      <c r="D771" s="24" t="s">
        <v>808</v>
      </c>
      <c r="E771" s="25" t="s">
        <v>1722</v>
      </c>
      <c r="F771" s="16" t="str">
        <f>_xlfn.XLOOKUP(D771,'[7]Database DP'!$C:$C,'[7]Database DP'!$F:$F,"Tidak Ditemukan")</f>
        <v>RENDRA</v>
      </c>
      <c r="G771" s="21"/>
    </row>
    <row r="772" spans="2:7">
      <c r="B772" s="22" t="s">
        <v>668</v>
      </c>
      <c r="C772" s="23" t="s">
        <v>669</v>
      </c>
      <c r="D772" s="24" t="s">
        <v>809</v>
      </c>
      <c r="E772" s="25" t="s">
        <v>1722</v>
      </c>
      <c r="F772" s="16" t="str">
        <f>_xlfn.XLOOKUP(D772,'[7]Database DP'!$C:$C,'[7]Database DP'!$F:$F,"Tidak Ditemukan")</f>
        <v>RENDRA</v>
      </c>
      <c r="G772" s="21"/>
    </row>
    <row r="773" spans="2:7">
      <c r="B773" s="22" t="s">
        <v>668</v>
      </c>
      <c r="C773" s="23" t="s">
        <v>669</v>
      </c>
      <c r="D773" s="24" t="s">
        <v>810</v>
      </c>
      <c r="E773" s="25" t="s">
        <v>1722</v>
      </c>
      <c r="F773" s="16" t="str">
        <f>_xlfn.XLOOKUP(D773,'[7]Database DP'!$C:$C,'[7]Database DP'!$F:$F,"Tidak Ditemukan")</f>
        <v>RENDRA</v>
      </c>
      <c r="G773" s="21"/>
    </row>
    <row r="774" spans="2:7">
      <c r="B774" s="22" t="s">
        <v>668</v>
      </c>
      <c r="C774" s="23" t="s">
        <v>669</v>
      </c>
      <c r="D774" s="24" t="s">
        <v>811</v>
      </c>
      <c r="E774" s="25" t="s">
        <v>1722</v>
      </c>
      <c r="F774" s="16" t="str">
        <f>_xlfn.XLOOKUP(D774,'[7]Database DP'!$C:$C,'[7]Database DP'!$F:$F,"Tidak Ditemukan")</f>
        <v>RENDRA</v>
      </c>
      <c r="G774" s="21"/>
    </row>
    <row r="775" spans="2:7">
      <c r="B775" s="22" t="s">
        <v>668</v>
      </c>
      <c r="C775" s="23" t="s">
        <v>669</v>
      </c>
      <c r="D775" s="24" t="s">
        <v>812</v>
      </c>
      <c r="E775" s="25" t="s">
        <v>1722</v>
      </c>
      <c r="F775" s="16" t="str">
        <f>_xlfn.XLOOKUP(D775,'[7]Database DP'!$C:$C,'[7]Database DP'!$F:$F,"Tidak Ditemukan")</f>
        <v>RENDRA</v>
      </c>
      <c r="G775" s="21"/>
    </row>
    <row r="776" spans="2:7">
      <c r="B776" s="22" t="s">
        <v>668</v>
      </c>
      <c r="C776" s="23" t="s">
        <v>669</v>
      </c>
      <c r="D776" s="24" t="s">
        <v>813</v>
      </c>
      <c r="E776" s="25" t="s">
        <v>1722</v>
      </c>
      <c r="F776" s="16" t="str">
        <f>_xlfn.XLOOKUP(D776,'[7]Database DP'!$C:$C,'[7]Database DP'!$F:$F,"Tidak Ditemukan")</f>
        <v>RENDRA</v>
      </c>
      <c r="G776" s="21"/>
    </row>
    <row r="777" spans="2:7">
      <c r="B777" s="22" t="s">
        <v>668</v>
      </c>
      <c r="C777" s="23" t="s">
        <v>669</v>
      </c>
      <c r="D777" s="24" t="s">
        <v>814</v>
      </c>
      <c r="E777" s="25" t="s">
        <v>1722</v>
      </c>
      <c r="F777" s="16" t="str">
        <f>_xlfn.XLOOKUP(D777,'[7]Database DP'!$C:$C,'[7]Database DP'!$F:$F,"Tidak Ditemukan")</f>
        <v>RENDRA</v>
      </c>
      <c r="G777" s="21"/>
    </row>
    <row r="778" spans="2:7">
      <c r="B778" s="22" t="s">
        <v>668</v>
      </c>
      <c r="C778" s="23" t="s">
        <v>669</v>
      </c>
      <c r="D778" s="24" t="s">
        <v>815</v>
      </c>
      <c r="E778" s="25" t="s">
        <v>1722</v>
      </c>
      <c r="F778" s="16" t="str">
        <f>_xlfn.XLOOKUP(D778,'[7]Database DP'!$C:$C,'[7]Database DP'!$F:$F,"Tidak Ditemukan")</f>
        <v>RENDRA</v>
      </c>
      <c r="G778" s="21"/>
    </row>
    <row r="779" spans="2:7">
      <c r="B779" s="22" t="s">
        <v>668</v>
      </c>
      <c r="C779" s="23" t="s">
        <v>669</v>
      </c>
      <c r="D779" s="24" t="s">
        <v>816</v>
      </c>
      <c r="E779" s="25" t="s">
        <v>1722</v>
      </c>
      <c r="F779" s="16" t="str">
        <f>_xlfn.XLOOKUP(D779,'[7]Database DP'!$C:$C,'[7]Database DP'!$F:$F,"Tidak Ditemukan")</f>
        <v>RENDRA</v>
      </c>
      <c r="G779" s="21"/>
    </row>
    <row r="780" spans="2:7">
      <c r="B780" s="22" t="s">
        <v>668</v>
      </c>
      <c r="C780" s="23" t="s">
        <v>669</v>
      </c>
      <c r="D780" s="24" t="s">
        <v>817</v>
      </c>
      <c r="E780" s="25" t="s">
        <v>1722</v>
      </c>
      <c r="F780" s="16" t="str">
        <f>_xlfn.XLOOKUP(D780,'[7]Database DP'!$C:$C,'[7]Database DP'!$F:$F,"Tidak Ditemukan")</f>
        <v>RENDRA</v>
      </c>
      <c r="G780" s="21"/>
    </row>
    <row r="781" spans="2:7">
      <c r="B781" s="22" t="s">
        <v>668</v>
      </c>
      <c r="C781" s="23" t="s">
        <v>669</v>
      </c>
      <c r="D781" s="24" t="s">
        <v>818</v>
      </c>
      <c r="E781" s="25" t="s">
        <v>1722</v>
      </c>
      <c r="F781" s="16" t="str">
        <f>_xlfn.XLOOKUP(D781,'[7]Database DP'!$C:$C,'[7]Database DP'!$F:$F,"Tidak Ditemukan")</f>
        <v>RENDRA</v>
      </c>
      <c r="G781" s="21"/>
    </row>
    <row r="782" spans="2:7">
      <c r="B782" s="22" t="s">
        <v>668</v>
      </c>
      <c r="C782" s="23" t="s">
        <v>669</v>
      </c>
      <c r="D782" s="24" t="s">
        <v>819</v>
      </c>
      <c r="E782" s="25" t="s">
        <v>1722</v>
      </c>
      <c r="F782" s="16" t="str">
        <f>_xlfn.XLOOKUP(D782,'[7]Database DP'!$C:$C,'[7]Database DP'!$F:$F,"Tidak Ditemukan")</f>
        <v>RENDRA</v>
      </c>
      <c r="G782" s="21"/>
    </row>
    <row r="783" spans="2:7">
      <c r="B783" s="22" t="s">
        <v>668</v>
      </c>
      <c r="C783" s="23" t="s">
        <v>669</v>
      </c>
      <c r="D783" s="24" t="s">
        <v>820</v>
      </c>
      <c r="E783" s="25" t="s">
        <v>1722</v>
      </c>
      <c r="F783" s="16" t="str">
        <f>_xlfn.XLOOKUP(D783,'[7]Database DP'!$C:$C,'[7]Database DP'!$F:$F,"Tidak Ditemukan")</f>
        <v>RENDRA</v>
      </c>
      <c r="G783" s="21"/>
    </row>
    <row r="784" spans="2:7">
      <c r="B784" s="22" t="s">
        <v>668</v>
      </c>
      <c r="C784" s="23" t="s">
        <v>669</v>
      </c>
      <c r="D784" s="24" t="s">
        <v>821</v>
      </c>
      <c r="E784" s="25" t="s">
        <v>1722</v>
      </c>
      <c r="F784" s="16" t="str">
        <f>_xlfn.XLOOKUP(D784,'[7]Database DP'!$C:$C,'[7]Database DP'!$F:$F,"Tidak Ditemukan")</f>
        <v>RENDRA</v>
      </c>
      <c r="G784" s="21"/>
    </row>
    <row r="785" spans="2:7">
      <c r="B785" s="22" t="s">
        <v>668</v>
      </c>
      <c r="C785" s="23" t="s">
        <v>669</v>
      </c>
      <c r="D785" s="24" t="s">
        <v>822</v>
      </c>
      <c r="E785" s="25" t="s">
        <v>1722</v>
      </c>
      <c r="F785" s="16" t="str">
        <f>_xlfn.XLOOKUP(D785,'[7]Database DP'!$C:$C,'[7]Database DP'!$F:$F,"Tidak Ditemukan")</f>
        <v>RENDRA</v>
      </c>
      <c r="G785" s="21"/>
    </row>
    <row r="786" spans="2:7">
      <c r="B786" s="22" t="s">
        <v>668</v>
      </c>
      <c r="C786" s="23" t="s">
        <v>669</v>
      </c>
      <c r="D786" s="24" t="s">
        <v>823</v>
      </c>
      <c r="E786" s="25" t="s">
        <v>1722</v>
      </c>
      <c r="F786" s="16" t="str">
        <f>_xlfn.XLOOKUP(D786,'[7]Database DP'!$C:$C,'[7]Database DP'!$F:$F,"Tidak Ditemukan")</f>
        <v>RENDRA</v>
      </c>
      <c r="G786" s="21"/>
    </row>
    <row r="787" spans="2:7">
      <c r="B787" s="22" t="s">
        <v>668</v>
      </c>
      <c r="C787" s="23" t="s">
        <v>669</v>
      </c>
      <c r="D787" s="24" t="s">
        <v>824</v>
      </c>
      <c r="E787" s="25" t="s">
        <v>1722</v>
      </c>
      <c r="F787" s="16" t="str">
        <f>_xlfn.XLOOKUP(D787,'[7]Database DP'!$C:$C,'[7]Database DP'!$F:$F,"Tidak Ditemukan")</f>
        <v>RENDRA</v>
      </c>
      <c r="G787" s="21"/>
    </row>
    <row r="788" spans="2:7">
      <c r="B788" s="22" t="s">
        <v>668</v>
      </c>
      <c r="C788" s="23" t="s">
        <v>669</v>
      </c>
      <c r="D788" s="24" t="s">
        <v>825</v>
      </c>
      <c r="E788" s="25" t="s">
        <v>1722</v>
      </c>
      <c r="F788" s="16" t="str">
        <f>_xlfn.XLOOKUP(D788,'[7]Database DP'!$C:$C,'[7]Database DP'!$F:$F,"Tidak Ditemukan")</f>
        <v>RENDRA</v>
      </c>
      <c r="G788" s="21"/>
    </row>
    <row r="789" spans="2:7">
      <c r="B789" s="22" t="s">
        <v>668</v>
      </c>
      <c r="C789" s="23" t="s">
        <v>669</v>
      </c>
      <c r="D789" s="24" t="s">
        <v>826</v>
      </c>
      <c r="E789" s="25" t="s">
        <v>1722</v>
      </c>
      <c r="F789" s="16" t="str">
        <f>_xlfn.XLOOKUP(D789,'[7]Database DP'!$C:$C,'[7]Database DP'!$F:$F,"Tidak Ditemukan")</f>
        <v>ARIF WIBOWO</v>
      </c>
      <c r="G789" s="21"/>
    </row>
    <row r="790" spans="2:7">
      <c r="B790" s="22" t="s">
        <v>668</v>
      </c>
      <c r="C790" s="23" t="s">
        <v>669</v>
      </c>
      <c r="D790" s="24" t="s">
        <v>827</v>
      </c>
      <c r="E790" s="25" t="s">
        <v>1722</v>
      </c>
      <c r="F790" s="16" t="str">
        <f>_xlfn.XLOOKUP(D790,'[7]Database DP'!$C:$C,'[7]Database DP'!$F:$F,"Tidak Ditemukan")</f>
        <v>ARIF WIBOWO</v>
      </c>
      <c r="G790" s="21"/>
    </row>
    <row r="791" spans="2:7">
      <c r="B791" s="22" t="s">
        <v>668</v>
      </c>
      <c r="C791" s="23" t="s">
        <v>669</v>
      </c>
      <c r="D791" s="24" t="s">
        <v>828</v>
      </c>
      <c r="E791" s="25" t="s">
        <v>1722</v>
      </c>
      <c r="F791" s="16" t="str">
        <f>_xlfn.XLOOKUP(D791,'[7]Database DP'!$C:$C,'[7]Database DP'!$F:$F,"Tidak Ditemukan")</f>
        <v>ARIF WIBOWO</v>
      </c>
      <c r="G791" s="21"/>
    </row>
    <row r="792" spans="2:7">
      <c r="B792" s="22" t="s">
        <v>668</v>
      </c>
      <c r="C792" s="23" t="s">
        <v>669</v>
      </c>
      <c r="D792" s="24" t="s">
        <v>829</v>
      </c>
      <c r="E792" s="25" t="s">
        <v>1722</v>
      </c>
      <c r="F792" s="16" t="str">
        <f>_xlfn.XLOOKUP(D792,'[7]Database DP'!$C:$C,'[7]Database DP'!$F:$F,"Tidak Ditemukan")</f>
        <v>ARIF WIBOWO</v>
      </c>
      <c r="G792" s="21"/>
    </row>
    <row r="793" spans="2:7">
      <c r="B793" s="22" t="s">
        <v>668</v>
      </c>
      <c r="C793" s="23" t="s">
        <v>669</v>
      </c>
      <c r="D793" s="24" t="s">
        <v>830</v>
      </c>
      <c r="E793" s="25" t="s">
        <v>1722</v>
      </c>
      <c r="F793" s="16" t="str">
        <f>_xlfn.XLOOKUP(D793,'[7]Database DP'!$C:$C,'[7]Database DP'!$F:$F,"Tidak Ditemukan")</f>
        <v>ARIF WIBOWO</v>
      </c>
      <c r="G793" s="21"/>
    </row>
    <row r="794" spans="2:7">
      <c r="B794" s="22" t="s">
        <v>668</v>
      </c>
      <c r="C794" s="23" t="s">
        <v>669</v>
      </c>
      <c r="D794" s="24" t="s">
        <v>831</v>
      </c>
      <c r="E794" s="25" t="s">
        <v>1722</v>
      </c>
      <c r="F794" s="16" t="str">
        <f>_xlfn.XLOOKUP(D794,'[7]Database DP'!$C:$C,'[7]Database DP'!$F:$F,"Tidak Ditemukan")</f>
        <v>ARIF WIBOWO</v>
      </c>
      <c r="G794" s="21"/>
    </row>
    <row r="795" spans="2:7">
      <c r="B795" s="22" t="s">
        <v>668</v>
      </c>
      <c r="C795" s="23" t="s">
        <v>669</v>
      </c>
      <c r="D795" s="24" t="s">
        <v>832</v>
      </c>
      <c r="E795" s="25" t="s">
        <v>1722</v>
      </c>
      <c r="F795" s="16" t="str">
        <f>_xlfn.XLOOKUP(D795,'[7]Database DP'!$C:$C,'[7]Database DP'!$F:$F,"Tidak Ditemukan")</f>
        <v>ARIF WIBOWO</v>
      </c>
      <c r="G795" s="21"/>
    </row>
    <row r="796" spans="2:7">
      <c r="B796" s="22" t="s">
        <v>668</v>
      </c>
      <c r="C796" s="23" t="s">
        <v>669</v>
      </c>
      <c r="D796" s="24" t="s">
        <v>833</v>
      </c>
      <c r="E796" s="25" t="s">
        <v>1722</v>
      </c>
      <c r="F796" s="16" t="str">
        <f>_xlfn.XLOOKUP(D796,'[7]Database DP'!$C:$C,'[7]Database DP'!$F:$F,"Tidak Ditemukan")</f>
        <v>ARIF WIBOWO</v>
      </c>
      <c r="G796" s="21"/>
    </row>
    <row r="797" spans="2:7">
      <c r="B797" s="22" t="s">
        <v>668</v>
      </c>
      <c r="C797" s="23" t="s">
        <v>669</v>
      </c>
      <c r="D797" s="24" t="s">
        <v>834</v>
      </c>
      <c r="E797" s="25" t="s">
        <v>1722</v>
      </c>
      <c r="F797" s="16" t="str">
        <f>_xlfn.XLOOKUP(D797,'[7]Database DP'!$C:$C,'[7]Database DP'!$F:$F,"Tidak Ditemukan")</f>
        <v>ARIF WIBOWO</v>
      </c>
      <c r="G797" s="21"/>
    </row>
    <row r="798" spans="2:7">
      <c r="B798" s="22" t="s">
        <v>668</v>
      </c>
      <c r="C798" s="23" t="s">
        <v>669</v>
      </c>
      <c r="D798" s="24" t="s">
        <v>835</v>
      </c>
      <c r="E798" s="25" t="s">
        <v>1722</v>
      </c>
      <c r="F798" s="16" t="str">
        <f>_xlfn.XLOOKUP(D798,'[7]Database DP'!$C:$C,'[7]Database DP'!$F:$F,"Tidak Ditemukan")</f>
        <v>RONY</v>
      </c>
      <c r="G798" s="21"/>
    </row>
    <row r="799" spans="2:7">
      <c r="B799" s="22" t="s">
        <v>668</v>
      </c>
      <c r="C799" s="23" t="s">
        <v>669</v>
      </c>
      <c r="D799" s="24" t="s">
        <v>836</v>
      </c>
      <c r="E799" s="25" t="s">
        <v>1722</v>
      </c>
      <c r="F799" s="16" t="str">
        <f>_xlfn.XLOOKUP(D799,'[7]Database DP'!$C:$C,'[7]Database DP'!$F:$F,"Tidak Ditemukan")</f>
        <v>RONY</v>
      </c>
      <c r="G799" s="21"/>
    </row>
    <row r="800" spans="2:7">
      <c r="B800" s="22" t="s">
        <v>668</v>
      </c>
      <c r="C800" s="23" t="s">
        <v>669</v>
      </c>
      <c r="D800" s="24" t="s">
        <v>837</v>
      </c>
      <c r="E800" s="25" t="s">
        <v>1722</v>
      </c>
      <c r="F800" s="16" t="str">
        <f>_xlfn.XLOOKUP(D800,'[7]Database DP'!$C:$C,'[7]Database DP'!$F:$F,"Tidak Ditemukan")</f>
        <v>RONY</v>
      </c>
      <c r="G800" s="21"/>
    </row>
    <row r="801" spans="2:7">
      <c r="B801" s="22" t="s">
        <v>668</v>
      </c>
      <c r="C801" s="23" t="s">
        <v>669</v>
      </c>
      <c r="D801" s="24" t="s">
        <v>838</v>
      </c>
      <c r="E801" s="25" t="s">
        <v>1722</v>
      </c>
      <c r="F801" s="16" t="str">
        <f>_xlfn.XLOOKUP(D801,'[7]Database DP'!$C:$C,'[7]Database DP'!$F:$F,"Tidak Ditemukan")</f>
        <v>RONY</v>
      </c>
      <c r="G801" s="21"/>
    </row>
    <row r="802" spans="2:7">
      <c r="B802" s="22" t="s">
        <v>668</v>
      </c>
      <c r="C802" s="23" t="s">
        <v>669</v>
      </c>
      <c r="D802" s="24" t="s">
        <v>839</v>
      </c>
      <c r="E802" s="25" t="s">
        <v>1722</v>
      </c>
      <c r="F802" s="16" t="str">
        <f>_xlfn.XLOOKUP(D802,'[7]Database DP'!$C:$C,'[7]Database DP'!$F:$F,"Tidak Ditemukan")</f>
        <v>RONY</v>
      </c>
      <c r="G802" s="21"/>
    </row>
    <row r="803" spans="2:7">
      <c r="B803" s="22" t="s">
        <v>668</v>
      </c>
      <c r="C803" s="23" t="s">
        <v>669</v>
      </c>
      <c r="D803" s="24" t="s">
        <v>840</v>
      </c>
      <c r="E803" s="25" t="s">
        <v>1745</v>
      </c>
      <c r="F803" s="16" t="str">
        <f>_xlfn.XLOOKUP(D803,'[7]Database DP'!$C:$C,'[7]Database DP'!$F:$F,"Tidak Ditemukan")</f>
        <v>RONY</v>
      </c>
      <c r="G803" s="21"/>
    </row>
    <row r="804" spans="2:7">
      <c r="B804" s="22" t="s">
        <v>668</v>
      </c>
      <c r="C804" s="23" t="s">
        <v>669</v>
      </c>
      <c r="D804" s="24" t="s">
        <v>841</v>
      </c>
      <c r="E804" s="25" t="s">
        <v>1745</v>
      </c>
      <c r="F804" s="16" t="str">
        <f>_xlfn.XLOOKUP(D804,'[7]Database DP'!$C:$C,'[7]Database DP'!$F:$F,"Tidak Ditemukan")</f>
        <v>RONY</v>
      </c>
      <c r="G804" s="21"/>
    </row>
    <row r="805" spans="2:7">
      <c r="B805" s="22" t="s">
        <v>668</v>
      </c>
      <c r="C805" s="23" t="s">
        <v>669</v>
      </c>
      <c r="D805" s="24" t="s">
        <v>842</v>
      </c>
      <c r="E805" s="25" t="s">
        <v>1745</v>
      </c>
      <c r="F805" s="16" t="str">
        <f>_xlfn.XLOOKUP(D805,'[7]Database DP'!$C:$C,'[7]Database DP'!$F:$F,"Tidak Ditemukan")</f>
        <v>RONY</v>
      </c>
      <c r="G805" s="21"/>
    </row>
    <row r="806" spans="2:7">
      <c r="B806" s="22" t="s">
        <v>668</v>
      </c>
      <c r="C806" s="23" t="s">
        <v>669</v>
      </c>
      <c r="D806" s="24" t="s">
        <v>843</v>
      </c>
      <c r="E806" s="25" t="s">
        <v>1722</v>
      </c>
      <c r="F806" s="16" t="str">
        <f>_xlfn.XLOOKUP(D806,'[7]Database DP'!$C:$C,'[7]Database DP'!$F:$F,"Tidak Ditemukan")</f>
        <v>RONY</v>
      </c>
      <c r="G806" s="21"/>
    </row>
    <row r="807" spans="2:7">
      <c r="B807" s="22" t="s">
        <v>668</v>
      </c>
      <c r="C807" s="23" t="s">
        <v>669</v>
      </c>
      <c r="D807" s="24" t="s">
        <v>844</v>
      </c>
      <c r="E807" s="25" t="s">
        <v>1722</v>
      </c>
      <c r="F807" s="16" t="str">
        <f>_xlfn.XLOOKUP(D807,'[7]Database DP'!$C:$C,'[7]Database DP'!$F:$F,"Tidak Ditemukan")</f>
        <v>RONY</v>
      </c>
      <c r="G807" s="21"/>
    </row>
    <row r="808" spans="2:7">
      <c r="B808" s="22" t="s">
        <v>668</v>
      </c>
      <c r="C808" s="23" t="s">
        <v>669</v>
      </c>
      <c r="D808" s="24" t="s">
        <v>845</v>
      </c>
      <c r="E808" s="25" t="s">
        <v>1722</v>
      </c>
      <c r="F808" s="16" t="str">
        <f>_xlfn.XLOOKUP(D808,'[7]Database DP'!$C:$C,'[7]Database DP'!$F:$F,"Tidak Ditemukan")</f>
        <v>SULIS</v>
      </c>
      <c r="G808" s="21"/>
    </row>
    <row r="809" spans="2:7">
      <c r="B809" s="22" t="s">
        <v>668</v>
      </c>
      <c r="C809" s="23" t="s">
        <v>669</v>
      </c>
      <c r="D809" s="24" t="s">
        <v>846</v>
      </c>
      <c r="E809" s="25" t="s">
        <v>1722</v>
      </c>
      <c r="F809" s="16" t="str">
        <f>_xlfn.XLOOKUP(D809,'[7]Database DP'!$C:$C,'[7]Database DP'!$F:$F,"Tidak Ditemukan")</f>
        <v>SULIS</v>
      </c>
      <c r="G809" s="21"/>
    </row>
    <row r="810" spans="2:7">
      <c r="B810" s="22" t="s">
        <v>668</v>
      </c>
      <c r="C810" s="23" t="s">
        <v>669</v>
      </c>
      <c r="D810" s="24" t="s">
        <v>847</v>
      </c>
      <c r="E810" s="25" t="s">
        <v>1722</v>
      </c>
      <c r="F810" s="16" t="str">
        <f>_xlfn.XLOOKUP(D810,'[7]Database DP'!$C:$C,'[7]Database DP'!$F:$F,"Tidak Ditemukan")</f>
        <v>SULIS</v>
      </c>
      <c r="G810" s="21"/>
    </row>
    <row r="811" spans="2:7">
      <c r="B811" s="22" t="s">
        <v>668</v>
      </c>
      <c r="C811" s="23" t="s">
        <v>669</v>
      </c>
      <c r="D811" s="24" t="s">
        <v>848</v>
      </c>
      <c r="E811" s="25" t="s">
        <v>1722</v>
      </c>
      <c r="F811" s="16" t="str">
        <f>_xlfn.XLOOKUP(D811,'[7]Database DP'!$C:$C,'[7]Database DP'!$F:$F,"Tidak Ditemukan")</f>
        <v>SULIS</v>
      </c>
      <c r="G811" s="21"/>
    </row>
    <row r="812" spans="2:7">
      <c r="B812" s="22" t="s">
        <v>668</v>
      </c>
      <c r="C812" s="23" t="s">
        <v>669</v>
      </c>
      <c r="D812" s="24" t="s">
        <v>849</v>
      </c>
      <c r="E812" s="25" t="s">
        <v>1722</v>
      </c>
      <c r="F812" s="16" t="str">
        <f>_xlfn.XLOOKUP(D812,'[7]Database DP'!$C:$C,'[7]Database DP'!$F:$F,"Tidak Ditemukan")</f>
        <v>SULIS</v>
      </c>
      <c r="G812" s="21"/>
    </row>
    <row r="813" spans="2:7">
      <c r="B813" s="22" t="s">
        <v>668</v>
      </c>
      <c r="C813" s="23" t="s">
        <v>669</v>
      </c>
      <c r="D813" s="24" t="s">
        <v>850</v>
      </c>
      <c r="E813" s="25" t="s">
        <v>1722</v>
      </c>
      <c r="F813" s="16" t="str">
        <f>_xlfn.XLOOKUP(D813,'[7]Database DP'!$C:$C,'[7]Database DP'!$F:$F,"Tidak Ditemukan")</f>
        <v>SULIS</v>
      </c>
      <c r="G813" s="21"/>
    </row>
    <row r="814" spans="2:7">
      <c r="B814" s="22" t="s">
        <v>668</v>
      </c>
      <c r="C814" s="23" t="s">
        <v>669</v>
      </c>
      <c r="D814" s="24" t="s">
        <v>851</v>
      </c>
      <c r="E814" s="25" t="s">
        <v>1722</v>
      </c>
      <c r="F814" s="16" t="str">
        <f>_xlfn.XLOOKUP(D814,'[7]Database DP'!$C:$C,'[7]Database DP'!$F:$F,"Tidak Ditemukan")</f>
        <v>SULIS</v>
      </c>
      <c r="G814" s="21"/>
    </row>
    <row r="815" spans="2:7">
      <c r="B815" s="22" t="s">
        <v>668</v>
      </c>
      <c r="C815" s="23" t="s">
        <v>669</v>
      </c>
      <c r="D815" s="24" t="s">
        <v>852</v>
      </c>
      <c r="E815" s="25" t="s">
        <v>1722</v>
      </c>
      <c r="F815" s="16" t="str">
        <f>_xlfn.XLOOKUP(D815,'[7]Database DP'!$C:$C,'[7]Database DP'!$F:$F,"Tidak Ditemukan")</f>
        <v>SULIS</v>
      </c>
      <c r="G815" s="21"/>
    </row>
    <row r="816" spans="2:7">
      <c r="B816" s="22" t="s">
        <v>668</v>
      </c>
      <c r="C816" s="23" t="s">
        <v>669</v>
      </c>
      <c r="D816" s="24" t="s">
        <v>853</v>
      </c>
      <c r="E816" s="25" t="s">
        <v>1722</v>
      </c>
      <c r="F816" s="16" t="str">
        <f>_xlfn.XLOOKUP(D816,'[7]Database DP'!$C:$C,'[7]Database DP'!$F:$F,"Tidak Ditemukan")</f>
        <v>RIZKY</v>
      </c>
      <c r="G816" s="21"/>
    </row>
    <row r="817" spans="2:7">
      <c r="B817" s="22" t="s">
        <v>668</v>
      </c>
      <c r="C817" s="23" t="s">
        <v>669</v>
      </c>
      <c r="D817" s="24" t="s">
        <v>854</v>
      </c>
      <c r="E817" s="25" t="s">
        <v>1722</v>
      </c>
      <c r="F817" s="16" t="str">
        <f>_xlfn.XLOOKUP(D817,'[7]Database DP'!$C:$C,'[7]Database DP'!$F:$F,"Tidak Ditemukan")</f>
        <v>RIZKY</v>
      </c>
      <c r="G817" s="21"/>
    </row>
    <row r="818" spans="2:7">
      <c r="B818" s="22" t="s">
        <v>668</v>
      </c>
      <c r="C818" s="23" t="s">
        <v>669</v>
      </c>
      <c r="D818" s="24" t="s">
        <v>855</v>
      </c>
      <c r="E818" s="25" t="s">
        <v>1722</v>
      </c>
      <c r="F818" s="16" t="str">
        <f>_xlfn.XLOOKUP(D818,'[7]Database DP'!$C:$C,'[7]Database DP'!$F:$F,"Tidak Ditemukan")</f>
        <v>RIZKY</v>
      </c>
      <c r="G818" s="21"/>
    </row>
    <row r="819" spans="2:7">
      <c r="B819" s="22" t="s">
        <v>668</v>
      </c>
      <c r="C819" s="23" t="s">
        <v>669</v>
      </c>
      <c r="D819" s="24" t="s">
        <v>856</v>
      </c>
      <c r="E819" s="25" t="s">
        <v>1722</v>
      </c>
      <c r="F819" s="16" t="str">
        <f>_xlfn.XLOOKUP(D819,'[7]Database DP'!$C:$C,'[7]Database DP'!$F:$F,"Tidak Ditemukan")</f>
        <v>RIZKY</v>
      </c>
      <c r="G819" s="21"/>
    </row>
    <row r="820" spans="2:7">
      <c r="B820" s="22" t="s">
        <v>668</v>
      </c>
      <c r="C820" s="23" t="s">
        <v>669</v>
      </c>
      <c r="D820" s="24" t="s">
        <v>857</v>
      </c>
      <c r="E820" s="25" t="s">
        <v>1722</v>
      </c>
      <c r="F820" s="16" t="str">
        <f>_xlfn.XLOOKUP(D820,'[7]Database DP'!$C:$C,'[7]Database DP'!$F:$F,"Tidak Ditemukan")</f>
        <v>RIZKY</v>
      </c>
      <c r="G820" s="21"/>
    </row>
    <row r="821" spans="2:7">
      <c r="B821" s="22" t="s">
        <v>668</v>
      </c>
      <c r="C821" s="23" t="s">
        <v>669</v>
      </c>
      <c r="D821" s="24" t="s">
        <v>858</v>
      </c>
      <c r="E821" s="25" t="s">
        <v>1722</v>
      </c>
      <c r="F821" s="16" t="str">
        <f>_xlfn.XLOOKUP(D821,'[7]Database DP'!$C:$C,'[7]Database DP'!$F:$F,"Tidak Ditemukan")</f>
        <v>RIZKY</v>
      </c>
      <c r="G821" s="21"/>
    </row>
    <row r="822" spans="2:7">
      <c r="B822" s="22" t="s">
        <v>668</v>
      </c>
      <c r="C822" s="23" t="s">
        <v>669</v>
      </c>
      <c r="D822" s="24" t="s">
        <v>859</v>
      </c>
      <c r="E822" s="25" t="s">
        <v>1722</v>
      </c>
      <c r="F822" s="16" t="str">
        <f>_xlfn.XLOOKUP(D822,'[7]Database DP'!$C:$C,'[7]Database DP'!$F:$F,"Tidak Ditemukan")</f>
        <v>RIZKY</v>
      </c>
      <c r="G822" s="21"/>
    </row>
    <row r="823" spans="2:7">
      <c r="B823" s="22" t="s">
        <v>668</v>
      </c>
      <c r="C823" s="23" t="s">
        <v>669</v>
      </c>
      <c r="D823" s="24" t="s">
        <v>860</v>
      </c>
      <c r="E823" s="25" t="s">
        <v>1722</v>
      </c>
      <c r="F823" s="16" t="str">
        <f>_xlfn.XLOOKUP(D823,'[7]Database DP'!$C:$C,'[7]Database DP'!$F:$F,"Tidak Ditemukan")</f>
        <v>WAWAN</v>
      </c>
      <c r="G823" s="21"/>
    </row>
    <row r="824" spans="2:7">
      <c r="B824" s="22" t="s">
        <v>668</v>
      </c>
      <c r="C824" s="23" t="s">
        <v>669</v>
      </c>
      <c r="D824" s="24" t="s">
        <v>861</v>
      </c>
      <c r="E824" s="25" t="s">
        <v>1722</v>
      </c>
      <c r="F824" s="16" t="str">
        <f>_xlfn.XLOOKUP(D824,'[7]Database DP'!$C:$C,'[7]Database DP'!$F:$F,"Tidak Ditemukan")</f>
        <v>WAWAN</v>
      </c>
      <c r="G824" s="21"/>
    </row>
    <row r="825" spans="2:7">
      <c r="B825" s="22" t="s">
        <v>668</v>
      </c>
      <c r="C825" s="23" t="s">
        <v>669</v>
      </c>
      <c r="D825" s="24" t="s">
        <v>862</v>
      </c>
      <c r="E825" s="25" t="s">
        <v>1722</v>
      </c>
      <c r="F825" s="16" t="str">
        <f>_xlfn.XLOOKUP(D825,'[7]Database DP'!$C:$C,'[7]Database DP'!$F:$F,"Tidak Ditemukan")</f>
        <v>WAWAN</v>
      </c>
      <c r="G825" s="21"/>
    </row>
    <row r="826" spans="2:7">
      <c r="B826" s="22" t="s">
        <v>668</v>
      </c>
      <c r="C826" s="23" t="s">
        <v>669</v>
      </c>
      <c r="D826" s="24" t="s">
        <v>863</v>
      </c>
      <c r="E826" s="25" t="s">
        <v>1722</v>
      </c>
      <c r="F826" s="16" t="str">
        <f>_xlfn.XLOOKUP(D826,'[7]Database DP'!$C:$C,'[7]Database DP'!$F:$F,"Tidak Ditemukan")</f>
        <v>WAWAN</v>
      </c>
      <c r="G826" s="21"/>
    </row>
    <row r="827" spans="2:7">
      <c r="B827" s="22" t="s">
        <v>668</v>
      </c>
      <c r="C827" s="23" t="s">
        <v>669</v>
      </c>
      <c r="D827" s="24" t="s">
        <v>864</v>
      </c>
      <c r="E827" s="25" t="s">
        <v>1722</v>
      </c>
      <c r="F827" s="16" t="str">
        <f>_xlfn.XLOOKUP(D827,'[7]Database DP'!$C:$C,'[7]Database DP'!$F:$F,"Tidak Ditemukan")</f>
        <v>WAWAN</v>
      </c>
      <c r="G827" s="21"/>
    </row>
    <row r="828" spans="2:7">
      <c r="B828" s="22" t="s">
        <v>668</v>
      </c>
      <c r="C828" s="23" t="s">
        <v>669</v>
      </c>
      <c r="D828" s="24" t="s">
        <v>865</v>
      </c>
      <c r="E828" s="25" t="s">
        <v>1722</v>
      </c>
      <c r="F828" s="16" t="str">
        <f>_xlfn.XLOOKUP(D828,'[7]Database DP'!$C:$C,'[7]Database DP'!$F:$F,"Tidak Ditemukan")</f>
        <v>WAWAN</v>
      </c>
      <c r="G828" s="21"/>
    </row>
    <row r="829" spans="2:7">
      <c r="B829" s="22" t="s">
        <v>668</v>
      </c>
      <c r="C829" s="23" t="s">
        <v>669</v>
      </c>
      <c r="D829" s="24" t="s">
        <v>866</v>
      </c>
      <c r="E829" s="25" t="s">
        <v>1722</v>
      </c>
      <c r="F829" s="16" t="str">
        <f>_xlfn.XLOOKUP(D829,'[7]Database DP'!$C:$C,'[7]Database DP'!$F:$F,"Tidak Ditemukan")</f>
        <v>WAWAN</v>
      </c>
      <c r="G829" s="21"/>
    </row>
    <row r="830" spans="2:7">
      <c r="B830" s="22" t="s">
        <v>668</v>
      </c>
      <c r="C830" s="23" t="s">
        <v>669</v>
      </c>
      <c r="D830" s="24" t="s">
        <v>867</v>
      </c>
      <c r="E830" s="25" t="s">
        <v>1722</v>
      </c>
      <c r="F830" s="16" t="str">
        <f>_xlfn.XLOOKUP(D830,'[7]Database DP'!$C:$C,'[7]Database DP'!$F:$F,"Tidak Ditemukan")</f>
        <v>WAWAN</v>
      </c>
      <c r="G830" s="21"/>
    </row>
    <row r="831" spans="2:7">
      <c r="B831" s="22" t="s">
        <v>668</v>
      </c>
      <c r="C831" s="23" t="s">
        <v>669</v>
      </c>
      <c r="D831" s="24" t="s">
        <v>868</v>
      </c>
      <c r="E831" s="25" t="s">
        <v>1722</v>
      </c>
      <c r="F831" s="16" t="str">
        <f>_xlfn.XLOOKUP(D831,'[7]Database DP'!$C:$C,'[7]Database DP'!$F:$F,"Tidak Ditemukan")</f>
        <v>WAWAN</v>
      </c>
      <c r="G831" s="21"/>
    </row>
    <row r="832" spans="2:7">
      <c r="B832" s="22" t="s">
        <v>668</v>
      </c>
      <c r="C832" s="23" t="s">
        <v>669</v>
      </c>
      <c r="D832" s="24" t="s">
        <v>869</v>
      </c>
      <c r="E832" s="25" t="s">
        <v>1722</v>
      </c>
      <c r="F832" s="16" t="str">
        <f>_xlfn.XLOOKUP(D832,'[7]Database DP'!$C:$C,'[7]Database DP'!$F:$F,"Tidak Ditemukan")</f>
        <v>WAWAN</v>
      </c>
      <c r="G832" s="21"/>
    </row>
    <row r="833" spans="2:7">
      <c r="B833" s="22" t="s">
        <v>668</v>
      </c>
      <c r="C833" s="23" t="s">
        <v>669</v>
      </c>
      <c r="D833" s="24" t="s">
        <v>870</v>
      </c>
      <c r="E833" s="25" t="s">
        <v>1722</v>
      </c>
      <c r="F833" s="16" t="str">
        <f>_xlfn.XLOOKUP(D833,'[7]Database DP'!$C:$C,'[7]Database DP'!$F:$F,"Tidak Ditemukan")</f>
        <v>WAWAN</v>
      </c>
      <c r="G833" s="21"/>
    </row>
    <row r="834" spans="2:7">
      <c r="B834" s="22" t="s">
        <v>668</v>
      </c>
      <c r="C834" s="23" t="s">
        <v>669</v>
      </c>
      <c r="D834" s="24" t="s">
        <v>871</v>
      </c>
      <c r="E834" s="25" t="s">
        <v>1722</v>
      </c>
      <c r="F834" s="16" t="str">
        <f>_xlfn.XLOOKUP(D834,'[7]Database DP'!$C:$C,'[7]Database DP'!$F:$F,"Tidak Ditemukan")</f>
        <v>WAWAN</v>
      </c>
      <c r="G834" s="21"/>
    </row>
    <row r="835" spans="2:7">
      <c r="B835" s="22" t="s">
        <v>668</v>
      </c>
      <c r="C835" s="23" t="s">
        <v>669</v>
      </c>
      <c r="D835" s="24" t="s">
        <v>872</v>
      </c>
      <c r="E835" s="25" t="s">
        <v>1722</v>
      </c>
      <c r="F835" s="16" t="str">
        <f>_xlfn.XLOOKUP(D835,'[7]Database DP'!$C:$C,'[7]Database DP'!$F:$F,"Tidak Ditemukan")</f>
        <v>YANUAR</v>
      </c>
      <c r="G835" s="21"/>
    </row>
    <row r="836" spans="2:7">
      <c r="B836" s="22" t="s">
        <v>668</v>
      </c>
      <c r="C836" s="23" t="s">
        <v>669</v>
      </c>
      <c r="D836" s="24" t="s">
        <v>873</v>
      </c>
      <c r="E836" s="25" t="s">
        <v>1722</v>
      </c>
      <c r="F836" s="16" t="str">
        <f>_xlfn.XLOOKUP(D836,'[7]Database DP'!$C:$C,'[7]Database DP'!$F:$F,"Tidak Ditemukan")</f>
        <v>YANUAR</v>
      </c>
      <c r="G836" s="21"/>
    </row>
    <row r="837" spans="2:7">
      <c r="B837" s="22" t="s">
        <v>668</v>
      </c>
      <c r="C837" s="23" t="s">
        <v>669</v>
      </c>
      <c r="D837" s="24" t="s">
        <v>874</v>
      </c>
      <c r="E837" s="25" t="s">
        <v>1722</v>
      </c>
      <c r="F837" s="16" t="str">
        <f>_xlfn.XLOOKUP(D837,'[7]Database DP'!$C:$C,'[7]Database DP'!$F:$F,"Tidak Ditemukan")</f>
        <v>YANUAR</v>
      </c>
      <c r="G837" s="21"/>
    </row>
    <row r="838" spans="2:7">
      <c r="B838" s="22" t="s">
        <v>668</v>
      </c>
      <c r="C838" s="23" t="s">
        <v>669</v>
      </c>
      <c r="D838" s="24" t="s">
        <v>875</v>
      </c>
      <c r="E838" s="25" t="s">
        <v>1722</v>
      </c>
      <c r="F838" s="16" t="str">
        <f>_xlfn.XLOOKUP(D838,'[7]Database DP'!$C:$C,'[7]Database DP'!$F:$F,"Tidak Ditemukan")</f>
        <v>YANUAR</v>
      </c>
      <c r="G838" s="21"/>
    </row>
    <row r="839" spans="2:7">
      <c r="B839" s="22" t="s">
        <v>668</v>
      </c>
      <c r="C839" s="23" t="s">
        <v>669</v>
      </c>
      <c r="D839" s="24" t="s">
        <v>876</v>
      </c>
      <c r="E839" s="25" t="s">
        <v>1722</v>
      </c>
      <c r="F839" s="16" t="str">
        <f>_xlfn.XLOOKUP(D839,'[7]Database DP'!$C:$C,'[7]Database DP'!$F:$F,"Tidak Ditemukan")</f>
        <v>YANUAR</v>
      </c>
      <c r="G839" s="21"/>
    </row>
    <row r="840" spans="2:7">
      <c r="B840" s="22" t="s">
        <v>668</v>
      </c>
      <c r="C840" s="23" t="s">
        <v>669</v>
      </c>
      <c r="D840" s="24" t="s">
        <v>877</v>
      </c>
      <c r="E840" s="25" t="s">
        <v>1722</v>
      </c>
      <c r="F840" s="16" t="str">
        <f>_xlfn.XLOOKUP(D840,'[7]Database DP'!$C:$C,'[7]Database DP'!$F:$F,"Tidak Ditemukan")</f>
        <v>YANUAR</v>
      </c>
      <c r="G840" s="21"/>
    </row>
    <row r="841" spans="2:7">
      <c r="B841" s="22" t="s">
        <v>668</v>
      </c>
      <c r="C841" s="23" t="s">
        <v>669</v>
      </c>
      <c r="D841" s="24" t="s">
        <v>878</v>
      </c>
      <c r="E841" s="25" t="s">
        <v>1722</v>
      </c>
      <c r="F841" s="16" t="str">
        <f>_xlfn.XLOOKUP(D841,'[7]Database DP'!$C:$C,'[7]Database DP'!$F:$F,"Tidak Ditemukan")</f>
        <v>YANUAR</v>
      </c>
      <c r="G841" s="21"/>
    </row>
    <row r="842" spans="2:7">
      <c r="B842" s="22" t="s">
        <v>668</v>
      </c>
      <c r="C842" s="23" t="s">
        <v>669</v>
      </c>
      <c r="D842" s="24" t="s">
        <v>879</v>
      </c>
      <c r="E842" s="25" t="s">
        <v>1722</v>
      </c>
      <c r="F842" s="16" t="str">
        <f>_xlfn.XLOOKUP(D842,'[7]Database DP'!$C:$C,'[7]Database DP'!$F:$F,"Tidak Ditemukan")</f>
        <v>YANUAR</v>
      </c>
      <c r="G842" s="21"/>
    </row>
    <row r="843" spans="2:7">
      <c r="B843" s="22" t="s">
        <v>668</v>
      </c>
      <c r="C843" s="23" t="s">
        <v>669</v>
      </c>
      <c r="D843" s="24" t="s">
        <v>880</v>
      </c>
      <c r="E843" s="25" t="s">
        <v>1722</v>
      </c>
      <c r="F843" s="16" t="str">
        <f>_xlfn.XLOOKUP(D843,'[7]Database DP'!$C:$C,'[7]Database DP'!$F:$F,"Tidak Ditemukan")</f>
        <v>YANUAR</v>
      </c>
      <c r="G843" s="21"/>
    </row>
    <row r="844" spans="2:7">
      <c r="B844" s="22" t="s">
        <v>668</v>
      </c>
      <c r="C844" s="23" t="s">
        <v>669</v>
      </c>
      <c r="D844" s="24" t="s">
        <v>881</v>
      </c>
      <c r="E844" s="25" t="s">
        <v>1722</v>
      </c>
      <c r="F844" s="16" t="str">
        <f>_xlfn.XLOOKUP(D844,'[7]Database DP'!$C:$C,'[7]Database DP'!$F:$F,"Tidak Ditemukan")</f>
        <v>YANUAR</v>
      </c>
      <c r="G844" s="21"/>
    </row>
    <row r="845" spans="2:7">
      <c r="B845" s="22" t="s">
        <v>668</v>
      </c>
      <c r="C845" s="23" t="s">
        <v>669</v>
      </c>
      <c r="D845" s="24" t="s">
        <v>882</v>
      </c>
      <c r="E845" s="25" t="s">
        <v>1722</v>
      </c>
      <c r="F845" s="16" t="str">
        <f>_xlfn.XLOOKUP(D845,'[7]Database DP'!$C:$C,'[7]Database DP'!$F:$F,"Tidak Ditemukan")</f>
        <v>YANUAR</v>
      </c>
      <c r="G845" s="21"/>
    </row>
    <row r="846" spans="2:7">
      <c r="B846" s="22" t="s">
        <v>668</v>
      </c>
      <c r="C846" s="23" t="s">
        <v>669</v>
      </c>
      <c r="D846" s="24" t="s">
        <v>883</v>
      </c>
      <c r="E846" s="25" t="s">
        <v>1722</v>
      </c>
      <c r="F846" s="16" t="str">
        <f>_xlfn.XLOOKUP(D846,'[7]Database DP'!$C:$C,'[7]Database DP'!$F:$F,"Tidak Ditemukan")</f>
        <v>YUDHA BRB</v>
      </c>
      <c r="G846" s="21"/>
    </row>
    <row r="847" spans="2:7">
      <c r="B847" s="22" t="s">
        <v>668</v>
      </c>
      <c r="C847" s="23" t="s">
        <v>669</v>
      </c>
      <c r="D847" s="24" t="s">
        <v>884</v>
      </c>
      <c r="E847" s="25" t="s">
        <v>1722</v>
      </c>
      <c r="F847" s="16" t="str">
        <f>_xlfn.XLOOKUP(D847,'[7]Database DP'!$C:$C,'[7]Database DP'!$F:$F,"Tidak Ditemukan")</f>
        <v>YUDHA BRB</v>
      </c>
      <c r="G847" s="21"/>
    </row>
    <row r="848" spans="2:7">
      <c r="B848" s="22" t="s">
        <v>668</v>
      </c>
      <c r="C848" s="23" t="s">
        <v>669</v>
      </c>
      <c r="D848" s="24" t="s">
        <v>885</v>
      </c>
      <c r="E848" s="25" t="s">
        <v>1722</v>
      </c>
      <c r="F848" s="16" t="str">
        <f>_xlfn.XLOOKUP(D848,'[7]Database DP'!$C:$C,'[7]Database DP'!$F:$F,"Tidak Ditemukan")</f>
        <v>YUDHA BRB</v>
      </c>
      <c r="G848" s="21"/>
    </row>
    <row r="849" spans="2:7">
      <c r="B849" s="22" t="s">
        <v>668</v>
      </c>
      <c r="C849" s="23" t="s">
        <v>669</v>
      </c>
      <c r="D849" s="24" t="s">
        <v>886</v>
      </c>
      <c r="E849" s="25" t="s">
        <v>1722</v>
      </c>
      <c r="F849" s="16" t="str">
        <f>_xlfn.XLOOKUP(D849,'[7]Database DP'!$C:$C,'[7]Database DP'!$F:$F,"Tidak Ditemukan")</f>
        <v>YUDHA BRB</v>
      </c>
      <c r="G849" s="21"/>
    </row>
    <row r="850" spans="2:7">
      <c r="B850" s="22" t="s">
        <v>668</v>
      </c>
      <c r="C850" s="23" t="s">
        <v>669</v>
      </c>
      <c r="D850" s="24" t="s">
        <v>887</v>
      </c>
      <c r="E850" s="25" t="s">
        <v>1722</v>
      </c>
      <c r="F850" s="16" t="str">
        <f>_xlfn.XLOOKUP(D850,'[7]Database DP'!$C:$C,'[7]Database DP'!$F:$F,"Tidak Ditemukan")</f>
        <v>YUDHA BRB</v>
      </c>
      <c r="G850" s="21"/>
    </row>
    <row r="851" spans="2:7">
      <c r="B851" s="22" t="s">
        <v>668</v>
      </c>
      <c r="C851" s="23" t="s">
        <v>669</v>
      </c>
      <c r="D851" s="24" t="s">
        <v>888</v>
      </c>
      <c r="E851" s="25" t="s">
        <v>1722</v>
      </c>
      <c r="F851" s="16" t="str">
        <f>_xlfn.XLOOKUP(D851,'[7]Database DP'!$C:$C,'[7]Database DP'!$F:$F,"Tidak Ditemukan")</f>
        <v>YUDHA BRB</v>
      </c>
      <c r="G851" s="21"/>
    </row>
    <row r="852" spans="2:7">
      <c r="B852" s="22" t="s">
        <v>668</v>
      </c>
      <c r="C852" s="23" t="s">
        <v>669</v>
      </c>
      <c r="D852" s="24" t="s">
        <v>889</v>
      </c>
      <c r="E852" s="25" t="s">
        <v>1722</v>
      </c>
      <c r="F852" s="16" t="str">
        <f>_xlfn.XLOOKUP(D852,'[7]Database DP'!$C:$C,'[7]Database DP'!$F:$F,"Tidak Ditemukan")</f>
        <v>YUDHA BRB</v>
      </c>
      <c r="G852" s="21"/>
    </row>
    <row r="853" spans="2:7">
      <c r="B853" s="22" t="s">
        <v>668</v>
      </c>
      <c r="C853" s="23" t="s">
        <v>669</v>
      </c>
      <c r="D853" s="24" t="s">
        <v>890</v>
      </c>
      <c r="E853" s="25" t="s">
        <v>1722</v>
      </c>
      <c r="F853" s="16" t="str">
        <f>_xlfn.XLOOKUP(D853,'[7]Database DP'!$C:$C,'[7]Database DP'!$F:$F,"Tidak Ditemukan")</f>
        <v>YUDHA BRB</v>
      </c>
      <c r="G853" s="21"/>
    </row>
    <row r="854" spans="2:7">
      <c r="B854" s="22" t="s">
        <v>668</v>
      </c>
      <c r="C854" s="23" t="s">
        <v>669</v>
      </c>
      <c r="D854" s="24" t="s">
        <v>891</v>
      </c>
      <c r="E854" s="25" t="s">
        <v>1722</v>
      </c>
      <c r="F854" s="16" t="str">
        <f>_xlfn.XLOOKUP(D854,'[7]Database DP'!$C:$C,'[7]Database DP'!$F:$F,"Tidak Ditemukan")</f>
        <v>YUDHA BRB</v>
      </c>
      <c r="G854" s="21"/>
    </row>
    <row r="855" spans="2:7">
      <c r="B855" s="22" t="s">
        <v>668</v>
      </c>
      <c r="C855" s="23" t="s">
        <v>669</v>
      </c>
      <c r="D855" s="24" t="s">
        <v>892</v>
      </c>
      <c r="E855" s="25" t="s">
        <v>1722</v>
      </c>
      <c r="F855" s="16" t="str">
        <f>_xlfn.XLOOKUP(D855,'[7]Database DP'!$C:$C,'[7]Database DP'!$F:$F,"Tidak Ditemukan")</f>
        <v>YUDHA BRB</v>
      </c>
      <c r="G855" s="21"/>
    </row>
    <row r="856" spans="2:7">
      <c r="B856" s="22" t="s">
        <v>668</v>
      </c>
      <c r="C856" s="23" t="s">
        <v>669</v>
      </c>
      <c r="D856" s="24" t="s">
        <v>893</v>
      </c>
      <c r="E856" s="25" t="s">
        <v>1722</v>
      </c>
      <c r="F856" s="16" t="str">
        <f>_xlfn.XLOOKUP(D856,'[7]Database DP'!$C:$C,'[7]Database DP'!$F:$F,"Tidak Ditemukan")</f>
        <v>YUDHA BRB</v>
      </c>
      <c r="G856" s="21"/>
    </row>
    <row r="857" spans="2:7">
      <c r="B857" s="22" t="s">
        <v>668</v>
      </c>
      <c r="C857" s="23" t="s">
        <v>669</v>
      </c>
      <c r="D857" s="24" t="s">
        <v>894</v>
      </c>
      <c r="E857" s="25" t="s">
        <v>1722</v>
      </c>
      <c r="F857" s="16" t="str">
        <f>_xlfn.XLOOKUP(D857,'[7]Database DP'!$C:$C,'[7]Database DP'!$F:$F,"Tidak Ditemukan")</f>
        <v>YUDHA BRB</v>
      </c>
      <c r="G857" s="21"/>
    </row>
    <row r="858" spans="2:7">
      <c r="B858" s="22" t="s">
        <v>668</v>
      </c>
      <c r="C858" s="23" t="s">
        <v>669</v>
      </c>
      <c r="D858" s="24" t="s">
        <v>895</v>
      </c>
      <c r="E858" s="25" t="s">
        <v>1722</v>
      </c>
      <c r="F858" s="16" t="str">
        <f>_xlfn.XLOOKUP(D858,'[7]Database DP'!$C:$C,'[7]Database DP'!$F:$F,"Tidak Ditemukan")</f>
        <v>YUDHA BRB</v>
      </c>
      <c r="G858" s="21"/>
    </row>
    <row r="859" spans="2:7">
      <c r="B859" s="22" t="s">
        <v>668</v>
      </c>
      <c r="C859" s="23" t="s">
        <v>669</v>
      </c>
      <c r="D859" s="24" t="s">
        <v>896</v>
      </c>
      <c r="E859" s="25" t="s">
        <v>1722</v>
      </c>
      <c r="F859" s="16" t="str">
        <f>_xlfn.XLOOKUP(D859,'[7]Database DP'!$C:$C,'[7]Database DP'!$F:$F,"Tidak Ditemukan")</f>
        <v>YUDHA BRB</v>
      </c>
      <c r="G859" s="21"/>
    </row>
    <row r="860" spans="2:7">
      <c r="B860" s="22" t="s">
        <v>668</v>
      </c>
      <c r="C860" s="23" t="s">
        <v>669</v>
      </c>
      <c r="D860" s="24" t="s">
        <v>897</v>
      </c>
      <c r="E860" s="25" t="s">
        <v>1722</v>
      </c>
      <c r="F860" s="16" t="str">
        <f>_xlfn.XLOOKUP(D860,'[7]Database DP'!$C:$C,'[7]Database DP'!$F:$F,"Tidak Ditemukan")</f>
        <v>YUDHA BRB</v>
      </c>
      <c r="G860" s="21"/>
    </row>
    <row r="861" spans="2:7">
      <c r="B861" s="22" t="s">
        <v>668</v>
      </c>
      <c r="C861" s="23" t="s">
        <v>669</v>
      </c>
      <c r="D861" s="24" t="s">
        <v>898</v>
      </c>
      <c r="E861" s="25" t="s">
        <v>1722</v>
      </c>
      <c r="F861" s="16" t="str">
        <f>_xlfn.XLOOKUP(D861,'[7]Database DP'!$C:$C,'[7]Database DP'!$F:$F,"Tidak Ditemukan")</f>
        <v>ZAENAL</v>
      </c>
      <c r="G861" s="21"/>
    </row>
    <row r="862" spans="2:7">
      <c r="B862" s="22" t="s">
        <v>668</v>
      </c>
      <c r="C862" s="23" t="s">
        <v>669</v>
      </c>
      <c r="D862" s="24" t="s">
        <v>899</v>
      </c>
      <c r="E862" s="25" t="s">
        <v>1722</v>
      </c>
      <c r="F862" s="16" t="str">
        <f>_xlfn.XLOOKUP(D862,'[7]Database DP'!$C:$C,'[7]Database DP'!$F:$F,"Tidak Ditemukan")</f>
        <v>ZAENAL</v>
      </c>
      <c r="G862" s="21"/>
    </row>
    <row r="863" spans="2:7">
      <c r="B863" s="22" t="s">
        <v>668</v>
      </c>
      <c r="C863" s="23" t="s">
        <v>669</v>
      </c>
      <c r="D863" s="24" t="s">
        <v>900</v>
      </c>
      <c r="E863" s="25" t="s">
        <v>1722</v>
      </c>
      <c r="F863" s="16" t="str">
        <f>_xlfn.XLOOKUP(D863,'[7]Database DP'!$C:$C,'[7]Database DP'!$F:$F,"Tidak Ditemukan")</f>
        <v>ZAENAL</v>
      </c>
      <c r="G863" s="21"/>
    </row>
    <row r="864" spans="2:7">
      <c r="B864" s="22" t="s">
        <v>668</v>
      </c>
      <c r="C864" s="23" t="s">
        <v>669</v>
      </c>
      <c r="D864" s="24" t="s">
        <v>901</v>
      </c>
      <c r="E864" s="25" t="s">
        <v>1722</v>
      </c>
      <c r="F864" s="16" t="str">
        <f>_xlfn.XLOOKUP(D864,'[7]Database DP'!$C:$C,'[7]Database DP'!$F:$F,"Tidak Ditemukan")</f>
        <v>ZAENAL</v>
      </c>
      <c r="G864" s="21"/>
    </row>
    <row r="865" spans="2:7">
      <c r="B865" s="22" t="s">
        <v>668</v>
      </c>
      <c r="C865" s="23" t="s">
        <v>669</v>
      </c>
      <c r="D865" s="24" t="s">
        <v>902</v>
      </c>
      <c r="E865" s="25" t="s">
        <v>1722</v>
      </c>
      <c r="F865" s="16" t="str">
        <f>_xlfn.XLOOKUP(D865,'[7]Database DP'!$C:$C,'[7]Database DP'!$F:$F,"Tidak Ditemukan")</f>
        <v>ZAENAL</v>
      </c>
      <c r="G865" s="21"/>
    </row>
    <row r="866" spans="2:7">
      <c r="B866" s="22" t="s">
        <v>668</v>
      </c>
      <c r="C866" s="23" t="s">
        <v>669</v>
      </c>
      <c r="D866" s="24" t="s">
        <v>903</v>
      </c>
      <c r="E866" s="25" t="s">
        <v>1722</v>
      </c>
      <c r="F866" s="16" t="str">
        <f>_xlfn.XLOOKUP(D866,'[7]Database DP'!$C:$C,'[7]Database DP'!$F:$F,"Tidak Ditemukan")</f>
        <v>ZAENAL</v>
      </c>
      <c r="G866" s="21"/>
    </row>
    <row r="867" spans="2:7">
      <c r="B867" s="22" t="s">
        <v>668</v>
      </c>
      <c r="C867" s="23" t="s">
        <v>669</v>
      </c>
      <c r="D867" s="24" t="s">
        <v>904</v>
      </c>
      <c r="E867" s="25" t="s">
        <v>1722</v>
      </c>
      <c r="F867" s="16" t="str">
        <f>_xlfn.XLOOKUP(D867,'[7]Database DP'!$C:$C,'[7]Database DP'!$F:$F,"Tidak Ditemukan")</f>
        <v>ZAENAL</v>
      </c>
      <c r="G867" s="21"/>
    </row>
    <row r="868" spans="2:7">
      <c r="B868" s="22" t="s">
        <v>668</v>
      </c>
      <c r="C868" s="23" t="s">
        <v>669</v>
      </c>
      <c r="D868" s="24" t="s">
        <v>905</v>
      </c>
      <c r="E868" s="25" t="s">
        <v>1722</v>
      </c>
      <c r="F868" s="16" t="str">
        <f>_xlfn.XLOOKUP(D868,'[7]Database DP'!$C:$C,'[7]Database DP'!$F:$F,"Tidak Ditemukan")</f>
        <v>ZAENAL</v>
      </c>
      <c r="G868" s="21"/>
    </row>
    <row r="869" spans="2:7">
      <c r="B869" s="22" t="s">
        <v>668</v>
      </c>
      <c r="C869" s="23" t="s">
        <v>669</v>
      </c>
      <c r="D869" s="24" t="s">
        <v>906</v>
      </c>
      <c r="E869" s="25" t="s">
        <v>1722</v>
      </c>
      <c r="F869" s="16" t="str">
        <f>_xlfn.XLOOKUP(D869,'[7]Database DP'!$C:$C,'[7]Database DP'!$F:$F,"Tidak Ditemukan")</f>
        <v>ZAENAL</v>
      </c>
      <c r="G869" s="21"/>
    </row>
    <row r="870" spans="2:7">
      <c r="B870" s="22" t="s">
        <v>668</v>
      </c>
      <c r="C870" s="23" t="s">
        <v>669</v>
      </c>
      <c r="D870" s="24" t="s">
        <v>907</v>
      </c>
      <c r="E870" s="25" t="s">
        <v>1722</v>
      </c>
      <c r="F870" s="16" t="str">
        <f>_xlfn.XLOOKUP(D870,'[7]Database DP'!$C:$C,'[7]Database DP'!$F:$F,"Tidak Ditemukan")</f>
        <v>ZAENAL</v>
      </c>
      <c r="G870" s="21"/>
    </row>
    <row r="871" spans="2:7">
      <c r="B871" s="22" t="s">
        <v>668</v>
      </c>
      <c r="C871" s="23" t="s">
        <v>669</v>
      </c>
      <c r="D871" s="24" t="s">
        <v>908</v>
      </c>
      <c r="E871" s="25" t="s">
        <v>1722</v>
      </c>
      <c r="F871" s="16" t="str">
        <f>_xlfn.XLOOKUP(D871,'[7]Database DP'!$C:$C,'[7]Database DP'!$F:$F,"Tidak Ditemukan")</f>
        <v>ZAENAL</v>
      </c>
      <c r="G871" s="21"/>
    </row>
    <row r="872" spans="2:7">
      <c r="B872" s="22" t="s">
        <v>668</v>
      </c>
      <c r="C872" s="23" t="s">
        <v>669</v>
      </c>
      <c r="D872" s="24" t="s">
        <v>909</v>
      </c>
      <c r="E872" s="25" t="s">
        <v>1722</v>
      </c>
      <c r="F872" s="16" t="str">
        <f>_xlfn.XLOOKUP(D872,'[7]Database DP'!$C:$C,'[7]Database DP'!$F:$F,"Tidak Ditemukan")</f>
        <v>ZAENAL</v>
      </c>
      <c r="G872" s="21"/>
    </row>
    <row r="873" spans="2:7">
      <c r="B873" s="22" t="s">
        <v>668</v>
      </c>
      <c r="C873" s="23" t="s">
        <v>669</v>
      </c>
      <c r="D873" s="24" t="s">
        <v>910</v>
      </c>
      <c r="E873" s="25" t="s">
        <v>1722</v>
      </c>
      <c r="F873" s="16" t="str">
        <f>_xlfn.XLOOKUP(D873,'[7]Database DP'!$C:$C,'[7]Database DP'!$F:$F,"Tidak Ditemukan")</f>
        <v>DIAZ</v>
      </c>
      <c r="G873" s="21"/>
    </row>
    <row r="874" spans="2:7">
      <c r="B874" s="22" t="s">
        <v>668</v>
      </c>
      <c r="C874" s="23" t="s">
        <v>669</v>
      </c>
      <c r="D874" s="24" t="s">
        <v>911</v>
      </c>
      <c r="E874" s="25" t="s">
        <v>1722</v>
      </c>
      <c r="F874" s="16" t="str">
        <f>_xlfn.XLOOKUP(D874,'[7]Database DP'!$C:$C,'[7]Database DP'!$F:$F,"Tidak Ditemukan")</f>
        <v>DIAZ</v>
      </c>
      <c r="G874" s="21"/>
    </row>
    <row r="875" spans="2:7">
      <c r="B875" s="22" t="s">
        <v>668</v>
      </c>
      <c r="C875" s="23" t="s">
        <v>669</v>
      </c>
      <c r="D875" s="24" t="s">
        <v>912</v>
      </c>
      <c r="E875" s="25" t="s">
        <v>1722</v>
      </c>
      <c r="F875" s="16" t="str">
        <f>_xlfn.XLOOKUP(D875,'[7]Database DP'!$C:$C,'[7]Database DP'!$F:$F,"Tidak Ditemukan")</f>
        <v>DIAZ</v>
      </c>
      <c r="G875" s="21"/>
    </row>
    <row r="876" spans="2:7">
      <c r="B876" s="22" t="s">
        <v>668</v>
      </c>
      <c r="C876" s="23" t="s">
        <v>669</v>
      </c>
      <c r="D876" s="24" t="s">
        <v>913</v>
      </c>
      <c r="E876" s="25" t="s">
        <v>1722</v>
      </c>
      <c r="F876" s="16" t="str">
        <f>_xlfn.XLOOKUP(D876,'[7]Database DP'!$C:$C,'[7]Database DP'!$F:$F,"Tidak Ditemukan")</f>
        <v>DIAZ</v>
      </c>
      <c r="G876" s="21"/>
    </row>
    <row r="877" spans="2:7">
      <c r="B877" s="22" t="s">
        <v>668</v>
      </c>
      <c r="C877" s="23" t="s">
        <v>669</v>
      </c>
      <c r="D877" s="24" t="s">
        <v>914</v>
      </c>
      <c r="E877" s="25" t="s">
        <v>1722</v>
      </c>
      <c r="F877" s="16" t="str">
        <f>_xlfn.XLOOKUP(D877,'[7]Database DP'!$C:$C,'[7]Database DP'!$F:$F,"Tidak Ditemukan")</f>
        <v>HERI</v>
      </c>
      <c r="G877" s="21"/>
    </row>
    <row r="878" spans="2:7">
      <c r="B878" s="22" t="s">
        <v>668</v>
      </c>
      <c r="C878" s="23" t="s">
        <v>669</v>
      </c>
      <c r="D878" s="24" t="s">
        <v>915</v>
      </c>
      <c r="E878" s="25" t="s">
        <v>1722</v>
      </c>
      <c r="F878" s="16" t="str">
        <f>_xlfn.XLOOKUP(D878,'[7]Database DP'!$C:$C,'[7]Database DP'!$F:$F,"Tidak Ditemukan")</f>
        <v>HERI</v>
      </c>
      <c r="G878" s="21"/>
    </row>
    <row r="879" spans="2:7">
      <c r="B879" s="22" t="s">
        <v>668</v>
      </c>
      <c r="C879" s="23" t="s">
        <v>669</v>
      </c>
      <c r="D879" s="24" t="s">
        <v>916</v>
      </c>
      <c r="E879" s="25" t="s">
        <v>1722</v>
      </c>
      <c r="F879" s="16" t="str">
        <f>_xlfn.XLOOKUP(D879,'[7]Database DP'!$C:$C,'[7]Database DP'!$F:$F,"Tidak Ditemukan")</f>
        <v>IRWAN</v>
      </c>
      <c r="G879" s="21"/>
    </row>
    <row r="880" spans="2:7">
      <c r="B880" s="22" t="s">
        <v>668</v>
      </c>
      <c r="C880" s="23" t="s">
        <v>669</v>
      </c>
      <c r="D880" s="24" t="s">
        <v>917</v>
      </c>
      <c r="E880" s="25" t="s">
        <v>1722</v>
      </c>
      <c r="F880" s="16" t="str">
        <f>_xlfn.XLOOKUP(D880,'[7]Database DP'!$C:$C,'[7]Database DP'!$F:$F,"Tidak Ditemukan")</f>
        <v>KHABIB</v>
      </c>
      <c r="G880" s="21"/>
    </row>
    <row r="881" spans="2:7">
      <c r="B881" s="22" t="s">
        <v>668</v>
      </c>
      <c r="C881" s="23" t="s">
        <v>669</v>
      </c>
      <c r="D881" s="24" t="s">
        <v>918</v>
      </c>
      <c r="E881" s="25" t="s">
        <v>1722</v>
      </c>
      <c r="F881" s="16" t="str">
        <f>_xlfn.XLOOKUP(D881,'[7]Database DP'!$C:$C,'[7]Database DP'!$F:$F,"Tidak Ditemukan")</f>
        <v>RAGIL</v>
      </c>
      <c r="G881" s="21"/>
    </row>
    <row r="882" spans="2:7">
      <c r="B882" s="22" t="s">
        <v>668</v>
      </c>
      <c r="C882" s="23" t="s">
        <v>669</v>
      </c>
      <c r="D882" s="24" t="s">
        <v>919</v>
      </c>
      <c r="E882" s="25" t="s">
        <v>1722</v>
      </c>
      <c r="F882" s="16" t="str">
        <f>_xlfn.XLOOKUP(D882,'[7]Database DP'!$C:$C,'[7]Database DP'!$F:$F,"Tidak Ditemukan")</f>
        <v>RAGIL</v>
      </c>
      <c r="G882" s="21"/>
    </row>
    <row r="883" spans="2:7">
      <c r="B883" s="22" t="s">
        <v>668</v>
      </c>
      <c r="C883" s="23" t="s">
        <v>669</v>
      </c>
      <c r="D883" s="24" t="s">
        <v>920</v>
      </c>
      <c r="E883" s="25" t="s">
        <v>1722</v>
      </c>
      <c r="F883" s="16" t="str">
        <f>_xlfn.XLOOKUP(D883,'[7]Database DP'!$C:$C,'[7]Database DP'!$F:$F,"Tidak Ditemukan")</f>
        <v>RAGIL</v>
      </c>
      <c r="G883" s="21"/>
    </row>
    <row r="884" spans="2:7">
      <c r="B884" s="22" t="s">
        <v>668</v>
      </c>
      <c r="C884" s="23" t="s">
        <v>669</v>
      </c>
      <c r="D884" s="24" t="s">
        <v>921</v>
      </c>
      <c r="E884" s="25" t="s">
        <v>1722</v>
      </c>
      <c r="F884" s="16" t="str">
        <f>_xlfn.XLOOKUP(D884,'[7]Database DP'!$C:$C,'[7]Database DP'!$F:$F,"Tidak Ditemukan")</f>
        <v>RAGIL</v>
      </c>
      <c r="G884" s="21"/>
    </row>
    <row r="885" spans="2:7">
      <c r="B885" s="22" t="s">
        <v>668</v>
      </c>
      <c r="C885" s="23" t="s">
        <v>669</v>
      </c>
      <c r="D885" s="24" t="s">
        <v>923</v>
      </c>
      <c r="E885" s="25" t="s">
        <v>1722</v>
      </c>
      <c r="F885" s="16" t="str">
        <f>_xlfn.XLOOKUP(D885,'[7]Database DP'!$C:$C,'[7]Database DP'!$F:$F,"Tidak Ditemukan")</f>
        <v>RONY</v>
      </c>
      <c r="G885" s="21"/>
    </row>
    <row r="886" spans="2:7">
      <c r="B886" s="22" t="s">
        <v>668</v>
      </c>
      <c r="C886" s="23" t="s">
        <v>669</v>
      </c>
      <c r="D886" s="24" t="s">
        <v>924</v>
      </c>
      <c r="E886" s="25" t="s">
        <v>1722</v>
      </c>
      <c r="F886" s="16" t="str">
        <f>_xlfn.XLOOKUP(D886,'[7]Database DP'!$C:$C,'[7]Database DP'!$F:$F,"Tidak Ditemukan")</f>
        <v>RONY</v>
      </c>
      <c r="G886" s="21"/>
    </row>
    <row r="887" spans="2:7">
      <c r="B887" s="22" t="s">
        <v>668</v>
      </c>
      <c r="C887" s="23" t="s">
        <v>669</v>
      </c>
      <c r="D887" s="24" t="s">
        <v>925</v>
      </c>
      <c r="E887" s="25" t="s">
        <v>1722</v>
      </c>
      <c r="F887" s="16" t="str">
        <f>_xlfn.XLOOKUP(D887,'[7]Database DP'!$C:$C,'[7]Database DP'!$F:$F,"Tidak Ditemukan")</f>
        <v>RONY</v>
      </c>
      <c r="G887" s="21"/>
    </row>
    <row r="888" spans="2:7">
      <c r="B888" s="22" t="s">
        <v>668</v>
      </c>
      <c r="C888" s="23" t="s">
        <v>669</v>
      </c>
      <c r="D888" s="24" t="s">
        <v>926</v>
      </c>
      <c r="E888" s="25" t="s">
        <v>1722</v>
      </c>
      <c r="F888" s="16" t="str">
        <f>_xlfn.XLOOKUP(D888,'[7]Database DP'!$C:$C,'[7]Database DP'!$F:$F,"Tidak Ditemukan")</f>
        <v>DIAZ</v>
      </c>
      <c r="G888" s="21"/>
    </row>
    <row r="889" spans="2:7">
      <c r="B889" s="22" t="s">
        <v>927</v>
      </c>
      <c r="C889" s="23" t="s">
        <v>928</v>
      </c>
      <c r="D889" s="24" t="s">
        <v>929</v>
      </c>
      <c r="E889" s="25" t="s">
        <v>1722</v>
      </c>
      <c r="F889" s="16" t="str">
        <f>_xlfn.XLOOKUP(D889,'[8]AGUSTUS 2026'!$B:$B,'[8]AGUSTUS 2026'!$I:$I,"Tidak Ditemukan")</f>
        <v>BIMO WALGITO</v>
      </c>
      <c r="G889" s="21"/>
    </row>
    <row r="890" spans="2:7">
      <c r="B890" s="22" t="s">
        <v>927</v>
      </c>
      <c r="C890" s="23" t="s">
        <v>928</v>
      </c>
      <c r="D890" s="24" t="s">
        <v>930</v>
      </c>
      <c r="E890" s="25" t="s">
        <v>1722</v>
      </c>
      <c r="F890" s="16" t="str">
        <f>_xlfn.XLOOKUP(D890,'[8]AGUSTUS 2026'!$B:$B,'[8]AGUSTUS 2026'!$I:$I,"Tidak Ditemukan")</f>
        <v>BIMO WALGITO</v>
      </c>
      <c r="G890" s="21"/>
    </row>
    <row r="891" spans="2:7">
      <c r="B891" s="22" t="s">
        <v>927</v>
      </c>
      <c r="C891" s="23" t="s">
        <v>928</v>
      </c>
      <c r="D891" s="24" t="s">
        <v>931</v>
      </c>
      <c r="E891" s="25" t="s">
        <v>1722</v>
      </c>
      <c r="F891" s="16" t="str">
        <f>_xlfn.XLOOKUP(D891,'[8]AGUSTUS 2026'!$B:$B,'[8]AGUSTUS 2026'!$I:$I,"Tidak Ditemukan")</f>
        <v>BIMO WALGITO</v>
      </c>
      <c r="G891" s="21"/>
    </row>
    <row r="892" spans="2:7">
      <c r="B892" s="22" t="s">
        <v>927</v>
      </c>
      <c r="C892" s="23" t="s">
        <v>928</v>
      </c>
      <c r="D892" s="24" t="s">
        <v>932</v>
      </c>
      <c r="E892" s="25" t="s">
        <v>1722</v>
      </c>
      <c r="F892" s="16" t="str">
        <f>_xlfn.XLOOKUP(D892,'[8]AGUSTUS 2026'!$B:$B,'[8]AGUSTUS 2026'!$I:$I,"Tidak Ditemukan")</f>
        <v>BIMO WALGITO</v>
      </c>
      <c r="G892" s="21"/>
    </row>
    <row r="893" spans="2:7">
      <c r="B893" s="22" t="s">
        <v>927</v>
      </c>
      <c r="C893" s="23" t="s">
        <v>928</v>
      </c>
      <c r="D893" s="24" t="s">
        <v>933</v>
      </c>
      <c r="E893" s="25" t="s">
        <v>1722</v>
      </c>
      <c r="F893" s="16" t="str">
        <f>_xlfn.XLOOKUP(D893,'[8]AGUSTUS 2026'!$B:$B,'[8]AGUSTUS 2026'!$I:$I,"Tidak Ditemukan")</f>
        <v>BIMO WALGITO</v>
      </c>
      <c r="G893" s="21"/>
    </row>
    <row r="894" spans="2:7">
      <c r="B894" s="22" t="s">
        <v>927</v>
      </c>
      <c r="C894" s="23" t="s">
        <v>928</v>
      </c>
      <c r="D894" s="24" t="s">
        <v>934</v>
      </c>
      <c r="E894" s="25" t="s">
        <v>1722</v>
      </c>
      <c r="F894" s="16" t="str">
        <f>_xlfn.XLOOKUP(D894,'[8]AGUSTUS 2026'!$B:$B,'[8]AGUSTUS 2026'!$I:$I,"Tidak Ditemukan")</f>
        <v>BIMO WALGITO</v>
      </c>
      <c r="G894" s="21"/>
    </row>
    <row r="895" spans="2:7">
      <c r="B895" s="22" t="s">
        <v>927</v>
      </c>
      <c r="C895" s="23" t="s">
        <v>928</v>
      </c>
      <c r="D895" s="24" t="s">
        <v>935</v>
      </c>
      <c r="E895" s="25" t="s">
        <v>1722</v>
      </c>
      <c r="F895" s="16" t="str">
        <f>_xlfn.XLOOKUP(D895,'[8]AGUSTUS 2026'!$B:$B,'[8]AGUSTUS 2026'!$I:$I,"Tidak Ditemukan")</f>
        <v>BIMO WALGITO</v>
      </c>
      <c r="G895" s="21"/>
    </row>
    <row r="896" spans="2:7">
      <c r="B896" s="22" t="s">
        <v>927</v>
      </c>
      <c r="C896" s="23" t="s">
        <v>928</v>
      </c>
      <c r="D896" s="24" t="s">
        <v>936</v>
      </c>
      <c r="E896" s="25" t="s">
        <v>1722</v>
      </c>
      <c r="F896" s="16" t="str">
        <f>_xlfn.XLOOKUP(D896,'[8]AGUSTUS 2026'!$B:$B,'[8]AGUSTUS 2026'!$I:$I,"Tidak Ditemukan")</f>
        <v>BIMO WALGITO</v>
      </c>
      <c r="G896" s="21"/>
    </row>
    <row r="897" spans="2:7">
      <c r="B897" s="22" t="s">
        <v>927</v>
      </c>
      <c r="C897" s="23" t="s">
        <v>928</v>
      </c>
      <c r="D897" s="24" t="s">
        <v>937</v>
      </c>
      <c r="E897" s="25" t="s">
        <v>1722</v>
      </c>
      <c r="F897" s="16" t="str">
        <f>_xlfn.XLOOKUP(D897,'[8]AGUSTUS 2026'!$B:$B,'[8]AGUSTUS 2026'!$I:$I,"Tidak Ditemukan")</f>
        <v>BIMO WALGITO</v>
      </c>
      <c r="G897" s="21"/>
    </row>
    <row r="898" spans="2:7">
      <c r="B898" s="22" t="s">
        <v>927</v>
      </c>
      <c r="C898" s="23" t="s">
        <v>928</v>
      </c>
      <c r="D898" s="24" t="s">
        <v>938</v>
      </c>
      <c r="E898" s="25" t="s">
        <v>1722</v>
      </c>
      <c r="F898" s="16" t="str">
        <f>_xlfn.XLOOKUP(D898,'[8]AGUSTUS 2026'!$B:$B,'[8]AGUSTUS 2026'!$I:$I,"Tidak Ditemukan")</f>
        <v>RIZKI NOFRIA WAHYUDI</v>
      </c>
      <c r="G898" s="21"/>
    </row>
    <row r="899" spans="2:7">
      <c r="B899" s="22" t="s">
        <v>927</v>
      </c>
      <c r="C899" s="23" t="s">
        <v>928</v>
      </c>
      <c r="D899" s="24" t="s">
        <v>939</v>
      </c>
      <c r="E899" s="25" t="s">
        <v>1722</v>
      </c>
      <c r="F899" s="16" t="str">
        <f>_xlfn.XLOOKUP(D899,'[8]AGUSTUS 2026'!$B:$B,'[8]AGUSTUS 2026'!$I:$I,"Tidak Ditemukan")</f>
        <v>RIZKI NOFRIA WAHYUDI</v>
      </c>
      <c r="G899" s="21"/>
    </row>
    <row r="900" spans="2:7">
      <c r="B900" s="22" t="s">
        <v>927</v>
      </c>
      <c r="C900" s="23" t="s">
        <v>928</v>
      </c>
      <c r="D900" s="24" t="s">
        <v>940</v>
      </c>
      <c r="E900" s="25" t="s">
        <v>1722</v>
      </c>
      <c r="F900" s="16" t="str">
        <f>_xlfn.XLOOKUP(D900,'[8]AGUSTUS 2026'!$B:$B,'[8]AGUSTUS 2026'!$I:$I,"Tidak Ditemukan")</f>
        <v>RIZKI NOFRIA WAHYUDI</v>
      </c>
      <c r="G900" s="21"/>
    </row>
    <row r="901" spans="2:7">
      <c r="B901" s="22" t="s">
        <v>927</v>
      </c>
      <c r="C901" s="23" t="s">
        <v>928</v>
      </c>
      <c r="D901" s="24" t="s">
        <v>941</v>
      </c>
      <c r="E901" s="25" t="s">
        <v>1722</v>
      </c>
      <c r="F901" s="16" t="str">
        <f>_xlfn.XLOOKUP(D901,'[8]AGUSTUS 2026'!$B:$B,'[8]AGUSTUS 2026'!$I:$I,"Tidak Ditemukan")</f>
        <v>RIZKI NOFRIA WAHYUDI</v>
      </c>
      <c r="G901" s="21"/>
    </row>
    <row r="902" spans="2:7">
      <c r="B902" s="22" t="s">
        <v>927</v>
      </c>
      <c r="C902" s="23" t="s">
        <v>928</v>
      </c>
      <c r="D902" s="24" t="s">
        <v>942</v>
      </c>
      <c r="E902" s="25" t="s">
        <v>1722</v>
      </c>
      <c r="F902" s="16" t="str">
        <f>_xlfn.XLOOKUP(D902,'[8]AGUSTUS 2026'!$B:$B,'[8]AGUSTUS 2026'!$I:$I,"Tidak Ditemukan")</f>
        <v>RIZKI NOFRIA WAHYUDI</v>
      </c>
      <c r="G902" s="21"/>
    </row>
    <row r="903" spans="2:7">
      <c r="B903" s="22" t="s">
        <v>927</v>
      </c>
      <c r="C903" s="23" t="s">
        <v>928</v>
      </c>
      <c r="D903" s="24" t="s">
        <v>943</v>
      </c>
      <c r="E903" s="25" t="s">
        <v>1722</v>
      </c>
      <c r="F903" s="16" t="str">
        <f>_xlfn.XLOOKUP(D903,'[8]AGUSTUS 2026'!$B:$B,'[8]AGUSTUS 2026'!$I:$I,"Tidak Ditemukan")</f>
        <v>RIZKI NOFRIA WAHYUDI</v>
      </c>
      <c r="G903" s="21"/>
    </row>
    <row r="904" spans="2:7">
      <c r="B904" s="22" t="s">
        <v>927</v>
      </c>
      <c r="C904" s="23" t="s">
        <v>928</v>
      </c>
      <c r="D904" s="24" t="s">
        <v>944</v>
      </c>
      <c r="E904" s="25" t="s">
        <v>1722</v>
      </c>
      <c r="F904" s="16" t="str">
        <f>_xlfn.XLOOKUP(D904,'[8]AGUSTUS 2026'!$B:$B,'[8]AGUSTUS 2026'!$I:$I,"Tidak Ditemukan")</f>
        <v>RIZKI NOFRIA WAHYUDI</v>
      </c>
      <c r="G904" s="21"/>
    </row>
    <row r="905" spans="2:7">
      <c r="B905" s="22" t="s">
        <v>927</v>
      </c>
      <c r="C905" s="23" t="s">
        <v>928</v>
      </c>
      <c r="D905" s="24" t="s">
        <v>945</v>
      </c>
      <c r="E905" s="25" t="s">
        <v>1722</v>
      </c>
      <c r="F905" s="16" t="str">
        <f>_xlfn.XLOOKUP(D905,'[8]AGUSTUS 2026'!$B:$B,'[8]AGUSTUS 2026'!$I:$I,"Tidak Ditemukan")</f>
        <v>RIZKI NOFRIA WAHYUDI</v>
      </c>
      <c r="G905" s="21"/>
    </row>
    <row r="906" spans="2:7">
      <c r="B906" s="22" t="s">
        <v>927</v>
      </c>
      <c r="C906" s="23" t="s">
        <v>928</v>
      </c>
      <c r="D906" s="24" t="s">
        <v>946</v>
      </c>
      <c r="E906" s="25" t="s">
        <v>1722</v>
      </c>
      <c r="F906" s="16" t="str">
        <f>_xlfn.XLOOKUP(D906,'[8]AGUSTUS 2026'!$B:$B,'[8]AGUSTUS 2026'!$I:$I,"Tidak Ditemukan")</f>
        <v>RIZKI NOFRIA WAHYUDI</v>
      </c>
      <c r="G906" s="21"/>
    </row>
    <row r="907" spans="2:7">
      <c r="B907" s="22" t="s">
        <v>927</v>
      </c>
      <c r="C907" s="23" t="s">
        <v>928</v>
      </c>
      <c r="D907" s="24" t="s">
        <v>947</v>
      </c>
      <c r="E907" s="25" t="s">
        <v>1722</v>
      </c>
      <c r="F907" s="16" t="str">
        <f>_xlfn.XLOOKUP(D907,'[8]AGUSTUS 2026'!$B:$B,'[8]AGUSTUS 2026'!$I:$I,"Tidak Ditemukan")</f>
        <v>RIZKI NOFRIA WAHYUDI</v>
      </c>
      <c r="G907" s="21"/>
    </row>
    <row r="908" spans="2:7">
      <c r="B908" s="22" t="s">
        <v>927</v>
      </c>
      <c r="C908" s="23" t="s">
        <v>928</v>
      </c>
      <c r="D908" s="24" t="s">
        <v>948</v>
      </c>
      <c r="E908" s="25" t="s">
        <v>1722</v>
      </c>
      <c r="F908" s="16" t="str">
        <f>_xlfn.XLOOKUP(D908,'[8]AGUSTUS 2026'!$B:$B,'[8]AGUSTUS 2026'!$I:$I,"Tidak Ditemukan")</f>
        <v>RIZKI NOFRIA WAHYUDI</v>
      </c>
      <c r="G908" s="21"/>
    </row>
    <row r="909" spans="2:7">
      <c r="B909" s="22" t="s">
        <v>927</v>
      </c>
      <c r="C909" s="23" t="s">
        <v>928</v>
      </c>
      <c r="D909" s="24" t="s">
        <v>949</v>
      </c>
      <c r="E909" s="25" t="s">
        <v>1722</v>
      </c>
      <c r="F909" s="16" t="str">
        <f>_xlfn.XLOOKUP(D909,'[8]AGUSTUS 2026'!$B:$B,'[8]AGUSTUS 2026'!$I:$I,"Tidak Ditemukan")</f>
        <v>RIZKI NOFRIA WAHYUDI</v>
      </c>
      <c r="G909" s="21"/>
    </row>
    <row r="910" spans="2:7">
      <c r="B910" s="22" t="s">
        <v>927</v>
      </c>
      <c r="C910" s="23" t="s">
        <v>928</v>
      </c>
      <c r="D910" s="24" t="s">
        <v>950</v>
      </c>
      <c r="E910" s="25" t="s">
        <v>1722</v>
      </c>
      <c r="F910" s="16" t="str">
        <f>_xlfn.XLOOKUP(D910,'[8]AGUSTUS 2026'!$B:$B,'[8]AGUSTUS 2026'!$I:$I,"Tidak Ditemukan")</f>
        <v>DIMAS DANU SOHIBAN</v>
      </c>
      <c r="G910" s="21"/>
    </row>
    <row r="911" spans="2:7">
      <c r="B911" s="22" t="s">
        <v>927</v>
      </c>
      <c r="C911" s="23" t="s">
        <v>928</v>
      </c>
      <c r="D911" s="24" t="s">
        <v>951</v>
      </c>
      <c r="E911" s="25" t="s">
        <v>1722</v>
      </c>
      <c r="F911" s="16" t="str">
        <f>_xlfn.XLOOKUP(D911,'[8]AGUSTUS 2026'!$B:$B,'[8]AGUSTUS 2026'!$I:$I,"Tidak Ditemukan")</f>
        <v>IFAN SUTIONO</v>
      </c>
      <c r="G911" s="21"/>
    </row>
    <row r="912" spans="2:7">
      <c r="B912" s="22" t="s">
        <v>927</v>
      </c>
      <c r="C912" s="23" t="s">
        <v>928</v>
      </c>
      <c r="D912" s="24" t="s">
        <v>952</v>
      </c>
      <c r="E912" s="25" t="s">
        <v>1722</v>
      </c>
      <c r="F912" s="16" t="str">
        <f>_xlfn.XLOOKUP(D912,'[8]AGUSTUS 2026'!$B:$B,'[8]AGUSTUS 2026'!$I:$I,"Tidak Ditemukan")</f>
        <v>DIMAS DANU SOHIBAN</v>
      </c>
      <c r="G912" s="21"/>
    </row>
    <row r="913" spans="2:7">
      <c r="B913" s="22" t="s">
        <v>927</v>
      </c>
      <c r="C913" s="23" t="s">
        <v>928</v>
      </c>
      <c r="D913" s="24" t="s">
        <v>953</v>
      </c>
      <c r="E913" s="25" t="s">
        <v>1722</v>
      </c>
      <c r="F913" s="16" t="str">
        <f>_xlfn.XLOOKUP(D913,'[8]AGUSTUS 2026'!$B:$B,'[8]AGUSTUS 2026'!$I:$I,"Tidak Ditemukan")</f>
        <v>DIMAS DANU SOHIBAN</v>
      </c>
      <c r="G913" s="21"/>
    </row>
    <row r="914" spans="2:7">
      <c r="B914" s="22" t="s">
        <v>927</v>
      </c>
      <c r="C914" s="23" t="s">
        <v>928</v>
      </c>
      <c r="D914" s="24" t="s">
        <v>954</v>
      </c>
      <c r="E914" s="25" t="s">
        <v>1722</v>
      </c>
      <c r="F914" s="16" t="str">
        <f>_xlfn.XLOOKUP(D914,'[8]AGUSTUS 2026'!$B:$B,'[8]AGUSTUS 2026'!$I:$I,"Tidak Ditemukan")</f>
        <v>IFAN SUTIONO</v>
      </c>
      <c r="G914" s="21"/>
    </row>
    <row r="915" spans="2:7">
      <c r="B915" s="22" t="s">
        <v>927</v>
      </c>
      <c r="C915" s="23" t="s">
        <v>928</v>
      </c>
      <c r="D915" s="24" t="s">
        <v>955</v>
      </c>
      <c r="E915" s="25" t="s">
        <v>1722</v>
      </c>
      <c r="F915" s="16" t="str">
        <f>_xlfn.XLOOKUP(D915,'[8]AGUSTUS 2026'!$B:$B,'[8]AGUSTUS 2026'!$I:$I,"Tidak Ditemukan")</f>
        <v>DIMAS DANU SOHIBAN</v>
      </c>
      <c r="G915" s="21"/>
    </row>
    <row r="916" spans="2:7">
      <c r="B916" s="22" t="s">
        <v>927</v>
      </c>
      <c r="C916" s="23" t="s">
        <v>928</v>
      </c>
      <c r="D916" s="24" t="s">
        <v>956</v>
      </c>
      <c r="E916" s="25" t="s">
        <v>1722</v>
      </c>
      <c r="F916" s="16" t="str">
        <f>_xlfn.XLOOKUP(D916,'[8]AGUSTUS 2026'!$B:$B,'[8]AGUSTUS 2026'!$I:$I,"Tidak Ditemukan")</f>
        <v>IFAN SUTIONO</v>
      </c>
      <c r="G916" s="21"/>
    </row>
    <row r="917" spans="2:7">
      <c r="B917" s="22" t="s">
        <v>927</v>
      </c>
      <c r="C917" s="23" t="s">
        <v>928</v>
      </c>
      <c r="D917" s="24" t="s">
        <v>957</v>
      </c>
      <c r="E917" s="25" t="s">
        <v>1722</v>
      </c>
      <c r="F917" s="16" t="str">
        <f>_xlfn.XLOOKUP(D917,'[8]AGUSTUS 2026'!$B:$B,'[8]AGUSTUS 2026'!$I:$I,"Tidak Ditemukan")</f>
        <v>IFAN SUTIONO</v>
      </c>
      <c r="G917" s="21"/>
    </row>
    <row r="918" spans="2:7">
      <c r="B918" s="22" t="s">
        <v>927</v>
      </c>
      <c r="C918" s="23" t="s">
        <v>928</v>
      </c>
      <c r="D918" s="24" t="s">
        <v>958</v>
      </c>
      <c r="E918" s="25" t="s">
        <v>1722</v>
      </c>
      <c r="F918" s="16" t="str">
        <f>_xlfn.XLOOKUP(D918,'[8]AGUSTUS 2026'!$B:$B,'[8]AGUSTUS 2026'!$I:$I,"Tidak Ditemukan")</f>
        <v>DIMAS DANU SOHIBAN</v>
      </c>
      <c r="G918" s="21"/>
    </row>
    <row r="919" spans="2:7">
      <c r="B919" s="22" t="s">
        <v>927</v>
      </c>
      <c r="C919" s="23" t="s">
        <v>928</v>
      </c>
      <c r="D919" s="24" t="s">
        <v>959</v>
      </c>
      <c r="E919" s="25" t="s">
        <v>1722</v>
      </c>
      <c r="F919" s="16" t="str">
        <f>_xlfn.XLOOKUP(D919,'[8]AGUSTUS 2026'!$B:$B,'[8]AGUSTUS 2026'!$I:$I,"Tidak Ditemukan")</f>
        <v>DIMAS DANU SOHIBAN</v>
      </c>
      <c r="G919" s="21"/>
    </row>
    <row r="920" spans="2:7">
      <c r="B920" s="22" t="s">
        <v>927</v>
      </c>
      <c r="C920" s="23" t="s">
        <v>928</v>
      </c>
      <c r="D920" s="24" t="s">
        <v>960</v>
      </c>
      <c r="E920" s="25" t="s">
        <v>1722</v>
      </c>
      <c r="F920" s="16" t="str">
        <f>_xlfn.XLOOKUP(D920,'[8]AGUSTUS 2026'!$B:$B,'[8]AGUSTUS 2026'!$I:$I,"Tidak Ditemukan")</f>
        <v>DIMAS DANU SOHIBAN</v>
      </c>
      <c r="G920" s="21"/>
    </row>
    <row r="921" spans="2:7">
      <c r="B921" s="22" t="s">
        <v>927</v>
      </c>
      <c r="C921" s="23" t="s">
        <v>928</v>
      </c>
      <c r="D921" s="24" t="s">
        <v>961</v>
      </c>
      <c r="E921" s="25" t="s">
        <v>1722</v>
      </c>
      <c r="F921" s="16" t="str">
        <f>_xlfn.XLOOKUP(D921,'[8]AGUSTUS 2026'!$B:$B,'[8]AGUSTUS 2026'!$I:$I,"Tidak Ditemukan")</f>
        <v>IFAN SUTIONO</v>
      </c>
      <c r="G921" s="21"/>
    </row>
    <row r="922" spans="2:7">
      <c r="B922" s="22" t="s">
        <v>927</v>
      </c>
      <c r="C922" s="23" t="s">
        <v>928</v>
      </c>
      <c r="D922" s="24" t="s">
        <v>962</v>
      </c>
      <c r="E922" s="25" t="s">
        <v>1722</v>
      </c>
      <c r="F922" s="16" t="str">
        <f>_xlfn.XLOOKUP(D922,'[8]AGUSTUS 2026'!$B:$B,'[8]AGUSTUS 2026'!$I:$I,"Tidak Ditemukan")</f>
        <v>IFAN SUTIONO</v>
      </c>
      <c r="G922" s="21"/>
    </row>
    <row r="923" spans="2:7">
      <c r="B923" s="22" t="s">
        <v>927</v>
      </c>
      <c r="C923" s="23" t="s">
        <v>928</v>
      </c>
      <c r="D923" s="24" t="s">
        <v>963</v>
      </c>
      <c r="E923" s="25" t="s">
        <v>1722</v>
      </c>
      <c r="F923" s="16" t="str">
        <f>_xlfn.XLOOKUP(D923,'[8]AGUSTUS 2026'!$B:$B,'[8]AGUSTUS 2026'!$I:$I,"Tidak Ditemukan")</f>
        <v>SURYA DWI J</v>
      </c>
      <c r="G923" s="21"/>
    </row>
    <row r="924" spans="2:7">
      <c r="B924" s="22" t="s">
        <v>927</v>
      </c>
      <c r="C924" s="23" t="s">
        <v>928</v>
      </c>
      <c r="D924" s="24" t="s">
        <v>964</v>
      </c>
      <c r="E924" s="25" t="s">
        <v>1722</v>
      </c>
      <c r="F924" s="16" t="str">
        <f>_xlfn.XLOOKUP(D924,'[8]AGUSTUS 2026'!$B:$B,'[8]AGUSTUS 2026'!$I:$I,"Tidak Ditemukan")</f>
        <v>SURYA DWI J</v>
      </c>
      <c r="G924" s="21"/>
    </row>
    <row r="925" spans="2:7">
      <c r="B925" s="22" t="s">
        <v>927</v>
      </c>
      <c r="C925" s="23" t="s">
        <v>928</v>
      </c>
      <c r="D925" s="24" t="s">
        <v>965</v>
      </c>
      <c r="E925" s="25" t="s">
        <v>1722</v>
      </c>
      <c r="F925" s="16" t="str">
        <f>_xlfn.XLOOKUP(D925,'[8]AGUSTUS 2026'!$B:$B,'[8]AGUSTUS 2026'!$I:$I,"Tidak Ditemukan")</f>
        <v>SURYA DWI J</v>
      </c>
      <c r="G925" s="21"/>
    </row>
    <row r="926" spans="2:7">
      <c r="B926" s="22" t="s">
        <v>927</v>
      </c>
      <c r="C926" s="23" t="s">
        <v>928</v>
      </c>
      <c r="D926" s="24" t="s">
        <v>966</v>
      </c>
      <c r="E926" s="25" t="s">
        <v>1722</v>
      </c>
      <c r="F926" s="16" t="str">
        <f>_xlfn.XLOOKUP(D926,'[8]AGUSTUS 2026'!$B:$B,'[8]AGUSTUS 2026'!$I:$I,"Tidak Ditemukan")</f>
        <v>SURYA DWI J</v>
      </c>
      <c r="G926" s="21"/>
    </row>
    <row r="927" spans="2:7">
      <c r="B927" s="22" t="s">
        <v>927</v>
      </c>
      <c r="C927" s="23" t="s">
        <v>928</v>
      </c>
      <c r="D927" s="24" t="s">
        <v>967</v>
      </c>
      <c r="E927" s="25" t="s">
        <v>1722</v>
      </c>
      <c r="F927" s="16" t="str">
        <f>_xlfn.XLOOKUP(D927,'[8]AGUSTUS 2026'!$B:$B,'[8]AGUSTUS 2026'!$I:$I,"Tidak Ditemukan")</f>
        <v>SURYA DWI J</v>
      </c>
      <c r="G927" s="21"/>
    </row>
    <row r="928" spans="2:7">
      <c r="B928" s="22" t="s">
        <v>927</v>
      </c>
      <c r="C928" s="23" t="s">
        <v>928</v>
      </c>
      <c r="D928" s="24" t="s">
        <v>968</v>
      </c>
      <c r="E928" s="25" t="s">
        <v>1722</v>
      </c>
      <c r="F928" s="16" t="str">
        <f>_xlfn.XLOOKUP(D928,'[8]AGUSTUS 2026'!$B:$B,'[8]AGUSTUS 2026'!$I:$I,"Tidak Ditemukan")</f>
        <v>SURYA DWI J</v>
      </c>
      <c r="G928" s="21"/>
    </row>
    <row r="929" spans="2:7">
      <c r="B929" s="22" t="s">
        <v>927</v>
      </c>
      <c r="C929" s="23" t="s">
        <v>928</v>
      </c>
      <c r="D929" s="24" t="s">
        <v>969</v>
      </c>
      <c r="E929" s="25" t="s">
        <v>1722</v>
      </c>
      <c r="F929" s="16" t="str">
        <f>_xlfn.XLOOKUP(D929,'[8]AGUSTUS 2026'!$B:$B,'[8]AGUSTUS 2026'!$I:$I,"Tidak Ditemukan")</f>
        <v>OKI WILLYANTO</v>
      </c>
      <c r="G929" s="21"/>
    </row>
    <row r="930" spans="2:7">
      <c r="B930" s="22" t="s">
        <v>927</v>
      </c>
      <c r="C930" s="23" t="s">
        <v>928</v>
      </c>
      <c r="D930" s="24" t="s">
        <v>970</v>
      </c>
      <c r="E930" s="25" t="s">
        <v>1722</v>
      </c>
      <c r="F930" s="16" t="str">
        <f>_xlfn.XLOOKUP(D930,'[8]AGUSTUS 2026'!$B:$B,'[8]AGUSTUS 2026'!$I:$I,"Tidak Ditemukan")</f>
        <v>FATAH MUSTOFA B</v>
      </c>
      <c r="G930" s="21"/>
    </row>
    <row r="931" spans="2:7">
      <c r="B931" s="22" t="s">
        <v>927</v>
      </c>
      <c r="C931" s="23" t="s">
        <v>928</v>
      </c>
      <c r="D931" s="24" t="s">
        <v>971</v>
      </c>
      <c r="E931" s="25" t="s">
        <v>1722</v>
      </c>
      <c r="F931" s="16" t="str">
        <f>_xlfn.XLOOKUP(D931,'[8]AGUSTUS 2026'!$B:$B,'[8]AGUSTUS 2026'!$I:$I,"Tidak Ditemukan")</f>
        <v>FATAH MUSTOFA B</v>
      </c>
      <c r="G931" s="21"/>
    </row>
    <row r="932" spans="2:7">
      <c r="B932" s="22" t="s">
        <v>927</v>
      </c>
      <c r="C932" s="23" t="s">
        <v>928</v>
      </c>
      <c r="D932" s="24" t="s">
        <v>972</v>
      </c>
      <c r="E932" s="25" t="s">
        <v>1722</v>
      </c>
      <c r="F932" s="16" t="str">
        <f>_xlfn.XLOOKUP(D932,'[8]AGUSTUS 2026'!$B:$B,'[8]AGUSTUS 2026'!$I:$I,"Tidak Ditemukan")</f>
        <v>FATAH MUSTOFA B</v>
      </c>
      <c r="G932" s="21"/>
    </row>
    <row r="933" spans="2:7">
      <c r="B933" s="22" t="s">
        <v>927</v>
      </c>
      <c r="C933" s="23" t="s">
        <v>928</v>
      </c>
      <c r="D933" s="24" t="s">
        <v>973</v>
      </c>
      <c r="E933" s="25" t="s">
        <v>1722</v>
      </c>
      <c r="F933" s="16" t="str">
        <f>_xlfn.XLOOKUP(D933,'[8]AGUSTUS 2026'!$B:$B,'[8]AGUSTUS 2026'!$I:$I,"Tidak Ditemukan")</f>
        <v>FATAH MUSTOFA B</v>
      </c>
      <c r="G933" s="21"/>
    </row>
    <row r="934" spans="2:7">
      <c r="B934" s="22" t="s">
        <v>927</v>
      </c>
      <c r="C934" s="23" t="s">
        <v>928</v>
      </c>
      <c r="D934" s="24" t="s">
        <v>974</v>
      </c>
      <c r="E934" s="25" t="s">
        <v>1722</v>
      </c>
      <c r="F934" s="16" t="str">
        <f>_xlfn.XLOOKUP(D934,'[8]AGUSTUS 2026'!$B:$B,'[8]AGUSTUS 2026'!$I:$I,"Tidak Ditemukan")</f>
        <v>FATAH MUSTOFA B</v>
      </c>
      <c r="G934" s="21"/>
    </row>
    <row r="935" spans="2:7">
      <c r="B935" s="22" t="s">
        <v>927</v>
      </c>
      <c r="C935" s="23" t="s">
        <v>928</v>
      </c>
      <c r="D935" s="24" t="s">
        <v>975</v>
      </c>
      <c r="E935" s="25" t="s">
        <v>1722</v>
      </c>
      <c r="F935" s="16" t="str">
        <f>_xlfn.XLOOKUP(D935,'[8]AGUSTUS 2026'!$B:$B,'[8]AGUSTUS 2026'!$I:$I,"Tidak Ditemukan")</f>
        <v>FATAH MUSTOFA B</v>
      </c>
      <c r="G935" s="21"/>
    </row>
    <row r="936" spans="2:7">
      <c r="B936" s="22" t="s">
        <v>927</v>
      </c>
      <c r="C936" s="23" t="s">
        <v>928</v>
      </c>
      <c r="D936" s="24" t="s">
        <v>976</v>
      </c>
      <c r="E936" s="25" t="s">
        <v>1722</v>
      </c>
      <c r="F936" s="16" t="str">
        <f>_xlfn.XLOOKUP(D936,'[8]AGUSTUS 2026'!$B:$B,'[8]AGUSTUS 2026'!$I:$I,"Tidak Ditemukan")</f>
        <v>FATAH MUSTOFA B</v>
      </c>
      <c r="G936" s="21"/>
    </row>
    <row r="937" spans="2:7">
      <c r="B937" s="22" t="s">
        <v>927</v>
      </c>
      <c r="C937" s="23" t="s">
        <v>928</v>
      </c>
      <c r="D937" s="24" t="s">
        <v>977</v>
      </c>
      <c r="E937" s="25" t="s">
        <v>1722</v>
      </c>
      <c r="F937" s="16" t="str">
        <f>_xlfn.XLOOKUP(D937,'[8]AGUSTUS 2026'!$B:$B,'[8]AGUSTUS 2026'!$I:$I,"Tidak Ditemukan")</f>
        <v>OKI WILLYANTO</v>
      </c>
      <c r="G937" s="21"/>
    </row>
    <row r="938" spans="2:7">
      <c r="B938" s="22" t="s">
        <v>927</v>
      </c>
      <c r="C938" s="23" t="s">
        <v>928</v>
      </c>
      <c r="D938" s="24" t="s">
        <v>978</v>
      </c>
      <c r="E938" s="25" t="s">
        <v>1722</v>
      </c>
      <c r="F938" s="16" t="str">
        <f>_xlfn.XLOOKUP(D938,'[8]AGUSTUS 2026'!$B:$B,'[8]AGUSTUS 2026'!$I:$I,"Tidak Ditemukan")</f>
        <v>FATAH MUSTOFA B</v>
      </c>
      <c r="G938" s="21"/>
    </row>
    <row r="939" spans="2:7">
      <c r="B939" s="22" t="s">
        <v>927</v>
      </c>
      <c r="C939" s="23" t="s">
        <v>928</v>
      </c>
      <c r="D939" s="24" t="s">
        <v>979</v>
      </c>
      <c r="E939" s="25" t="s">
        <v>1722</v>
      </c>
      <c r="F939" s="16" t="str">
        <f>_xlfn.XLOOKUP(D939,'[8]AGUSTUS 2026'!$B:$B,'[8]AGUSTUS 2026'!$I:$I,"Tidak Ditemukan")</f>
        <v>FATAH MUSTOFA B</v>
      </c>
      <c r="G939" s="21"/>
    </row>
    <row r="940" spans="2:7">
      <c r="B940" s="22" t="s">
        <v>927</v>
      </c>
      <c r="C940" s="23" t="s">
        <v>928</v>
      </c>
      <c r="D940" s="24" t="s">
        <v>980</v>
      </c>
      <c r="E940" s="25" t="s">
        <v>1722</v>
      </c>
      <c r="F940" s="16" t="str">
        <f>_xlfn.XLOOKUP(D940,'[8]AGUSTUS 2026'!$B:$B,'[8]AGUSTUS 2026'!$I:$I,"Tidak Ditemukan")</f>
        <v>LUTFI HARIYANTO</v>
      </c>
      <c r="G940" s="21"/>
    </row>
    <row r="941" spans="2:7">
      <c r="B941" s="22" t="s">
        <v>927</v>
      </c>
      <c r="C941" s="23" t="s">
        <v>928</v>
      </c>
      <c r="D941" s="24" t="s">
        <v>981</v>
      </c>
      <c r="E941" s="25" t="s">
        <v>1722</v>
      </c>
      <c r="F941" s="16" t="str">
        <f>_xlfn.XLOOKUP(D941,'[8]AGUSTUS 2026'!$B:$B,'[8]AGUSTUS 2026'!$I:$I,"Tidak Ditemukan")</f>
        <v>LUTFI HARIYANTO</v>
      </c>
      <c r="G941" s="21"/>
    </row>
    <row r="942" spans="2:7">
      <c r="B942" s="22" t="s">
        <v>927</v>
      </c>
      <c r="C942" s="23" t="s">
        <v>928</v>
      </c>
      <c r="D942" s="24" t="s">
        <v>982</v>
      </c>
      <c r="E942" s="25" t="s">
        <v>1722</v>
      </c>
      <c r="F942" s="16" t="str">
        <f>_xlfn.XLOOKUP(D942,'[8]AGUSTUS 2026'!$B:$B,'[8]AGUSTUS 2026'!$I:$I,"Tidak Ditemukan")</f>
        <v>LUTFI HARIYANTO</v>
      </c>
      <c r="G942" s="21"/>
    </row>
    <row r="943" spans="2:7">
      <c r="B943" s="22" t="s">
        <v>927</v>
      </c>
      <c r="C943" s="23" t="s">
        <v>928</v>
      </c>
      <c r="D943" s="24" t="s">
        <v>983</v>
      </c>
      <c r="E943" s="25" t="s">
        <v>1722</v>
      </c>
      <c r="F943" s="16" t="str">
        <f>_xlfn.XLOOKUP(D943,'[8]AGUSTUS 2026'!$B:$B,'[8]AGUSTUS 2026'!$I:$I,"Tidak Ditemukan")</f>
        <v>LUTFI HARIYANTO</v>
      </c>
      <c r="G943" s="21"/>
    </row>
    <row r="944" spans="2:7">
      <c r="B944" s="22" t="s">
        <v>927</v>
      </c>
      <c r="C944" s="23" t="s">
        <v>928</v>
      </c>
      <c r="D944" s="24" t="s">
        <v>984</v>
      </c>
      <c r="E944" s="25" t="s">
        <v>1722</v>
      </c>
      <c r="F944" s="16" t="str">
        <f>_xlfn.XLOOKUP(D944,'[8]AGUSTUS 2026'!$B:$B,'[8]AGUSTUS 2026'!$I:$I,"Tidak Ditemukan")</f>
        <v>LUTFI HARIYANTO</v>
      </c>
      <c r="G944" s="21"/>
    </row>
    <row r="945" spans="2:7">
      <c r="B945" s="22" t="s">
        <v>927</v>
      </c>
      <c r="C945" s="23" t="s">
        <v>928</v>
      </c>
      <c r="D945" s="24" t="s">
        <v>985</v>
      </c>
      <c r="E945" s="25" t="s">
        <v>1722</v>
      </c>
      <c r="F945" s="16" t="str">
        <f>_xlfn.XLOOKUP(D945,'[8]AGUSTUS 2026'!$B:$B,'[8]AGUSTUS 2026'!$I:$I,"Tidak Ditemukan")</f>
        <v>LUTFI HARIYANTO</v>
      </c>
      <c r="G945" s="21"/>
    </row>
    <row r="946" spans="2:7">
      <c r="B946" s="22" t="s">
        <v>927</v>
      </c>
      <c r="C946" s="23" t="s">
        <v>928</v>
      </c>
      <c r="D946" s="24" t="s">
        <v>986</v>
      </c>
      <c r="E946" s="25" t="s">
        <v>1722</v>
      </c>
      <c r="F946" s="16" t="str">
        <f>_xlfn.XLOOKUP(D946,'[8]AGUSTUS 2026'!$B:$B,'[8]AGUSTUS 2026'!$I:$I,"Tidak Ditemukan")</f>
        <v>LUTFI HARIYANTO</v>
      </c>
      <c r="G946" s="21"/>
    </row>
    <row r="947" spans="2:7">
      <c r="B947" s="22" t="s">
        <v>927</v>
      </c>
      <c r="C947" s="23" t="s">
        <v>928</v>
      </c>
      <c r="D947" s="24" t="s">
        <v>987</v>
      </c>
      <c r="E947" s="25" t="s">
        <v>1722</v>
      </c>
      <c r="F947" s="16" t="str">
        <f>_xlfn.XLOOKUP(D947,'[8]AGUSTUS 2026'!$B:$B,'[8]AGUSTUS 2026'!$I:$I,"Tidak Ditemukan")</f>
        <v>LUTFI HARIYANTO</v>
      </c>
      <c r="G947" s="21"/>
    </row>
    <row r="948" spans="2:7">
      <c r="B948" s="22" t="s">
        <v>927</v>
      </c>
      <c r="C948" s="23" t="s">
        <v>928</v>
      </c>
      <c r="D948" s="24" t="s">
        <v>988</v>
      </c>
      <c r="E948" s="25" t="s">
        <v>1722</v>
      </c>
      <c r="F948" s="16" t="str">
        <f>_xlfn.XLOOKUP(D948,'[8]AGUSTUS 2026'!$B:$B,'[8]AGUSTUS 2026'!$I:$I,"Tidak Ditemukan")</f>
        <v>LUTFI HARIYANTO</v>
      </c>
      <c r="G948" s="21"/>
    </row>
    <row r="949" spans="2:7">
      <c r="B949" s="22" t="s">
        <v>927</v>
      </c>
      <c r="C949" s="23" t="s">
        <v>928</v>
      </c>
      <c r="D949" s="24" t="s">
        <v>989</v>
      </c>
      <c r="E949" s="25" t="s">
        <v>1722</v>
      </c>
      <c r="F949" s="16" t="str">
        <f>_xlfn.XLOOKUP(D949,'[8]AGUSTUS 2026'!$B:$B,'[8]AGUSTUS 2026'!$I:$I,"Tidak Ditemukan")</f>
        <v>RASTO ZANU MUBIARTO</v>
      </c>
      <c r="G949" s="21"/>
    </row>
    <row r="950" spans="2:7">
      <c r="B950" s="22" t="s">
        <v>927</v>
      </c>
      <c r="C950" s="23" t="s">
        <v>928</v>
      </c>
      <c r="D950" s="24" t="s">
        <v>990</v>
      </c>
      <c r="E950" s="25" t="s">
        <v>1722</v>
      </c>
      <c r="F950" s="16" t="str">
        <f>_xlfn.XLOOKUP(D950,'[8]AGUSTUS 2026'!$B:$B,'[8]AGUSTUS 2026'!$I:$I,"Tidak Ditemukan")</f>
        <v>RASTO ZANU MUBIARTO</v>
      </c>
      <c r="G950" s="21"/>
    </row>
    <row r="951" spans="2:7">
      <c r="B951" s="22" t="s">
        <v>927</v>
      </c>
      <c r="C951" s="23" t="s">
        <v>928</v>
      </c>
      <c r="D951" s="24" t="s">
        <v>991</v>
      </c>
      <c r="E951" s="25" t="s">
        <v>1722</v>
      </c>
      <c r="F951" s="16" t="str">
        <f>_xlfn.XLOOKUP(D951,'[8]AGUSTUS 2026'!$B:$B,'[8]AGUSTUS 2026'!$I:$I,"Tidak Ditemukan")</f>
        <v>RASTO ZANU MUBIARTO</v>
      </c>
      <c r="G951" s="21"/>
    </row>
    <row r="952" spans="2:7">
      <c r="B952" s="22" t="s">
        <v>927</v>
      </c>
      <c r="C952" s="23" t="s">
        <v>928</v>
      </c>
      <c r="D952" s="24" t="s">
        <v>992</v>
      </c>
      <c r="E952" s="25" t="s">
        <v>1722</v>
      </c>
      <c r="F952" s="16" t="str">
        <f>_xlfn.XLOOKUP(D952,'[8]AGUSTUS 2026'!$B:$B,'[8]AGUSTUS 2026'!$I:$I,"Tidak Ditemukan")</f>
        <v>RASTO ZANU MUBIARTO</v>
      </c>
      <c r="G952" s="21"/>
    </row>
    <row r="953" spans="2:7">
      <c r="B953" s="22" t="s">
        <v>927</v>
      </c>
      <c r="C953" s="23" t="s">
        <v>928</v>
      </c>
      <c r="D953" s="24" t="s">
        <v>993</v>
      </c>
      <c r="E953" s="25" t="s">
        <v>1722</v>
      </c>
      <c r="F953" s="16" t="str">
        <f>_xlfn.XLOOKUP(D953,'[8]AGUSTUS 2026'!$B:$B,'[8]AGUSTUS 2026'!$I:$I,"Tidak Ditemukan")</f>
        <v>ADIMAS BAYU RADITYO</v>
      </c>
      <c r="G953" s="21"/>
    </row>
    <row r="954" spans="2:7">
      <c r="B954" s="22" t="s">
        <v>927</v>
      </c>
      <c r="C954" s="23" t="s">
        <v>928</v>
      </c>
      <c r="D954" s="24" t="s">
        <v>994</v>
      </c>
      <c r="E954" s="25" t="s">
        <v>1722</v>
      </c>
      <c r="F954" s="16" t="str">
        <f>_xlfn.XLOOKUP(D954,'[8]AGUSTUS 2026'!$B:$B,'[8]AGUSTUS 2026'!$I:$I,"Tidak Ditemukan")</f>
        <v>ADIMAS BAYU RADITYO</v>
      </c>
      <c r="G954" s="21"/>
    </row>
    <row r="955" spans="2:7">
      <c r="B955" s="22" t="s">
        <v>927</v>
      </c>
      <c r="C955" s="23" t="s">
        <v>928</v>
      </c>
      <c r="D955" s="24" t="s">
        <v>995</v>
      </c>
      <c r="E955" s="25" t="s">
        <v>1722</v>
      </c>
      <c r="F955" s="16" t="str">
        <f>_xlfn.XLOOKUP(D955,'[8]AGUSTUS 2026'!$B:$B,'[8]AGUSTUS 2026'!$I:$I,"Tidak Ditemukan")</f>
        <v>ADIMAS BAYU RADITYO</v>
      </c>
      <c r="G955" s="21"/>
    </row>
    <row r="956" spans="2:7">
      <c r="B956" s="22" t="s">
        <v>927</v>
      </c>
      <c r="C956" s="23" t="s">
        <v>928</v>
      </c>
      <c r="D956" s="24" t="s">
        <v>996</v>
      </c>
      <c r="E956" s="25" t="s">
        <v>1722</v>
      </c>
      <c r="F956" s="16" t="str">
        <f>_xlfn.XLOOKUP(D956,'[8]AGUSTUS 2026'!$B:$B,'[8]AGUSTUS 2026'!$I:$I,"Tidak Ditemukan")</f>
        <v>ADIMAS BAYU RADITYO</v>
      </c>
      <c r="G956" s="21"/>
    </row>
    <row r="957" spans="2:7">
      <c r="B957" s="22" t="s">
        <v>927</v>
      </c>
      <c r="C957" s="23" t="s">
        <v>928</v>
      </c>
      <c r="D957" s="24" t="s">
        <v>997</v>
      </c>
      <c r="E957" s="25" t="s">
        <v>1722</v>
      </c>
      <c r="F957" s="16" t="str">
        <f>_xlfn.XLOOKUP(D957,'[8]AGUSTUS 2026'!$B:$B,'[8]AGUSTUS 2026'!$I:$I,"Tidak Ditemukan")</f>
        <v>ADIMAS BAYU RADITYO</v>
      </c>
      <c r="G957" s="21"/>
    </row>
    <row r="958" spans="2:7">
      <c r="B958" s="22" t="s">
        <v>927</v>
      </c>
      <c r="C958" s="23" t="s">
        <v>928</v>
      </c>
      <c r="D958" s="24" t="s">
        <v>998</v>
      </c>
      <c r="E958" s="25" t="s">
        <v>1722</v>
      </c>
      <c r="F958" s="16" t="str">
        <f>_xlfn.XLOOKUP(D958,'[8]AGUSTUS 2026'!$B:$B,'[8]AGUSTUS 2026'!$I:$I,"Tidak Ditemukan")</f>
        <v>ADIMAS BAYU RADITYO</v>
      </c>
      <c r="G958" s="21"/>
    </row>
    <row r="959" spans="2:7">
      <c r="B959" s="22" t="s">
        <v>927</v>
      </c>
      <c r="C959" s="23" t="s">
        <v>928</v>
      </c>
      <c r="D959" s="24" t="s">
        <v>999</v>
      </c>
      <c r="E959" s="25" t="s">
        <v>1722</v>
      </c>
      <c r="F959" s="16" t="str">
        <f>_xlfn.XLOOKUP(D959,'[8]AGUSTUS 2026'!$B:$B,'[8]AGUSTUS 2026'!$I:$I,"Tidak Ditemukan")</f>
        <v>ADIMAS BAYU RADITYO</v>
      </c>
      <c r="G959" s="21"/>
    </row>
    <row r="960" spans="2:7">
      <c r="B960" s="22" t="s">
        <v>927</v>
      </c>
      <c r="C960" s="23" t="s">
        <v>928</v>
      </c>
      <c r="D960" s="24" t="s">
        <v>1000</v>
      </c>
      <c r="E960" s="25" t="s">
        <v>1722</v>
      </c>
      <c r="F960" s="16" t="str">
        <f>_xlfn.XLOOKUP(D960,'[8]AGUSTUS 2026'!$B:$B,'[8]AGUSTUS 2026'!$I:$I,"Tidak Ditemukan")</f>
        <v>ADIMAS BAYU RADITYO</v>
      </c>
      <c r="G960" s="21"/>
    </row>
    <row r="961" spans="2:7">
      <c r="B961" s="22" t="s">
        <v>927</v>
      </c>
      <c r="C961" s="23" t="s">
        <v>928</v>
      </c>
      <c r="D961" s="24" t="s">
        <v>1001</v>
      </c>
      <c r="E961" s="25" t="s">
        <v>1722</v>
      </c>
      <c r="F961" s="16" t="str">
        <f>_xlfn.XLOOKUP(D961,'[8]AGUSTUS 2026'!$B:$B,'[8]AGUSTUS 2026'!$I:$I,"Tidak Ditemukan")</f>
        <v>ADIMAS BAYU RADITYO</v>
      </c>
      <c r="G961" s="21"/>
    </row>
    <row r="962" spans="2:7">
      <c r="B962" s="22" t="s">
        <v>927</v>
      </c>
      <c r="C962" s="23" t="s">
        <v>928</v>
      </c>
      <c r="D962" s="24" t="s">
        <v>1002</v>
      </c>
      <c r="E962" s="25" t="s">
        <v>1722</v>
      </c>
      <c r="F962" s="16" t="str">
        <f>_xlfn.XLOOKUP(D962,'[8]AGUSTUS 2026'!$B:$B,'[8]AGUSTUS 2026'!$I:$I,"Tidak Ditemukan")</f>
        <v>ADIMAS BAYU RADITYO</v>
      </c>
      <c r="G962" s="21"/>
    </row>
    <row r="963" spans="2:7">
      <c r="B963" s="22" t="s">
        <v>927</v>
      </c>
      <c r="C963" s="23" t="s">
        <v>928</v>
      </c>
      <c r="D963" s="24" t="s">
        <v>1003</v>
      </c>
      <c r="E963" s="25" t="s">
        <v>1722</v>
      </c>
      <c r="F963" s="16" t="str">
        <f>_xlfn.XLOOKUP(D963,'[8]AGUSTUS 2026'!$B:$B,'[8]AGUSTUS 2026'!$I:$I,"Tidak Ditemukan")</f>
        <v>ADIMAS BAYU RADITYO</v>
      </c>
      <c r="G963" s="21"/>
    </row>
    <row r="964" spans="2:7">
      <c r="B964" s="22" t="s">
        <v>927</v>
      </c>
      <c r="C964" s="23" t="s">
        <v>928</v>
      </c>
      <c r="D964" s="24" t="s">
        <v>1004</v>
      </c>
      <c r="E964" s="25" t="s">
        <v>1722</v>
      </c>
      <c r="F964" s="16" t="str">
        <f>_xlfn.XLOOKUP(D964,'[8]AGUSTUS 2026'!$B:$B,'[8]AGUSTUS 2026'!$I:$I,"Tidak Ditemukan")</f>
        <v>ADIMAS BAYU RADITYO</v>
      </c>
      <c r="G964" s="21"/>
    </row>
    <row r="965" spans="2:7">
      <c r="B965" s="22" t="s">
        <v>927</v>
      </c>
      <c r="C965" s="23" t="s">
        <v>928</v>
      </c>
      <c r="D965" s="24" t="s">
        <v>1005</v>
      </c>
      <c r="E965" s="25" t="s">
        <v>1722</v>
      </c>
      <c r="F965" s="16" t="str">
        <f>_xlfn.XLOOKUP(D965,'[8]AGUSTUS 2026'!$B:$B,'[8]AGUSTUS 2026'!$I:$I,"Tidak Ditemukan")</f>
        <v>MUHAMMAD DENI HENDRO SUSILO</v>
      </c>
      <c r="G965" s="21"/>
    </row>
    <row r="966" spans="2:7">
      <c r="B966" s="22" t="s">
        <v>927</v>
      </c>
      <c r="C966" s="23" t="s">
        <v>928</v>
      </c>
      <c r="D966" s="24" t="s">
        <v>1006</v>
      </c>
      <c r="E966" s="25" t="s">
        <v>1722</v>
      </c>
      <c r="F966" s="16" t="str">
        <f>_xlfn.XLOOKUP(D966,'[8]AGUSTUS 2026'!$B:$B,'[8]AGUSTUS 2026'!$I:$I,"Tidak Ditemukan")</f>
        <v>MUHAMMAD DENI HENDRO SUSILO</v>
      </c>
      <c r="G966" s="21"/>
    </row>
    <row r="967" spans="2:7">
      <c r="B967" s="22" t="s">
        <v>927</v>
      </c>
      <c r="C967" s="23" t="s">
        <v>928</v>
      </c>
      <c r="D967" s="24" t="s">
        <v>1007</v>
      </c>
      <c r="E967" s="25" t="s">
        <v>1722</v>
      </c>
      <c r="F967" s="16" t="str">
        <f>_xlfn.XLOOKUP(D967,'[8]AGUSTUS 2026'!$B:$B,'[8]AGUSTUS 2026'!$I:$I,"Tidak Ditemukan")</f>
        <v>MUHAMMAD DENI HENDRO SUSILO</v>
      </c>
      <c r="G967" s="21"/>
    </row>
    <row r="968" spans="2:7">
      <c r="B968" s="22" t="s">
        <v>927</v>
      </c>
      <c r="C968" s="23" t="s">
        <v>928</v>
      </c>
      <c r="D968" s="24" t="s">
        <v>1008</v>
      </c>
      <c r="E968" s="25" t="s">
        <v>1722</v>
      </c>
      <c r="F968" s="16" t="str">
        <f>_xlfn.XLOOKUP(D968,'[8]AGUSTUS 2026'!$B:$B,'[8]AGUSTUS 2026'!$I:$I,"Tidak Ditemukan")</f>
        <v>MUHAMMAD DENI HENDRO SUSILO</v>
      </c>
      <c r="G968" s="21"/>
    </row>
    <row r="969" spans="2:7">
      <c r="B969" s="22" t="s">
        <v>927</v>
      </c>
      <c r="C969" s="23" t="s">
        <v>928</v>
      </c>
      <c r="D969" s="24" t="s">
        <v>1009</v>
      </c>
      <c r="E969" s="25" t="s">
        <v>1722</v>
      </c>
      <c r="F969" s="16" t="str">
        <f>_xlfn.XLOOKUP(D969,'[8]AGUSTUS 2026'!$B:$B,'[8]AGUSTUS 2026'!$I:$I,"Tidak Ditemukan")</f>
        <v>MUHAMMAD DENI HENDRO SUSILO</v>
      </c>
      <c r="G969" s="21"/>
    </row>
    <row r="970" spans="2:7">
      <c r="B970" s="22" t="s">
        <v>927</v>
      </c>
      <c r="C970" s="23" t="s">
        <v>928</v>
      </c>
      <c r="D970" s="24" t="s">
        <v>1010</v>
      </c>
      <c r="E970" s="25" t="s">
        <v>1722</v>
      </c>
      <c r="F970" s="16" t="str">
        <f>_xlfn.XLOOKUP(D970,'[8]AGUSTUS 2026'!$B:$B,'[8]AGUSTUS 2026'!$I:$I,"Tidak Ditemukan")</f>
        <v>MUHAMMAD DENI HENDRO SUSILO</v>
      </c>
      <c r="G970" s="21"/>
    </row>
    <row r="971" spans="2:7">
      <c r="B971" s="22" t="s">
        <v>927</v>
      </c>
      <c r="C971" s="23" t="s">
        <v>928</v>
      </c>
      <c r="D971" s="24" t="s">
        <v>1011</v>
      </c>
      <c r="E971" s="25" t="s">
        <v>1722</v>
      </c>
      <c r="F971" s="16" t="str">
        <f>_xlfn.XLOOKUP(D971,'[8]AGUSTUS 2026'!$B:$B,'[8]AGUSTUS 2026'!$I:$I,"Tidak Ditemukan")</f>
        <v>MUHAMMAD DENI HENDRO SUSILO</v>
      </c>
      <c r="G971" s="21"/>
    </row>
    <row r="972" spans="2:7">
      <c r="B972" s="22" t="s">
        <v>927</v>
      </c>
      <c r="C972" s="23" t="s">
        <v>928</v>
      </c>
      <c r="D972" s="24" t="s">
        <v>1012</v>
      </c>
      <c r="E972" s="25" t="s">
        <v>1722</v>
      </c>
      <c r="F972" s="16" t="str">
        <f>_xlfn.XLOOKUP(D972,'[8]AGUSTUS 2026'!$B:$B,'[8]AGUSTUS 2026'!$I:$I,"Tidak Ditemukan")</f>
        <v>MUHAMMAD DENI HENDRO SUSILO</v>
      </c>
      <c r="G972" s="21"/>
    </row>
    <row r="973" spans="2:7">
      <c r="B973" s="22" t="s">
        <v>927</v>
      </c>
      <c r="C973" s="23" t="s">
        <v>928</v>
      </c>
      <c r="D973" s="24" t="s">
        <v>1013</v>
      </c>
      <c r="E973" s="25" t="s">
        <v>1722</v>
      </c>
      <c r="F973" s="16" t="str">
        <f>_xlfn.XLOOKUP(D973,'[8]AGUSTUS 2026'!$B:$B,'[8]AGUSTUS 2026'!$I:$I,"Tidak Ditemukan")</f>
        <v>MUHAMMAD DENI HENDRO SUSILO</v>
      </c>
      <c r="G973" s="21"/>
    </row>
    <row r="974" spans="2:7">
      <c r="B974" s="22" t="s">
        <v>927</v>
      </c>
      <c r="C974" s="23" t="s">
        <v>928</v>
      </c>
      <c r="D974" s="24" t="s">
        <v>1014</v>
      </c>
      <c r="E974" s="25" t="s">
        <v>1722</v>
      </c>
      <c r="F974" s="16" t="str">
        <f>_xlfn.XLOOKUP(D974,'[8]AGUSTUS 2026'!$B:$B,'[8]AGUSTUS 2026'!$I:$I,"Tidak Ditemukan")</f>
        <v>MUHAMMAD DENI HENDRO SUSILO</v>
      </c>
      <c r="G974" s="21"/>
    </row>
    <row r="975" spans="2:7">
      <c r="B975" s="22" t="s">
        <v>927</v>
      </c>
      <c r="C975" s="23" t="s">
        <v>928</v>
      </c>
      <c r="D975" s="24" t="s">
        <v>1015</v>
      </c>
      <c r="E975" s="25" t="s">
        <v>1722</v>
      </c>
      <c r="F975" s="16" t="str">
        <f>_xlfn.XLOOKUP(D975,'[8]AGUSTUS 2026'!$B:$B,'[8]AGUSTUS 2026'!$I:$I,"Tidak Ditemukan")</f>
        <v>MUHAMMAD DENI HENDRO SUSILO</v>
      </c>
      <c r="G975" s="21"/>
    </row>
    <row r="976" spans="2:7">
      <c r="B976" s="22" t="s">
        <v>927</v>
      </c>
      <c r="C976" s="23" t="s">
        <v>928</v>
      </c>
      <c r="D976" s="24" t="s">
        <v>1016</v>
      </c>
      <c r="E976" s="25" t="s">
        <v>1722</v>
      </c>
      <c r="F976" s="16" t="str">
        <f>_xlfn.XLOOKUP(D976,'[8]AGUSTUS 2026'!$B:$B,'[8]AGUSTUS 2026'!$I:$I,"Tidak Ditemukan")</f>
        <v>PAIMUN</v>
      </c>
      <c r="G976" s="21"/>
    </row>
    <row r="977" spans="2:7">
      <c r="B977" s="22" t="s">
        <v>927</v>
      </c>
      <c r="C977" s="23" t="s">
        <v>928</v>
      </c>
      <c r="D977" s="24" t="s">
        <v>1017</v>
      </c>
      <c r="E977" s="25" t="s">
        <v>1722</v>
      </c>
      <c r="F977" s="16" t="str">
        <f>_xlfn.XLOOKUP(D977,'[8]AGUSTUS 2026'!$B:$B,'[8]AGUSTUS 2026'!$I:$I,"Tidak Ditemukan")</f>
        <v>PAIMUN</v>
      </c>
      <c r="G977" s="21"/>
    </row>
    <row r="978" spans="2:7">
      <c r="B978" s="22" t="s">
        <v>927</v>
      </c>
      <c r="C978" s="23" t="s">
        <v>928</v>
      </c>
      <c r="D978" s="24" t="s">
        <v>1018</v>
      </c>
      <c r="E978" s="25" t="s">
        <v>1722</v>
      </c>
      <c r="F978" s="16" t="str">
        <f>_xlfn.XLOOKUP(D978,'[8]AGUSTUS 2026'!$B:$B,'[8]AGUSTUS 2026'!$I:$I,"Tidak Ditemukan")</f>
        <v>PAIMUN</v>
      </c>
      <c r="G978" s="21"/>
    </row>
    <row r="979" spans="2:7">
      <c r="B979" s="22" t="s">
        <v>927</v>
      </c>
      <c r="C979" s="23" t="s">
        <v>928</v>
      </c>
      <c r="D979" s="24" t="s">
        <v>1019</v>
      </c>
      <c r="E979" s="25" t="s">
        <v>1722</v>
      </c>
      <c r="F979" s="16" t="str">
        <f>_xlfn.XLOOKUP(D979,'[8]AGUSTUS 2026'!$B:$B,'[8]AGUSTUS 2026'!$I:$I,"Tidak Ditemukan")</f>
        <v>PAIMUN</v>
      </c>
      <c r="G979" s="21"/>
    </row>
    <row r="980" spans="2:7">
      <c r="B980" s="22" t="s">
        <v>927</v>
      </c>
      <c r="C980" s="23" t="s">
        <v>928</v>
      </c>
      <c r="D980" s="24" t="s">
        <v>1020</v>
      </c>
      <c r="E980" s="25" t="s">
        <v>1722</v>
      </c>
      <c r="F980" s="16" t="str">
        <f>_xlfn.XLOOKUP(D980,'[8]AGUSTUS 2026'!$B:$B,'[8]AGUSTUS 2026'!$I:$I,"Tidak Ditemukan")</f>
        <v>PAIMUN</v>
      </c>
      <c r="G980" s="21"/>
    </row>
    <row r="981" spans="2:7">
      <c r="B981" s="22" t="s">
        <v>927</v>
      </c>
      <c r="C981" s="23" t="s">
        <v>928</v>
      </c>
      <c r="D981" s="24" t="s">
        <v>1021</v>
      </c>
      <c r="E981" s="25" t="s">
        <v>1722</v>
      </c>
      <c r="F981" s="16" t="str">
        <f>_xlfn.XLOOKUP(D981,'[8]AGUSTUS 2026'!$B:$B,'[8]AGUSTUS 2026'!$I:$I,"Tidak Ditemukan")</f>
        <v>PAIMUN</v>
      </c>
      <c r="G981" s="21"/>
    </row>
    <row r="982" spans="2:7">
      <c r="B982" s="22" t="s">
        <v>927</v>
      </c>
      <c r="C982" s="23" t="s">
        <v>928</v>
      </c>
      <c r="D982" s="24" t="s">
        <v>1022</v>
      </c>
      <c r="E982" s="25" t="s">
        <v>1722</v>
      </c>
      <c r="F982" s="16" t="str">
        <f>_xlfn.XLOOKUP(D982,'[8]AGUSTUS 2026'!$B:$B,'[8]AGUSTUS 2026'!$I:$I,"Tidak Ditemukan")</f>
        <v>FARIS JAGAD SANTOSA</v>
      </c>
      <c r="G982" s="21"/>
    </row>
    <row r="983" spans="2:7">
      <c r="B983" s="22" t="s">
        <v>927</v>
      </c>
      <c r="C983" s="23" t="s">
        <v>928</v>
      </c>
      <c r="D983" s="24" t="s">
        <v>1023</v>
      </c>
      <c r="E983" s="25" t="s">
        <v>1722</v>
      </c>
      <c r="F983" s="16" t="str">
        <f>_xlfn.XLOOKUP(D983,'[8]AGUSTUS 2026'!$B:$B,'[8]AGUSTUS 2026'!$I:$I,"Tidak Ditemukan")</f>
        <v>RASTO ZANU MUBIARTO</v>
      </c>
      <c r="G983" s="21"/>
    </row>
    <row r="984" spans="2:7">
      <c r="B984" s="22" t="s">
        <v>927</v>
      </c>
      <c r="C984" s="23" t="s">
        <v>928</v>
      </c>
      <c r="D984" s="24" t="s">
        <v>1024</v>
      </c>
      <c r="E984" s="25" t="s">
        <v>1722</v>
      </c>
      <c r="F984" s="16" t="str">
        <f>_xlfn.XLOOKUP(D984,'[8]AGUSTUS 2026'!$B:$B,'[8]AGUSTUS 2026'!$I:$I,"Tidak Ditemukan")</f>
        <v>FARIS JAGAD SANTOSA</v>
      </c>
      <c r="G984" s="21"/>
    </row>
    <row r="985" spans="2:7">
      <c r="B985" s="22" t="s">
        <v>927</v>
      </c>
      <c r="C985" s="23" t="s">
        <v>928</v>
      </c>
      <c r="D985" s="24" t="s">
        <v>1025</v>
      </c>
      <c r="E985" s="25" t="s">
        <v>1722</v>
      </c>
      <c r="F985" s="16" t="str">
        <f>_xlfn.XLOOKUP(D985,'[8]AGUSTUS 2026'!$B:$B,'[8]AGUSTUS 2026'!$I:$I,"Tidak Ditemukan")</f>
        <v>RASTO ZANU MUBIARTO</v>
      </c>
      <c r="G985" s="21"/>
    </row>
    <row r="986" spans="2:7">
      <c r="B986" s="22" t="s">
        <v>927</v>
      </c>
      <c r="C986" s="23" t="s">
        <v>928</v>
      </c>
      <c r="D986" s="24" t="s">
        <v>1026</v>
      </c>
      <c r="E986" s="25" t="s">
        <v>1722</v>
      </c>
      <c r="F986" s="16" t="str">
        <f>_xlfn.XLOOKUP(D986,'[8]AGUSTUS 2026'!$B:$B,'[8]AGUSTUS 2026'!$I:$I,"Tidak Ditemukan")</f>
        <v>RASTO ZANU MUBIARTO</v>
      </c>
      <c r="G986" s="21"/>
    </row>
    <row r="987" spans="2:7">
      <c r="B987" s="22" t="s">
        <v>927</v>
      </c>
      <c r="C987" s="23" t="s">
        <v>928</v>
      </c>
      <c r="D987" s="24" t="s">
        <v>1027</v>
      </c>
      <c r="E987" s="25" t="s">
        <v>1722</v>
      </c>
      <c r="F987" s="16" t="str">
        <f>_xlfn.XLOOKUP(D987,'[8]AGUSTUS 2026'!$B:$B,'[8]AGUSTUS 2026'!$I:$I,"Tidak Ditemukan")</f>
        <v>FARIS JAGAD SANTOSA</v>
      </c>
      <c r="G987" s="21"/>
    </row>
    <row r="988" spans="2:7">
      <c r="B988" s="22" t="s">
        <v>927</v>
      </c>
      <c r="C988" s="23" t="s">
        <v>928</v>
      </c>
      <c r="D988" s="24" t="s">
        <v>1028</v>
      </c>
      <c r="E988" s="25" t="s">
        <v>1722</v>
      </c>
      <c r="F988" s="16" t="str">
        <f>_xlfn.XLOOKUP(D988,'[8]AGUSTUS 2026'!$B:$B,'[8]AGUSTUS 2026'!$I:$I,"Tidak Ditemukan")</f>
        <v>FARIS JAGAD SANTOSA</v>
      </c>
      <c r="G988" s="21"/>
    </row>
    <row r="989" spans="2:7">
      <c r="B989" s="22" t="s">
        <v>927</v>
      </c>
      <c r="C989" s="23" t="s">
        <v>928</v>
      </c>
      <c r="D989" s="24" t="s">
        <v>1029</v>
      </c>
      <c r="E989" s="25" t="s">
        <v>1722</v>
      </c>
      <c r="F989" s="16" t="str">
        <f>_xlfn.XLOOKUP(D989,'[8]AGUSTUS 2026'!$B:$B,'[8]AGUSTUS 2026'!$I:$I,"Tidak Ditemukan")</f>
        <v>FARIS JAGAD SANTOSA</v>
      </c>
      <c r="G989" s="21"/>
    </row>
    <row r="990" spans="2:7">
      <c r="B990" s="22" t="s">
        <v>927</v>
      </c>
      <c r="C990" s="23" t="s">
        <v>928</v>
      </c>
      <c r="D990" s="24" t="s">
        <v>1030</v>
      </c>
      <c r="E990" s="25" t="s">
        <v>1722</v>
      </c>
      <c r="F990" s="16" t="str">
        <f>_xlfn.XLOOKUP(D990,'[8]AGUSTUS 2026'!$B:$B,'[8]AGUSTUS 2026'!$I:$I,"Tidak Ditemukan")</f>
        <v>FARIS JAGAD SANTOSA</v>
      </c>
      <c r="G990" s="21"/>
    </row>
    <row r="991" spans="2:7">
      <c r="B991" s="22" t="s">
        <v>927</v>
      </c>
      <c r="C991" s="23" t="s">
        <v>928</v>
      </c>
      <c r="D991" s="24" t="s">
        <v>1031</v>
      </c>
      <c r="E991" s="25" t="s">
        <v>1722</v>
      </c>
      <c r="F991" s="16" t="str">
        <f>_xlfn.XLOOKUP(D991,'[8]AGUSTUS 2026'!$B:$B,'[8]AGUSTUS 2026'!$I:$I,"Tidak Ditemukan")</f>
        <v>RASTO ZANU MUBIARTO</v>
      </c>
      <c r="G991" s="21"/>
    </row>
    <row r="992" spans="2:7">
      <c r="B992" s="22" t="s">
        <v>927</v>
      </c>
      <c r="C992" s="23" t="s">
        <v>928</v>
      </c>
      <c r="D992" s="24" t="s">
        <v>1032</v>
      </c>
      <c r="E992" s="25" t="s">
        <v>1722</v>
      </c>
      <c r="F992" s="16" t="str">
        <f>_xlfn.XLOOKUP(D992,'[8]AGUSTUS 2026'!$B:$B,'[8]AGUSTUS 2026'!$I:$I,"Tidak Ditemukan")</f>
        <v>RASTO ZANU MUBIARTO</v>
      </c>
      <c r="G992" s="21"/>
    </row>
    <row r="993" spans="2:7">
      <c r="B993" s="22" t="s">
        <v>927</v>
      </c>
      <c r="C993" s="23" t="s">
        <v>928</v>
      </c>
      <c r="D993" s="24" t="s">
        <v>1033</v>
      </c>
      <c r="E993" s="25" t="s">
        <v>1722</v>
      </c>
      <c r="F993" s="16" t="str">
        <f>_xlfn.XLOOKUP(D993,'[8]AGUSTUS 2026'!$B:$B,'[8]AGUSTUS 2026'!$I:$I,"Tidak Ditemukan")</f>
        <v>FARIS JAGAD SANTOSA</v>
      </c>
      <c r="G993" s="21"/>
    </row>
    <row r="994" spans="2:7">
      <c r="B994" s="22" t="s">
        <v>927</v>
      </c>
      <c r="C994" s="23" t="s">
        <v>928</v>
      </c>
      <c r="D994" s="24" t="s">
        <v>1034</v>
      </c>
      <c r="E994" s="25" t="s">
        <v>1722</v>
      </c>
      <c r="F994" s="16" t="str">
        <f>_xlfn.XLOOKUP(D994,'[8]AGUSTUS 2026'!$B:$B,'[8]AGUSTUS 2026'!$I:$I,"Tidak Ditemukan")</f>
        <v>FARIS JAGAD SANTOSA</v>
      </c>
      <c r="G994" s="21"/>
    </row>
    <row r="995" spans="2:7">
      <c r="B995" s="22" t="s">
        <v>927</v>
      </c>
      <c r="C995" s="23" t="s">
        <v>928</v>
      </c>
      <c r="D995" s="24" t="s">
        <v>1035</v>
      </c>
      <c r="E995" s="25" t="s">
        <v>1722</v>
      </c>
      <c r="F995" s="16" t="str">
        <f>_xlfn.XLOOKUP(D995,'[8]AGUSTUS 2026'!$B:$B,'[8]AGUSTUS 2026'!$I:$I,"Tidak Ditemukan")</f>
        <v>FARIS JAGAD SANTOSA</v>
      </c>
      <c r="G995" s="21"/>
    </row>
    <row r="996" spans="2:7">
      <c r="B996" s="22" t="s">
        <v>927</v>
      </c>
      <c r="C996" s="23" t="s">
        <v>928</v>
      </c>
      <c r="D996" s="24" t="s">
        <v>1036</v>
      </c>
      <c r="E996" s="25" t="s">
        <v>1722</v>
      </c>
      <c r="F996" s="16" t="str">
        <f>_xlfn.XLOOKUP(D996,'[8]AGUSTUS 2026'!$B:$B,'[8]AGUSTUS 2026'!$I:$I,"Tidak Ditemukan")</f>
        <v>RASTO ZANU MUBIARTO</v>
      </c>
      <c r="G996" s="21"/>
    </row>
    <row r="997" spans="2:7">
      <c r="B997" s="22" t="s">
        <v>927</v>
      </c>
      <c r="C997" s="23" t="s">
        <v>928</v>
      </c>
      <c r="D997" s="24" t="s">
        <v>1037</v>
      </c>
      <c r="E997" s="25" t="s">
        <v>1722</v>
      </c>
      <c r="F997" s="16" t="str">
        <f>_xlfn.XLOOKUP(D997,'[8]AGUSTUS 2026'!$B:$B,'[8]AGUSTUS 2026'!$I:$I,"Tidak Ditemukan")</f>
        <v>RASTO ZANU MUBIARTO</v>
      </c>
      <c r="G997" s="21"/>
    </row>
    <row r="998" spans="2:7">
      <c r="B998" s="22" t="s">
        <v>927</v>
      </c>
      <c r="C998" s="23" t="s">
        <v>928</v>
      </c>
      <c r="D998" s="24" t="s">
        <v>1038</v>
      </c>
      <c r="E998" s="25" t="s">
        <v>1722</v>
      </c>
      <c r="F998" s="16" t="str">
        <f>_xlfn.XLOOKUP(D998,'[8]AGUSTUS 2026'!$B:$B,'[8]AGUSTUS 2026'!$I:$I,"Tidak Ditemukan")</f>
        <v>RASTO ZANU MUBIARTO</v>
      </c>
      <c r="G998" s="21"/>
    </row>
    <row r="999" spans="2:7">
      <c r="B999" s="22" t="s">
        <v>927</v>
      </c>
      <c r="C999" s="23" t="s">
        <v>928</v>
      </c>
      <c r="D999" s="24" t="s">
        <v>1039</v>
      </c>
      <c r="E999" s="25" t="s">
        <v>1722</v>
      </c>
      <c r="F999" s="16" t="str">
        <f>_xlfn.XLOOKUP(D999,'[8]AGUSTUS 2026'!$B:$B,'[8]AGUSTUS 2026'!$I:$I,"Tidak Ditemukan")</f>
        <v>FARIS JAGAD SANTOSA</v>
      </c>
      <c r="G999" s="21"/>
    </row>
    <row r="1000" spans="2:7">
      <c r="B1000" s="22" t="s">
        <v>927</v>
      </c>
      <c r="C1000" s="23" t="s">
        <v>928</v>
      </c>
      <c r="D1000" s="24" t="s">
        <v>1040</v>
      </c>
      <c r="E1000" s="25" t="s">
        <v>1722</v>
      </c>
      <c r="F1000" s="16" t="str">
        <f>_xlfn.XLOOKUP(D1000,'[8]AGUSTUS 2026'!$B:$B,'[8]AGUSTUS 2026'!$I:$I,"Tidak Ditemukan")</f>
        <v>OKI WILLYANTO</v>
      </c>
      <c r="G1000" s="21"/>
    </row>
    <row r="1001" spans="2:7">
      <c r="B1001" s="22" t="s">
        <v>927</v>
      </c>
      <c r="C1001" s="23" t="s">
        <v>928</v>
      </c>
      <c r="D1001" s="24" t="s">
        <v>1041</v>
      </c>
      <c r="E1001" s="25" t="s">
        <v>1722</v>
      </c>
      <c r="F1001" s="16" t="str">
        <f>_xlfn.XLOOKUP(D1001,'[8]AGUSTUS 2026'!$B:$B,'[8]AGUSTUS 2026'!$I:$I,"Tidak Ditemukan")</f>
        <v>MUHAMMAD CHAIRIL ANAM</v>
      </c>
      <c r="G1001" s="21"/>
    </row>
    <row r="1002" spans="2:7">
      <c r="B1002" s="22" t="s">
        <v>927</v>
      </c>
      <c r="C1002" s="23" t="s">
        <v>928</v>
      </c>
      <c r="D1002" s="24" t="s">
        <v>1042</v>
      </c>
      <c r="E1002" s="25" t="s">
        <v>1722</v>
      </c>
      <c r="F1002" s="16" t="str">
        <f>_xlfn.XLOOKUP(D1002,'[8]AGUSTUS 2026'!$B:$B,'[8]AGUSTUS 2026'!$I:$I,"Tidak Ditemukan")</f>
        <v>FAJAR MAFAZAKI</v>
      </c>
      <c r="G1002" s="21"/>
    </row>
    <row r="1003" spans="2:7">
      <c r="B1003" s="22" t="s">
        <v>927</v>
      </c>
      <c r="C1003" s="23" t="s">
        <v>928</v>
      </c>
      <c r="D1003" s="24" t="s">
        <v>1043</v>
      </c>
      <c r="E1003" s="25" t="s">
        <v>1722</v>
      </c>
      <c r="F1003" s="16" t="str">
        <f>_xlfn.XLOOKUP(D1003,'[8]AGUSTUS 2026'!$B:$B,'[8]AGUSTUS 2026'!$I:$I,"Tidak Ditemukan")</f>
        <v>FAJAR MAFAZAKI</v>
      </c>
      <c r="G1003" s="21"/>
    </row>
    <row r="1004" spans="2:7">
      <c r="B1004" s="22" t="s">
        <v>927</v>
      </c>
      <c r="C1004" s="23" t="s">
        <v>928</v>
      </c>
      <c r="D1004" s="24" t="s">
        <v>1044</v>
      </c>
      <c r="E1004" s="25" t="s">
        <v>1722</v>
      </c>
      <c r="F1004" s="16" t="str">
        <f>_xlfn.XLOOKUP(D1004,'[8]AGUSTUS 2026'!$B:$B,'[8]AGUSTUS 2026'!$I:$I,"Tidak Ditemukan")</f>
        <v>OKI WILLYANTO</v>
      </c>
      <c r="G1004" s="21"/>
    </row>
    <row r="1005" spans="2:7">
      <c r="B1005" s="22" t="s">
        <v>927</v>
      </c>
      <c r="C1005" s="23" t="s">
        <v>928</v>
      </c>
      <c r="D1005" s="24" t="s">
        <v>1045</v>
      </c>
      <c r="E1005" s="25" t="s">
        <v>1722</v>
      </c>
      <c r="F1005" s="16" t="str">
        <f>_xlfn.XLOOKUP(D1005,'[8]AGUSTUS 2026'!$B:$B,'[8]AGUSTUS 2026'!$I:$I,"Tidak Ditemukan")</f>
        <v>FAJAR MAFAZAKI</v>
      </c>
      <c r="G1005" s="21"/>
    </row>
    <row r="1006" spans="2:7">
      <c r="B1006" s="22" t="s">
        <v>927</v>
      </c>
      <c r="C1006" s="23" t="s">
        <v>928</v>
      </c>
      <c r="D1006" s="24" t="s">
        <v>1046</v>
      </c>
      <c r="E1006" s="25" t="s">
        <v>1722</v>
      </c>
      <c r="F1006" s="16" t="str">
        <f>_xlfn.XLOOKUP(D1006,'[8]AGUSTUS 2026'!$B:$B,'[8]AGUSTUS 2026'!$I:$I,"Tidak Ditemukan")</f>
        <v>FAJAR MAFAZAKI</v>
      </c>
      <c r="G1006" s="21"/>
    </row>
    <row r="1007" spans="2:7">
      <c r="B1007" s="22" t="s">
        <v>927</v>
      </c>
      <c r="C1007" s="23" t="s">
        <v>928</v>
      </c>
      <c r="D1007" s="24" t="s">
        <v>1047</v>
      </c>
      <c r="E1007" s="25" t="s">
        <v>1722</v>
      </c>
      <c r="F1007" s="16" t="str">
        <f>_xlfn.XLOOKUP(D1007,'[8]AGUSTUS 2026'!$B:$B,'[8]AGUSTUS 2026'!$I:$I,"Tidak Ditemukan")</f>
        <v>FAJAR MAFAZAKI</v>
      </c>
      <c r="G1007" s="21"/>
    </row>
    <row r="1008" spans="2:7">
      <c r="B1008" s="22" t="s">
        <v>927</v>
      </c>
      <c r="C1008" s="23" t="s">
        <v>928</v>
      </c>
      <c r="D1008" s="24" t="s">
        <v>1048</v>
      </c>
      <c r="E1008" s="25" t="s">
        <v>1722</v>
      </c>
      <c r="F1008" s="16" t="str">
        <f>_xlfn.XLOOKUP(D1008,'[8]AGUSTUS 2026'!$B:$B,'[8]AGUSTUS 2026'!$I:$I,"Tidak Ditemukan")</f>
        <v>FAJAR MAFAZAKI</v>
      </c>
      <c r="G1008" s="21"/>
    </row>
    <row r="1009" spans="2:7">
      <c r="B1009" s="22" t="s">
        <v>927</v>
      </c>
      <c r="C1009" s="23" t="s">
        <v>928</v>
      </c>
      <c r="D1009" s="24" t="s">
        <v>1049</v>
      </c>
      <c r="E1009" s="25" t="s">
        <v>1722</v>
      </c>
      <c r="F1009" s="16" t="str">
        <f>_xlfn.XLOOKUP(D1009,'[8]AGUSTUS 2026'!$B:$B,'[8]AGUSTUS 2026'!$I:$I,"Tidak Ditemukan")</f>
        <v>FAJAR MAFAZAKI</v>
      </c>
      <c r="G1009" s="21"/>
    </row>
    <row r="1010" spans="2:7">
      <c r="B1010" s="22" t="s">
        <v>927</v>
      </c>
      <c r="C1010" s="23" t="s">
        <v>928</v>
      </c>
      <c r="D1010" s="24" t="s">
        <v>1050</v>
      </c>
      <c r="E1010" s="25" t="s">
        <v>1722</v>
      </c>
      <c r="F1010" s="16" t="str">
        <f>_xlfn.XLOOKUP(D1010,'[8]AGUSTUS 2026'!$B:$B,'[8]AGUSTUS 2026'!$I:$I,"Tidak Ditemukan")</f>
        <v>FAJAR MAFAZAKI</v>
      </c>
      <c r="G1010" s="21"/>
    </row>
    <row r="1011" spans="2:7">
      <c r="B1011" s="22" t="s">
        <v>927</v>
      </c>
      <c r="C1011" s="23" t="s">
        <v>928</v>
      </c>
      <c r="D1011" s="24" t="s">
        <v>1051</v>
      </c>
      <c r="E1011" s="25" t="s">
        <v>1722</v>
      </c>
      <c r="F1011" s="16" t="str">
        <f>_xlfn.XLOOKUP(D1011,'[8]AGUSTUS 2026'!$B:$B,'[8]AGUSTUS 2026'!$I:$I,"Tidak Ditemukan")</f>
        <v>OKI WILLYANTO</v>
      </c>
      <c r="G1011" s="21"/>
    </row>
    <row r="1012" spans="2:7">
      <c r="B1012" s="22" t="s">
        <v>927</v>
      </c>
      <c r="C1012" s="23" t="s">
        <v>928</v>
      </c>
      <c r="D1012" s="24" t="s">
        <v>1052</v>
      </c>
      <c r="E1012" s="25" t="s">
        <v>1722</v>
      </c>
      <c r="F1012" s="16" t="str">
        <f>_xlfn.XLOOKUP(D1012,'[8]AGUSTUS 2026'!$B:$B,'[8]AGUSTUS 2026'!$I:$I,"Tidak Ditemukan")</f>
        <v>OKI WILLYANTO</v>
      </c>
      <c r="G1012" s="21"/>
    </row>
    <row r="1013" spans="2:7">
      <c r="B1013" s="22" t="s">
        <v>927</v>
      </c>
      <c r="C1013" s="23" t="s">
        <v>928</v>
      </c>
      <c r="D1013" s="24" t="s">
        <v>1053</v>
      </c>
      <c r="E1013" s="25" t="s">
        <v>1722</v>
      </c>
      <c r="F1013" s="16" t="str">
        <f>_xlfn.XLOOKUP(D1013,'[8]AGUSTUS 2026'!$B:$B,'[8]AGUSTUS 2026'!$I:$I,"Tidak Ditemukan")</f>
        <v>OKI WILLYANTO</v>
      </c>
      <c r="G1013" s="21"/>
    </row>
    <row r="1014" spans="2:7">
      <c r="B1014" s="22" t="s">
        <v>927</v>
      </c>
      <c r="C1014" s="23" t="s">
        <v>928</v>
      </c>
      <c r="D1014" s="24" t="s">
        <v>1054</v>
      </c>
      <c r="E1014" s="25" t="s">
        <v>1722</v>
      </c>
      <c r="F1014" s="16" t="str">
        <f>_xlfn.XLOOKUP(D1014,'[8]AGUSTUS 2026'!$B:$B,'[8]AGUSTUS 2026'!$I:$I,"Tidak Ditemukan")</f>
        <v>FAJAR MAFAZAKI</v>
      </c>
      <c r="G1014" s="21"/>
    </row>
    <row r="1015" spans="2:7">
      <c r="B1015" s="22" t="s">
        <v>927</v>
      </c>
      <c r="C1015" s="23" t="s">
        <v>928</v>
      </c>
      <c r="D1015" s="24" t="s">
        <v>1055</v>
      </c>
      <c r="E1015" s="25" t="s">
        <v>1722</v>
      </c>
      <c r="F1015" s="16" t="str">
        <f>_xlfn.XLOOKUP(D1015,'[8]AGUSTUS 2026'!$B:$B,'[8]AGUSTUS 2026'!$I:$I,"Tidak Ditemukan")</f>
        <v>FAJAR MAFAZAKI</v>
      </c>
      <c r="G1015" s="21"/>
    </row>
    <row r="1016" spans="2:7">
      <c r="B1016" s="22" t="s">
        <v>927</v>
      </c>
      <c r="C1016" s="23" t="s">
        <v>928</v>
      </c>
      <c r="D1016" s="24" t="s">
        <v>1056</v>
      </c>
      <c r="E1016" s="25" t="s">
        <v>1722</v>
      </c>
      <c r="F1016" s="16" t="str">
        <f>_xlfn.XLOOKUP(D1016,'[8]AGUSTUS 2026'!$B:$B,'[8]AGUSTUS 2026'!$I:$I,"Tidak Ditemukan")</f>
        <v>FERY SAPUTRO</v>
      </c>
      <c r="G1016" s="21"/>
    </row>
    <row r="1017" spans="2:7">
      <c r="B1017" s="22" t="s">
        <v>927</v>
      </c>
      <c r="C1017" s="23" t="s">
        <v>928</v>
      </c>
      <c r="D1017" s="24" t="s">
        <v>1057</v>
      </c>
      <c r="E1017" s="25" t="s">
        <v>1722</v>
      </c>
      <c r="F1017" s="16" t="str">
        <f>_xlfn.XLOOKUP(D1017,'[8]AGUSTUS 2026'!$B:$B,'[8]AGUSTUS 2026'!$I:$I,"Tidak Ditemukan")</f>
        <v>FERY SAPUTRO</v>
      </c>
      <c r="G1017" s="21"/>
    </row>
    <row r="1018" spans="2:7">
      <c r="B1018" s="22" t="s">
        <v>927</v>
      </c>
      <c r="C1018" s="23" t="s">
        <v>928</v>
      </c>
      <c r="D1018" s="24" t="s">
        <v>1058</v>
      </c>
      <c r="E1018" s="25" t="s">
        <v>1722</v>
      </c>
      <c r="F1018" s="16" t="str">
        <f>_xlfn.XLOOKUP(D1018,'[8]AGUSTUS 2026'!$B:$B,'[8]AGUSTUS 2026'!$I:$I,"Tidak Ditemukan")</f>
        <v>FERY SAPUTRO</v>
      </c>
      <c r="G1018" s="21"/>
    </row>
    <row r="1019" spans="2:7">
      <c r="B1019" s="22" t="s">
        <v>927</v>
      </c>
      <c r="C1019" s="23" t="s">
        <v>928</v>
      </c>
      <c r="D1019" s="24" t="s">
        <v>1059</v>
      </c>
      <c r="E1019" s="25" t="s">
        <v>1722</v>
      </c>
      <c r="F1019" s="16" t="str">
        <f>_xlfn.XLOOKUP(D1019,'[8]AGUSTUS 2026'!$B:$B,'[8]AGUSTUS 2026'!$I:$I,"Tidak Ditemukan")</f>
        <v>FERY SAPUTRO</v>
      </c>
      <c r="G1019" s="21"/>
    </row>
    <row r="1020" spans="2:7">
      <c r="B1020" s="22" t="s">
        <v>927</v>
      </c>
      <c r="C1020" s="23" t="s">
        <v>928</v>
      </c>
      <c r="D1020" s="24" t="s">
        <v>1060</v>
      </c>
      <c r="E1020" s="25" t="s">
        <v>1722</v>
      </c>
      <c r="F1020" s="16" t="str">
        <f>_xlfn.XLOOKUP(D1020,'[8]AGUSTUS 2026'!$B:$B,'[8]AGUSTUS 2026'!$I:$I,"Tidak Ditemukan")</f>
        <v>FERY SAPUTRO</v>
      </c>
      <c r="G1020" s="21"/>
    </row>
    <row r="1021" spans="2:7">
      <c r="B1021" s="22" t="s">
        <v>927</v>
      </c>
      <c r="C1021" s="23" t="s">
        <v>928</v>
      </c>
      <c r="D1021" s="24" t="s">
        <v>1061</v>
      </c>
      <c r="E1021" s="25" t="s">
        <v>1722</v>
      </c>
      <c r="F1021" s="16" t="str">
        <f>_xlfn.XLOOKUP(D1021,'[8]AGUSTUS 2026'!$B:$B,'[8]AGUSTUS 2026'!$I:$I,"Tidak Ditemukan")</f>
        <v>FERY SAPUTRO</v>
      </c>
      <c r="G1021" s="21"/>
    </row>
    <row r="1022" spans="2:7">
      <c r="B1022" s="22" t="s">
        <v>927</v>
      </c>
      <c r="C1022" s="23" t="s">
        <v>928</v>
      </c>
      <c r="D1022" s="24" t="s">
        <v>1062</v>
      </c>
      <c r="E1022" s="25" t="s">
        <v>1722</v>
      </c>
      <c r="F1022" s="16" t="str">
        <f>_xlfn.XLOOKUP(D1022,'[8]AGUSTUS 2026'!$B:$B,'[8]AGUSTUS 2026'!$I:$I,"Tidak Ditemukan")</f>
        <v>FERY SAPUTRO</v>
      </c>
      <c r="G1022" s="21"/>
    </row>
    <row r="1023" spans="2:7">
      <c r="B1023" s="22" t="s">
        <v>927</v>
      </c>
      <c r="C1023" s="23" t="s">
        <v>928</v>
      </c>
      <c r="D1023" s="24" t="s">
        <v>1063</v>
      </c>
      <c r="E1023" s="25" t="s">
        <v>1722</v>
      </c>
      <c r="F1023" s="16" t="str">
        <f>_xlfn.XLOOKUP(D1023,'[8]AGUSTUS 2026'!$B:$B,'[8]AGUSTUS 2026'!$I:$I,"Tidak Ditemukan")</f>
        <v>FERY SAPUTRO</v>
      </c>
      <c r="G1023" s="21"/>
    </row>
    <row r="1024" spans="2:7">
      <c r="B1024" s="22" t="s">
        <v>927</v>
      </c>
      <c r="C1024" s="23" t="s">
        <v>928</v>
      </c>
      <c r="D1024" s="24" t="s">
        <v>1064</v>
      </c>
      <c r="E1024" s="25" t="s">
        <v>1722</v>
      </c>
      <c r="F1024" s="16" t="str">
        <f>_xlfn.XLOOKUP(D1024,'[8]AGUSTUS 2026'!$B:$B,'[8]AGUSTUS 2026'!$I:$I,"Tidak Ditemukan")</f>
        <v>MUHAMMAD CHAIRIL ANAM</v>
      </c>
      <c r="G1024" s="21"/>
    </row>
    <row r="1025" spans="2:7">
      <c r="B1025" s="22" t="s">
        <v>927</v>
      </c>
      <c r="C1025" s="23" t="s">
        <v>928</v>
      </c>
      <c r="D1025" s="24" t="s">
        <v>1065</v>
      </c>
      <c r="E1025" s="25" t="s">
        <v>1722</v>
      </c>
      <c r="F1025" s="16" t="str">
        <f>_xlfn.XLOOKUP(D1025,'[8]AGUSTUS 2026'!$B:$B,'[8]AGUSTUS 2026'!$I:$I,"Tidak Ditemukan")</f>
        <v>MUHAMMAD CHAIRIL ANAM</v>
      </c>
      <c r="G1025" s="21"/>
    </row>
    <row r="1026" spans="2:7">
      <c r="B1026" s="22" t="s">
        <v>927</v>
      </c>
      <c r="C1026" s="23" t="s">
        <v>928</v>
      </c>
      <c r="D1026" s="24" t="s">
        <v>1066</v>
      </c>
      <c r="E1026" s="25" t="s">
        <v>1722</v>
      </c>
      <c r="F1026" s="16" t="str">
        <f>_xlfn.XLOOKUP(D1026,'[8]AGUSTUS 2026'!$B:$B,'[8]AGUSTUS 2026'!$I:$I,"Tidak Ditemukan")</f>
        <v>MUHAMMAD CHAIRIL ANAM</v>
      </c>
      <c r="G1026" s="21"/>
    </row>
    <row r="1027" spans="2:7">
      <c r="B1027" s="22" t="s">
        <v>927</v>
      </c>
      <c r="C1027" s="23" t="s">
        <v>928</v>
      </c>
      <c r="D1027" s="24" t="s">
        <v>1067</v>
      </c>
      <c r="E1027" s="25" t="s">
        <v>1722</v>
      </c>
      <c r="F1027" s="16" t="str">
        <f>_xlfn.XLOOKUP(D1027,'[8]AGUSTUS 2026'!$B:$B,'[8]AGUSTUS 2026'!$I:$I,"Tidak Ditemukan")</f>
        <v>MUHAMMAD CHAIRIL ANAM</v>
      </c>
      <c r="G1027" s="21"/>
    </row>
    <row r="1028" spans="2:7">
      <c r="B1028" s="22" t="s">
        <v>927</v>
      </c>
      <c r="C1028" s="23" t="s">
        <v>928</v>
      </c>
      <c r="D1028" s="24" t="s">
        <v>1068</v>
      </c>
      <c r="E1028" s="25" t="s">
        <v>1722</v>
      </c>
      <c r="F1028" s="16" t="str">
        <f>_xlfn.XLOOKUP(D1028,'[8]AGUSTUS 2026'!$B:$B,'[8]AGUSTUS 2026'!$I:$I,"Tidak Ditemukan")</f>
        <v>MUHAMMAD CHAIRIL ANAM</v>
      </c>
      <c r="G1028" s="21"/>
    </row>
    <row r="1029" spans="2:7">
      <c r="B1029" s="22" t="s">
        <v>927</v>
      </c>
      <c r="C1029" s="23" t="s">
        <v>928</v>
      </c>
      <c r="D1029" s="24" t="s">
        <v>1069</v>
      </c>
      <c r="E1029" s="25" t="s">
        <v>1722</v>
      </c>
      <c r="F1029" s="16" t="str">
        <f>_xlfn.XLOOKUP(D1029,'[8]AGUSTUS 2026'!$B:$B,'[8]AGUSTUS 2026'!$I:$I,"Tidak Ditemukan")</f>
        <v>MUHAMMAD CHAIRIL ANAM</v>
      </c>
      <c r="G1029" s="21"/>
    </row>
    <row r="1030" spans="2:7">
      <c r="B1030" s="22" t="s">
        <v>927</v>
      </c>
      <c r="C1030" s="23" t="s">
        <v>928</v>
      </c>
      <c r="D1030" s="24" t="s">
        <v>1070</v>
      </c>
      <c r="E1030" s="25" t="s">
        <v>1722</v>
      </c>
      <c r="F1030" s="16" t="str">
        <f>_xlfn.XLOOKUP(D1030,'[8]AGUSTUS 2026'!$B:$B,'[8]AGUSTUS 2026'!$I:$I,"Tidak Ditemukan")</f>
        <v>MUHAMMAD CHAIRIL ANAM</v>
      </c>
      <c r="G1030" s="21"/>
    </row>
    <row r="1031" spans="2:7">
      <c r="B1031" s="22" t="s">
        <v>927</v>
      </c>
      <c r="C1031" s="23" t="s">
        <v>928</v>
      </c>
      <c r="D1031" s="24" t="s">
        <v>1071</v>
      </c>
      <c r="E1031" s="25" t="s">
        <v>1722</v>
      </c>
      <c r="F1031" s="16" t="str">
        <f>_xlfn.XLOOKUP(D1031,'[8]AGUSTUS 2026'!$B:$B,'[8]AGUSTUS 2026'!$I:$I,"Tidak Ditemukan")</f>
        <v>MUHAMMAD CHAIRIL ANAM</v>
      </c>
      <c r="G1031" s="21"/>
    </row>
    <row r="1032" spans="2:7">
      <c r="B1032" s="22" t="s">
        <v>927</v>
      </c>
      <c r="C1032" s="23" t="s">
        <v>928</v>
      </c>
      <c r="D1032" s="24" t="s">
        <v>1072</v>
      </c>
      <c r="E1032" s="25" t="s">
        <v>1722</v>
      </c>
      <c r="F1032" s="16" t="str">
        <f>_xlfn.XLOOKUP(D1032,'[8]AGUSTUS 2026'!$B:$B,'[8]AGUSTUS 2026'!$I:$I,"Tidak Ditemukan")</f>
        <v>MUHAMMAD CHAIRIL ANAM</v>
      </c>
      <c r="G1032" s="21"/>
    </row>
    <row r="1033" spans="2:7">
      <c r="B1033" s="22" t="s">
        <v>927</v>
      </c>
      <c r="C1033" s="23" t="s">
        <v>928</v>
      </c>
      <c r="D1033" s="24" t="s">
        <v>1073</v>
      </c>
      <c r="E1033" s="25" t="s">
        <v>1722</v>
      </c>
      <c r="F1033" s="16" t="str">
        <f>_xlfn.XLOOKUP(D1033,'[8]AGUSTUS 2026'!$B:$B,'[8]AGUSTUS 2026'!$I:$I,"Tidak Ditemukan")</f>
        <v>JOKO NDARU FEBRIYANTO</v>
      </c>
      <c r="G1033" s="21"/>
    </row>
    <row r="1034" spans="2:7">
      <c r="B1034" s="22" t="s">
        <v>927</v>
      </c>
      <c r="C1034" s="23" t="s">
        <v>928</v>
      </c>
      <c r="D1034" s="24" t="s">
        <v>1074</v>
      </c>
      <c r="E1034" s="25" t="s">
        <v>1722</v>
      </c>
      <c r="F1034" s="16" t="str">
        <f>_xlfn.XLOOKUP(D1034,'[8]AGUSTUS 2026'!$B:$B,'[8]AGUSTUS 2026'!$I:$I,"Tidak Ditemukan")</f>
        <v>JOKO NDARU FEBRIYANTO</v>
      </c>
      <c r="G1034" s="21"/>
    </row>
    <row r="1035" spans="2:7">
      <c r="B1035" s="22" t="s">
        <v>927</v>
      </c>
      <c r="C1035" s="23" t="s">
        <v>928</v>
      </c>
      <c r="D1035" s="24" t="s">
        <v>1075</v>
      </c>
      <c r="E1035" s="25" t="s">
        <v>1722</v>
      </c>
      <c r="F1035" s="16" t="str">
        <f>_xlfn.XLOOKUP(D1035,'[8]AGUSTUS 2026'!$B:$B,'[8]AGUSTUS 2026'!$I:$I,"Tidak Ditemukan")</f>
        <v>JOKO NDARU FEBRIYANTO</v>
      </c>
      <c r="G1035" s="21"/>
    </row>
    <row r="1036" spans="2:7">
      <c r="B1036" s="22" t="s">
        <v>927</v>
      </c>
      <c r="C1036" s="23" t="s">
        <v>928</v>
      </c>
      <c r="D1036" s="24" t="s">
        <v>1076</v>
      </c>
      <c r="E1036" s="25" t="s">
        <v>1722</v>
      </c>
      <c r="F1036" s="16" t="str">
        <f>_xlfn.XLOOKUP(D1036,'[8]AGUSTUS 2026'!$B:$B,'[8]AGUSTUS 2026'!$I:$I,"Tidak Ditemukan")</f>
        <v>JOKO NDARU FEBRIYANTO</v>
      </c>
      <c r="G1036" s="21"/>
    </row>
    <row r="1037" spans="2:7">
      <c r="B1037" s="22" t="s">
        <v>927</v>
      </c>
      <c r="C1037" s="23" t="s">
        <v>928</v>
      </c>
      <c r="D1037" s="24" t="s">
        <v>1077</v>
      </c>
      <c r="E1037" s="25" t="s">
        <v>1722</v>
      </c>
      <c r="F1037" s="16" t="str">
        <f>_xlfn.XLOOKUP(D1037,'[8]AGUSTUS 2026'!$B:$B,'[8]AGUSTUS 2026'!$I:$I,"Tidak Ditemukan")</f>
        <v>JOKO NDARU FEBRIYANTO</v>
      </c>
      <c r="G1037" s="21"/>
    </row>
    <row r="1038" spans="2:7">
      <c r="B1038" s="22" t="s">
        <v>927</v>
      </c>
      <c r="C1038" s="23" t="s">
        <v>928</v>
      </c>
      <c r="D1038" s="24" t="s">
        <v>1078</v>
      </c>
      <c r="E1038" s="25" t="s">
        <v>1722</v>
      </c>
      <c r="F1038" s="16" t="str">
        <f>_xlfn.XLOOKUP(D1038,'[8]AGUSTUS 2026'!$B:$B,'[8]AGUSTUS 2026'!$I:$I,"Tidak Ditemukan")</f>
        <v>JOKO NDARU FEBRIYANTO</v>
      </c>
      <c r="G1038" s="21"/>
    </row>
    <row r="1039" spans="2:7">
      <c r="B1039" s="22" t="s">
        <v>927</v>
      </c>
      <c r="C1039" s="23" t="s">
        <v>928</v>
      </c>
      <c r="D1039" s="24" t="s">
        <v>1079</v>
      </c>
      <c r="E1039" s="25" t="s">
        <v>1722</v>
      </c>
      <c r="F1039" s="16" t="str">
        <f>_xlfn.XLOOKUP(D1039,'[8]AGUSTUS 2026'!$B:$B,'[8]AGUSTUS 2026'!$I:$I,"Tidak Ditemukan")</f>
        <v>JOKO NDARU FEBRIYANTO</v>
      </c>
      <c r="G1039" s="21"/>
    </row>
    <row r="1040" spans="2:7">
      <c r="B1040" s="22" t="s">
        <v>927</v>
      </c>
      <c r="C1040" s="23" t="s">
        <v>928</v>
      </c>
      <c r="D1040" s="24" t="s">
        <v>1080</v>
      </c>
      <c r="E1040" s="25" t="s">
        <v>1722</v>
      </c>
      <c r="F1040" s="16" t="str">
        <f>_xlfn.XLOOKUP(D1040,'[8]AGUSTUS 2026'!$B:$B,'[8]AGUSTUS 2026'!$I:$I,"Tidak Ditemukan")</f>
        <v>JOKO NDARU FEBRIYANTO</v>
      </c>
      <c r="G1040" s="21"/>
    </row>
    <row r="1041" spans="2:7">
      <c r="B1041" s="22" t="s">
        <v>927</v>
      </c>
      <c r="C1041" s="23" t="s">
        <v>928</v>
      </c>
      <c r="D1041" s="24" t="s">
        <v>1081</v>
      </c>
      <c r="E1041" s="25" t="s">
        <v>1722</v>
      </c>
      <c r="F1041" s="16" t="str">
        <f>_xlfn.XLOOKUP(D1041,'[8]AGUSTUS 2026'!$B:$B,'[8]AGUSTUS 2026'!$I:$I,"Tidak Ditemukan")</f>
        <v>JOKO NDARU FEBRIYANTO</v>
      </c>
      <c r="G1041" s="21"/>
    </row>
    <row r="1042" spans="2:7">
      <c r="B1042" s="22" t="s">
        <v>927</v>
      </c>
      <c r="C1042" s="23" t="s">
        <v>928</v>
      </c>
      <c r="D1042" s="24" t="s">
        <v>1082</v>
      </c>
      <c r="E1042" s="25" t="s">
        <v>1722</v>
      </c>
      <c r="F1042" s="16" t="str">
        <f>_xlfn.XLOOKUP(D1042,'[8]AGUSTUS 2026'!$B:$B,'[8]AGUSTUS 2026'!$I:$I,"Tidak Ditemukan")</f>
        <v>SURYA DWI J</v>
      </c>
      <c r="G1042" s="21"/>
    </row>
    <row r="1043" spans="2:7">
      <c r="B1043" s="22" t="s">
        <v>927</v>
      </c>
      <c r="C1043" s="23" t="s">
        <v>928</v>
      </c>
      <c r="D1043" s="24" t="s">
        <v>1083</v>
      </c>
      <c r="E1043" s="25" t="s">
        <v>1722</v>
      </c>
      <c r="F1043" s="16" t="str">
        <f>_xlfn.XLOOKUP(D1043,'[8]AGUSTUS 2026'!$B:$B,'[8]AGUSTUS 2026'!$I:$I,"Tidak Ditemukan")</f>
        <v>SURYA DWI J</v>
      </c>
      <c r="G1043" s="21"/>
    </row>
    <row r="1044" spans="2:7">
      <c r="B1044" s="22" t="s">
        <v>927</v>
      </c>
      <c r="C1044" s="23" t="s">
        <v>928</v>
      </c>
      <c r="D1044" s="24" t="s">
        <v>1084</v>
      </c>
      <c r="E1044" s="25" t="s">
        <v>1722</v>
      </c>
      <c r="F1044" s="16" t="str">
        <f>_xlfn.XLOOKUP(D1044,'[8]AGUSTUS 2026'!$B:$B,'[8]AGUSTUS 2026'!$I:$I,"Tidak Ditemukan")</f>
        <v>SURYA DWI J</v>
      </c>
      <c r="G1044" s="21"/>
    </row>
    <row r="1045" spans="2:7">
      <c r="B1045" s="22" t="s">
        <v>1085</v>
      </c>
      <c r="C1045" s="23" t="s">
        <v>1086</v>
      </c>
      <c r="D1045" s="24" t="s">
        <v>1087</v>
      </c>
      <c r="E1045" s="25" t="s">
        <v>1722</v>
      </c>
      <c r="F1045" s="16" t="str">
        <f>_xlfn.XLOOKUP(D1045,[9]Sheet2!$C:$C,[9]Sheet2!$E:$E,"-")</f>
        <v>Fahmi Nur Muhamad</v>
      </c>
      <c r="G1045" s="21"/>
    </row>
    <row r="1046" spans="2:7">
      <c r="B1046" s="22" t="s">
        <v>1085</v>
      </c>
      <c r="C1046" s="23" t="s">
        <v>1086</v>
      </c>
      <c r="D1046" s="24" t="s">
        <v>1088</v>
      </c>
      <c r="E1046" s="25" t="s">
        <v>1722</v>
      </c>
      <c r="F1046" s="16" t="str">
        <f>_xlfn.XLOOKUP(D1046,[9]Sheet2!$C:$C,[9]Sheet2!$E:$E,"-")</f>
        <v>Imam Khudori</v>
      </c>
      <c r="G1046" s="21"/>
    </row>
    <row r="1047" spans="2:7">
      <c r="B1047" s="22" t="s">
        <v>1085</v>
      </c>
      <c r="C1047" s="23" t="s">
        <v>1086</v>
      </c>
      <c r="D1047" s="24" t="s">
        <v>1089</v>
      </c>
      <c r="E1047" s="25" t="s">
        <v>1722</v>
      </c>
      <c r="F1047" s="16" t="str">
        <f>_xlfn.XLOOKUP(D1047,[9]Sheet2!$C:$C,[9]Sheet2!$E:$E,"-")</f>
        <v>Dwi Murdianto</v>
      </c>
      <c r="G1047" s="21"/>
    </row>
    <row r="1048" spans="2:7">
      <c r="B1048" s="22" t="s">
        <v>1085</v>
      </c>
      <c r="C1048" s="23" t="s">
        <v>1086</v>
      </c>
      <c r="D1048" s="24" t="s">
        <v>1090</v>
      </c>
      <c r="E1048" s="25" t="s">
        <v>1722</v>
      </c>
      <c r="F1048" s="16" t="str">
        <f>_xlfn.XLOOKUP(D1048,[9]Sheet2!$C:$C,[9]Sheet2!$E:$E,"-")</f>
        <v>Ali Subeki</v>
      </c>
      <c r="G1048" s="21"/>
    </row>
    <row r="1049" spans="2:7">
      <c r="B1049" s="22" t="s">
        <v>1085</v>
      </c>
      <c r="C1049" s="23" t="s">
        <v>1086</v>
      </c>
      <c r="D1049" s="24" t="s">
        <v>1091</v>
      </c>
      <c r="E1049" s="25" t="s">
        <v>1722</v>
      </c>
      <c r="F1049" s="16" t="str">
        <f>_xlfn.XLOOKUP(D1049,[9]Sheet2!$C:$C,[9]Sheet2!$E:$E,"-")</f>
        <v>Dwi Murdianto</v>
      </c>
      <c r="G1049" s="21"/>
    </row>
    <row r="1050" spans="2:7">
      <c r="B1050" s="22" t="s">
        <v>1085</v>
      </c>
      <c r="C1050" s="23" t="s">
        <v>1086</v>
      </c>
      <c r="D1050" s="24" t="s">
        <v>1092</v>
      </c>
      <c r="E1050" s="25" t="s">
        <v>1722</v>
      </c>
      <c r="F1050" s="16" t="str">
        <f>_xlfn.XLOOKUP(D1050,[9]Sheet2!$C:$C,[9]Sheet2!$E:$E,"-")</f>
        <v>Mochamad Robi Hidayat</v>
      </c>
      <c r="G1050" s="21"/>
    </row>
    <row r="1051" spans="2:7">
      <c r="B1051" s="22" t="s">
        <v>1085</v>
      </c>
      <c r="C1051" s="23" t="s">
        <v>1086</v>
      </c>
      <c r="D1051" s="24" t="s">
        <v>1093</v>
      </c>
      <c r="E1051" s="25" t="s">
        <v>1722</v>
      </c>
      <c r="F1051" s="16" t="str">
        <f>_xlfn.XLOOKUP(D1051,[9]Sheet2!$C:$C,[9]Sheet2!$E:$E,"-")</f>
        <v>Fahmi Nur Muhamad</v>
      </c>
      <c r="G1051" s="21"/>
    </row>
    <row r="1052" spans="2:7">
      <c r="B1052" s="22" t="s">
        <v>1085</v>
      </c>
      <c r="C1052" s="23" t="s">
        <v>1086</v>
      </c>
      <c r="D1052" s="24" t="s">
        <v>1094</v>
      </c>
      <c r="E1052" s="25" t="s">
        <v>1722</v>
      </c>
      <c r="F1052" s="16" t="str">
        <f>_xlfn.XLOOKUP(D1052,[9]Sheet2!$C:$C,[9]Sheet2!$E:$E,"-")</f>
        <v>Imam Khudori</v>
      </c>
      <c r="G1052" s="21"/>
    </row>
    <row r="1053" spans="2:7">
      <c r="B1053" s="22" t="s">
        <v>1085</v>
      </c>
      <c r="C1053" s="23" t="s">
        <v>1086</v>
      </c>
      <c r="D1053" s="24" t="s">
        <v>1095</v>
      </c>
      <c r="E1053" s="25" t="s">
        <v>1722</v>
      </c>
      <c r="F1053" s="16" t="str">
        <f>_xlfn.XLOOKUP(D1053,[9]Sheet2!$C:$C,[9]Sheet2!$E:$E,"-")</f>
        <v>Mochamad Robi Hidayat</v>
      </c>
      <c r="G1053" s="21"/>
    </row>
    <row r="1054" spans="2:7">
      <c r="B1054" s="22" t="s">
        <v>1085</v>
      </c>
      <c r="C1054" s="23" t="s">
        <v>1086</v>
      </c>
      <c r="D1054" s="24" t="s">
        <v>1096</v>
      </c>
      <c r="E1054" s="25" t="s">
        <v>1722</v>
      </c>
      <c r="F1054" s="16" t="str">
        <f>_xlfn.XLOOKUP(D1054,[9]Sheet2!$C:$C,[9]Sheet2!$E:$E,"-")</f>
        <v>Ali Subeki</v>
      </c>
      <c r="G1054" s="21"/>
    </row>
    <row r="1055" spans="2:7">
      <c r="B1055" s="22" t="s">
        <v>1085</v>
      </c>
      <c r="C1055" s="23" t="s">
        <v>1086</v>
      </c>
      <c r="D1055" s="24" t="s">
        <v>1097</v>
      </c>
      <c r="E1055" s="25" t="s">
        <v>1722</v>
      </c>
      <c r="F1055" s="16" t="str">
        <f>_xlfn.XLOOKUP(D1055,[9]Sheet2!$C:$C,[9]Sheet2!$E:$E,"-")</f>
        <v>Budianto</v>
      </c>
      <c r="G1055" s="21"/>
    </row>
    <row r="1056" spans="2:7">
      <c r="B1056" s="22" t="s">
        <v>1085</v>
      </c>
      <c r="C1056" s="23" t="s">
        <v>1086</v>
      </c>
      <c r="D1056" s="24" t="s">
        <v>1098</v>
      </c>
      <c r="E1056" s="25" t="s">
        <v>1722</v>
      </c>
      <c r="F1056" s="16" t="str">
        <f>_xlfn.XLOOKUP(D1056,[9]Sheet2!$C:$C,[9]Sheet2!$E:$E,"-")</f>
        <v>Andy Kistiwantono</v>
      </c>
      <c r="G1056" s="21"/>
    </row>
    <row r="1057" spans="2:7">
      <c r="B1057" s="22" t="s">
        <v>1085</v>
      </c>
      <c r="C1057" s="23" t="s">
        <v>1086</v>
      </c>
      <c r="D1057" s="24" t="s">
        <v>1099</v>
      </c>
      <c r="E1057" s="25" t="s">
        <v>1722</v>
      </c>
      <c r="F1057" s="16" t="str">
        <f>_xlfn.XLOOKUP(D1057,[9]Sheet2!$C:$C,[9]Sheet2!$E:$E,"-")</f>
        <v>M. Zen Asrofi</v>
      </c>
      <c r="G1057" s="21"/>
    </row>
    <row r="1058" spans="2:7">
      <c r="B1058" s="22" t="s">
        <v>1085</v>
      </c>
      <c r="C1058" s="23" t="s">
        <v>1086</v>
      </c>
      <c r="D1058" s="24" t="s">
        <v>1100</v>
      </c>
      <c r="E1058" s="25" t="s">
        <v>1722</v>
      </c>
      <c r="F1058" s="16" t="str">
        <f>_xlfn.XLOOKUP(D1058,[9]Sheet2!$C:$C,[9]Sheet2!$E:$E,"-")</f>
        <v>Totok Suwiknyo</v>
      </c>
      <c r="G1058" s="21"/>
    </row>
    <row r="1059" spans="2:7">
      <c r="B1059" s="22" t="s">
        <v>1085</v>
      </c>
      <c r="C1059" s="23" t="s">
        <v>1086</v>
      </c>
      <c r="D1059" s="24" t="s">
        <v>1101</v>
      </c>
      <c r="E1059" s="25" t="s">
        <v>1722</v>
      </c>
      <c r="F1059" s="16" t="str">
        <f>_xlfn.XLOOKUP(D1059,[9]Sheet2!$C:$C,[9]Sheet2!$E:$E,"-")</f>
        <v>Andy Kistiwantono</v>
      </c>
      <c r="G1059" s="21"/>
    </row>
    <row r="1060" spans="2:7">
      <c r="B1060" s="22" t="s">
        <v>1085</v>
      </c>
      <c r="C1060" s="23" t="s">
        <v>1086</v>
      </c>
      <c r="D1060" s="24" t="s">
        <v>1102</v>
      </c>
      <c r="E1060" s="25" t="s">
        <v>1722</v>
      </c>
      <c r="F1060" s="16" t="str">
        <f>_xlfn.XLOOKUP(D1060,[9]Sheet2!$C:$C,[9]Sheet2!$E:$E,"-")</f>
        <v>M. Zen Asrofi</v>
      </c>
      <c r="G1060" s="21"/>
    </row>
    <row r="1061" spans="2:7">
      <c r="B1061" s="22" t="s">
        <v>1085</v>
      </c>
      <c r="C1061" s="23" t="s">
        <v>1086</v>
      </c>
      <c r="D1061" s="24" t="s">
        <v>1103</v>
      </c>
      <c r="E1061" s="25" t="s">
        <v>1722</v>
      </c>
      <c r="F1061" s="16" t="str">
        <f>_xlfn.XLOOKUP(D1061,[9]Sheet2!$C:$C,[9]Sheet2!$E:$E,"-")</f>
        <v>Mokhammad Ali Mustofa</v>
      </c>
      <c r="G1061" s="21"/>
    </row>
    <row r="1062" spans="2:7">
      <c r="B1062" s="22" t="s">
        <v>1085</v>
      </c>
      <c r="C1062" s="23" t="s">
        <v>1086</v>
      </c>
      <c r="D1062" s="24" t="s">
        <v>1104</v>
      </c>
      <c r="E1062" s="25" t="s">
        <v>1722</v>
      </c>
      <c r="F1062" s="16" t="str">
        <f>_xlfn.XLOOKUP(D1062,[9]Sheet2!$C:$C,[9]Sheet2!$E:$E,"-")</f>
        <v>Mokhammad Ali Mustofa</v>
      </c>
      <c r="G1062" s="21"/>
    </row>
    <row r="1063" spans="2:7">
      <c r="B1063" s="22" t="s">
        <v>1085</v>
      </c>
      <c r="C1063" s="23" t="s">
        <v>1086</v>
      </c>
      <c r="D1063" s="24" t="s">
        <v>1105</v>
      </c>
      <c r="E1063" s="25" t="s">
        <v>1722</v>
      </c>
      <c r="F1063" s="16" t="str">
        <f>_xlfn.XLOOKUP(D1063,[9]Sheet2!$C:$C,[9]Sheet2!$E:$E,"-")</f>
        <v>Totok Suwiknyo</v>
      </c>
      <c r="G1063" s="21"/>
    </row>
    <row r="1064" spans="2:7">
      <c r="B1064" s="22" t="s">
        <v>1085</v>
      </c>
      <c r="C1064" s="23" t="s">
        <v>1086</v>
      </c>
      <c r="D1064" s="24" t="s">
        <v>1106</v>
      </c>
      <c r="E1064" s="25" t="s">
        <v>1722</v>
      </c>
      <c r="F1064" s="16" t="str">
        <f>_xlfn.XLOOKUP(D1064,[9]Sheet2!$C:$C,[9]Sheet2!$E:$E,"-")</f>
        <v>Budianto</v>
      </c>
      <c r="G1064" s="21"/>
    </row>
    <row r="1065" spans="2:7">
      <c r="B1065" s="22" t="s">
        <v>1085</v>
      </c>
      <c r="C1065" s="23" t="s">
        <v>1086</v>
      </c>
      <c r="D1065" s="24" t="s">
        <v>1107</v>
      </c>
      <c r="E1065" s="25" t="s">
        <v>1722</v>
      </c>
      <c r="F1065" s="16" t="str">
        <f>_xlfn.XLOOKUP(D1065,[9]Sheet2!$C:$C,[9]Sheet2!$E:$E,"-")</f>
        <v>Niza Ramadani</v>
      </c>
      <c r="G1065" s="21"/>
    </row>
    <row r="1066" spans="2:7">
      <c r="B1066" s="22" t="s">
        <v>1085</v>
      </c>
      <c r="C1066" s="23" t="s">
        <v>1086</v>
      </c>
      <c r="D1066" s="24" t="s">
        <v>1108</v>
      </c>
      <c r="E1066" s="25" t="s">
        <v>1745</v>
      </c>
      <c r="F1066" s="16" t="str">
        <f>_xlfn.XLOOKUP(D1066,[9]Sheet2!$C:$C,[9]Sheet2!$E:$E,"-")</f>
        <v>Dian Putra Aris Firmansyah</v>
      </c>
      <c r="G1066" s="21"/>
    </row>
    <row r="1067" spans="2:7">
      <c r="B1067" s="22" t="s">
        <v>1085</v>
      </c>
      <c r="C1067" s="23" t="s">
        <v>1086</v>
      </c>
      <c r="D1067" s="24" t="s">
        <v>1109</v>
      </c>
      <c r="E1067" s="25" t="s">
        <v>1745</v>
      </c>
      <c r="F1067" s="16" t="str">
        <f>_xlfn.XLOOKUP(D1067,[9]Sheet2!$C:$C,[9]Sheet2!$E:$E,"-")</f>
        <v>Mohammad Fa'Iq Al Abror</v>
      </c>
      <c r="G1067" s="21"/>
    </row>
    <row r="1068" spans="2:7">
      <c r="B1068" s="22" t="s">
        <v>1085</v>
      </c>
      <c r="C1068" s="23" t="s">
        <v>1086</v>
      </c>
      <c r="D1068" s="24" t="s">
        <v>1110</v>
      </c>
      <c r="E1068" s="25" t="s">
        <v>1722</v>
      </c>
      <c r="F1068" s="16" t="str">
        <f>_xlfn.XLOOKUP(D1068,[9]Sheet2!$C:$C,[9]Sheet2!$E:$E,"-")</f>
        <v>Fariszulhazmi</v>
      </c>
      <c r="G1068" s="21"/>
    </row>
    <row r="1069" spans="2:7">
      <c r="B1069" s="22" t="s">
        <v>1085</v>
      </c>
      <c r="C1069" s="23" t="s">
        <v>1086</v>
      </c>
      <c r="D1069" s="24" t="s">
        <v>1111</v>
      </c>
      <c r="E1069" s="25" t="s">
        <v>1722</v>
      </c>
      <c r="F1069" s="16" t="str">
        <f>_xlfn.XLOOKUP(D1069,[9]Sheet2!$C:$C,[9]Sheet2!$E:$E,"-")</f>
        <v>Fitra Romansyah</v>
      </c>
      <c r="G1069" s="21"/>
    </row>
    <row r="1070" spans="2:7">
      <c r="B1070" s="22" t="s">
        <v>1085</v>
      </c>
      <c r="C1070" s="23" t="s">
        <v>1086</v>
      </c>
      <c r="D1070" s="24" t="s">
        <v>1112</v>
      </c>
      <c r="E1070" s="25" t="s">
        <v>1722</v>
      </c>
      <c r="F1070" s="16" t="str">
        <f>_xlfn.XLOOKUP(D1070,[9]Sheet2!$C:$C,[9]Sheet2!$E:$E,"-")</f>
        <v>Fariszulhazmi</v>
      </c>
      <c r="G1070" s="21"/>
    </row>
    <row r="1071" spans="2:7">
      <c r="B1071" s="22" t="s">
        <v>1085</v>
      </c>
      <c r="C1071" s="23" t="s">
        <v>1086</v>
      </c>
      <c r="D1071" s="24" t="s">
        <v>1113</v>
      </c>
      <c r="E1071" s="25" t="s">
        <v>1722</v>
      </c>
      <c r="F1071" s="16" t="str">
        <f>_xlfn.XLOOKUP(D1071,[9]Sheet2!$C:$C,[9]Sheet2!$E:$E,"-")</f>
        <v>Dede Rahadiansyah Ucky Pradana</v>
      </c>
      <c r="G1071" s="21"/>
    </row>
    <row r="1072" spans="2:7">
      <c r="B1072" s="22" t="s">
        <v>1085</v>
      </c>
      <c r="C1072" s="23" t="s">
        <v>1086</v>
      </c>
      <c r="D1072" s="24" t="s">
        <v>1114</v>
      </c>
      <c r="E1072" s="25" t="s">
        <v>1722</v>
      </c>
      <c r="F1072" s="16" t="str">
        <f>_xlfn.XLOOKUP(D1072,[9]Sheet2!$C:$C,[9]Sheet2!$E:$E,"-")</f>
        <v>Ardyanita Wanti, S.Pd</v>
      </c>
      <c r="G1072" s="21"/>
    </row>
    <row r="1073" spans="2:7">
      <c r="B1073" s="22" t="s">
        <v>1085</v>
      </c>
      <c r="C1073" s="23" t="s">
        <v>1086</v>
      </c>
      <c r="D1073" s="24" t="s">
        <v>1115</v>
      </c>
      <c r="E1073" s="25" t="s">
        <v>1745</v>
      </c>
      <c r="F1073" s="16" t="str">
        <f>_xlfn.XLOOKUP(D1073,[9]Sheet2!$C:$C,[9]Sheet2!$E:$E,"-")</f>
        <v>Mohammad Fa'Iq Al Abror</v>
      </c>
      <c r="G1073" s="21"/>
    </row>
    <row r="1074" spans="2:7">
      <c r="B1074" s="22" t="s">
        <v>1085</v>
      </c>
      <c r="C1074" s="23" t="s">
        <v>1086</v>
      </c>
      <c r="D1074" s="24" t="s">
        <v>1116</v>
      </c>
      <c r="E1074" s="25" t="s">
        <v>1745</v>
      </c>
      <c r="F1074" s="16" t="str">
        <f>_xlfn.XLOOKUP(D1074,[9]Sheet2!$C:$C,[9]Sheet2!$E:$E,"-")</f>
        <v>Dian Putra Aris Firmansyah</v>
      </c>
      <c r="G1074" s="21"/>
    </row>
    <row r="1075" spans="2:7">
      <c r="B1075" s="22" t="s">
        <v>1085</v>
      </c>
      <c r="C1075" s="23" t="s">
        <v>1086</v>
      </c>
      <c r="D1075" s="24" t="s">
        <v>1117</v>
      </c>
      <c r="E1075" s="25" t="s">
        <v>1722</v>
      </c>
      <c r="F1075" s="16" t="str">
        <f>_xlfn.XLOOKUP(D1075,[9]Sheet2!$C:$C,[9]Sheet2!$E:$E,"-")</f>
        <v>Ardyanita Wanti, S.Pd</v>
      </c>
      <c r="G1075" s="21"/>
    </row>
    <row r="1076" spans="2:7">
      <c r="B1076" s="22" t="s">
        <v>1085</v>
      </c>
      <c r="C1076" s="23" t="s">
        <v>1086</v>
      </c>
      <c r="D1076" s="24" t="s">
        <v>1118</v>
      </c>
      <c r="E1076" s="25" t="s">
        <v>1722</v>
      </c>
      <c r="F1076" s="16" t="str">
        <f>_xlfn.XLOOKUP(D1076,[9]Sheet2!$C:$C,[9]Sheet2!$E:$E,"-")</f>
        <v>Fariszulhazmi</v>
      </c>
      <c r="G1076" s="21"/>
    </row>
    <row r="1077" spans="2:7">
      <c r="B1077" s="22" t="s">
        <v>1085</v>
      </c>
      <c r="C1077" s="23" t="s">
        <v>1086</v>
      </c>
      <c r="D1077" s="24" t="s">
        <v>1119</v>
      </c>
      <c r="E1077" s="25" t="s">
        <v>1722</v>
      </c>
      <c r="F1077" s="16" t="str">
        <f>_xlfn.XLOOKUP(D1077,[9]Sheet2!$C:$C,[9]Sheet2!$E:$E,"-")</f>
        <v>Fitra Romansyah</v>
      </c>
      <c r="G1077" s="21"/>
    </row>
    <row r="1078" spans="2:7">
      <c r="B1078" s="22" t="s">
        <v>1085</v>
      </c>
      <c r="C1078" s="23" t="s">
        <v>1086</v>
      </c>
      <c r="D1078" s="24" t="s">
        <v>1120</v>
      </c>
      <c r="E1078" s="25" t="s">
        <v>1722</v>
      </c>
      <c r="F1078" s="16" t="str">
        <f>_xlfn.XLOOKUP(D1078,[9]Sheet2!$C:$C,[9]Sheet2!$E:$E,"-")</f>
        <v>Fitra Romansyah</v>
      </c>
      <c r="G1078" s="21"/>
    </row>
    <row r="1079" spans="2:7">
      <c r="B1079" s="22" t="s">
        <v>1085</v>
      </c>
      <c r="C1079" s="23" t="s">
        <v>1086</v>
      </c>
      <c r="D1079" s="24" t="s">
        <v>1121</v>
      </c>
      <c r="E1079" s="25" t="s">
        <v>1745</v>
      </c>
      <c r="F1079" s="16" t="str">
        <f>_xlfn.XLOOKUP(D1079,[9]Sheet2!$C:$C,[9]Sheet2!$E:$E,"-")</f>
        <v>M. Faris Rahman</v>
      </c>
      <c r="G1079" s="21"/>
    </row>
    <row r="1080" spans="2:7">
      <c r="B1080" s="22" t="s">
        <v>1085</v>
      </c>
      <c r="C1080" s="23" t="s">
        <v>1086</v>
      </c>
      <c r="D1080" s="24" t="s">
        <v>1122</v>
      </c>
      <c r="E1080" s="25" t="s">
        <v>1745</v>
      </c>
      <c r="F1080" s="16" t="str">
        <f>_xlfn.XLOOKUP(D1080,[9]Sheet2!$C:$C,[9]Sheet2!$E:$E,"-")</f>
        <v>Ali Said</v>
      </c>
      <c r="G1080" s="21"/>
    </row>
    <row r="1081" spans="2:7">
      <c r="B1081" s="22" t="s">
        <v>1085</v>
      </c>
      <c r="C1081" s="23" t="s">
        <v>1086</v>
      </c>
      <c r="D1081" s="24" t="s">
        <v>1123</v>
      </c>
      <c r="E1081" s="25" t="s">
        <v>1722</v>
      </c>
      <c r="F1081" s="16" t="str">
        <f>_xlfn.XLOOKUP(D1081,[9]Sheet2!$C:$C,[9]Sheet2!$E:$E,"-")</f>
        <v>Siswa Maulana Malik</v>
      </c>
      <c r="G1081" s="21"/>
    </row>
    <row r="1082" spans="2:7">
      <c r="B1082" s="22" t="s">
        <v>1085</v>
      </c>
      <c r="C1082" s="23" t="s">
        <v>1086</v>
      </c>
      <c r="D1082" s="24" t="s">
        <v>1124</v>
      </c>
      <c r="E1082" s="25" t="s">
        <v>1722</v>
      </c>
      <c r="F1082" s="16" t="str">
        <f>_xlfn.XLOOKUP(D1082,[9]Sheet2!$C:$C,[9]Sheet2!$E:$E,"-")</f>
        <v>Ahmad Andy Fajar Wijaya</v>
      </c>
      <c r="G1082" s="21"/>
    </row>
    <row r="1083" spans="2:7">
      <c r="B1083" s="22" t="s">
        <v>1085</v>
      </c>
      <c r="C1083" s="23" t="s">
        <v>1086</v>
      </c>
      <c r="D1083" s="24" t="s">
        <v>1125</v>
      </c>
      <c r="E1083" s="25" t="s">
        <v>1722</v>
      </c>
      <c r="F1083" s="16" t="str">
        <f>_xlfn.XLOOKUP(D1083,[9]Sheet2!$C:$C,[9]Sheet2!$E:$E,"-")</f>
        <v>Moch Ali Muksin</v>
      </c>
      <c r="G1083" s="21"/>
    </row>
    <row r="1084" spans="2:7">
      <c r="B1084" s="22" t="s">
        <v>1085</v>
      </c>
      <c r="C1084" s="23" t="s">
        <v>1086</v>
      </c>
      <c r="D1084" s="24" t="s">
        <v>1126</v>
      </c>
      <c r="E1084" s="25" t="s">
        <v>1722</v>
      </c>
      <c r="F1084" s="16" t="str">
        <f>_xlfn.XLOOKUP(D1084,[9]Sheet2!$C:$C,[9]Sheet2!$E:$E,"-")</f>
        <v>Ahmad Andy Fajar Wijaya</v>
      </c>
      <c r="G1084" s="21"/>
    </row>
    <row r="1085" spans="2:7">
      <c r="B1085" s="22" t="s">
        <v>1085</v>
      </c>
      <c r="C1085" s="23" t="s">
        <v>1086</v>
      </c>
      <c r="D1085" s="24" t="s">
        <v>1127</v>
      </c>
      <c r="E1085" s="25" t="s">
        <v>1722</v>
      </c>
      <c r="F1085" s="16" t="str">
        <f>_xlfn.XLOOKUP(D1085,[9]Sheet2!$C:$C,[9]Sheet2!$E:$E,"-")</f>
        <v>Siswa Maulana Malik</v>
      </c>
      <c r="G1085" s="21"/>
    </row>
    <row r="1086" spans="2:7">
      <c r="B1086" s="22" t="s">
        <v>1085</v>
      </c>
      <c r="C1086" s="23" t="s">
        <v>1086</v>
      </c>
      <c r="D1086" s="24" t="s">
        <v>1128</v>
      </c>
      <c r="E1086" s="25" t="s">
        <v>1745</v>
      </c>
      <c r="F1086" s="16" t="str">
        <f>_xlfn.XLOOKUP(D1086,[9]Sheet2!$C:$C,[9]Sheet2!$E:$E,"-")</f>
        <v>M. Faris Rahman</v>
      </c>
      <c r="G1086" s="21"/>
    </row>
    <row r="1087" spans="2:7">
      <c r="B1087" s="22" t="s">
        <v>1085</v>
      </c>
      <c r="C1087" s="23" t="s">
        <v>1086</v>
      </c>
      <c r="D1087" s="24" t="s">
        <v>1129</v>
      </c>
      <c r="E1087" s="25" t="s">
        <v>1745</v>
      </c>
      <c r="F1087" s="16" t="str">
        <f>_xlfn.XLOOKUP(D1087,[9]Sheet2!$C:$C,[9]Sheet2!$E:$E,"-")</f>
        <v>Ali Said</v>
      </c>
      <c r="G1087" s="21"/>
    </row>
    <row r="1088" spans="2:7">
      <c r="B1088" s="22" t="s">
        <v>1085</v>
      </c>
      <c r="C1088" s="23" t="s">
        <v>1086</v>
      </c>
      <c r="D1088" s="24" t="s">
        <v>1130</v>
      </c>
      <c r="E1088" s="25" t="s">
        <v>1745</v>
      </c>
      <c r="F1088" s="16" t="str">
        <f>_xlfn.XLOOKUP(D1088,[9]Sheet2!$C:$C,[9]Sheet2!$E:$E,"-")</f>
        <v>M. Faris Rahman</v>
      </c>
      <c r="G1088" s="21"/>
    </row>
    <row r="1089" spans="2:7">
      <c r="B1089" s="22" t="s">
        <v>1085</v>
      </c>
      <c r="C1089" s="23" t="s">
        <v>1086</v>
      </c>
      <c r="D1089" s="24" t="s">
        <v>1131</v>
      </c>
      <c r="E1089" s="25" t="s">
        <v>1722</v>
      </c>
      <c r="F1089" s="16" t="str">
        <f>_xlfn.XLOOKUP(D1089,[9]Sheet2!$C:$C,[9]Sheet2!$E:$E,"-")</f>
        <v>Moch Ali Muksin</v>
      </c>
      <c r="G1089" s="21"/>
    </row>
    <row r="1090" spans="2:7">
      <c r="B1090" s="22" t="s">
        <v>1085</v>
      </c>
      <c r="C1090" s="23" t="s">
        <v>1086</v>
      </c>
      <c r="D1090" s="24" t="s">
        <v>1132</v>
      </c>
      <c r="E1090" s="25" t="s">
        <v>1722</v>
      </c>
      <c r="F1090" s="16" t="str">
        <f>_xlfn.XLOOKUP(D1090,[9]Sheet2!$C:$C,[9]Sheet2!$E:$E,"-")</f>
        <v>Ahmad Andy Fajar Wijaya</v>
      </c>
      <c r="G1090" s="21"/>
    </row>
    <row r="1091" spans="2:7">
      <c r="B1091" s="22" t="s">
        <v>1085</v>
      </c>
      <c r="C1091" s="23" t="s">
        <v>1086</v>
      </c>
      <c r="D1091" s="24" t="s">
        <v>1133</v>
      </c>
      <c r="E1091" s="25" t="s">
        <v>1722</v>
      </c>
      <c r="F1091" s="16" t="str">
        <f>_xlfn.XLOOKUP(D1091,[9]Sheet2!$C:$C,[9]Sheet2!$E:$E,"-")</f>
        <v>Faris Meilugianta Pratama</v>
      </c>
      <c r="G1091" s="21"/>
    </row>
    <row r="1092" spans="2:7">
      <c r="B1092" s="22" t="s">
        <v>1085</v>
      </c>
      <c r="C1092" s="23" t="s">
        <v>1086</v>
      </c>
      <c r="D1092" s="24" t="s">
        <v>1134</v>
      </c>
      <c r="E1092" s="25" t="s">
        <v>1722</v>
      </c>
      <c r="F1092" s="16" t="str">
        <f>_xlfn.XLOOKUP(D1092,[9]Sheet2!$C:$C,[9]Sheet2!$E:$E,"-")</f>
        <v>Zainal Abidin</v>
      </c>
      <c r="G1092" s="21"/>
    </row>
    <row r="1093" spans="2:7">
      <c r="B1093" s="22" t="s">
        <v>1085</v>
      </c>
      <c r="C1093" s="23" t="s">
        <v>1086</v>
      </c>
      <c r="D1093" s="24" t="s">
        <v>1135</v>
      </c>
      <c r="E1093" s="25" t="s">
        <v>1722</v>
      </c>
      <c r="F1093" s="16" t="str">
        <f>_xlfn.XLOOKUP(D1093,[9]Sheet2!$C:$C,[9]Sheet2!$E:$E,"-")</f>
        <v>Ega Chandra Dinata</v>
      </c>
      <c r="G1093" s="21"/>
    </row>
    <row r="1094" spans="2:7">
      <c r="B1094" s="22" t="s">
        <v>1085</v>
      </c>
      <c r="C1094" s="23" t="s">
        <v>1086</v>
      </c>
      <c r="D1094" s="24" t="s">
        <v>1136</v>
      </c>
      <c r="E1094" s="25" t="s">
        <v>1722</v>
      </c>
      <c r="F1094" s="16" t="str">
        <f>_xlfn.XLOOKUP(D1094,[9]Sheet2!$C:$C,[9]Sheet2!$E:$E,"-")</f>
        <v>Fauzen Alfan</v>
      </c>
      <c r="G1094" s="21"/>
    </row>
    <row r="1095" spans="2:7">
      <c r="B1095" s="22" t="s">
        <v>1085</v>
      </c>
      <c r="C1095" s="23" t="s">
        <v>1086</v>
      </c>
      <c r="D1095" s="24" t="s">
        <v>1137</v>
      </c>
      <c r="E1095" s="25" t="s">
        <v>1722</v>
      </c>
      <c r="F1095" s="16" t="str">
        <f>_xlfn.XLOOKUP(D1095,[9]Sheet2!$C:$C,[9]Sheet2!$E:$E,"-")</f>
        <v>Faris Meilugianta Pratama</v>
      </c>
      <c r="G1095" s="21"/>
    </row>
    <row r="1096" spans="2:7">
      <c r="B1096" s="22" t="s">
        <v>1085</v>
      </c>
      <c r="C1096" s="23" t="s">
        <v>1086</v>
      </c>
      <c r="D1096" s="24" t="s">
        <v>1138</v>
      </c>
      <c r="E1096" s="25" t="s">
        <v>1722</v>
      </c>
      <c r="F1096" s="16" t="str">
        <f>_xlfn.XLOOKUP(D1096,[9]Sheet2!$C:$C,[9]Sheet2!$E:$E,"-")</f>
        <v>Hilman Anshori</v>
      </c>
      <c r="G1096" s="21"/>
    </row>
    <row r="1097" spans="2:7">
      <c r="B1097" s="22" t="s">
        <v>1085</v>
      </c>
      <c r="C1097" s="23" t="s">
        <v>1086</v>
      </c>
      <c r="D1097" s="24" t="s">
        <v>1139</v>
      </c>
      <c r="E1097" s="25" t="s">
        <v>1745</v>
      </c>
      <c r="F1097" s="16" t="str">
        <f>_xlfn.XLOOKUP(D1097,[9]Sheet2!$C:$C,[9]Sheet2!$E:$E,"-")</f>
        <v>-</v>
      </c>
      <c r="G1097" s="21"/>
    </row>
    <row r="1098" spans="2:7">
      <c r="B1098" s="22" t="s">
        <v>1085</v>
      </c>
      <c r="C1098" s="23" t="s">
        <v>1086</v>
      </c>
      <c r="D1098" s="24" t="s">
        <v>1140</v>
      </c>
      <c r="E1098" s="25" t="s">
        <v>1745</v>
      </c>
      <c r="F1098" s="16" t="str">
        <f>_xlfn.XLOOKUP(D1098,[9]Sheet2!$C:$C,[9]Sheet2!$E:$E,"-")</f>
        <v>-</v>
      </c>
      <c r="G1098" s="21"/>
    </row>
    <row r="1099" spans="2:7">
      <c r="B1099" s="22" t="s">
        <v>1085</v>
      </c>
      <c r="C1099" s="23" t="s">
        <v>1086</v>
      </c>
      <c r="D1099" s="24" t="s">
        <v>1141</v>
      </c>
      <c r="E1099" s="25" t="s">
        <v>1745</v>
      </c>
      <c r="F1099" s="16" t="str">
        <f>_xlfn.XLOOKUP(D1099,[9]Sheet2!$C:$C,[9]Sheet2!$E:$E,"-")</f>
        <v>-</v>
      </c>
      <c r="G1099" s="21"/>
    </row>
    <row r="1100" spans="2:7">
      <c r="B1100" s="22" t="s">
        <v>1085</v>
      </c>
      <c r="C1100" s="23" t="s">
        <v>1086</v>
      </c>
      <c r="D1100" s="24" t="s">
        <v>1142</v>
      </c>
      <c r="E1100" s="25" t="s">
        <v>1745</v>
      </c>
      <c r="F1100" s="16" t="str">
        <f>_xlfn.XLOOKUP(D1100,[9]Sheet2!$C:$C,[9]Sheet2!$E:$E,"-")</f>
        <v>-</v>
      </c>
      <c r="G1100" s="21"/>
    </row>
    <row r="1101" spans="2:7">
      <c r="B1101" s="22" t="s">
        <v>1085</v>
      </c>
      <c r="C1101" s="23" t="s">
        <v>1086</v>
      </c>
      <c r="D1101" s="24" t="s">
        <v>1143</v>
      </c>
      <c r="E1101" s="25" t="s">
        <v>1745</v>
      </c>
      <c r="F1101" s="16" t="str">
        <f>_xlfn.XLOOKUP(D1101,[9]Sheet2!$C:$C,[9]Sheet2!$E:$E,"-")</f>
        <v>Andi Wiranata Negara</v>
      </c>
      <c r="G1101" s="21"/>
    </row>
    <row r="1102" spans="2:7">
      <c r="B1102" s="22" t="s">
        <v>1085</v>
      </c>
      <c r="C1102" s="23" t="s">
        <v>1086</v>
      </c>
      <c r="D1102" s="24" t="s">
        <v>1144</v>
      </c>
      <c r="E1102" s="25" t="s">
        <v>1745</v>
      </c>
      <c r="F1102" s="16" t="str">
        <f>_xlfn.XLOOKUP(D1102,[9]Sheet2!$C:$C,[9]Sheet2!$E:$E,"-")</f>
        <v>Moh. Hasan</v>
      </c>
      <c r="G1102" s="21"/>
    </row>
    <row r="1103" spans="2:7">
      <c r="B1103" s="22" t="s">
        <v>1085</v>
      </c>
      <c r="C1103" s="23" t="s">
        <v>1086</v>
      </c>
      <c r="D1103" s="24" t="s">
        <v>1145</v>
      </c>
      <c r="E1103" s="25" t="s">
        <v>1745</v>
      </c>
      <c r="F1103" s="16" t="str">
        <f>_xlfn.XLOOKUP(D1103,[9]Sheet2!$C:$C,[9]Sheet2!$E:$E,"-")</f>
        <v>Farida</v>
      </c>
      <c r="G1103" s="21"/>
    </row>
    <row r="1104" spans="2:7">
      <c r="B1104" s="22" t="s">
        <v>1085</v>
      </c>
      <c r="C1104" s="23" t="s">
        <v>1086</v>
      </c>
      <c r="D1104" s="24" t="s">
        <v>1146</v>
      </c>
      <c r="E1104" s="25" t="s">
        <v>1745</v>
      </c>
      <c r="F1104" s="16" t="str">
        <f>_xlfn.XLOOKUP(D1104,[9]Sheet2!$C:$C,[9]Sheet2!$E:$E,"-")</f>
        <v>Moh. Hasan</v>
      </c>
      <c r="G1104" s="21"/>
    </row>
    <row r="1105" spans="2:7">
      <c r="B1105" s="22" t="s">
        <v>1085</v>
      </c>
      <c r="C1105" s="23" t="s">
        <v>1086</v>
      </c>
      <c r="D1105" s="24" t="s">
        <v>1147</v>
      </c>
      <c r="E1105" s="25" t="s">
        <v>1745</v>
      </c>
      <c r="F1105" s="16" t="str">
        <f>_xlfn.XLOOKUP(D1105,[9]Sheet2!$C:$C,[9]Sheet2!$E:$E,"-")</f>
        <v>Farida</v>
      </c>
      <c r="G1105" s="21"/>
    </row>
    <row r="1106" spans="2:7">
      <c r="B1106" s="22" t="s">
        <v>1085</v>
      </c>
      <c r="C1106" s="23" t="s">
        <v>1086</v>
      </c>
      <c r="D1106" s="24" t="s">
        <v>1148</v>
      </c>
      <c r="E1106" s="25" t="s">
        <v>1745</v>
      </c>
      <c r="F1106" s="16" t="str">
        <f>_xlfn.XLOOKUP(D1106,[9]Sheet2!$C:$C,[9]Sheet2!$E:$E,"-")</f>
        <v>Abdur Rahman</v>
      </c>
      <c r="G1106" s="21"/>
    </row>
    <row r="1107" spans="2:7">
      <c r="B1107" s="22" t="s">
        <v>1085</v>
      </c>
      <c r="C1107" s="23" t="s">
        <v>1086</v>
      </c>
      <c r="D1107" s="24" t="s">
        <v>1149</v>
      </c>
      <c r="E1107" s="25" t="s">
        <v>1745</v>
      </c>
      <c r="F1107" s="16" t="str">
        <f>_xlfn.XLOOKUP(D1107,[9]Sheet2!$C:$C,[9]Sheet2!$E:$E,"-")</f>
        <v>Abdur Rahman</v>
      </c>
      <c r="G1107" s="21"/>
    </row>
    <row r="1108" spans="2:7">
      <c r="B1108" s="22" t="s">
        <v>1085</v>
      </c>
      <c r="C1108" s="23" t="s">
        <v>1086</v>
      </c>
      <c r="D1108" s="24" t="s">
        <v>1150</v>
      </c>
      <c r="E1108" s="25" t="s">
        <v>1722</v>
      </c>
      <c r="F1108" s="16" t="str">
        <f>_xlfn.XLOOKUP(D1108,[9]Sheet2!$C:$C,[9]Sheet2!$E:$E,"-")</f>
        <v>Ahmad Khairul Zawawi</v>
      </c>
      <c r="G1108" s="21"/>
    </row>
    <row r="1109" spans="2:7">
      <c r="B1109" s="22" t="s">
        <v>1085</v>
      </c>
      <c r="C1109" s="23" t="s">
        <v>1086</v>
      </c>
      <c r="D1109" s="24" t="s">
        <v>1151</v>
      </c>
      <c r="E1109" s="25" t="s">
        <v>1722</v>
      </c>
      <c r="F1109" s="16" t="str">
        <f>_xlfn.XLOOKUP(D1109,[9]Sheet2!$C:$C,[9]Sheet2!$E:$E,"-")</f>
        <v>Ahmad Khairul Zawawi</v>
      </c>
      <c r="G1109" s="21"/>
    </row>
    <row r="1110" spans="2:7">
      <c r="B1110" s="22" t="s">
        <v>1085</v>
      </c>
      <c r="C1110" s="23" t="s">
        <v>1086</v>
      </c>
      <c r="D1110" s="24" t="s">
        <v>1152</v>
      </c>
      <c r="E1110" s="25" t="s">
        <v>1722</v>
      </c>
      <c r="F1110" s="16" t="str">
        <f>_xlfn.XLOOKUP(D1110,[9]Sheet2!$C:$C,[9]Sheet2!$E:$E,"-")</f>
        <v>Muhlis Riyadi</v>
      </c>
      <c r="G1110" s="21"/>
    </row>
    <row r="1111" spans="2:7">
      <c r="B1111" s="22" t="s">
        <v>1085</v>
      </c>
      <c r="C1111" s="23" t="s">
        <v>1086</v>
      </c>
      <c r="D1111" s="24" t="s">
        <v>1153</v>
      </c>
      <c r="E1111" s="25" t="s">
        <v>1722</v>
      </c>
      <c r="F1111" s="16" t="str">
        <f>_xlfn.XLOOKUP(D1111,[9]Sheet2!$C:$C,[9]Sheet2!$E:$E,"-")</f>
        <v>Mohammad Irsyad</v>
      </c>
      <c r="G1111" s="21"/>
    </row>
    <row r="1112" spans="2:7">
      <c r="B1112" s="22" t="s">
        <v>1085</v>
      </c>
      <c r="C1112" s="23" t="s">
        <v>1086</v>
      </c>
      <c r="D1112" s="24" t="s">
        <v>1154</v>
      </c>
      <c r="E1112" s="25" t="s">
        <v>1722</v>
      </c>
      <c r="F1112" s="16" t="str">
        <f>_xlfn.XLOOKUP(D1112,[9]Sheet2!$C:$C,[9]Sheet2!$E:$E,"-")</f>
        <v>Mohammad Irsyad</v>
      </c>
      <c r="G1112" s="21"/>
    </row>
    <row r="1113" spans="2:7">
      <c r="B1113" s="22" t="s">
        <v>1085</v>
      </c>
      <c r="C1113" s="23" t="s">
        <v>1086</v>
      </c>
      <c r="D1113" s="24" t="s">
        <v>1155</v>
      </c>
      <c r="E1113" s="25" t="s">
        <v>1722</v>
      </c>
      <c r="F1113" s="16" t="str">
        <f>_xlfn.XLOOKUP(D1113,[9]Sheet2!$C:$C,[9]Sheet2!$E:$E,"-")</f>
        <v>Eka Satrio</v>
      </c>
      <c r="G1113" s="21"/>
    </row>
    <row r="1114" spans="2:7">
      <c r="B1114" s="22" t="s">
        <v>1085</v>
      </c>
      <c r="C1114" s="23" t="s">
        <v>1086</v>
      </c>
      <c r="D1114" s="24" t="s">
        <v>1156</v>
      </c>
      <c r="E1114" s="25" t="s">
        <v>1722</v>
      </c>
      <c r="F1114" s="16" t="str">
        <f>_xlfn.XLOOKUP(D1114,[9]Sheet2!$C:$C,[9]Sheet2!$E:$E,"-")</f>
        <v>Hodaifah</v>
      </c>
      <c r="G1114" s="21"/>
    </row>
    <row r="1115" spans="2:7">
      <c r="B1115" s="22" t="s">
        <v>1085</v>
      </c>
      <c r="C1115" s="23" t="s">
        <v>1086</v>
      </c>
      <c r="D1115" s="24" t="s">
        <v>1157</v>
      </c>
      <c r="E1115" s="25" t="s">
        <v>1722</v>
      </c>
      <c r="F1115" s="16" t="str">
        <f>_xlfn.XLOOKUP(D1115,[9]Sheet2!$C:$C,[9]Sheet2!$E:$E,"-")</f>
        <v>Hodaifah</v>
      </c>
      <c r="G1115" s="21"/>
    </row>
    <row r="1116" spans="2:7">
      <c r="B1116" s="22" t="s">
        <v>1085</v>
      </c>
      <c r="C1116" s="23" t="s">
        <v>1086</v>
      </c>
      <c r="D1116" s="24" t="s">
        <v>1158</v>
      </c>
      <c r="E1116" s="25" t="s">
        <v>1722</v>
      </c>
      <c r="F1116" s="16" t="str">
        <f>_xlfn.XLOOKUP(D1116,[9]Sheet2!$C:$C,[9]Sheet2!$E:$E,"-")</f>
        <v>Mohammad Irsyad</v>
      </c>
      <c r="G1116" s="21"/>
    </row>
    <row r="1117" spans="2:7">
      <c r="B1117" s="22" t="s">
        <v>1085</v>
      </c>
      <c r="C1117" s="23" t="s">
        <v>1086</v>
      </c>
      <c r="D1117" s="24" t="s">
        <v>1159</v>
      </c>
      <c r="E1117" s="25" t="s">
        <v>1722</v>
      </c>
      <c r="F1117" s="16" t="str">
        <f>_xlfn.XLOOKUP(D1117,[9]Sheet2!$C:$C,[9]Sheet2!$E:$E,"-")</f>
        <v>Syamsuddin</v>
      </c>
      <c r="G1117" s="21"/>
    </row>
    <row r="1118" spans="2:7">
      <c r="B1118" s="22" t="s">
        <v>1085</v>
      </c>
      <c r="C1118" s="23" t="s">
        <v>1086</v>
      </c>
      <c r="D1118" s="24" t="s">
        <v>1160</v>
      </c>
      <c r="E1118" s="25" t="s">
        <v>1722</v>
      </c>
      <c r="F1118" s="16" t="str">
        <f>_xlfn.XLOOKUP(D1118,[9]Sheet2!$C:$C,[9]Sheet2!$E:$E,"-")</f>
        <v>Yusufil Hamdhani Akbar</v>
      </c>
      <c r="G1118" s="21"/>
    </row>
    <row r="1119" spans="2:7">
      <c r="B1119" s="22" t="s">
        <v>1085</v>
      </c>
      <c r="C1119" s="23" t="s">
        <v>1086</v>
      </c>
      <c r="D1119" s="24" t="s">
        <v>1161</v>
      </c>
      <c r="E1119" s="25" t="s">
        <v>1745</v>
      </c>
      <c r="F1119" s="16" t="str">
        <f>_xlfn.XLOOKUP(D1119,[9]Sheet2!$C:$C,[9]Sheet2!$E:$E,"-")</f>
        <v>-</v>
      </c>
      <c r="G1119" s="21"/>
    </row>
    <row r="1120" spans="2:7">
      <c r="B1120" s="22" t="s">
        <v>1085</v>
      </c>
      <c r="C1120" s="23" t="s">
        <v>1086</v>
      </c>
      <c r="D1120" s="24" t="s">
        <v>1162</v>
      </c>
      <c r="E1120" s="25" t="s">
        <v>1722</v>
      </c>
      <c r="F1120" s="16" t="str">
        <f>_xlfn.XLOOKUP(D1120,[9]Sheet2!$C:$C,[9]Sheet2!$E:$E,"-")</f>
        <v>Moh. Adfar Istihar</v>
      </c>
      <c r="G1120" s="21"/>
    </row>
    <row r="1121" spans="2:7">
      <c r="B1121" s="22" t="s">
        <v>1085</v>
      </c>
      <c r="C1121" s="23" t="s">
        <v>1086</v>
      </c>
      <c r="D1121" s="24" t="s">
        <v>1163</v>
      </c>
      <c r="E1121" s="25" t="s">
        <v>1722</v>
      </c>
      <c r="F1121" s="16" t="str">
        <f>_xlfn.XLOOKUP(D1121,[9]Sheet2!$C:$C,[9]Sheet2!$E:$E,"-")</f>
        <v>Moh. Adfar Istihar</v>
      </c>
      <c r="G1121" s="21"/>
    </row>
    <row r="1122" spans="2:7">
      <c r="B1122" s="22" t="s">
        <v>1085</v>
      </c>
      <c r="C1122" s="23" t="s">
        <v>1086</v>
      </c>
      <c r="D1122" s="24" t="s">
        <v>1164</v>
      </c>
      <c r="E1122" s="25" t="s">
        <v>1722</v>
      </c>
      <c r="F1122" s="16" t="str">
        <f>_xlfn.XLOOKUP(D1122,[9]Sheet2!$C:$C,[9]Sheet2!$E:$E,"-")</f>
        <v>Abd. Ghoni</v>
      </c>
      <c r="G1122" s="21"/>
    </row>
    <row r="1123" spans="2:7">
      <c r="B1123" s="22" t="s">
        <v>1085</v>
      </c>
      <c r="C1123" s="23" t="s">
        <v>1086</v>
      </c>
      <c r="D1123" s="24" t="s">
        <v>1165</v>
      </c>
      <c r="E1123" s="25" t="s">
        <v>1722</v>
      </c>
      <c r="F1123" s="16" t="str">
        <f>_xlfn.XLOOKUP(D1123,[9]Sheet2!$C:$C,[9]Sheet2!$E:$E,"-")</f>
        <v>Abd. Syakur</v>
      </c>
      <c r="G1123" s="21"/>
    </row>
    <row r="1124" spans="2:7">
      <c r="B1124" s="22" t="s">
        <v>1085</v>
      </c>
      <c r="C1124" s="23" t="s">
        <v>1086</v>
      </c>
      <c r="D1124" s="24" t="s">
        <v>1166</v>
      </c>
      <c r="E1124" s="25" t="s">
        <v>1722</v>
      </c>
      <c r="F1124" s="16" t="str">
        <f>_xlfn.XLOOKUP(D1124,[9]Sheet2!$C:$C,[9]Sheet2!$E:$E,"-")</f>
        <v>Abd. Syakur</v>
      </c>
      <c r="G1124" s="21"/>
    </row>
    <row r="1125" spans="2:7">
      <c r="B1125" s="22" t="s">
        <v>1085</v>
      </c>
      <c r="C1125" s="23" t="s">
        <v>1086</v>
      </c>
      <c r="D1125" s="24" t="s">
        <v>1167</v>
      </c>
      <c r="E1125" s="25" t="s">
        <v>1745</v>
      </c>
      <c r="F1125" s="16" t="str">
        <f>_xlfn.XLOOKUP(D1125,[9]Sheet2!$C:$C,[9]Sheet2!$E:$E,"-")</f>
        <v>-</v>
      </c>
      <c r="G1125" s="21"/>
    </row>
    <row r="1126" spans="2:7">
      <c r="B1126" s="22" t="s">
        <v>1085</v>
      </c>
      <c r="C1126" s="23" t="s">
        <v>1086</v>
      </c>
      <c r="D1126" s="24" t="s">
        <v>1168</v>
      </c>
      <c r="E1126" s="25" t="s">
        <v>1745</v>
      </c>
      <c r="F1126" s="16" t="str">
        <f>_xlfn.XLOOKUP(D1126,[9]Sheet2!$C:$C,[9]Sheet2!$E:$E,"-")</f>
        <v>-</v>
      </c>
      <c r="G1126" s="21"/>
    </row>
    <row r="1127" spans="2:7">
      <c r="B1127" s="22" t="s">
        <v>1085</v>
      </c>
      <c r="C1127" s="23" t="s">
        <v>1086</v>
      </c>
      <c r="D1127" s="24" t="s">
        <v>1169</v>
      </c>
      <c r="E1127" s="25" t="s">
        <v>1745</v>
      </c>
      <c r="F1127" s="16" t="str">
        <f>_xlfn.XLOOKUP(D1127,[9]Sheet2!$C:$C,[9]Sheet2!$E:$E,"-")</f>
        <v>-</v>
      </c>
      <c r="G1127" s="21"/>
    </row>
    <row r="1128" spans="2:7">
      <c r="B1128" s="22" t="s">
        <v>1085</v>
      </c>
      <c r="C1128" s="23" t="s">
        <v>1086</v>
      </c>
      <c r="D1128" s="24" t="s">
        <v>1170</v>
      </c>
      <c r="E1128" s="25" t="s">
        <v>1722</v>
      </c>
      <c r="F1128" s="16" t="str">
        <f>_xlfn.XLOOKUP(D1128,[9]Sheet2!$C:$C,[9]Sheet2!$E:$E,"-")</f>
        <v>Eko Junaidi</v>
      </c>
      <c r="G1128" s="21"/>
    </row>
    <row r="1129" spans="2:7">
      <c r="B1129" s="22" t="s">
        <v>1085</v>
      </c>
      <c r="C1129" s="23" t="s">
        <v>1086</v>
      </c>
      <c r="D1129" s="24" t="s">
        <v>1171</v>
      </c>
      <c r="E1129" s="25" t="s">
        <v>1722</v>
      </c>
      <c r="F1129" s="16" t="str">
        <f>_xlfn.XLOOKUP(D1129,[9]Sheet2!$C:$C,[9]Sheet2!$E:$E,"-")</f>
        <v>Tika Vebrian Tiara Devi</v>
      </c>
      <c r="G1129" s="21"/>
    </row>
    <row r="1130" spans="2:7">
      <c r="B1130" s="22" t="s">
        <v>1085</v>
      </c>
      <c r="C1130" s="23" t="s">
        <v>1086</v>
      </c>
      <c r="D1130" s="24" t="s">
        <v>1172</v>
      </c>
      <c r="E1130" s="25" t="s">
        <v>1722</v>
      </c>
      <c r="F1130" s="16" t="str">
        <f>_xlfn.XLOOKUP(D1130,[9]Sheet2!$C:$C,[9]Sheet2!$E:$E,"-")</f>
        <v>Eko Prasetianto Nugroho</v>
      </c>
      <c r="G1130" s="21"/>
    </row>
    <row r="1131" spans="2:7">
      <c r="B1131" s="22" t="s">
        <v>1085</v>
      </c>
      <c r="C1131" s="23" t="s">
        <v>1086</v>
      </c>
      <c r="D1131" s="24" t="s">
        <v>1173</v>
      </c>
      <c r="E1131" s="25" t="s">
        <v>1722</v>
      </c>
      <c r="F1131" s="16" t="str">
        <f>_xlfn.XLOOKUP(D1131,[9]Sheet2!$C:$C,[9]Sheet2!$E:$E,"-")</f>
        <v>Eko Junaidi</v>
      </c>
      <c r="G1131" s="21"/>
    </row>
    <row r="1132" spans="2:7">
      <c r="B1132" s="22" t="s">
        <v>1085</v>
      </c>
      <c r="C1132" s="23" t="s">
        <v>1086</v>
      </c>
      <c r="D1132" s="24" t="s">
        <v>1174</v>
      </c>
      <c r="E1132" s="25" t="s">
        <v>1745</v>
      </c>
      <c r="F1132" s="16" t="str">
        <f>_xlfn.XLOOKUP(D1132,[9]Sheet2!$C:$C,[9]Sheet2!$E:$E,"-")</f>
        <v>Boma Eka Kurniawan</v>
      </c>
      <c r="G1132" s="21"/>
    </row>
    <row r="1133" spans="2:7">
      <c r="B1133" s="22" t="s">
        <v>1085</v>
      </c>
      <c r="C1133" s="23" t="s">
        <v>1086</v>
      </c>
      <c r="D1133" s="24" t="s">
        <v>1175</v>
      </c>
      <c r="E1133" s="25" t="s">
        <v>1722</v>
      </c>
      <c r="F1133" s="16" t="str">
        <f>_xlfn.XLOOKUP(D1133,[9]Sheet2!$C:$C,[9]Sheet2!$E:$E,"-")</f>
        <v>Tika Vebrian Tiara Devi</v>
      </c>
      <c r="G1133" s="21"/>
    </row>
    <row r="1134" spans="2:7">
      <c r="B1134" s="22" t="s">
        <v>1085</v>
      </c>
      <c r="C1134" s="23" t="s">
        <v>1086</v>
      </c>
      <c r="D1134" s="24" t="s">
        <v>1176</v>
      </c>
      <c r="E1134" s="25" t="s">
        <v>1745</v>
      </c>
      <c r="F1134" s="16" t="str">
        <f>_xlfn.XLOOKUP(D1134,[9]Sheet2!$C:$C,[9]Sheet2!$E:$E,"-")</f>
        <v>Galih Dewangga</v>
      </c>
      <c r="G1134" s="21"/>
    </row>
    <row r="1135" spans="2:7">
      <c r="B1135" s="22" t="s">
        <v>1085</v>
      </c>
      <c r="C1135" s="23" t="s">
        <v>1086</v>
      </c>
      <c r="D1135" s="24" t="s">
        <v>1177</v>
      </c>
      <c r="E1135" s="25" t="s">
        <v>1722</v>
      </c>
      <c r="F1135" s="16" t="str">
        <f>_xlfn.XLOOKUP(D1135,[9]Sheet2!$C:$C,[9]Sheet2!$E:$E,"-")</f>
        <v>Riza Aji Nurcholis</v>
      </c>
      <c r="G1135" s="21"/>
    </row>
    <row r="1136" spans="2:7">
      <c r="B1136" s="22" t="s">
        <v>1085</v>
      </c>
      <c r="C1136" s="23" t="s">
        <v>1086</v>
      </c>
      <c r="D1136" s="24" t="s">
        <v>1178</v>
      </c>
      <c r="E1136" s="25" t="s">
        <v>1722</v>
      </c>
      <c r="F1136" s="16" t="str">
        <f>_xlfn.XLOOKUP(D1136,[9]Sheet2!$C:$C,[9]Sheet2!$E:$E,"-")</f>
        <v>Hendrik Robi Saputra</v>
      </c>
      <c r="G1136" s="21"/>
    </row>
    <row r="1137" spans="2:7">
      <c r="B1137" s="22" t="s">
        <v>1085</v>
      </c>
      <c r="C1137" s="23" t="s">
        <v>1086</v>
      </c>
      <c r="D1137" s="24" t="s">
        <v>1179</v>
      </c>
      <c r="E1137" s="25" t="s">
        <v>1722</v>
      </c>
      <c r="F1137" s="16" t="str">
        <f>_xlfn.XLOOKUP(D1137,[9]Sheet2!$C:$C,[9]Sheet2!$E:$E,"-")</f>
        <v>Rika Arif Aprianto</v>
      </c>
      <c r="G1137" s="21"/>
    </row>
    <row r="1138" spans="2:7">
      <c r="B1138" s="22" t="s">
        <v>1085</v>
      </c>
      <c r="C1138" s="23" t="s">
        <v>1086</v>
      </c>
      <c r="D1138" s="24" t="s">
        <v>1180</v>
      </c>
      <c r="E1138" s="25" t="s">
        <v>1722</v>
      </c>
      <c r="F1138" s="16" t="str">
        <f>_xlfn.XLOOKUP(D1138,[9]Sheet2!$C:$C,[9]Sheet2!$E:$E,"-")</f>
        <v>Yacob Juan Firmansyah</v>
      </c>
      <c r="G1138" s="21"/>
    </row>
    <row r="1139" spans="2:7">
      <c r="B1139" s="22" t="s">
        <v>1085</v>
      </c>
      <c r="C1139" s="23" t="s">
        <v>1086</v>
      </c>
      <c r="D1139" s="24" t="s">
        <v>1181</v>
      </c>
      <c r="E1139" s="25" t="s">
        <v>1745</v>
      </c>
      <c r="F1139" s="16" t="str">
        <f>_xlfn.XLOOKUP(D1139,[9]Sheet2!$C:$C,[9]Sheet2!$E:$E,"-")</f>
        <v>Rony Koco Abrianto</v>
      </c>
      <c r="G1139" s="21"/>
    </row>
    <row r="1140" spans="2:7">
      <c r="B1140" s="22" t="s">
        <v>1085</v>
      </c>
      <c r="C1140" s="23" t="s">
        <v>1086</v>
      </c>
      <c r="D1140" s="24" t="s">
        <v>1182</v>
      </c>
      <c r="E1140" s="25" t="s">
        <v>1722</v>
      </c>
      <c r="F1140" s="16" t="str">
        <f>_xlfn.XLOOKUP(D1140,[9]Sheet2!$C:$C,[9]Sheet2!$E:$E,"-")</f>
        <v>Fathoni Yusuf</v>
      </c>
      <c r="G1140" s="21"/>
    </row>
    <row r="1141" spans="2:7">
      <c r="B1141" s="22" t="s">
        <v>1085</v>
      </c>
      <c r="C1141" s="23" t="s">
        <v>1086</v>
      </c>
      <c r="D1141" s="24" t="s">
        <v>1183</v>
      </c>
      <c r="E1141" s="25" t="s">
        <v>1745</v>
      </c>
      <c r="F1141" s="16" t="str">
        <f>_xlfn.XLOOKUP(D1141,[9]Sheet2!$C:$C,[9]Sheet2!$E:$E,"-")</f>
        <v>Faizal Dwi Pramono</v>
      </c>
      <c r="G1141" s="21"/>
    </row>
    <row r="1142" spans="2:7">
      <c r="B1142" s="22" t="s">
        <v>1085</v>
      </c>
      <c r="C1142" s="23" t="s">
        <v>1086</v>
      </c>
      <c r="D1142" s="24" t="s">
        <v>1184</v>
      </c>
      <c r="E1142" s="25" t="s">
        <v>1722</v>
      </c>
      <c r="F1142" s="16" t="str">
        <f>_xlfn.XLOOKUP(D1142,[9]Sheet2!$C:$C,[9]Sheet2!$E:$E,"-")</f>
        <v>Yudi Yiswoyo</v>
      </c>
      <c r="G1142" s="21"/>
    </row>
    <row r="1143" spans="2:7">
      <c r="B1143" s="22" t="s">
        <v>1085</v>
      </c>
      <c r="C1143" s="23" t="s">
        <v>1086</v>
      </c>
      <c r="D1143" s="24" t="s">
        <v>1185</v>
      </c>
      <c r="E1143" s="25" t="s">
        <v>1722</v>
      </c>
      <c r="F1143" s="16" t="str">
        <f>_xlfn.XLOOKUP(D1143,[9]Sheet2!$C:$C,[9]Sheet2!$E:$E,"-")</f>
        <v>Irul Marwianto</v>
      </c>
      <c r="G1143" s="21"/>
    </row>
    <row r="1144" spans="2:7">
      <c r="B1144" s="22" t="s">
        <v>1085</v>
      </c>
      <c r="C1144" s="23" t="s">
        <v>1086</v>
      </c>
      <c r="D1144" s="24" t="s">
        <v>1186</v>
      </c>
      <c r="E1144" s="25" t="s">
        <v>1722</v>
      </c>
      <c r="F1144" s="16" t="str">
        <f>_xlfn.XLOOKUP(D1144,[9]Sheet2!$C:$C,[9]Sheet2!$E:$E,"-")</f>
        <v>Fikto Nur Mansah</v>
      </c>
      <c r="G1144" s="21"/>
    </row>
    <row r="1145" spans="2:7">
      <c r="B1145" s="22" t="s">
        <v>1085</v>
      </c>
      <c r="C1145" s="23" t="s">
        <v>1086</v>
      </c>
      <c r="D1145" s="24" t="s">
        <v>1187</v>
      </c>
      <c r="E1145" s="25" t="s">
        <v>1722</v>
      </c>
      <c r="F1145" s="16" t="str">
        <f>_xlfn.XLOOKUP(D1145,[9]Sheet2!$C:$C,[9]Sheet2!$E:$E,"-")</f>
        <v>Fikto Nur Mansah</v>
      </c>
      <c r="G1145" s="21"/>
    </row>
    <row r="1146" spans="2:7">
      <c r="B1146" s="22" t="s">
        <v>1085</v>
      </c>
      <c r="C1146" s="23" t="s">
        <v>1086</v>
      </c>
      <c r="D1146" s="24" t="s">
        <v>1188</v>
      </c>
      <c r="E1146" s="25" t="s">
        <v>1722</v>
      </c>
      <c r="F1146" s="16" t="str">
        <f>_xlfn.XLOOKUP(D1146,[9]Sheet2!$C:$C,[9]Sheet2!$E:$E,"-")</f>
        <v>Irul Marwianto</v>
      </c>
      <c r="G1146" s="21"/>
    </row>
    <row r="1147" spans="2:7">
      <c r="B1147" s="22" t="s">
        <v>1085</v>
      </c>
      <c r="C1147" s="23" t="s">
        <v>1086</v>
      </c>
      <c r="D1147" s="24" t="s">
        <v>1189</v>
      </c>
      <c r="E1147" s="25" t="s">
        <v>1745</v>
      </c>
      <c r="F1147" s="16" t="str">
        <f>_xlfn.XLOOKUP(D1147,[9]Sheet2!$C:$C,[9]Sheet2!$E:$E,"-")</f>
        <v>Fanky Puguh Prasetyo</v>
      </c>
      <c r="G1147" s="21"/>
    </row>
    <row r="1148" spans="2:7">
      <c r="B1148" s="22" t="s">
        <v>1085</v>
      </c>
      <c r="C1148" s="23" t="s">
        <v>1086</v>
      </c>
      <c r="D1148" s="24" t="s">
        <v>1190</v>
      </c>
      <c r="E1148" s="25" t="s">
        <v>1722</v>
      </c>
      <c r="F1148" s="16" t="str">
        <f>_xlfn.XLOOKUP(D1148,[9]Sheet2!$C:$C,[9]Sheet2!$E:$E,"-")</f>
        <v>Mohamad Ariz Zakariya</v>
      </c>
      <c r="G1148" s="21"/>
    </row>
    <row r="1149" spans="2:7">
      <c r="B1149" s="22" t="s">
        <v>1085</v>
      </c>
      <c r="C1149" s="23" t="s">
        <v>1086</v>
      </c>
      <c r="D1149" s="24" t="s">
        <v>1191</v>
      </c>
      <c r="E1149" s="25" t="s">
        <v>1722</v>
      </c>
      <c r="F1149" s="16" t="str">
        <f>_xlfn.XLOOKUP(D1149,[9]Sheet2!$C:$C,[9]Sheet2!$E:$E,"-")</f>
        <v>Mohammad Putra Surya Mahendra</v>
      </c>
      <c r="G1149" s="21"/>
    </row>
    <row r="1150" spans="2:7">
      <c r="B1150" s="22" t="s">
        <v>1085</v>
      </c>
      <c r="C1150" s="23" t="s">
        <v>1086</v>
      </c>
      <c r="D1150" s="24" t="s">
        <v>1192</v>
      </c>
      <c r="E1150" s="25" t="s">
        <v>1722</v>
      </c>
      <c r="F1150" s="16" t="str">
        <f>_xlfn.XLOOKUP(D1150,[9]Sheet2!$C:$C,[9]Sheet2!$E:$E,"-")</f>
        <v>Angga Widayanto</v>
      </c>
      <c r="G1150" s="21"/>
    </row>
    <row r="1151" spans="2:7">
      <c r="B1151" s="22" t="s">
        <v>1085</v>
      </c>
      <c r="C1151" s="23" t="s">
        <v>1086</v>
      </c>
      <c r="D1151" s="24" t="s">
        <v>1193</v>
      </c>
      <c r="E1151" s="25" t="s">
        <v>1745</v>
      </c>
      <c r="F1151" s="16" t="str">
        <f>_xlfn.XLOOKUP(D1151,[9]Sheet2!$C:$C,[9]Sheet2!$E:$E,"-")</f>
        <v>Ruly Syaiful Ansor</v>
      </c>
      <c r="G1151" s="21"/>
    </row>
    <row r="1152" spans="2:7">
      <c r="B1152" s="22" t="s">
        <v>1085</v>
      </c>
      <c r="C1152" s="23" t="s">
        <v>1086</v>
      </c>
      <c r="D1152" s="24" t="s">
        <v>1194</v>
      </c>
      <c r="E1152" s="25" t="s">
        <v>1745</v>
      </c>
      <c r="F1152" s="16" t="str">
        <f>_xlfn.XLOOKUP(D1152,[9]Sheet2!$C:$C,[9]Sheet2!$E:$E,"-")</f>
        <v>Prasetyo Istianto</v>
      </c>
      <c r="G1152" s="21"/>
    </row>
    <row r="1153" spans="2:7">
      <c r="B1153" s="22" t="s">
        <v>1085</v>
      </c>
      <c r="C1153" s="23" t="s">
        <v>1086</v>
      </c>
      <c r="D1153" s="24" t="s">
        <v>1195</v>
      </c>
      <c r="E1153" s="25" t="s">
        <v>1745</v>
      </c>
      <c r="F1153" s="16" t="str">
        <f>_xlfn.XLOOKUP(D1153,[9]Sheet2!$C:$C,[9]Sheet2!$E:$E,"-")</f>
        <v>Widi Rumekso</v>
      </c>
      <c r="G1153" s="21"/>
    </row>
    <row r="1154" spans="2:7">
      <c r="B1154" s="22" t="s">
        <v>1085</v>
      </c>
      <c r="C1154" s="23" t="s">
        <v>1086</v>
      </c>
      <c r="D1154" s="24" t="s">
        <v>1196</v>
      </c>
      <c r="E1154" s="25" t="s">
        <v>1745</v>
      </c>
      <c r="F1154" s="16" t="str">
        <f>_xlfn.XLOOKUP(D1154,[9]Sheet2!$C:$C,[9]Sheet2!$E:$E,"-")</f>
        <v>Mohammad Afreza Al Ayyubi</v>
      </c>
      <c r="G1154" s="21"/>
    </row>
    <row r="1155" spans="2:7">
      <c r="B1155" s="22" t="s">
        <v>1085</v>
      </c>
      <c r="C1155" s="23" t="s">
        <v>1086</v>
      </c>
      <c r="D1155" s="24" t="s">
        <v>1197</v>
      </c>
      <c r="E1155" s="25" t="s">
        <v>1745</v>
      </c>
      <c r="F1155" s="16" t="str">
        <f>_xlfn.XLOOKUP(D1155,[9]Sheet2!$C:$C,[9]Sheet2!$E:$E,"-")</f>
        <v>Laga Pratama Nurjiwo</v>
      </c>
      <c r="G1155" s="21"/>
    </row>
    <row r="1156" spans="2:7">
      <c r="B1156" s="22" t="s">
        <v>1085</v>
      </c>
      <c r="C1156" s="23" t="s">
        <v>1086</v>
      </c>
      <c r="D1156" s="24" t="s">
        <v>1198</v>
      </c>
      <c r="E1156" s="25" t="s">
        <v>1745</v>
      </c>
      <c r="F1156" s="16" t="str">
        <f>_xlfn.XLOOKUP(D1156,[9]Sheet2!$C:$C,[9]Sheet2!$E:$E,"-")</f>
        <v>Ali Zainal Abidin</v>
      </c>
      <c r="G1156" s="21"/>
    </row>
    <row r="1157" spans="2:7">
      <c r="B1157" s="22" t="s">
        <v>1085</v>
      </c>
      <c r="C1157" s="23" t="s">
        <v>1086</v>
      </c>
      <c r="D1157" s="24" t="s">
        <v>1199</v>
      </c>
      <c r="E1157" s="25" t="s">
        <v>1745</v>
      </c>
      <c r="F1157" s="16" t="str">
        <f>_xlfn.XLOOKUP(D1157,[9]Sheet2!$C:$C,[9]Sheet2!$E:$E,"-")</f>
        <v>Dyah Ayu Larasati Tri Palupi</v>
      </c>
      <c r="G1157" s="21"/>
    </row>
    <row r="1158" spans="2:7">
      <c r="B1158" s="22" t="s">
        <v>1085</v>
      </c>
      <c r="C1158" s="23" t="s">
        <v>1086</v>
      </c>
      <c r="D1158" s="24" t="s">
        <v>1200</v>
      </c>
      <c r="E1158" s="25" t="s">
        <v>1745</v>
      </c>
      <c r="F1158" s="16" t="str">
        <f>_xlfn.XLOOKUP(D1158,[9]Sheet2!$C:$C,[9]Sheet2!$E:$E,"-")</f>
        <v>Feri Setiawan</v>
      </c>
      <c r="G1158" s="21"/>
    </row>
    <row r="1159" spans="2:7">
      <c r="B1159" s="22" t="s">
        <v>1085</v>
      </c>
      <c r="C1159" s="23" t="s">
        <v>1086</v>
      </c>
      <c r="D1159" s="24" t="s">
        <v>1201</v>
      </c>
      <c r="E1159" s="25" t="s">
        <v>1745</v>
      </c>
      <c r="F1159" s="16" t="str">
        <f>_xlfn.XLOOKUP(D1159,[9]Sheet2!$C:$C,[9]Sheet2!$E:$E,"-")</f>
        <v>M. Yanuar Rifa'I</v>
      </c>
      <c r="G1159" s="21"/>
    </row>
    <row r="1160" spans="2:7">
      <c r="B1160" s="22" t="s">
        <v>1085</v>
      </c>
      <c r="C1160" s="23" t="s">
        <v>1086</v>
      </c>
      <c r="D1160" s="24" t="s">
        <v>1202</v>
      </c>
      <c r="E1160" s="25" t="s">
        <v>1745</v>
      </c>
      <c r="F1160" s="16" t="str">
        <f>_xlfn.XLOOKUP(D1160,[9]Sheet2!$C:$C,[9]Sheet2!$E:$E,"-")</f>
        <v>Muhammad Syaifullah</v>
      </c>
      <c r="G1160" s="21"/>
    </row>
    <row r="1161" spans="2:7">
      <c r="B1161" s="22" t="s">
        <v>1085</v>
      </c>
      <c r="C1161" s="23" t="s">
        <v>1086</v>
      </c>
      <c r="D1161" s="24" t="s">
        <v>1203</v>
      </c>
      <c r="E1161" s="25" t="s">
        <v>1745</v>
      </c>
      <c r="F1161" s="16" t="str">
        <f>_xlfn.XLOOKUP(D1161,[9]Sheet2!$C:$C,[9]Sheet2!$E:$E,"-")</f>
        <v>Diky Satriawan</v>
      </c>
      <c r="G1161" s="21"/>
    </row>
    <row r="1162" spans="2:7">
      <c r="B1162" s="22" t="s">
        <v>1085</v>
      </c>
      <c r="C1162" s="23" t="s">
        <v>1086</v>
      </c>
      <c r="D1162" s="24" t="s">
        <v>1204</v>
      </c>
      <c r="E1162" s="25" t="s">
        <v>1745</v>
      </c>
      <c r="F1162" s="16" t="str">
        <f>_xlfn.XLOOKUP(D1162,[9]Sheet2!$C:$C,[9]Sheet2!$E:$E,"-")</f>
        <v>Achmad Afandi</v>
      </c>
      <c r="G1162" s="21"/>
    </row>
    <row r="1163" spans="2:7">
      <c r="B1163" s="22" t="s">
        <v>1085</v>
      </c>
      <c r="C1163" s="23" t="s">
        <v>1086</v>
      </c>
      <c r="D1163" s="24" t="s">
        <v>1205</v>
      </c>
      <c r="E1163" s="25" t="s">
        <v>1745</v>
      </c>
      <c r="F1163" s="16" t="str">
        <f>_xlfn.XLOOKUP(D1163,[9]Sheet2!$C:$C,[9]Sheet2!$E:$E,"-")</f>
        <v>Nanang Arifianto</v>
      </c>
      <c r="G1163" s="21"/>
    </row>
    <row r="1164" spans="2:7">
      <c r="B1164" s="22" t="s">
        <v>1085</v>
      </c>
      <c r="C1164" s="23" t="s">
        <v>1086</v>
      </c>
      <c r="D1164" s="24" t="s">
        <v>1206</v>
      </c>
      <c r="E1164" s="25" t="s">
        <v>1745</v>
      </c>
      <c r="F1164" s="16" t="str">
        <f>_xlfn.XLOOKUP(D1164,[9]Sheet2!$C:$C,[9]Sheet2!$E:$E,"-")</f>
        <v>Rif'An Munawwir</v>
      </c>
      <c r="G1164" s="21"/>
    </row>
    <row r="1165" spans="2:7">
      <c r="B1165" s="22" t="s">
        <v>1085</v>
      </c>
      <c r="C1165" s="23" t="s">
        <v>1086</v>
      </c>
      <c r="D1165" s="24" t="s">
        <v>1207</v>
      </c>
      <c r="E1165" s="25" t="s">
        <v>1745</v>
      </c>
      <c r="F1165" s="16" t="str">
        <f>_xlfn.XLOOKUP(D1165,[9]Sheet2!$C:$C,[9]Sheet2!$E:$E,"-")</f>
        <v>Shokibul Kafi</v>
      </c>
      <c r="G1165" s="21"/>
    </row>
    <row r="1166" spans="2:7">
      <c r="B1166" s="22" t="s">
        <v>1085</v>
      </c>
      <c r="C1166" s="23" t="s">
        <v>1086</v>
      </c>
      <c r="D1166" s="24" t="s">
        <v>1208</v>
      </c>
      <c r="E1166" s="25" t="s">
        <v>1745</v>
      </c>
      <c r="F1166" s="16" t="str">
        <f>_xlfn.XLOOKUP(D1166,[9]Sheet2!$C:$C,[9]Sheet2!$E:$E,"-")</f>
        <v>Ahmad Fakhru Rozan</v>
      </c>
      <c r="G1166" s="21"/>
    </row>
    <row r="1167" spans="2:7">
      <c r="B1167" s="22" t="s">
        <v>1085</v>
      </c>
      <c r="C1167" s="23" t="s">
        <v>1086</v>
      </c>
      <c r="D1167" s="24" t="s">
        <v>1209</v>
      </c>
      <c r="E1167" s="25" t="s">
        <v>1745</v>
      </c>
      <c r="F1167" s="16" t="str">
        <f>_xlfn.XLOOKUP(D1167,[9]Sheet2!$C:$C,[9]Sheet2!$E:$E,"-")</f>
        <v>Afan Fardianto</v>
      </c>
      <c r="G1167" s="21"/>
    </row>
    <row r="1168" spans="2:7">
      <c r="B1168" s="22" t="s">
        <v>1085</v>
      </c>
      <c r="C1168" s="23" t="s">
        <v>1086</v>
      </c>
      <c r="D1168" s="24" t="s">
        <v>1210</v>
      </c>
      <c r="E1168" s="25" t="s">
        <v>1745</v>
      </c>
      <c r="F1168" s="16" t="str">
        <f>_xlfn.XLOOKUP(D1168,[9]Sheet2!$C:$C,[9]Sheet2!$E:$E,"-")</f>
        <v>Dwi Wahyu Wichaksono</v>
      </c>
      <c r="G1168" s="21"/>
    </row>
    <row r="1169" spans="2:7">
      <c r="B1169" s="22" t="s">
        <v>1085</v>
      </c>
      <c r="C1169" s="23" t="s">
        <v>1086</v>
      </c>
      <c r="D1169" s="24" t="s">
        <v>1211</v>
      </c>
      <c r="E1169" s="25" t="s">
        <v>1745</v>
      </c>
      <c r="F1169" s="16" t="str">
        <f>_xlfn.XLOOKUP(D1169,[9]Sheet2!$C:$C,[9]Sheet2!$E:$E,"-")</f>
        <v>Hafiz Adam Adidarmawan</v>
      </c>
      <c r="G1169" s="21"/>
    </row>
    <row r="1170" spans="2:7">
      <c r="B1170" s="22" t="s">
        <v>1085</v>
      </c>
      <c r="C1170" s="23" t="s">
        <v>1086</v>
      </c>
      <c r="D1170" s="24" t="s">
        <v>1212</v>
      </c>
      <c r="E1170" s="25" t="s">
        <v>1745</v>
      </c>
      <c r="F1170" s="16" t="str">
        <f>_xlfn.XLOOKUP(D1170,[9]Sheet2!$C:$C,[9]Sheet2!$E:$E,"-")</f>
        <v>Argo Lumaksana</v>
      </c>
      <c r="G1170" s="21"/>
    </row>
    <row r="1171" spans="2:7">
      <c r="B1171" s="22" t="s">
        <v>1085</v>
      </c>
      <c r="C1171" s="23" t="s">
        <v>1086</v>
      </c>
      <c r="D1171" s="24" t="s">
        <v>1213</v>
      </c>
      <c r="E1171" s="25" t="s">
        <v>1745</v>
      </c>
      <c r="F1171" s="16" t="str">
        <f>_xlfn.XLOOKUP(D1171,[9]Sheet2!$C:$C,[9]Sheet2!$E:$E,"-")</f>
        <v>Ahmad Fakhru Rozan</v>
      </c>
      <c r="G1171" s="21"/>
    </row>
    <row r="1172" spans="2:7">
      <c r="B1172" s="22" t="s">
        <v>1085</v>
      </c>
      <c r="C1172" s="23" t="s">
        <v>1086</v>
      </c>
      <c r="D1172" s="24" t="s">
        <v>1214</v>
      </c>
      <c r="E1172" s="25" t="s">
        <v>1745</v>
      </c>
      <c r="F1172" s="16" t="str">
        <f>_xlfn.XLOOKUP(D1172,[9]Sheet2!$C:$C,[9]Sheet2!$E:$E,"-")</f>
        <v>Hafiz Adam Adidarmawan</v>
      </c>
      <c r="G1172" s="21"/>
    </row>
    <row r="1173" spans="2:7">
      <c r="B1173" s="22" t="s">
        <v>1085</v>
      </c>
      <c r="C1173" s="23" t="s">
        <v>1086</v>
      </c>
      <c r="D1173" s="24" t="s">
        <v>1215</v>
      </c>
      <c r="E1173" s="25" t="s">
        <v>1745</v>
      </c>
      <c r="F1173" s="16" t="str">
        <f>_xlfn.XLOOKUP(D1173,[9]Sheet2!$C:$C,[9]Sheet2!$E:$E,"-")</f>
        <v>Rochma Ridho Permadi</v>
      </c>
      <c r="G1173" s="21"/>
    </row>
    <row r="1174" spans="2:7">
      <c r="B1174" s="22" t="s">
        <v>1085</v>
      </c>
      <c r="C1174" s="23" t="s">
        <v>1086</v>
      </c>
      <c r="D1174" s="24" t="s">
        <v>1216</v>
      </c>
      <c r="E1174" s="25" t="s">
        <v>1722</v>
      </c>
      <c r="F1174" s="16" t="str">
        <f>_xlfn.XLOOKUP(D1174,[9]Sheet2!$C:$C,[9]Sheet2!$E:$E,"-")</f>
        <v>Mohammad Chandra Hermawan</v>
      </c>
      <c r="G1174" s="21"/>
    </row>
    <row r="1175" spans="2:7">
      <c r="B1175" s="22" t="s">
        <v>1085</v>
      </c>
      <c r="C1175" s="23" t="s">
        <v>1086</v>
      </c>
      <c r="D1175" s="24" t="s">
        <v>1217</v>
      </c>
      <c r="E1175" s="25" t="s">
        <v>1745</v>
      </c>
      <c r="F1175" s="16" t="str">
        <f>_xlfn.XLOOKUP(D1175,[9]Sheet2!$C:$C,[9]Sheet2!$E:$E,"-")</f>
        <v>Setiyo Budi Iswanto</v>
      </c>
      <c r="G1175" s="21"/>
    </row>
    <row r="1176" spans="2:7">
      <c r="B1176" s="22" t="s">
        <v>1085</v>
      </c>
      <c r="C1176" s="23" t="s">
        <v>1086</v>
      </c>
      <c r="D1176" s="24" t="s">
        <v>1218</v>
      </c>
      <c r="E1176" s="25" t="s">
        <v>1722</v>
      </c>
      <c r="F1176" s="16" t="str">
        <f>_xlfn.XLOOKUP(D1176,[9]Sheet2!$C:$C,[9]Sheet2!$E:$E,"-")</f>
        <v>Muhammad Alfan Fauzi</v>
      </c>
      <c r="G1176" s="21"/>
    </row>
    <row r="1177" spans="2:7">
      <c r="B1177" s="22" t="s">
        <v>1085</v>
      </c>
      <c r="C1177" s="23" t="s">
        <v>1086</v>
      </c>
      <c r="D1177" s="24" t="s">
        <v>1219</v>
      </c>
      <c r="E1177" s="25" t="s">
        <v>1722</v>
      </c>
      <c r="F1177" s="16" t="str">
        <f>_xlfn.XLOOKUP(D1177,[9]Sheet2!$C:$C,[9]Sheet2!$E:$E,"-")</f>
        <v>Muhammad Ali Yusuf</v>
      </c>
      <c r="G1177" s="21"/>
    </row>
    <row r="1178" spans="2:7">
      <c r="B1178" s="22" t="s">
        <v>1085</v>
      </c>
      <c r="C1178" s="23" t="s">
        <v>1086</v>
      </c>
      <c r="D1178" s="24" t="s">
        <v>1220</v>
      </c>
      <c r="E1178" s="25" t="s">
        <v>1745</v>
      </c>
      <c r="F1178" s="16" t="str">
        <f>_xlfn.XLOOKUP(D1178,[9]Sheet2!$C:$C,[9]Sheet2!$E:$E,"-")</f>
        <v>Ali Ghofar</v>
      </c>
      <c r="G1178" s="21"/>
    </row>
    <row r="1179" spans="2:7">
      <c r="B1179" s="22" t="s">
        <v>1085</v>
      </c>
      <c r="C1179" s="23" t="s">
        <v>1086</v>
      </c>
      <c r="D1179" s="24" t="s">
        <v>1221</v>
      </c>
      <c r="E1179" s="25" t="s">
        <v>1722</v>
      </c>
      <c r="F1179" s="16" t="str">
        <f>_xlfn.XLOOKUP(D1179,[9]Sheet2!$C:$C,[9]Sheet2!$E:$E,"-")</f>
        <v>Muhammad Ali Yusuf</v>
      </c>
      <c r="G1179" s="21"/>
    </row>
    <row r="1180" spans="2:7">
      <c r="B1180" s="22" t="s">
        <v>1085</v>
      </c>
      <c r="C1180" s="23" t="s">
        <v>1086</v>
      </c>
      <c r="D1180" s="24" t="s">
        <v>1222</v>
      </c>
      <c r="E1180" s="25" t="s">
        <v>1722</v>
      </c>
      <c r="F1180" s="16" t="str">
        <f>_xlfn.XLOOKUP(D1180,[9]Sheet2!$C:$C,[9]Sheet2!$E:$E,"-")</f>
        <v>Muhammad Ghoniyyulloh</v>
      </c>
      <c r="G1180" s="21"/>
    </row>
    <row r="1181" spans="2:7">
      <c r="B1181" s="22" t="s">
        <v>1085</v>
      </c>
      <c r="C1181" s="23" t="s">
        <v>1086</v>
      </c>
      <c r="D1181" s="24" t="s">
        <v>1223</v>
      </c>
      <c r="E1181" s="25" t="s">
        <v>1722</v>
      </c>
      <c r="F1181" s="16" t="str">
        <f>_xlfn.XLOOKUP(D1181,[9]Sheet2!$C:$C,[9]Sheet2!$E:$E,"-")</f>
        <v>Agung Hendi Alparista</v>
      </c>
      <c r="G1181" s="21"/>
    </row>
    <row r="1182" spans="2:7">
      <c r="B1182" s="22" t="s">
        <v>1085</v>
      </c>
      <c r="C1182" s="23" t="s">
        <v>1086</v>
      </c>
      <c r="D1182" s="24" t="s">
        <v>1224</v>
      </c>
      <c r="E1182" s="25" t="s">
        <v>1722</v>
      </c>
      <c r="F1182" s="16" t="str">
        <f>_xlfn.XLOOKUP(D1182,[9]Sheet2!$C:$C,[9]Sheet2!$E:$E,"-")</f>
        <v>Agung Hendi Alparista</v>
      </c>
      <c r="G1182" s="21"/>
    </row>
    <row r="1183" spans="2:7">
      <c r="B1183" s="22" t="s">
        <v>1085</v>
      </c>
      <c r="C1183" s="23" t="s">
        <v>1086</v>
      </c>
      <c r="D1183" s="24" t="s">
        <v>1225</v>
      </c>
      <c r="E1183" s="25" t="s">
        <v>1745</v>
      </c>
      <c r="F1183" s="16" t="str">
        <f>_xlfn.XLOOKUP(D1183,[9]Sheet2!$C:$C,[9]Sheet2!$E:$E,"-")</f>
        <v>Muhammad Azam Khoirur Roziqin</v>
      </c>
      <c r="G1183" s="21"/>
    </row>
    <row r="1184" spans="2:7">
      <c r="B1184" s="22" t="s">
        <v>1085</v>
      </c>
      <c r="C1184" s="23" t="s">
        <v>1086</v>
      </c>
      <c r="D1184" s="24" t="s">
        <v>1226</v>
      </c>
      <c r="E1184" s="25" t="s">
        <v>1745</v>
      </c>
      <c r="F1184" s="16" t="str">
        <f>_xlfn.XLOOKUP(D1184,[9]Sheet2!$C:$C,[9]Sheet2!$E:$E,"-")</f>
        <v>Didit Adi Saputro</v>
      </c>
      <c r="G1184" s="21"/>
    </row>
    <row r="1185" spans="2:7">
      <c r="B1185" s="22" t="s">
        <v>1085</v>
      </c>
      <c r="C1185" s="23" t="s">
        <v>1086</v>
      </c>
      <c r="D1185" s="24" t="s">
        <v>1227</v>
      </c>
      <c r="E1185" s="25" t="s">
        <v>1745</v>
      </c>
      <c r="F1185" s="16" t="str">
        <f>_xlfn.XLOOKUP(D1185,[9]Sheet2!$C:$C,[9]Sheet2!$E:$E,"-")</f>
        <v>Ali Machtub</v>
      </c>
      <c r="G1185" s="21"/>
    </row>
    <row r="1186" spans="2:7">
      <c r="B1186" s="22" t="s">
        <v>1085</v>
      </c>
      <c r="C1186" s="23" t="s">
        <v>1086</v>
      </c>
      <c r="D1186" s="24" t="s">
        <v>1228</v>
      </c>
      <c r="E1186" s="25" t="s">
        <v>1745</v>
      </c>
      <c r="F1186" s="16" t="str">
        <f>_xlfn.XLOOKUP(D1186,[9]Sheet2!$C:$C,[9]Sheet2!$E:$E,"-")</f>
        <v>Didit Adi Saputro</v>
      </c>
      <c r="G1186" s="21"/>
    </row>
    <row r="1187" spans="2:7">
      <c r="B1187" s="22" t="s">
        <v>1085</v>
      </c>
      <c r="C1187" s="23" t="s">
        <v>1086</v>
      </c>
      <c r="D1187" s="24" t="s">
        <v>1229</v>
      </c>
      <c r="E1187" s="25" t="s">
        <v>1745</v>
      </c>
      <c r="F1187" s="16" t="str">
        <f>_xlfn.XLOOKUP(D1187,[9]Sheet2!$C:$C,[9]Sheet2!$E:$E,"-")</f>
        <v>Wanto Sugianto</v>
      </c>
      <c r="G1187" s="21"/>
    </row>
    <row r="1188" spans="2:7">
      <c r="B1188" s="22" t="s">
        <v>1085</v>
      </c>
      <c r="C1188" s="23" t="s">
        <v>1086</v>
      </c>
      <c r="D1188" s="24" t="s">
        <v>1230</v>
      </c>
      <c r="E1188" s="25" t="s">
        <v>1745</v>
      </c>
      <c r="F1188" s="16" t="str">
        <f>_xlfn.XLOOKUP(D1188,[9]Sheet2!$C:$C,[9]Sheet2!$E:$E,"-")</f>
        <v>Ali Machtub</v>
      </c>
      <c r="G1188" s="21"/>
    </row>
    <row r="1189" spans="2:7">
      <c r="B1189" s="22" t="s">
        <v>1085</v>
      </c>
      <c r="C1189" s="23" t="s">
        <v>1086</v>
      </c>
      <c r="D1189" s="24" t="s">
        <v>1231</v>
      </c>
      <c r="E1189" s="25" t="s">
        <v>1745</v>
      </c>
      <c r="F1189" s="16" t="str">
        <f>_xlfn.XLOOKUP(D1189,[9]Sheet2!$C:$C,[9]Sheet2!$E:$E,"-")</f>
        <v>Dedi Wibowo</v>
      </c>
      <c r="G1189" s="21"/>
    </row>
    <row r="1190" spans="2:7">
      <c r="B1190" s="22" t="s">
        <v>1085</v>
      </c>
      <c r="C1190" s="23" t="s">
        <v>1086</v>
      </c>
      <c r="D1190" s="24" t="s">
        <v>1232</v>
      </c>
      <c r="E1190" s="25" t="s">
        <v>1722</v>
      </c>
      <c r="F1190" s="16" t="str">
        <f>_xlfn.XLOOKUP(D1190,[9]Sheet2!$C:$C,[9]Sheet2!$E:$E,"-")</f>
        <v>Indra Kokasih</v>
      </c>
      <c r="G1190" s="21"/>
    </row>
    <row r="1191" spans="2:7">
      <c r="B1191" s="22" t="s">
        <v>1085</v>
      </c>
      <c r="C1191" s="23" t="s">
        <v>1086</v>
      </c>
      <c r="D1191" s="24" t="s">
        <v>1233</v>
      </c>
      <c r="E1191" s="25" t="s">
        <v>1722</v>
      </c>
      <c r="F1191" s="16" t="str">
        <f>_xlfn.XLOOKUP(D1191,[9]Sheet2!$C:$C,[9]Sheet2!$E:$E,"-")</f>
        <v>Dwi Harioseno</v>
      </c>
      <c r="G1191" s="21"/>
    </row>
    <row r="1192" spans="2:7">
      <c r="B1192" s="22" t="s">
        <v>1085</v>
      </c>
      <c r="C1192" s="23" t="s">
        <v>1086</v>
      </c>
      <c r="D1192" s="24" t="s">
        <v>1234</v>
      </c>
      <c r="E1192" s="25" t="s">
        <v>1722</v>
      </c>
      <c r="F1192" s="16" t="str">
        <f>_xlfn.XLOOKUP(D1192,[9]Sheet2!$C:$C,[9]Sheet2!$E:$E,"-")</f>
        <v>Harianto</v>
      </c>
      <c r="G1192" s="21"/>
    </row>
    <row r="1193" spans="2:7">
      <c r="B1193" s="22" t="s">
        <v>1085</v>
      </c>
      <c r="C1193" s="23" t="s">
        <v>1086</v>
      </c>
      <c r="D1193" s="24" t="s">
        <v>1235</v>
      </c>
      <c r="E1193" s="25" t="s">
        <v>1722</v>
      </c>
      <c r="F1193" s="16" t="str">
        <f>_xlfn.XLOOKUP(D1193,[9]Sheet2!$C:$C,[9]Sheet2!$E:$E,"-")</f>
        <v>Mokhammad Arif Pratama Wijaya</v>
      </c>
      <c r="G1193" s="21"/>
    </row>
    <row r="1194" spans="2:7">
      <c r="B1194" s="22" t="s">
        <v>1085</v>
      </c>
      <c r="C1194" s="23" t="s">
        <v>1086</v>
      </c>
      <c r="D1194" s="24" t="s">
        <v>1236</v>
      </c>
      <c r="E1194" s="25" t="s">
        <v>1722</v>
      </c>
      <c r="F1194" s="16" t="str">
        <f>_xlfn.XLOOKUP(D1194,[9]Sheet2!$C:$C,[9]Sheet2!$E:$E,"-")</f>
        <v>Harianto</v>
      </c>
      <c r="G1194" s="21"/>
    </row>
    <row r="1195" spans="2:7">
      <c r="B1195" s="22" t="s">
        <v>1085</v>
      </c>
      <c r="C1195" s="23" t="s">
        <v>1086</v>
      </c>
      <c r="D1195" s="24" t="s">
        <v>1237</v>
      </c>
      <c r="E1195" s="25" t="s">
        <v>1722</v>
      </c>
      <c r="F1195" s="16" t="str">
        <f>_xlfn.XLOOKUP(D1195,[9]Sheet2!$C:$C,[9]Sheet2!$E:$E,"-")</f>
        <v>Abdul Rauf Nafik</v>
      </c>
      <c r="G1195" s="21"/>
    </row>
    <row r="1196" spans="2:7">
      <c r="B1196" s="22" t="s">
        <v>1085</v>
      </c>
      <c r="C1196" s="23" t="s">
        <v>1086</v>
      </c>
      <c r="D1196" s="24" t="s">
        <v>1238</v>
      </c>
      <c r="E1196" s="25" t="s">
        <v>1722</v>
      </c>
      <c r="F1196" s="16" t="str">
        <f>_xlfn.XLOOKUP(D1196,[9]Sheet2!$C:$C,[9]Sheet2!$E:$E,"-")</f>
        <v>Abdul Rauf Nafik</v>
      </c>
      <c r="G1196" s="21"/>
    </row>
    <row r="1197" spans="2:7">
      <c r="B1197" s="22" t="s">
        <v>1085</v>
      </c>
      <c r="C1197" s="23" t="s">
        <v>1086</v>
      </c>
      <c r="D1197" s="24" t="s">
        <v>1239</v>
      </c>
      <c r="E1197" s="25" t="s">
        <v>1722</v>
      </c>
      <c r="F1197" s="16" t="str">
        <f>_xlfn.XLOOKUP(D1197,[9]Sheet2!$C:$C,[9]Sheet2!$E:$E,"-")</f>
        <v>Indra Kokasih</v>
      </c>
      <c r="G1197" s="21"/>
    </row>
    <row r="1198" spans="2:7">
      <c r="B1198" s="22" t="s">
        <v>1085</v>
      </c>
      <c r="C1198" s="23" t="s">
        <v>1086</v>
      </c>
      <c r="D1198" s="24" t="s">
        <v>1240</v>
      </c>
      <c r="E1198" s="25" t="s">
        <v>1722</v>
      </c>
      <c r="F1198" s="16" t="str">
        <f>_xlfn.XLOOKUP(D1198,[9]Sheet2!$C:$C,[9]Sheet2!$E:$E,"-")</f>
        <v>Ahmad Fariz Rohmatulloh</v>
      </c>
      <c r="G1198" s="21"/>
    </row>
    <row r="1199" spans="2:7">
      <c r="B1199" s="22" t="s">
        <v>1085</v>
      </c>
      <c r="C1199" s="23" t="s">
        <v>1086</v>
      </c>
      <c r="D1199" s="24" t="s">
        <v>1241</v>
      </c>
      <c r="E1199" s="25" t="s">
        <v>1722</v>
      </c>
      <c r="F1199" s="16" t="str">
        <f>_xlfn.XLOOKUP(D1199,[9]Sheet2!$C:$C,[9]Sheet2!$E:$E,"-")</f>
        <v>Mokhammad Arif Pratama Wijaya</v>
      </c>
      <c r="G1199" s="21"/>
    </row>
    <row r="1200" spans="2:7">
      <c r="B1200" s="22" t="s">
        <v>1085</v>
      </c>
      <c r="C1200" s="23" t="s">
        <v>1086</v>
      </c>
      <c r="D1200" s="24" t="s">
        <v>1242</v>
      </c>
      <c r="E1200" s="25" t="s">
        <v>1745</v>
      </c>
      <c r="F1200" s="16" t="str">
        <f>_xlfn.XLOOKUP(D1200,[9]Sheet2!$C:$C,[9]Sheet2!$E:$E,"-")</f>
        <v>Taufiq Hidayat</v>
      </c>
      <c r="G1200" s="21"/>
    </row>
    <row r="1201" spans="2:7">
      <c r="B1201" s="22" t="s">
        <v>1085</v>
      </c>
      <c r="C1201" s="23" t="s">
        <v>1086</v>
      </c>
      <c r="D1201" s="24" t="s">
        <v>1243</v>
      </c>
      <c r="E1201" s="25" t="s">
        <v>1745</v>
      </c>
      <c r="F1201" s="16" t="str">
        <f>_xlfn.XLOOKUP(D1201,[9]Sheet2!$C:$C,[9]Sheet2!$E:$E,"-")</f>
        <v>Wahyu Hari Prayitno</v>
      </c>
      <c r="G1201" s="21"/>
    </row>
    <row r="1202" spans="2:7">
      <c r="B1202" s="22" t="s">
        <v>1085</v>
      </c>
      <c r="C1202" s="23" t="s">
        <v>1086</v>
      </c>
      <c r="D1202" s="24" t="s">
        <v>1244</v>
      </c>
      <c r="E1202" s="25" t="s">
        <v>1745</v>
      </c>
      <c r="F1202" s="16" t="str">
        <f>_xlfn.XLOOKUP(D1202,[9]Sheet2!$C:$C,[9]Sheet2!$E:$E,"-")</f>
        <v>Achmad Findi Kurniawan</v>
      </c>
      <c r="G1202" s="21"/>
    </row>
    <row r="1203" spans="2:7">
      <c r="B1203" s="22" t="s">
        <v>1085</v>
      </c>
      <c r="C1203" s="23" t="s">
        <v>1086</v>
      </c>
      <c r="D1203" s="24" t="s">
        <v>1245</v>
      </c>
      <c r="E1203" s="25" t="s">
        <v>1745</v>
      </c>
      <c r="F1203" s="16" t="str">
        <f>_xlfn.XLOOKUP(D1203,[9]Sheet2!$C:$C,[9]Sheet2!$E:$E,"-")</f>
        <v>Hartoyo Utomo</v>
      </c>
      <c r="G1203" s="21"/>
    </row>
    <row r="1204" spans="2:7">
      <c r="B1204" s="22" t="s">
        <v>1085</v>
      </c>
      <c r="C1204" s="23" t="s">
        <v>1086</v>
      </c>
      <c r="D1204" s="24" t="s">
        <v>1246</v>
      </c>
      <c r="E1204" s="25" t="s">
        <v>1745</v>
      </c>
      <c r="F1204" s="16" t="str">
        <f>_xlfn.XLOOKUP(D1204,[9]Sheet2!$C:$C,[9]Sheet2!$E:$E,"-")</f>
        <v>Fani Putra Adi Pratama</v>
      </c>
      <c r="G1204" s="21"/>
    </row>
    <row r="1205" spans="2:7">
      <c r="B1205" s="22" t="s">
        <v>1085</v>
      </c>
      <c r="C1205" s="23" t="s">
        <v>1086</v>
      </c>
      <c r="D1205" s="24" t="s">
        <v>1247</v>
      </c>
      <c r="E1205" s="25" t="s">
        <v>1745</v>
      </c>
      <c r="F1205" s="16" t="str">
        <f>_xlfn.XLOOKUP(D1205,[9]Sheet2!$C:$C,[9]Sheet2!$E:$E,"-")</f>
        <v>Tarmuji</v>
      </c>
      <c r="G1205" s="21"/>
    </row>
    <row r="1206" spans="2:7">
      <c r="B1206" s="22" t="s">
        <v>1085</v>
      </c>
      <c r="C1206" s="23" t="s">
        <v>1086</v>
      </c>
      <c r="D1206" s="24" t="s">
        <v>1248</v>
      </c>
      <c r="E1206" s="25" t="s">
        <v>1745</v>
      </c>
      <c r="F1206" s="16" t="str">
        <f>_xlfn.XLOOKUP(D1206,[9]Sheet2!$C:$C,[9]Sheet2!$E:$E,"-")</f>
        <v>Hartoyo Utomo</v>
      </c>
      <c r="G1206" s="21"/>
    </row>
    <row r="1207" spans="2:7">
      <c r="B1207" s="22" t="s">
        <v>1085</v>
      </c>
      <c r="C1207" s="23" t="s">
        <v>1086</v>
      </c>
      <c r="D1207" s="24" t="s">
        <v>1249</v>
      </c>
      <c r="E1207" s="25" t="s">
        <v>1745</v>
      </c>
      <c r="F1207" s="16" t="str">
        <f>_xlfn.XLOOKUP(D1207,[9]Sheet2!$C:$C,[9]Sheet2!$E:$E,"-")</f>
        <v>Ainun Yahya, S.Kom</v>
      </c>
      <c r="G1207" s="21"/>
    </row>
    <row r="1208" spans="2:7">
      <c r="B1208" s="22" t="s">
        <v>1085</v>
      </c>
      <c r="C1208" s="23" t="s">
        <v>1086</v>
      </c>
      <c r="D1208" s="24" t="s">
        <v>1250</v>
      </c>
      <c r="E1208" s="25" t="s">
        <v>1722</v>
      </c>
      <c r="F1208" s="16" t="str">
        <f>_xlfn.XLOOKUP(D1208,[9]Sheet2!$C:$C,[9]Sheet2!$E:$E,"-")</f>
        <v>Roqi Andrianus Duka Djuma</v>
      </c>
      <c r="G1208" s="21"/>
    </row>
    <row r="1209" spans="2:7">
      <c r="B1209" s="22" t="s">
        <v>1085</v>
      </c>
      <c r="C1209" s="23" t="s">
        <v>1086</v>
      </c>
      <c r="D1209" s="24" t="s">
        <v>1251</v>
      </c>
      <c r="E1209" s="25" t="s">
        <v>1745</v>
      </c>
      <c r="F1209" s="16" t="str">
        <f>_xlfn.XLOOKUP(D1209,[9]Sheet2!$C:$C,[9]Sheet2!$E:$E,"-")</f>
        <v>-</v>
      </c>
      <c r="G1209" s="21"/>
    </row>
    <row r="1210" spans="2:7">
      <c r="B1210" s="22" t="s">
        <v>1085</v>
      </c>
      <c r="C1210" s="23" t="s">
        <v>1086</v>
      </c>
      <c r="D1210" s="24" t="s">
        <v>1252</v>
      </c>
      <c r="E1210" s="25" t="s">
        <v>1745</v>
      </c>
      <c r="F1210" s="16" t="str">
        <f>_xlfn.XLOOKUP(D1210,[9]Sheet2!$C:$C,[9]Sheet2!$E:$E,"-")</f>
        <v>Ahmad Syihab Taqiyulloh</v>
      </c>
      <c r="G1210" s="21"/>
    </row>
    <row r="1211" spans="2:7">
      <c r="B1211" s="22" t="s">
        <v>1085</v>
      </c>
      <c r="C1211" s="23" t="s">
        <v>1086</v>
      </c>
      <c r="D1211" s="24" t="s">
        <v>1253</v>
      </c>
      <c r="E1211" s="25" t="s">
        <v>1722</v>
      </c>
      <c r="F1211" s="16" t="str">
        <f>_xlfn.XLOOKUP(D1211,[9]Sheet2!$C:$C,[9]Sheet2!$E:$E,"-")</f>
        <v>Mochammad Nor Cholis</v>
      </c>
      <c r="G1211" s="21"/>
    </row>
    <row r="1212" spans="2:7">
      <c r="B1212" s="22" t="s">
        <v>1085</v>
      </c>
      <c r="C1212" s="23" t="s">
        <v>1086</v>
      </c>
      <c r="D1212" s="24" t="s">
        <v>1254</v>
      </c>
      <c r="E1212" s="25" t="s">
        <v>1745</v>
      </c>
      <c r="F1212" s="16" t="str">
        <f>_xlfn.XLOOKUP(D1212,[9]Sheet2!$C:$C,[9]Sheet2!$E:$E,"-")</f>
        <v>-</v>
      </c>
      <c r="G1212" s="21"/>
    </row>
    <row r="1213" spans="2:7">
      <c r="B1213" s="22" t="s">
        <v>1085</v>
      </c>
      <c r="C1213" s="23" t="s">
        <v>1086</v>
      </c>
      <c r="D1213" s="24" t="s">
        <v>1255</v>
      </c>
      <c r="E1213" s="25" t="s">
        <v>1745</v>
      </c>
      <c r="F1213" s="16" t="str">
        <f>_xlfn.XLOOKUP(D1213,[9]Sheet2!$C:$C,[9]Sheet2!$E:$E,"-")</f>
        <v>Pradiska Julianda Vebyola</v>
      </c>
      <c r="G1213" s="21"/>
    </row>
    <row r="1214" spans="2:7">
      <c r="B1214" s="22" t="s">
        <v>1085</v>
      </c>
      <c r="C1214" s="23" t="s">
        <v>1086</v>
      </c>
      <c r="D1214" s="24" t="s">
        <v>1256</v>
      </c>
      <c r="E1214" s="25" t="s">
        <v>1745</v>
      </c>
      <c r="F1214" s="16" t="str">
        <f>_xlfn.XLOOKUP(D1214,[9]Sheet2!$C:$C,[9]Sheet2!$E:$E,"-")</f>
        <v>Indra Bayu</v>
      </c>
      <c r="G1214" s="21"/>
    </row>
    <row r="1215" spans="2:7">
      <c r="B1215" s="22" t="s">
        <v>1085</v>
      </c>
      <c r="C1215" s="23" t="s">
        <v>1086</v>
      </c>
      <c r="D1215" s="24" t="s">
        <v>1257</v>
      </c>
      <c r="E1215" s="25" t="s">
        <v>1745</v>
      </c>
      <c r="F1215" s="16" t="str">
        <f>_xlfn.XLOOKUP(D1215,[9]Sheet2!$C:$C,[9]Sheet2!$E:$E,"-")</f>
        <v>Bagus Hermawan</v>
      </c>
      <c r="G1215" s="21"/>
    </row>
    <row r="1216" spans="2:7">
      <c r="B1216" s="22" t="s">
        <v>1085</v>
      </c>
      <c r="C1216" s="23" t="s">
        <v>1086</v>
      </c>
      <c r="D1216" s="24" t="s">
        <v>1258</v>
      </c>
      <c r="E1216" s="25" t="s">
        <v>1722</v>
      </c>
      <c r="F1216" s="16" t="str">
        <f>_xlfn.XLOOKUP(D1216,[9]Sheet2!$C:$C,[9]Sheet2!$E:$E,"-")</f>
        <v>-</v>
      </c>
      <c r="G1216" s="21"/>
    </row>
    <row r="1217" spans="2:7">
      <c r="B1217" s="22" t="s">
        <v>1085</v>
      </c>
      <c r="C1217" s="23" t="s">
        <v>1086</v>
      </c>
      <c r="D1217" s="24" t="s">
        <v>1259</v>
      </c>
      <c r="E1217" s="25" t="s">
        <v>1745</v>
      </c>
      <c r="F1217" s="16" t="str">
        <f>_xlfn.XLOOKUP(D1217,[9]Sheet2!$C:$C,[9]Sheet2!$E:$E,"-")</f>
        <v>Satrio Wahyu Nugroho</v>
      </c>
      <c r="G1217" s="21"/>
    </row>
    <row r="1218" spans="2:7">
      <c r="B1218" s="22" t="s">
        <v>1085</v>
      </c>
      <c r="C1218" s="23" t="s">
        <v>1086</v>
      </c>
      <c r="D1218" s="24" t="s">
        <v>1260</v>
      </c>
      <c r="E1218" s="25" t="s">
        <v>1722</v>
      </c>
      <c r="F1218" s="16" t="str">
        <f>_xlfn.XLOOKUP(D1218,[9]Sheet2!$C:$C,[9]Sheet2!$E:$E,"-")</f>
        <v>Bintang Zaesar Ramadan</v>
      </c>
      <c r="G1218" s="21"/>
    </row>
    <row r="1219" spans="2:7">
      <c r="B1219" s="22" t="s">
        <v>1085</v>
      </c>
      <c r="C1219" s="23" t="s">
        <v>1086</v>
      </c>
      <c r="D1219" s="24" t="s">
        <v>1261</v>
      </c>
      <c r="E1219" s="25" t="s">
        <v>1745</v>
      </c>
      <c r="F1219" s="16" t="str">
        <f>_xlfn.XLOOKUP(D1219,[9]Sheet2!$C:$C,[9]Sheet2!$E:$E,"-")</f>
        <v>-</v>
      </c>
      <c r="G1219" s="21"/>
    </row>
    <row r="1220" spans="2:7">
      <c r="B1220" s="22" t="s">
        <v>1085</v>
      </c>
      <c r="C1220" s="23" t="s">
        <v>1086</v>
      </c>
      <c r="D1220" s="24" t="s">
        <v>1262</v>
      </c>
      <c r="E1220" s="25" t="s">
        <v>1722</v>
      </c>
      <c r="F1220" s="16" t="str">
        <f>_xlfn.XLOOKUP(D1220,[9]Sheet2!$C:$C,[9]Sheet2!$E:$E,"-")</f>
        <v>Havid Rambu Sinaga</v>
      </c>
      <c r="G1220" s="21"/>
    </row>
    <row r="1221" spans="2:7">
      <c r="B1221" s="22" t="s">
        <v>1085</v>
      </c>
      <c r="C1221" s="23" t="s">
        <v>1086</v>
      </c>
      <c r="D1221" s="24" t="s">
        <v>1263</v>
      </c>
      <c r="E1221" s="25" t="s">
        <v>1745</v>
      </c>
      <c r="F1221" s="16" t="str">
        <f>_xlfn.XLOOKUP(D1221,[9]Sheet2!$C:$C,[9]Sheet2!$E:$E,"-")</f>
        <v>-</v>
      </c>
      <c r="G1221" s="21"/>
    </row>
    <row r="1222" spans="2:7">
      <c r="B1222" s="22" t="s">
        <v>1085</v>
      </c>
      <c r="C1222" s="23" t="s">
        <v>1086</v>
      </c>
      <c r="D1222" s="24" t="s">
        <v>1264</v>
      </c>
      <c r="E1222" s="25" t="s">
        <v>1745</v>
      </c>
      <c r="F1222" s="16" t="str">
        <f>_xlfn.XLOOKUP(D1222,[9]Sheet2!$C:$C,[9]Sheet2!$E:$E,"-")</f>
        <v>Angga Yulistyawan</v>
      </c>
      <c r="G1222" s="21"/>
    </row>
    <row r="1223" spans="2:7">
      <c r="B1223" s="22" t="s">
        <v>1085</v>
      </c>
      <c r="C1223" s="23" t="s">
        <v>1086</v>
      </c>
      <c r="D1223" s="24" t="s">
        <v>1265</v>
      </c>
      <c r="E1223" s="25" t="s">
        <v>1745</v>
      </c>
      <c r="F1223" s="16" t="str">
        <f>_xlfn.XLOOKUP(D1223,[9]Sheet2!$C:$C,[9]Sheet2!$E:$E,"-")</f>
        <v>Moch. Irsyad</v>
      </c>
      <c r="G1223" s="21"/>
    </row>
    <row r="1224" spans="2:7">
      <c r="B1224" s="22" t="s">
        <v>1085</v>
      </c>
      <c r="C1224" s="23" t="s">
        <v>1086</v>
      </c>
      <c r="D1224" s="24" t="s">
        <v>1266</v>
      </c>
      <c r="E1224" s="25" t="s">
        <v>1745</v>
      </c>
      <c r="F1224" s="16" t="str">
        <f>_xlfn.XLOOKUP(D1224,[9]Sheet2!$C:$C,[9]Sheet2!$E:$E,"-")</f>
        <v>Alfiyatuz Zahra</v>
      </c>
      <c r="G1224" s="21"/>
    </row>
    <row r="1225" spans="2:7">
      <c r="B1225" s="22" t="s">
        <v>1085</v>
      </c>
      <c r="C1225" s="23" t="s">
        <v>1086</v>
      </c>
      <c r="D1225" s="24" t="s">
        <v>1267</v>
      </c>
      <c r="E1225" s="25" t="s">
        <v>1722</v>
      </c>
      <c r="F1225" s="16" t="str">
        <f>_xlfn.XLOOKUP(D1225,[9]Sheet2!$C:$C,[9]Sheet2!$E:$E,"-")</f>
        <v>Impron Suryadi</v>
      </c>
      <c r="G1225" s="21"/>
    </row>
    <row r="1226" spans="2:7">
      <c r="B1226" s="22" t="s">
        <v>1085</v>
      </c>
      <c r="C1226" s="23" t="s">
        <v>1086</v>
      </c>
      <c r="D1226" s="24" t="s">
        <v>1268</v>
      </c>
      <c r="E1226" s="25" t="s">
        <v>1745</v>
      </c>
      <c r="F1226" s="16" t="str">
        <f>_xlfn.XLOOKUP(D1226,[9]Sheet2!$C:$C,[9]Sheet2!$E:$E,"-")</f>
        <v>Wahyu Sujatmiko</v>
      </c>
      <c r="G1226" s="21"/>
    </row>
    <row r="1227" spans="2:7">
      <c r="B1227" s="22" t="s">
        <v>1085</v>
      </c>
      <c r="C1227" s="23" t="s">
        <v>1086</v>
      </c>
      <c r="D1227" s="24" t="s">
        <v>1269</v>
      </c>
      <c r="E1227" s="25" t="s">
        <v>1745</v>
      </c>
      <c r="F1227" s="16" t="str">
        <f>_xlfn.XLOOKUP(D1227,[9]Sheet2!$C:$C,[9]Sheet2!$E:$E,"-")</f>
        <v>Wahyu Sujatmiko</v>
      </c>
      <c r="G1227" s="21"/>
    </row>
    <row r="1228" spans="2:7">
      <c r="B1228" s="22" t="s">
        <v>1085</v>
      </c>
      <c r="C1228" s="23" t="s">
        <v>1086</v>
      </c>
      <c r="D1228" s="24" t="s">
        <v>1270</v>
      </c>
      <c r="E1228" s="25" t="s">
        <v>1745</v>
      </c>
      <c r="F1228" s="16" t="str">
        <f>_xlfn.XLOOKUP(D1228,[9]Sheet2!$C:$C,[9]Sheet2!$E:$E,"-")</f>
        <v>-</v>
      </c>
      <c r="G1228" s="21"/>
    </row>
    <row r="1229" spans="2:7">
      <c r="B1229" s="22" t="s">
        <v>1085</v>
      </c>
      <c r="C1229" s="23" t="s">
        <v>1086</v>
      </c>
      <c r="D1229" s="24" t="s">
        <v>1271</v>
      </c>
      <c r="E1229" s="25" t="s">
        <v>1745</v>
      </c>
      <c r="F1229" s="16" t="str">
        <f>_xlfn.XLOOKUP(D1229,[9]Sheet2!$C:$C,[9]Sheet2!$E:$E,"-")</f>
        <v>Bayu Dian Krisdianto</v>
      </c>
      <c r="G1229" s="21"/>
    </row>
    <row r="1230" spans="2:7">
      <c r="B1230" s="22" t="s">
        <v>1085</v>
      </c>
      <c r="C1230" s="23" t="s">
        <v>1086</v>
      </c>
      <c r="D1230" s="24" t="s">
        <v>1272</v>
      </c>
      <c r="E1230" s="25" t="s">
        <v>1745</v>
      </c>
      <c r="F1230" s="16" t="str">
        <f>_xlfn.XLOOKUP(D1230,[9]Sheet2!$C:$C,[9]Sheet2!$E:$E,"-")</f>
        <v>Enggar Ida Ariawan</v>
      </c>
      <c r="G1230" s="21"/>
    </row>
    <row r="1231" spans="2:7">
      <c r="B1231" s="22" t="s">
        <v>1085</v>
      </c>
      <c r="C1231" s="23" t="s">
        <v>1086</v>
      </c>
      <c r="D1231" s="24" t="s">
        <v>1273</v>
      </c>
      <c r="E1231" s="25" t="s">
        <v>1745</v>
      </c>
      <c r="F1231" s="16" t="str">
        <f>_xlfn.XLOOKUP(D1231,[9]Sheet2!$C:$C,[9]Sheet2!$E:$E,"-")</f>
        <v>Ghifar Zakatus Suaidah</v>
      </c>
      <c r="G1231" s="21"/>
    </row>
    <row r="1232" spans="2:7">
      <c r="B1232" s="22" t="s">
        <v>1085</v>
      </c>
      <c r="C1232" s="23" t="s">
        <v>1086</v>
      </c>
      <c r="D1232" s="24" t="s">
        <v>1274</v>
      </c>
      <c r="E1232" s="25" t="s">
        <v>1745</v>
      </c>
      <c r="F1232" s="16" t="str">
        <f>_xlfn.XLOOKUP(D1232,[9]Sheet2!$C:$C,[9]Sheet2!$E:$E,"-")</f>
        <v>Agus Prianto</v>
      </c>
      <c r="G1232" s="21"/>
    </row>
    <row r="1233" spans="2:7">
      <c r="B1233" s="22" t="s">
        <v>1085</v>
      </c>
      <c r="C1233" s="23" t="s">
        <v>1086</v>
      </c>
      <c r="D1233" s="24" t="s">
        <v>1275</v>
      </c>
      <c r="E1233" s="25" t="s">
        <v>1745</v>
      </c>
      <c r="F1233" s="16" t="str">
        <f>_xlfn.XLOOKUP(D1233,[9]Sheet2!$C:$C,[9]Sheet2!$E:$E,"-")</f>
        <v>Moch. Ragil Januar</v>
      </c>
      <c r="G1233" s="21"/>
    </row>
    <row r="1234" spans="2:7">
      <c r="B1234" s="22" t="s">
        <v>1085</v>
      </c>
      <c r="C1234" s="23" t="s">
        <v>1086</v>
      </c>
      <c r="D1234" s="24" t="s">
        <v>1276</v>
      </c>
      <c r="E1234" s="25" t="s">
        <v>1745</v>
      </c>
      <c r="F1234" s="16" t="str">
        <f>_xlfn.XLOOKUP(D1234,[9]Sheet2!$C:$C,[9]Sheet2!$E:$E,"-")</f>
        <v>Hasan Mahmudi</v>
      </c>
      <c r="G1234" s="21"/>
    </row>
    <row r="1235" spans="2:7">
      <c r="B1235" s="22" t="s">
        <v>1085</v>
      </c>
      <c r="C1235" s="23" t="s">
        <v>1086</v>
      </c>
      <c r="D1235" s="24" t="s">
        <v>1277</v>
      </c>
      <c r="E1235" s="25" t="s">
        <v>1745</v>
      </c>
      <c r="F1235" s="16" t="str">
        <f>_xlfn.XLOOKUP(D1235,[9]Sheet2!$C:$C,[9]Sheet2!$E:$E,"-")</f>
        <v>Moch. Ragil Januar</v>
      </c>
      <c r="G1235" s="21"/>
    </row>
    <row r="1236" spans="2:7">
      <c r="B1236" s="22" t="s">
        <v>1085</v>
      </c>
      <c r="C1236" s="23" t="s">
        <v>1086</v>
      </c>
      <c r="D1236" s="24" t="s">
        <v>1278</v>
      </c>
      <c r="E1236" s="25" t="s">
        <v>1745</v>
      </c>
      <c r="F1236" s="16" t="str">
        <f>_xlfn.XLOOKUP(D1236,[9]Sheet2!$C:$C,[9]Sheet2!$E:$E,"-")</f>
        <v>Dwi Novitasari</v>
      </c>
      <c r="G1236" s="21"/>
    </row>
    <row r="1237" spans="2:7">
      <c r="B1237" s="22" t="s">
        <v>1085</v>
      </c>
      <c r="C1237" s="23" t="s">
        <v>1086</v>
      </c>
      <c r="D1237" s="24" t="s">
        <v>1279</v>
      </c>
      <c r="E1237" s="25" t="s">
        <v>1745</v>
      </c>
      <c r="F1237" s="16" t="str">
        <f>_xlfn.XLOOKUP(D1237,[9]Sheet2!$C:$C,[9]Sheet2!$E:$E,"-")</f>
        <v>Agus Prianto</v>
      </c>
      <c r="G1237" s="21"/>
    </row>
    <row r="1238" spans="2:7">
      <c r="B1238" s="22" t="s">
        <v>1085</v>
      </c>
      <c r="C1238" s="23" t="s">
        <v>1086</v>
      </c>
      <c r="D1238" s="24" t="s">
        <v>1280</v>
      </c>
      <c r="E1238" s="25" t="s">
        <v>1745</v>
      </c>
      <c r="F1238" s="16" t="str">
        <f>_xlfn.XLOOKUP(D1238,[9]Sheet2!$C:$C,[9]Sheet2!$E:$E,"-")</f>
        <v>Fanny Zubiatmoko</v>
      </c>
      <c r="G1238" s="21"/>
    </row>
    <row r="1239" spans="2:7">
      <c r="B1239" s="22" t="s">
        <v>1085</v>
      </c>
      <c r="C1239" s="23" t="s">
        <v>1086</v>
      </c>
      <c r="D1239" s="24" t="s">
        <v>1281</v>
      </c>
      <c r="E1239" s="25" t="s">
        <v>1745</v>
      </c>
      <c r="F1239" s="16" t="str">
        <f>_xlfn.XLOOKUP(D1239,[9]Sheet2!$C:$C,[9]Sheet2!$E:$E,"-")</f>
        <v>Bonifacius Edo Prasetio</v>
      </c>
      <c r="G1239" s="21"/>
    </row>
    <row r="1240" spans="2:7">
      <c r="B1240" s="22" t="s">
        <v>1085</v>
      </c>
      <c r="C1240" s="23" t="s">
        <v>1086</v>
      </c>
      <c r="D1240" s="24" t="s">
        <v>1282</v>
      </c>
      <c r="E1240" s="25" t="s">
        <v>1722</v>
      </c>
      <c r="F1240" s="16" t="str">
        <f>_xlfn.XLOOKUP(D1240,[9]Sheet2!$C:$C,[9]Sheet2!$E:$E,"-")</f>
        <v>Adha Mubarok</v>
      </c>
      <c r="G1240" s="21"/>
    </row>
    <row r="1241" spans="2:7">
      <c r="B1241" s="22" t="s">
        <v>1085</v>
      </c>
      <c r="C1241" s="23" t="s">
        <v>1086</v>
      </c>
      <c r="D1241" s="24" t="s">
        <v>1283</v>
      </c>
      <c r="E1241" s="25" t="s">
        <v>1722</v>
      </c>
      <c r="F1241" s="16" t="str">
        <f>_xlfn.XLOOKUP(D1241,[9]Sheet2!$C:$C,[9]Sheet2!$E:$E,"-")</f>
        <v>Adha Mubarok</v>
      </c>
      <c r="G1241" s="21"/>
    </row>
    <row r="1242" spans="2:7">
      <c r="B1242" s="22" t="s">
        <v>1085</v>
      </c>
      <c r="C1242" s="23" t="s">
        <v>1086</v>
      </c>
      <c r="D1242" s="24" t="s">
        <v>1284</v>
      </c>
      <c r="E1242" s="25" t="s">
        <v>1722</v>
      </c>
      <c r="F1242" s="16" t="str">
        <f>_xlfn.XLOOKUP(D1242,[9]Sheet2!$C:$C,[9]Sheet2!$E:$E,"-")</f>
        <v>Gilang Sabastian Vernando</v>
      </c>
      <c r="G1242" s="21"/>
    </row>
    <row r="1243" spans="2:7">
      <c r="B1243" s="22" t="s">
        <v>1085</v>
      </c>
      <c r="C1243" s="23" t="s">
        <v>1086</v>
      </c>
      <c r="D1243" s="24" t="s">
        <v>1285</v>
      </c>
      <c r="E1243" s="25" t="s">
        <v>1722</v>
      </c>
      <c r="F1243" s="16" t="str">
        <f>_xlfn.XLOOKUP(D1243,[9]Sheet2!$C:$C,[9]Sheet2!$E:$E,"-")</f>
        <v>Legowo Herlambang</v>
      </c>
      <c r="G1243" s="21"/>
    </row>
    <row r="1244" spans="2:7">
      <c r="B1244" s="22" t="s">
        <v>1085</v>
      </c>
      <c r="C1244" s="23" t="s">
        <v>1086</v>
      </c>
      <c r="D1244" s="24" t="s">
        <v>1286</v>
      </c>
      <c r="E1244" s="25" t="s">
        <v>1722</v>
      </c>
      <c r="F1244" s="16" t="str">
        <f>_xlfn.XLOOKUP(D1244,[9]Sheet2!$C:$C,[9]Sheet2!$E:$E,"-")</f>
        <v>Afid Mahardianto</v>
      </c>
      <c r="G1244" s="21"/>
    </row>
    <row r="1245" spans="2:7">
      <c r="B1245" s="22" t="s">
        <v>1085</v>
      </c>
      <c r="C1245" s="23" t="s">
        <v>1086</v>
      </c>
      <c r="D1245" s="24" t="s">
        <v>1287</v>
      </c>
      <c r="E1245" s="25" t="s">
        <v>1722</v>
      </c>
      <c r="F1245" s="16" t="str">
        <f>_xlfn.XLOOKUP(D1245,[9]Sheet2!$C:$C,[9]Sheet2!$E:$E,"-")</f>
        <v>Yusky Ali</v>
      </c>
      <c r="G1245" s="21"/>
    </row>
    <row r="1246" spans="2:7">
      <c r="B1246" s="22" t="s">
        <v>1085</v>
      </c>
      <c r="C1246" s="23" t="s">
        <v>1086</v>
      </c>
      <c r="D1246" s="24" t="s">
        <v>1288</v>
      </c>
      <c r="E1246" s="25" t="s">
        <v>1745</v>
      </c>
      <c r="F1246" s="16" t="str">
        <f>_xlfn.XLOOKUP(D1246,[9]Sheet2!$C:$C,[9]Sheet2!$E:$E,"-")</f>
        <v>Rofi Firmansyah</v>
      </c>
      <c r="G1246" s="21"/>
    </row>
    <row r="1247" spans="2:7">
      <c r="B1247" s="22" t="s">
        <v>1085</v>
      </c>
      <c r="C1247" s="23" t="s">
        <v>1086</v>
      </c>
      <c r="D1247" s="24" t="s">
        <v>1289</v>
      </c>
      <c r="E1247" s="25" t="s">
        <v>1745</v>
      </c>
      <c r="F1247" s="16" t="str">
        <f>_xlfn.XLOOKUP(D1247,[9]Sheet2!$C:$C,[9]Sheet2!$E:$E,"-")</f>
        <v>Annur Rahman Hakim</v>
      </c>
      <c r="G1247" s="21"/>
    </row>
    <row r="1248" spans="2:7">
      <c r="B1248" s="22" t="s">
        <v>1085</v>
      </c>
      <c r="C1248" s="23" t="s">
        <v>1086</v>
      </c>
      <c r="D1248" s="24" t="s">
        <v>1290</v>
      </c>
      <c r="E1248" s="25" t="s">
        <v>1722</v>
      </c>
      <c r="F1248" s="16" t="str">
        <f>_xlfn.XLOOKUP(D1248,[9]Sheet2!$C:$C,[9]Sheet2!$E:$E,"-")</f>
        <v>Rifki Maghrobi Putra Pamungkas</v>
      </c>
      <c r="G1248" s="21"/>
    </row>
    <row r="1249" spans="2:7">
      <c r="B1249" s="22" t="s">
        <v>1085</v>
      </c>
      <c r="C1249" s="23" t="s">
        <v>1086</v>
      </c>
      <c r="D1249" s="24" t="s">
        <v>1291</v>
      </c>
      <c r="E1249" s="25" t="s">
        <v>1722</v>
      </c>
      <c r="F1249" s="16" t="str">
        <f>_xlfn.XLOOKUP(D1249,[9]Sheet2!$C:$C,[9]Sheet2!$E:$E,"-")</f>
        <v>Rifki Maghrobi Putra Pamungkas</v>
      </c>
      <c r="G1249" s="21"/>
    </row>
    <row r="1250" spans="2:7">
      <c r="B1250" s="22" t="s">
        <v>1085</v>
      </c>
      <c r="C1250" s="23" t="s">
        <v>1086</v>
      </c>
      <c r="D1250" s="24" t="s">
        <v>1292</v>
      </c>
      <c r="E1250" s="25" t="s">
        <v>1722</v>
      </c>
      <c r="F1250" s="16" t="str">
        <f>_xlfn.XLOOKUP(D1250,[9]Sheet2!$C:$C,[9]Sheet2!$E:$E,"-")</f>
        <v>Fajar Fir Rizky</v>
      </c>
      <c r="G1250" s="21"/>
    </row>
    <row r="1251" spans="2:7">
      <c r="B1251" s="22" t="s">
        <v>1085</v>
      </c>
      <c r="C1251" s="23" t="s">
        <v>1086</v>
      </c>
      <c r="D1251" s="24" t="s">
        <v>1293</v>
      </c>
      <c r="E1251" s="25" t="s">
        <v>1722</v>
      </c>
      <c r="F1251" s="16" t="str">
        <f>_xlfn.XLOOKUP(D1251,[9]Sheet2!$C:$C,[9]Sheet2!$E:$E,"-")</f>
        <v>Yusky Ali</v>
      </c>
      <c r="G1251" s="21"/>
    </row>
    <row r="1252" spans="2:7">
      <c r="B1252" s="22" t="s">
        <v>1085</v>
      </c>
      <c r="C1252" s="23" t="s">
        <v>1086</v>
      </c>
      <c r="D1252" s="24" t="s">
        <v>1294</v>
      </c>
      <c r="E1252" s="25" t="s">
        <v>1745</v>
      </c>
      <c r="F1252" s="16" t="str">
        <f>_xlfn.XLOOKUP(D1252,[9]Sheet2!$C:$C,[9]Sheet2!$E:$E,"-")</f>
        <v>Annur Rahman Hakim</v>
      </c>
      <c r="G1252" s="21"/>
    </row>
    <row r="1253" spans="2:7">
      <c r="B1253" s="22" t="s">
        <v>1085</v>
      </c>
      <c r="C1253" s="23" t="s">
        <v>1086</v>
      </c>
      <c r="D1253" s="24" t="s">
        <v>1295</v>
      </c>
      <c r="E1253" s="25" t="s">
        <v>1745</v>
      </c>
      <c r="F1253" s="16" t="str">
        <f>_xlfn.XLOOKUP(D1253,[9]Sheet2!$C:$C,[9]Sheet2!$E:$E,"-")</f>
        <v>Annur Rahman Hakim</v>
      </c>
      <c r="G1253" s="21"/>
    </row>
    <row r="1254" spans="2:7">
      <c r="B1254" s="22" t="s">
        <v>1085</v>
      </c>
      <c r="C1254" s="23" t="s">
        <v>1086</v>
      </c>
      <c r="D1254" s="24" t="s">
        <v>1296</v>
      </c>
      <c r="E1254" s="25" t="s">
        <v>1722</v>
      </c>
      <c r="F1254" s="16" t="str">
        <f>_xlfn.XLOOKUP(D1254,[9]Sheet2!$C:$C,[9]Sheet2!$E:$E,"-")</f>
        <v>Fajar Fir Rizky</v>
      </c>
      <c r="G1254" s="21"/>
    </row>
    <row r="1255" spans="2:7">
      <c r="B1255" s="22" t="s">
        <v>1085</v>
      </c>
      <c r="C1255" s="23" t="s">
        <v>1086</v>
      </c>
      <c r="D1255" s="24" t="s">
        <v>1297</v>
      </c>
      <c r="E1255" s="25" t="s">
        <v>1745</v>
      </c>
      <c r="F1255" s="16" t="str">
        <f>_xlfn.XLOOKUP(D1255,[9]Sheet2!$C:$C,[9]Sheet2!$E:$E,"-")</f>
        <v>Rofi Firmansyah</v>
      </c>
      <c r="G1255" s="21"/>
    </row>
    <row r="1256" spans="2:7">
      <c r="B1256" s="22" t="s">
        <v>1085</v>
      </c>
      <c r="C1256" s="23" t="s">
        <v>1086</v>
      </c>
      <c r="D1256" s="24" t="s">
        <v>1298</v>
      </c>
      <c r="E1256" s="25" t="s">
        <v>1722</v>
      </c>
      <c r="F1256" s="16" t="str">
        <f>_xlfn.XLOOKUP(D1256,[9]Sheet2!$C:$C,[9]Sheet2!$E:$E,"-")</f>
        <v>Aries Firman Widiansyah</v>
      </c>
      <c r="G1256" s="21"/>
    </row>
    <row r="1257" spans="2:7">
      <c r="B1257" s="22" t="s">
        <v>1085</v>
      </c>
      <c r="C1257" s="23" t="s">
        <v>1086</v>
      </c>
      <c r="D1257" s="24" t="s">
        <v>1299</v>
      </c>
      <c r="E1257" s="25" t="s">
        <v>1745</v>
      </c>
      <c r="F1257" s="16" t="str">
        <f>_xlfn.XLOOKUP(D1257,[9]Sheet2!$C:$C,[9]Sheet2!$E:$E,"-")</f>
        <v>Moch Erfan</v>
      </c>
      <c r="G1257" s="21"/>
    </row>
    <row r="1258" spans="2:7">
      <c r="B1258" s="22" t="s">
        <v>1085</v>
      </c>
      <c r="C1258" s="23" t="s">
        <v>1086</v>
      </c>
      <c r="D1258" s="24" t="s">
        <v>1300</v>
      </c>
      <c r="E1258" s="25" t="s">
        <v>1745</v>
      </c>
      <c r="F1258" s="16" t="str">
        <f>_xlfn.XLOOKUP(D1258,[9]Sheet2!$C:$C,[9]Sheet2!$E:$E,"-")</f>
        <v>Olivia Sukma Rini Widyananda</v>
      </c>
      <c r="G1258" s="21"/>
    </row>
    <row r="1259" spans="2:7">
      <c r="B1259" s="22" t="s">
        <v>1085</v>
      </c>
      <c r="C1259" s="23" t="s">
        <v>1086</v>
      </c>
      <c r="D1259" s="24" t="s">
        <v>1301</v>
      </c>
      <c r="E1259" s="25" t="s">
        <v>1722</v>
      </c>
      <c r="F1259" s="16" t="str">
        <f>_xlfn.XLOOKUP(D1259,[9]Sheet2!$C:$C,[9]Sheet2!$E:$E,"-")</f>
        <v>Aries Firman Widiansyah</v>
      </c>
      <c r="G1259" s="21"/>
    </row>
    <row r="1260" spans="2:7">
      <c r="B1260" s="22" t="s">
        <v>1085</v>
      </c>
      <c r="C1260" s="23" t="s">
        <v>1086</v>
      </c>
      <c r="D1260" s="24" t="s">
        <v>1302</v>
      </c>
      <c r="E1260" s="25" t="s">
        <v>1722</v>
      </c>
      <c r="F1260" s="16" t="str">
        <f>_xlfn.XLOOKUP(D1260,[9]Sheet2!$C:$C,[9]Sheet2!$E:$E,"-")</f>
        <v>Yusril Abdillah</v>
      </c>
      <c r="G1260" s="21"/>
    </row>
    <row r="1261" spans="2:7">
      <c r="B1261" s="22" t="s">
        <v>1085</v>
      </c>
      <c r="C1261" s="23" t="s">
        <v>1086</v>
      </c>
      <c r="D1261" s="24" t="s">
        <v>1303</v>
      </c>
      <c r="E1261" s="25" t="s">
        <v>1722</v>
      </c>
      <c r="F1261" s="16" t="str">
        <f>_xlfn.XLOOKUP(D1261,[9]Sheet2!$C:$C,[9]Sheet2!$E:$E,"-")</f>
        <v>Vidya Putri Ramadhanti</v>
      </c>
      <c r="G1261" s="21"/>
    </row>
    <row r="1262" spans="2:7">
      <c r="B1262" s="22" t="s">
        <v>1085</v>
      </c>
      <c r="C1262" s="23" t="s">
        <v>1086</v>
      </c>
      <c r="D1262" s="24" t="s">
        <v>1304</v>
      </c>
      <c r="E1262" s="25" t="s">
        <v>1722</v>
      </c>
      <c r="F1262" s="16" t="str">
        <f>_xlfn.XLOOKUP(D1262,[9]Sheet2!$C:$C,[9]Sheet2!$E:$E,"-")</f>
        <v>Yusril Abdillah</v>
      </c>
      <c r="G1262" s="21"/>
    </row>
    <row r="1263" spans="2:7">
      <c r="B1263" s="22" t="s">
        <v>1085</v>
      </c>
      <c r="C1263" s="23" t="s">
        <v>1086</v>
      </c>
      <c r="D1263" s="24" t="s">
        <v>1305</v>
      </c>
      <c r="E1263" s="25" t="s">
        <v>1745</v>
      </c>
      <c r="F1263" s="16" t="str">
        <f>_xlfn.XLOOKUP(D1263,[9]Sheet2!$C:$C,[9]Sheet2!$E:$E,"-")</f>
        <v>Olivia Sukma Rini Widyananda</v>
      </c>
      <c r="G1263" s="21"/>
    </row>
    <row r="1264" spans="2:7">
      <c r="B1264" s="22" t="s">
        <v>1085</v>
      </c>
      <c r="C1264" s="23" t="s">
        <v>1086</v>
      </c>
      <c r="D1264" s="24" t="s">
        <v>1306</v>
      </c>
      <c r="E1264" s="25" t="s">
        <v>1745</v>
      </c>
      <c r="F1264" s="16" t="str">
        <f>_xlfn.XLOOKUP(D1264,[9]Sheet2!$C:$C,[9]Sheet2!$E:$E,"-")</f>
        <v>Moch Erfan</v>
      </c>
      <c r="G1264" s="21"/>
    </row>
    <row r="1265" spans="2:7">
      <c r="B1265" s="22" t="s">
        <v>1085</v>
      </c>
      <c r="C1265" s="23" t="s">
        <v>1086</v>
      </c>
      <c r="D1265" s="24" t="s">
        <v>1307</v>
      </c>
      <c r="E1265" s="25" t="s">
        <v>1745</v>
      </c>
      <c r="F1265" s="16" t="str">
        <f>_xlfn.XLOOKUP(D1265,[9]Sheet2!$C:$C,[9]Sheet2!$E:$E,"-")</f>
        <v>Moch Erfan</v>
      </c>
      <c r="G1265" s="21"/>
    </row>
    <row r="1266" spans="2:7">
      <c r="B1266" s="22" t="s">
        <v>1085</v>
      </c>
      <c r="C1266" s="23" t="s">
        <v>1086</v>
      </c>
      <c r="D1266" s="24" t="s">
        <v>1308</v>
      </c>
      <c r="E1266" s="25" t="s">
        <v>1722</v>
      </c>
      <c r="F1266" s="16" t="str">
        <f>_xlfn.XLOOKUP(D1266,[9]Sheet2!$C:$C,[9]Sheet2!$E:$E,"-")</f>
        <v>Erwin Purwanto</v>
      </c>
      <c r="G1266" s="21"/>
    </row>
    <row r="1267" spans="2:7">
      <c r="B1267" s="22" t="s">
        <v>1085</v>
      </c>
      <c r="C1267" s="23" t="s">
        <v>1086</v>
      </c>
      <c r="D1267" s="24" t="s">
        <v>1309</v>
      </c>
      <c r="E1267" s="25" t="s">
        <v>1722</v>
      </c>
      <c r="F1267" s="16" t="str">
        <f>_xlfn.XLOOKUP(D1267,[9]Sheet2!$C:$C,[9]Sheet2!$E:$E,"-")</f>
        <v>Erwin Purwanto</v>
      </c>
      <c r="G1267" s="21"/>
    </row>
    <row r="1268" spans="2:7">
      <c r="B1268" s="22" t="s">
        <v>1085</v>
      </c>
      <c r="C1268" s="23" t="s">
        <v>1086</v>
      </c>
      <c r="D1268" s="24" t="s">
        <v>1310</v>
      </c>
      <c r="E1268" s="25" t="s">
        <v>1722</v>
      </c>
      <c r="F1268" s="16" t="str">
        <f>_xlfn.XLOOKUP(D1268,[9]Sheet2!$C:$C,[9]Sheet2!$E:$E,"-")</f>
        <v>Rendhy Bhaskara Putra</v>
      </c>
      <c r="G1268" s="21"/>
    </row>
    <row r="1269" spans="2:7">
      <c r="B1269" s="22" t="s">
        <v>1085</v>
      </c>
      <c r="C1269" s="23" t="s">
        <v>1086</v>
      </c>
      <c r="D1269" s="24" t="s">
        <v>1311</v>
      </c>
      <c r="E1269" s="25" t="s">
        <v>1722</v>
      </c>
      <c r="F1269" s="16" t="str">
        <f>_xlfn.XLOOKUP(D1269,[9]Sheet2!$C:$C,[9]Sheet2!$E:$E,"-")</f>
        <v>Deby Alief Intan Permata</v>
      </c>
      <c r="G1269" s="21"/>
    </row>
    <row r="1270" spans="2:7">
      <c r="B1270" s="22" t="s">
        <v>1085</v>
      </c>
      <c r="C1270" s="23" t="s">
        <v>1086</v>
      </c>
      <c r="D1270" s="24" t="s">
        <v>1312</v>
      </c>
      <c r="E1270" s="25" t="s">
        <v>1722</v>
      </c>
      <c r="F1270" s="16" t="str">
        <f>_xlfn.XLOOKUP(D1270,[9]Sheet2!$C:$C,[9]Sheet2!$E:$E,"-")</f>
        <v>Rizki Fajar Kurniawan</v>
      </c>
      <c r="G1270" s="21"/>
    </row>
    <row r="1271" spans="2:7">
      <c r="B1271" s="22" t="s">
        <v>1085</v>
      </c>
      <c r="C1271" s="23" t="s">
        <v>1086</v>
      </c>
      <c r="D1271" s="24" t="s">
        <v>1313</v>
      </c>
      <c r="E1271" s="25" t="s">
        <v>1722</v>
      </c>
      <c r="F1271" s="16" t="str">
        <f>_xlfn.XLOOKUP(D1271,[9]Sheet2!$C:$C,[9]Sheet2!$E:$E,"-")</f>
        <v>Imam Safiudin Mustaqim</v>
      </c>
      <c r="G1271" s="21"/>
    </row>
    <row r="1272" spans="2:7">
      <c r="B1272" s="22" t="s">
        <v>1085</v>
      </c>
      <c r="C1272" s="23" t="s">
        <v>1086</v>
      </c>
      <c r="D1272" s="24" t="s">
        <v>1314</v>
      </c>
      <c r="E1272" s="25" t="s">
        <v>1722</v>
      </c>
      <c r="F1272" s="16" t="str">
        <f>_xlfn.XLOOKUP(D1272,[9]Sheet2!$C:$C,[9]Sheet2!$E:$E,"-")</f>
        <v>Imam Safiudin Mustaqim</v>
      </c>
      <c r="G1272" s="21"/>
    </row>
    <row r="1273" spans="2:7">
      <c r="B1273" s="22" t="s">
        <v>1085</v>
      </c>
      <c r="C1273" s="23" t="s">
        <v>1086</v>
      </c>
      <c r="D1273" s="24" t="s">
        <v>1315</v>
      </c>
      <c r="E1273" s="25" t="s">
        <v>1722</v>
      </c>
      <c r="F1273" s="16" t="str">
        <f>_xlfn.XLOOKUP(D1273,[9]Sheet2!$C:$C,[9]Sheet2!$E:$E,"-")</f>
        <v>Muhammad Yasin</v>
      </c>
      <c r="G1273" s="21"/>
    </row>
    <row r="1274" spans="2:7">
      <c r="B1274" s="22" t="s">
        <v>1085</v>
      </c>
      <c r="C1274" s="23" t="s">
        <v>1086</v>
      </c>
      <c r="D1274" s="24" t="s">
        <v>1316</v>
      </c>
      <c r="E1274" s="25" t="s">
        <v>1722</v>
      </c>
      <c r="F1274" s="16" t="str">
        <f>_xlfn.XLOOKUP(D1274,[9]Sheet2!$C:$C,[9]Sheet2!$E:$E,"-")</f>
        <v>Mohammad Sholehhuddin</v>
      </c>
      <c r="G1274" s="21"/>
    </row>
    <row r="1275" spans="2:7">
      <c r="B1275" s="22" t="s">
        <v>1085</v>
      </c>
      <c r="C1275" s="23" t="s">
        <v>1086</v>
      </c>
      <c r="D1275" s="24" t="s">
        <v>1317</v>
      </c>
      <c r="E1275" s="25" t="s">
        <v>1722</v>
      </c>
      <c r="F1275" s="16" t="str">
        <f>_xlfn.XLOOKUP(D1275,[9]Sheet2!$C:$C,[9]Sheet2!$E:$E,"-")</f>
        <v>Riki Yuhan Diantoro</v>
      </c>
      <c r="G1275" s="21"/>
    </row>
    <row r="1276" spans="2:7">
      <c r="B1276" s="22" t="s">
        <v>1085</v>
      </c>
      <c r="C1276" s="23" t="s">
        <v>1086</v>
      </c>
      <c r="D1276" s="24" t="s">
        <v>1318</v>
      </c>
      <c r="E1276" s="25" t="s">
        <v>1722</v>
      </c>
      <c r="F1276" s="16" t="str">
        <f>_xlfn.XLOOKUP(D1276,[9]Sheet2!$C:$C,[9]Sheet2!$E:$E,"-")</f>
        <v>Mohammad Sholehhuddin</v>
      </c>
      <c r="G1276" s="21"/>
    </row>
    <row r="1277" spans="2:7">
      <c r="B1277" s="22" t="s">
        <v>1085</v>
      </c>
      <c r="C1277" s="23" t="s">
        <v>1086</v>
      </c>
      <c r="D1277" s="24" t="s">
        <v>1319</v>
      </c>
      <c r="E1277" s="25" t="s">
        <v>1722</v>
      </c>
      <c r="F1277" s="16" t="str">
        <f>_xlfn.XLOOKUP(D1277,[9]Sheet2!$C:$C,[9]Sheet2!$E:$E,"-")</f>
        <v>Deby Alief Intan Permata</v>
      </c>
      <c r="G1277" s="21"/>
    </row>
    <row r="1278" spans="2:7">
      <c r="B1278" s="22" t="s">
        <v>1085</v>
      </c>
      <c r="C1278" s="23" t="s">
        <v>1086</v>
      </c>
      <c r="D1278" s="24" t="s">
        <v>1320</v>
      </c>
      <c r="E1278" s="25" t="s">
        <v>1722</v>
      </c>
      <c r="F1278" s="16" t="str">
        <f>_xlfn.XLOOKUP(D1278,[9]Sheet2!$C:$C,[9]Sheet2!$E:$E,"-")</f>
        <v>Riki Yuhan Diantoro</v>
      </c>
      <c r="G1278" s="21"/>
    </row>
    <row r="1279" spans="2:7">
      <c r="B1279" s="22" t="s">
        <v>1085</v>
      </c>
      <c r="C1279" s="23" t="s">
        <v>1086</v>
      </c>
      <c r="D1279" s="24" t="s">
        <v>1321</v>
      </c>
      <c r="E1279" s="25" t="s">
        <v>1722</v>
      </c>
      <c r="F1279" s="16" t="str">
        <f>_xlfn.XLOOKUP(D1279,[9]Sheet2!$C:$C,[9]Sheet2!$E:$E,"-")</f>
        <v>Muhammad Yasin</v>
      </c>
      <c r="G1279" s="21"/>
    </row>
    <row r="1280" spans="2:7">
      <c r="B1280" s="22" t="s">
        <v>1085</v>
      </c>
      <c r="C1280" s="23" t="s">
        <v>1086</v>
      </c>
      <c r="D1280" s="24" t="s">
        <v>1322</v>
      </c>
      <c r="E1280" s="25" t="s">
        <v>1745</v>
      </c>
      <c r="F1280" s="16" t="str">
        <f>_xlfn.XLOOKUP(D1280,[9]Sheet2!$C:$C,[9]Sheet2!$E:$E,"-")</f>
        <v>Miftahul Rahman</v>
      </c>
      <c r="G1280" s="21"/>
    </row>
    <row r="1281" spans="2:7">
      <c r="B1281" s="22" t="s">
        <v>1085</v>
      </c>
      <c r="C1281" s="23" t="s">
        <v>1086</v>
      </c>
      <c r="D1281" s="24" t="s">
        <v>1323</v>
      </c>
      <c r="E1281" s="25" t="s">
        <v>1722</v>
      </c>
      <c r="F1281" s="16" t="str">
        <f>_xlfn.XLOOKUP(D1281,[9]Sheet2!$C:$C,[9]Sheet2!$E:$E,"-")</f>
        <v>Dwi Rahman Saleh</v>
      </c>
      <c r="G1281" s="21"/>
    </row>
    <row r="1282" spans="2:7">
      <c r="B1282" s="22" t="s">
        <v>1085</v>
      </c>
      <c r="C1282" s="23" t="s">
        <v>1086</v>
      </c>
      <c r="D1282" s="24" t="s">
        <v>1324</v>
      </c>
      <c r="E1282" s="25" t="s">
        <v>1722</v>
      </c>
      <c r="F1282" s="16" t="str">
        <f>_xlfn.XLOOKUP(D1282,[9]Sheet2!$C:$C,[9]Sheet2!$E:$E,"-")</f>
        <v>Ilham Tri Cahyono</v>
      </c>
      <c r="G1282" s="21"/>
    </row>
    <row r="1283" spans="2:7">
      <c r="B1283" s="22" t="s">
        <v>1085</v>
      </c>
      <c r="C1283" s="23" t="s">
        <v>1086</v>
      </c>
      <c r="D1283" s="24" t="s">
        <v>1325</v>
      </c>
      <c r="E1283" s="25" t="s">
        <v>1722</v>
      </c>
      <c r="F1283" s="16" t="str">
        <f>_xlfn.XLOOKUP(D1283,[9]Sheet2!$C:$C,[9]Sheet2!$E:$E,"-")</f>
        <v>Rizki Eki Prayoga</v>
      </c>
      <c r="G1283" s="21"/>
    </row>
    <row r="1284" spans="2:7">
      <c r="B1284" s="22" t="s">
        <v>1085</v>
      </c>
      <c r="C1284" s="23" t="s">
        <v>1086</v>
      </c>
      <c r="D1284" s="24" t="s">
        <v>1326</v>
      </c>
      <c r="E1284" s="25" t="s">
        <v>1745</v>
      </c>
      <c r="F1284" s="16" t="str">
        <f>_xlfn.XLOOKUP(D1284,[9]Sheet2!$C:$C,[9]Sheet2!$E:$E,"-")</f>
        <v>Farid Amrullah</v>
      </c>
      <c r="G1284" s="21"/>
    </row>
    <row r="1285" spans="2:7">
      <c r="B1285" s="22" t="s">
        <v>1085</v>
      </c>
      <c r="C1285" s="23" t="s">
        <v>1086</v>
      </c>
      <c r="D1285" s="24" t="s">
        <v>1327</v>
      </c>
      <c r="E1285" s="25" t="s">
        <v>1745</v>
      </c>
      <c r="F1285" s="16" t="str">
        <f>_xlfn.XLOOKUP(D1285,[9]Sheet2!$C:$C,[9]Sheet2!$E:$E,"-")</f>
        <v>Miftahul Rahman</v>
      </c>
      <c r="G1285" s="21"/>
    </row>
    <row r="1286" spans="2:7">
      <c r="B1286" s="22" t="s">
        <v>1085</v>
      </c>
      <c r="C1286" s="23" t="s">
        <v>1086</v>
      </c>
      <c r="D1286" s="24" t="s">
        <v>1328</v>
      </c>
      <c r="E1286" s="25" t="s">
        <v>1745</v>
      </c>
      <c r="F1286" s="16" t="str">
        <f>_xlfn.XLOOKUP(D1286,[9]Sheet2!$C:$C,[9]Sheet2!$E:$E,"-")</f>
        <v>Moh. Kusnadi</v>
      </c>
      <c r="G1286" s="21"/>
    </row>
    <row r="1287" spans="2:7">
      <c r="B1287" s="22" t="s">
        <v>1085</v>
      </c>
      <c r="C1287" s="23" t="s">
        <v>1086</v>
      </c>
      <c r="D1287" s="24" t="s">
        <v>1329</v>
      </c>
      <c r="E1287" s="25" t="s">
        <v>1745</v>
      </c>
      <c r="F1287" s="16" t="str">
        <f>_xlfn.XLOOKUP(D1287,[9]Sheet2!$C:$C,[9]Sheet2!$E:$E,"-")</f>
        <v>Moh. Kusnadi</v>
      </c>
      <c r="G1287" s="21"/>
    </row>
    <row r="1288" spans="2:7">
      <c r="B1288" s="22" t="s">
        <v>1085</v>
      </c>
      <c r="C1288" s="23" t="s">
        <v>1086</v>
      </c>
      <c r="D1288" s="24" t="s">
        <v>1330</v>
      </c>
      <c r="E1288" s="25" t="s">
        <v>1722</v>
      </c>
      <c r="F1288" s="16" t="str">
        <f>_xlfn.XLOOKUP(D1288,[9]Sheet2!$C:$C,[9]Sheet2!$E:$E,"-")</f>
        <v>Imro'Atul Azizah</v>
      </c>
      <c r="G1288" s="21"/>
    </row>
    <row r="1289" spans="2:7">
      <c r="B1289" s="22" t="s">
        <v>1085</v>
      </c>
      <c r="C1289" s="23" t="s">
        <v>1086</v>
      </c>
      <c r="D1289" s="24" t="s">
        <v>1331</v>
      </c>
      <c r="E1289" s="25" t="s">
        <v>1722</v>
      </c>
      <c r="F1289" s="16" t="str">
        <f>_xlfn.XLOOKUP(D1289,[9]Sheet2!$C:$C,[9]Sheet2!$E:$E,"-")</f>
        <v>Dwi Rahman Saleh</v>
      </c>
      <c r="G1289" s="21"/>
    </row>
    <row r="1290" spans="2:7">
      <c r="B1290" s="22" t="s">
        <v>1085</v>
      </c>
      <c r="C1290" s="23" t="s">
        <v>1086</v>
      </c>
      <c r="D1290" s="24" t="s">
        <v>1332</v>
      </c>
      <c r="E1290" s="25" t="s">
        <v>1745</v>
      </c>
      <c r="F1290" s="16" t="str">
        <f>_xlfn.XLOOKUP(D1290,[9]Sheet2!$C:$C,[9]Sheet2!$E:$E,"-")</f>
        <v>Muhammad Suhir</v>
      </c>
      <c r="G1290" s="21"/>
    </row>
    <row r="1291" spans="2:7">
      <c r="B1291" s="22" t="s">
        <v>1085</v>
      </c>
      <c r="C1291" s="23" t="s">
        <v>1086</v>
      </c>
      <c r="D1291" s="24" t="s">
        <v>1333</v>
      </c>
      <c r="E1291" s="25" t="s">
        <v>1745</v>
      </c>
      <c r="F1291" s="16" t="str">
        <f>_xlfn.XLOOKUP(D1291,[9]Sheet2!$C:$C,[9]Sheet2!$E:$E,"-")</f>
        <v>Farid Amrullah</v>
      </c>
      <c r="G1291" s="21"/>
    </row>
    <row r="1292" spans="2:7">
      <c r="B1292" s="22" t="s">
        <v>1085</v>
      </c>
      <c r="C1292" s="23" t="s">
        <v>1086</v>
      </c>
      <c r="D1292" s="24" t="s">
        <v>1334</v>
      </c>
      <c r="E1292" s="25" t="s">
        <v>1722</v>
      </c>
      <c r="F1292" s="16" t="str">
        <f>_xlfn.XLOOKUP(D1292,[9]Sheet2!$C:$C,[9]Sheet2!$E:$E,"-")</f>
        <v>Vigil Setya Sembada</v>
      </c>
      <c r="G1292" s="21"/>
    </row>
    <row r="1293" spans="2:7">
      <c r="B1293" s="22" t="s">
        <v>1085</v>
      </c>
      <c r="C1293" s="23" t="s">
        <v>1086</v>
      </c>
      <c r="D1293" s="24" t="s">
        <v>1335</v>
      </c>
      <c r="E1293" s="25" t="s">
        <v>1722</v>
      </c>
      <c r="F1293" s="16" t="str">
        <f>_xlfn.XLOOKUP(D1293,[9]Sheet2!$C:$C,[9]Sheet2!$E:$E,"-")</f>
        <v>Putra Pratama Iwan Wahyudi</v>
      </c>
      <c r="G1293" s="21"/>
    </row>
    <row r="1294" spans="2:7">
      <c r="B1294" s="22" t="s">
        <v>1085</v>
      </c>
      <c r="C1294" s="23" t="s">
        <v>1086</v>
      </c>
      <c r="D1294" s="24" t="s">
        <v>1336</v>
      </c>
      <c r="E1294" s="25" t="s">
        <v>1722</v>
      </c>
      <c r="F1294" s="16" t="str">
        <f>_xlfn.XLOOKUP(D1294,[9]Sheet2!$C:$C,[9]Sheet2!$E:$E,"-")</f>
        <v>Putra Pratama Iwan Wahyudi</v>
      </c>
      <c r="G1294" s="21"/>
    </row>
    <row r="1295" spans="2:7">
      <c r="B1295" s="22" t="s">
        <v>1085</v>
      </c>
      <c r="C1295" s="23" t="s">
        <v>1086</v>
      </c>
      <c r="D1295" s="24" t="s">
        <v>1337</v>
      </c>
      <c r="E1295" s="25" t="s">
        <v>1722</v>
      </c>
      <c r="F1295" s="16" t="str">
        <f>_xlfn.XLOOKUP(D1295,[9]Sheet2!$C:$C,[9]Sheet2!$E:$E,"-")</f>
        <v>Akhmad Taufikqul Hakim</v>
      </c>
      <c r="G1295" s="21"/>
    </row>
    <row r="1296" spans="2:7">
      <c r="B1296" s="22" t="s">
        <v>1085</v>
      </c>
      <c r="C1296" s="23" t="s">
        <v>1086</v>
      </c>
      <c r="D1296" s="24" t="s">
        <v>1338</v>
      </c>
      <c r="E1296" s="25" t="s">
        <v>1722</v>
      </c>
      <c r="F1296" s="16" t="str">
        <f>_xlfn.XLOOKUP(D1296,[9]Sheet2!$C:$C,[9]Sheet2!$E:$E,"-")</f>
        <v>Putra Pratama Iwan Wahyudi</v>
      </c>
      <c r="G1296" s="21"/>
    </row>
    <row r="1297" spans="2:7">
      <c r="B1297" s="22" t="s">
        <v>1085</v>
      </c>
      <c r="C1297" s="23" t="s">
        <v>1086</v>
      </c>
      <c r="D1297" s="24" t="s">
        <v>1339</v>
      </c>
      <c r="E1297" s="25" t="s">
        <v>1722</v>
      </c>
      <c r="F1297" s="16" t="str">
        <f>_xlfn.XLOOKUP(D1297,[9]Sheet2!$C:$C,[9]Sheet2!$E:$E,"-")</f>
        <v>Akhmad Taufikqul Hakim</v>
      </c>
      <c r="G1297" s="21"/>
    </row>
    <row r="1298" spans="2:7">
      <c r="B1298" s="22" t="s">
        <v>1085</v>
      </c>
      <c r="C1298" s="23" t="s">
        <v>1086</v>
      </c>
      <c r="D1298" s="24" t="s">
        <v>1340</v>
      </c>
      <c r="E1298" s="25" t="s">
        <v>1722</v>
      </c>
      <c r="F1298" s="16" t="str">
        <f>_xlfn.XLOOKUP(D1298,[9]Sheet2!$C:$C,[9]Sheet2!$E:$E,"-")</f>
        <v>Akhmad Taufikqul Hakim</v>
      </c>
      <c r="G1298" s="21"/>
    </row>
    <row r="1299" spans="2:7">
      <c r="B1299" s="22" t="s">
        <v>1085</v>
      </c>
      <c r="C1299" s="23" t="s">
        <v>1086</v>
      </c>
      <c r="D1299" s="24" t="s">
        <v>1341</v>
      </c>
      <c r="E1299" s="25" t="s">
        <v>1722</v>
      </c>
      <c r="F1299" s="16" t="str">
        <f>_xlfn.XLOOKUP(D1299,[9]Sheet2!$C:$C,[9]Sheet2!$E:$E,"-")</f>
        <v>Akhmad Taufikqul Hakim</v>
      </c>
      <c r="G1299" s="21"/>
    </row>
    <row r="1300" spans="2:7">
      <c r="B1300" s="22" t="s">
        <v>1085</v>
      </c>
      <c r="C1300" s="23" t="s">
        <v>1086</v>
      </c>
      <c r="D1300" s="24" t="s">
        <v>1342</v>
      </c>
      <c r="E1300" s="25" t="s">
        <v>1722</v>
      </c>
      <c r="F1300" s="16" t="str">
        <f>_xlfn.XLOOKUP(D1300,[9]Sheet2!$C:$C,[9]Sheet2!$E:$E,"-")</f>
        <v>Putra Pratama Iwan Wahyudi</v>
      </c>
      <c r="G1300" s="21"/>
    </row>
    <row r="1301" spans="2:7">
      <c r="B1301" s="22" t="s">
        <v>1085</v>
      </c>
      <c r="C1301" s="23" t="s">
        <v>1086</v>
      </c>
      <c r="D1301" s="24" t="s">
        <v>1343</v>
      </c>
      <c r="E1301" s="25" t="s">
        <v>1722</v>
      </c>
      <c r="F1301" s="16" t="str">
        <f>_xlfn.XLOOKUP(D1301,[9]Sheet2!$C:$C,[9]Sheet2!$E:$E,"-")</f>
        <v>Hermanto</v>
      </c>
      <c r="G1301" s="21"/>
    </row>
    <row r="1302" spans="2:7">
      <c r="B1302" s="22" t="s">
        <v>1085</v>
      </c>
      <c r="C1302" s="23" t="s">
        <v>1086</v>
      </c>
      <c r="D1302" s="24" t="s">
        <v>1344</v>
      </c>
      <c r="E1302" s="25" t="s">
        <v>1722</v>
      </c>
      <c r="F1302" s="16" t="str">
        <f>_xlfn.XLOOKUP(D1302,[9]Sheet2!$C:$C,[9]Sheet2!$E:$E,"-")</f>
        <v>Satrio Aji Pamungkas</v>
      </c>
      <c r="G1302" s="21"/>
    </row>
    <row r="1303" spans="2:7">
      <c r="B1303" s="22" t="s">
        <v>1085</v>
      </c>
      <c r="C1303" s="23" t="s">
        <v>1086</v>
      </c>
      <c r="D1303" s="24" t="s">
        <v>1345</v>
      </c>
      <c r="E1303" s="25" t="s">
        <v>1722</v>
      </c>
      <c r="F1303" s="16" t="str">
        <f>_xlfn.XLOOKUP(D1303,[9]Sheet2!$C:$C,[9]Sheet2!$E:$E,"-")</f>
        <v>Hermanto</v>
      </c>
      <c r="G1303" s="21"/>
    </row>
    <row r="1304" spans="2:7">
      <c r="B1304" s="22" t="s">
        <v>1085</v>
      </c>
      <c r="C1304" s="23" t="s">
        <v>1086</v>
      </c>
      <c r="D1304" s="24" t="s">
        <v>1346</v>
      </c>
      <c r="E1304" s="25" t="s">
        <v>1722</v>
      </c>
      <c r="F1304" s="16" t="str">
        <f>_xlfn.XLOOKUP(D1304,[9]Sheet2!$C:$C,[9]Sheet2!$E:$E,"-")</f>
        <v>Moh. Ria Sholeh</v>
      </c>
      <c r="G1304" s="21"/>
    </row>
    <row r="1305" spans="2:7">
      <c r="B1305" s="22" t="s">
        <v>1085</v>
      </c>
      <c r="C1305" s="23" t="s">
        <v>1086</v>
      </c>
      <c r="D1305" s="24" t="s">
        <v>1347</v>
      </c>
      <c r="E1305" s="25" t="s">
        <v>1722</v>
      </c>
      <c r="F1305" s="16" t="str">
        <f>_xlfn.XLOOKUP(D1305,[9]Sheet2!$C:$C,[9]Sheet2!$E:$E,"-")</f>
        <v>Agung Permana</v>
      </c>
      <c r="G1305" s="21"/>
    </row>
    <row r="1306" spans="2:7">
      <c r="B1306" s="22" t="s">
        <v>1085</v>
      </c>
      <c r="C1306" s="23" t="s">
        <v>1086</v>
      </c>
      <c r="D1306" s="24" t="s">
        <v>1348</v>
      </c>
      <c r="E1306" s="25" t="s">
        <v>1722</v>
      </c>
      <c r="F1306" s="16" t="str">
        <f>_xlfn.XLOOKUP(D1306,[9]Sheet2!$C:$C,[9]Sheet2!$E:$E,"-")</f>
        <v>Agung Permana</v>
      </c>
      <c r="G1306" s="21"/>
    </row>
    <row r="1307" spans="2:7">
      <c r="B1307" s="22" t="s">
        <v>1085</v>
      </c>
      <c r="C1307" s="23" t="s">
        <v>1086</v>
      </c>
      <c r="D1307" s="24" t="s">
        <v>1349</v>
      </c>
      <c r="E1307" s="25" t="s">
        <v>1722</v>
      </c>
      <c r="F1307" s="16" t="str">
        <f>_xlfn.XLOOKUP(D1307,[9]Sheet2!$C:$C,[9]Sheet2!$E:$E,"-")</f>
        <v>Moh. Ria Sholeh</v>
      </c>
      <c r="G1307" s="21"/>
    </row>
    <row r="1308" spans="2:7">
      <c r="B1308" s="22" t="s">
        <v>1085</v>
      </c>
      <c r="C1308" s="23" t="s">
        <v>1086</v>
      </c>
      <c r="D1308" s="24" t="s">
        <v>1350</v>
      </c>
      <c r="E1308" s="25" t="s">
        <v>1722</v>
      </c>
      <c r="F1308" s="16" t="str">
        <f>_xlfn.XLOOKUP(D1308,[9]Sheet2!$C:$C,[9]Sheet2!$E:$E,"-")</f>
        <v>Satrio Aji Pamungkas</v>
      </c>
      <c r="G1308" s="21"/>
    </row>
    <row r="1309" spans="2:7">
      <c r="B1309" s="22" t="s">
        <v>1085</v>
      </c>
      <c r="C1309" s="23" t="s">
        <v>1086</v>
      </c>
      <c r="D1309" s="24" t="s">
        <v>1351</v>
      </c>
      <c r="E1309" s="25" t="s">
        <v>1722</v>
      </c>
      <c r="F1309" s="16" t="str">
        <f>_xlfn.XLOOKUP(D1309,[9]Sheet2!$C:$C,[9]Sheet2!$E:$E,"-")</f>
        <v>Mochammad Rifqi Riva</v>
      </c>
      <c r="G1309" s="21"/>
    </row>
    <row r="1310" spans="2:7">
      <c r="B1310" s="22" t="s">
        <v>1085</v>
      </c>
      <c r="C1310" s="23" t="s">
        <v>1086</v>
      </c>
      <c r="D1310" s="24" t="s">
        <v>1352</v>
      </c>
      <c r="E1310" s="25" t="s">
        <v>1745</v>
      </c>
      <c r="F1310" s="16" t="str">
        <f>_xlfn.XLOOKUP(D1310,[9]Sheet2!$C:$C,[9]Sheet2!$E:$E,"-")</f>
        <v>Bingar Restu Wiyana</v>
      </c>
      <c r="G1310" s="21"/>
    </row>
    <row r="1311" spans="2:7">
      <c r="B1311" s="22" t="s">
        <v>1085</v>
      </c>
      <c r="C1311" s="23" t="s">
        <v>1086</v>
      </c>
      <c r="D1311" s="24" t="s">
        <v>1353</v>
      </c>
      <c r="E1311" s="25" t="s">
        <v>1722</v>
      </c>
      <c r="F1311" s="16" t="str">
        <f>_xlfn.XLOOKUP(D1311,[9]Sheet2!$C:$C,[9]Sheet2!$E:$E,"-")</f>
        <v>Jefri Biantoro</v>
      </c>
      <c r="G1311" s="21"/>
    </row>
    <row r="1312" spans="2:7">
      <c r="B1312" s="22" t="s">
        <v>1085</v>
      </c>
      <c r="C1312" s="23" t="s">
        <v>1086</v>
      </c>
      <c r="D1312" s="24" t="s">
        <v>1354</v>
      </c>
      <c r="E1312" s="25" t="s">
        <v>1745</v>
      </c>
      <c r="F1312" s="16" t="str">
        <f>_xlfn.XLOOKUP(D1312,[9]Sheet2!$C:$C,[9]Sheet2!$E:$E,"-")</f>
        <v>Mohammad Rizky Adhe Nugraha</v>
      </c>
      <c r="G1312" s="21"/>
    </row>
    <row r="1313" spans="2:7">
      <c r="B1313" s="22" t="s">
        <v>1085</v>
      </c>
      <c r="C1313" s="23" t="s">
        <v>1086</v>
      </c>
      <c r="D1313" s="24" t="s">
        <v>1355</v>
      </c>
      <c r="E1313" s="25" t="s">
        <v>1722</v>
      </c>
      <c r="F1313" s="16" t="str">
        <f>_xlfn.XLOOKUP(D1313,[9]Sheet2!$C:$C,[9]Sheet2!$E:$E,"-")</f>
        <v>Nor Dwi Prakoso</v>
      </c>
      <c r="G1313" s="21"/>
    </row>
    <row r="1314" spans="2:7">
      <c r="B1314" s="22" t="s">
        <v>1085</v>
      </c>
      <c r="C1314" s="23" t="s">
        <v>1086</v>
      </c>
      <c r="D1314" s="24" t="s">
        <v>1356</v>
      </c>
      <c r="E1314" s="25" t="s">
        <v>1722</v>
      </c>
      <c r="F1314" s="16" t="str">
        <f>_xlfn.XLOOKUP(D1314,[9]Sheet2!$C:$C,[9]Sheet2!$E:$E,"-")</f>
        <v>Nor Dwi Prakoso</v>
      </c>
      <c r="G1314" s="21"/>
    </row>
    <row r="1315" spans="2:7">
      <c r="B1315" s="22" t="s">
        <v>1085</v>
      </c>
      <c r="C1315" s="23" t="s">
        <v>1086</v>
      </c>
      <c r="D1315" s="24" t="s">
        <v>1357</v>
      </c>
      <c r="E1315" s="25" t="s">
        <v>1722</v>
      </c>
      <c r="F1315" s="16" t="str">
        <f>_xlfn.XLOOKUP(D1315,[9]Sheet2!$C:$C,[9]Sheet2!$E:$E,"-")</f>
        <v>Muhammad Robit</v>
      </c>
      <c r="G1315" s="21"/>
    </row>
    <row r="1316" spans="2:7">
      <c r="B1316" s="22" t="s">
        <v>1085</v>
      </c>
      <c r="C1316" s="23" t="s">
        <v>1086</v>
      </c>
      <c r="D1316" s="24" t="s">
        <v>1358</v>
      </c>
      <c r="E1316" s="25" t="s">
        <v>1722</v>
      </c>
      <c r="F1316" s="16" t="str">
        <f>_xlfn.XLOOKUP(D1316,[9]Sheet2!$C:$C,[9]Sheet2!$E:$E,"-")</f>
        <v>Tri Ari Febriyanto</v>
      </c>
      <c r="G1316" s="21"/>
    </row>
    <row r="1317" spans="2:7">
      <c r="B1317" s="22" t="s">
        <v>1085</v>
      </c>
      <c r="C1317" s="23" t="s">
        <v>1086</v>
      </c>
      <c r="D1317" s="24" t="s">
        <v>1359</v>
      </c>
      <c r="E1317" s="25" t="s">
        <v>1722</v>
      </c>
      <c r="F1317" s="16" t="str">
        <f>_xlfn.XLOOKUP(D1317,[9]Sheet2!$C:$C,[9]Sheet2!$E:$E,"-")</f>
        <v>Mochammad Rifqi Riva</v>
      </c>
      <c r="G1317" s="21"/>
    </row>
    <row r="1318" spans="2:7">
      <c r="B1318" s="22" t="s">
        <v>1085</v>
      </c>
      <c r="C1318" s="23" t="s">
        <v>1086</v>
      </c>
      <c r="D1318" s="24" t="s">
        <v>1360</v>
      </c>
      <c r="E1318" s="25" t="s">
        <v>1722</v>
      </c>
      <c r="F1318" s="16" t="str">
        <f>_xlfn.XLOOKUP(D1318,[9]Sheet2!$C:$C,[9]Sheet2!$E:$E,"-")</f>
        <v>Mochammad Rifqi Riva</v>
      </c>
      <c r="G1318" s="21"/>
    </row>
    <row r="1319" spans="2:7">
      <c r="B1319" s="22" t="s">
        <v>1085</v>
      </c>
      <c r="C1319" s="23" t="s">
        <v>1086</v>
      </c>
      <c r="D1319" s="24" t="s">
        <v>1361</v>
      </c>
      <c r="E1319" s="25" t="s">
        <v>1745</v>
      </c>
      <c r="F1319" s="16" t="str">
        <f>_xlfn.XLOOKUP(D1319,[9]Sheet2!$C:$C,[9]Sheet2!$E:$E,"-")</f>
        <v>Lutfiyanto</v>
      </c>
      <c r="G1319" s="21"/>
    </row>
    <row r="1320" spans="2:7">
      <c r="B1320" s="22" t="s">
        <v>1085</v>
      </c>
      <c r="C1320" s="23" t="s">
        <v>1086</v>
      </c>
      <c r="D1320" s="24" t="s">
        <v>1362</v>
      </c>
      <c r="E1320" s="25" t="s">
        <v>1722</v>
      </c>
      <c r="F1320" s="16" t="str">
        <f>_xlfn.XLOOKUP(D1320,[9]Sheet2!$C:$C,[9]Sheet2!$E:$E,"-")</f>
        <v>Jefri Biantoro</v>
      </c>
      <c r="G1320" s="21"/>
    </row>
    <row r="1321" spans="2:7">
      <c r="B1321" s="22" t="s">
        <v>1085</v>
      </c>
      <c r="C1321" s="23" t="s">
        <v>1086</v>
      </c>
      <c r="D1321" s="24" t="s">
        <v>1363</v>
      </c>
      <c r="E1321" s="25" t="s">
        <v>1745</v>
      </c>
      <c r="F1321" s="16" t="str">
        <f>_xlfn.XLOOKUP(D1321,[9]Sheet2!$C:$C,[9]Sheet2!$E:$E,"-")</f>
        <v>Lutfiyanto</v>
      </c>
      <c r="G1321" s="21"/>
    </row>
    <row r="1322" spans="2:7">
      <c r="B1322" s="22" t="s">
        <v>1085</v>
      </c>
      <c r="C1322" s="23" t="s">
        <v>1086</v>
      </c>
      <c r="D1322" s="24" t="s">
        <v>1364</v>
      </c>
      <c r="E1322" s="25" t="s">
        <v>1722</v>
      </c>
      <c r="F1322" s="16" t="str">
        <f>_xlfn.XLOOKUP(D1322,[9]Sheet2!$C:$C,[9]Sheet2!$E:$E,"-")</f>
        <v>Muhammad Robit</v>
      </c>
      <c r="G1322" s="21"/>
    </row>
    <row r="1323" spans="2:7">
      <c r="B1323" s="22" t="s">
        <v>1085</v>
      </c>
      <c r="C1323" s="23" t="s">
        <v>1086</v>
      </c>
      <c r="D1323" s="24" t="s">
        <v>1365</v>
      </c>
      <c r="E1323" s="25" t="s">
        <v>1745</v>
      </c>
      <c r="F1323" s="16" t="str">
        <f>_xlfn.XLOOKUP(D1323,[9]Sheet2!$C:$C,[9]Sheet2!$E:$E,"-")</f>
        <v>Mohammad Rizky Adhe Nugraha</v>
      </c>
      <c r="G1323" s="21"/>
    </row>
    <row r="1324" spans="2:7">
      <c r="B1324" s="22" t="s">
        <v>1085</v>
      </c>
      <c r="C1324" s="23" t="s">
        <v>1086</v>
      </c>
      <c r="D1324" s="24" t="s">
        <v>1366</v>
      </c>
      <c r="E1324" s="25" t="s">
        <v>1745</v>
      </c>
      <c r="F1324" s="16" t="str">
        <f>_xlfn.XLOOKUP(D1324,[9]Sheet2!$C:$C,[9]Sheet2!$E:$E,"-")</f>
        <v>Bingar Restu Wiyana</v>
      </c>
      <c r="G1324" s="21"/>
    </row>
    <row r="1325" spans="2:7">
      <c r="B1325" s="22" t="s">
        <v>1085</v>
      </c>
      <c r="C1325" s="23" t="s">
        <v>1086</v>
      </c>
      <c r="D1325" s="24" t="s">
        <v>1367</v>
      </c>
      <c r="E1325" s="25" t="s">
        <v>1745</v>
      </c>
      <c r="F1325" s="16" t="str">
        <f>_xlfn.XLOOKUP(D1325,[9]Sheet2!$C:$C,[9]Sheet2!$E:$E,"-")</f>
        <v>Rizka Azizi</v>
      </c>
      <c r="G1325" s="21"/>
    </row>
    <row r="1326" spans="2:7">
      <c r="B1326" s="22" t="s">
        <v>1085</v>
      </c>
      <c r="C1326" s="23" t="s">
        <v>1086</v>
      </c>
      <c r="D1326" s="24" t="s">
        <v>1368</v>
      </c>
      <c r="E1326" s="25" t="s">
        <v>1722</v>
      </c>
      <c r="F1326" s="16" t="str">
        <f>_xlfn.XLOOKUP(D1326,[9]Sheet2!$C:$C,[9]Sheet2!$E:$E,"-")</f>
        <v>Nor Dwi Prakoso</v>
      </c>
      <c r="G1326" s="21"/>
    </row>
    <row r="1327" spans="2:7">
      <c r="B1327" s="22" t="s">
        <v>1085</v>
      </c>
      <c r="C1327" s="23" t="s">
        <v>1086</v>
      </c>
      <c r="D1327" s="24" t="s">
        <v>1369</v>
      </c>
      <c r="E1327" s="25" t="s">
        <v>1722</v>
      </c>
      <c r="F1327" s="16" t="str">
        <f>_xlfn.XLOOKUP(D1327,[9]Sheet2!$C:$C,[9]Sheet2!$E:$E,"-")</f>
        <v>Nor Dwi Prakoso</v>
      </c>
      <c r="G1327" s="21"/>
    </row>
    <row r="1328" spans="2:7">
      <c r="B1328" s="22" t="s">
        <v>1085</v>
      </c>
      <c r="C1328" s="23" t="s">
        <v>1086</v>
      </c>
      <c r="D1328" s="24" t="s">
        <v>1370</v>
      </c>
      <c r="E1328" s="25" t="s">
        <v>1745</v>
      </c>
      <c r="F1328" s="16" t="str">
        <f>_xlfn.XLOOKUP(D1328,[9]Sheet2!$C:$C,[9]Sheet2!$E:$E,"-")</f>
        <v>Galih Christian Kusworo</v>
      </c>
      <c r="G1328" s="21"/>
    </row>
    <row r="1329" spans="2:7">
      <c r="B1329" s="22" t="s">
        <v>1085</v>
      </c>
      <c r="C1329" s="23" t="s">
        <v>1086</v>
      </c>
      <c r="D1329" s="24" t="s">
        <v>1371</v>
      </c>
      <c r="E1329" s="25" t="s">
        <v>1722</v>
      </c>
      <c r="F1329" s="16" t="str">
        <f>_xlfn.XLOOKUP(D1329,[9]Sheet2!$C:$C,[9]Sheet2!$E:$E,"-")</f>
        <v>Yohanes Tri Agung Laksono</v>
      </c>
      <c r="G1329" s="21"/>
    </row>
    <row r="1330" spans="2:7">
      <c r="B1330" s="22" t="s">
        <v>1085</v>
      </c>
      <c r="C1330" s="23" t="s">
        <v>1086</v>
      </c>
      <c r="D1330" s="24" t="s">
        <v>1372</v>
      </c>
      <c r="E1330" s="25" t="s">
        <v>1745</v>
      </c>
      <c r="F1330" s="16" t="str">
        <f>_xlfn.XLOOKUP(D1330,[9]Sheet2!$C:$C,[9]Sheet2!$E:$E,"-")</f>
        <v>Hafid Arie Prastyo</v>
      </c>
      <c r="G1330" s="21"/>
    </row>
    <row r="1331" spans="2:7">
      <c r="B1331" s="22" t="s">
        <v>1085</v>
      </c>
      <c r="C1331" s="23" t="s">
        <v>1086</v>
      </c>
      <c r="D1331" s="24" t="s">
        <v>1373</v>
      </c>
      <c r="E1331" s="25" t="s">
        <v>1722</v>
      </c>
      <c r="F1331" s="16" t="str">
        <f>_xlfn.XLOOKUP(D1331,[9]Sheet2!$C:$C,[9]Sheet2!$E:$E,"-")</f>
        <v>Mochamad Rizky Maulana</v>
      </c>
      <c r="G1331" s="21"/>
    </row>
    <row r="1332" spans="2:7">
      <c r="B1332" s="22" t="s">
        <v>1085</v>
      </c>
      <c r="C1332" s="23" t="s">
        <v>1086</v>
      </c>
      <c r="D1332" s="24" t="s">
        <v>1374</v>
      </c>
      <c r="E1332" s="25" t="s">
        <v>1722</v>
      </c>
      <c r="F1332" s="16" t="str">
        <f>_xlfn.XLOOKUP(D1332,[9]Sheet2!$C:$C,[9]Sheet2!$E:$E,"-")</f>
        <v>Hervin Samsul Bakhri</v>
      </c>
      <c r="G1332" s="21"/>
    </row>
    <row r="1333" spans="2:7">
      <c r="B1333" s="22" t="s">
        <v>1085</v>
      </c>
      <c r="C1333" s="23" t="s">
        <v>1086</v>
      </c>
      <c r="D1333" s="24" t="s">
        <v>1375</v>
      </c>
      <c r="E1333" s="25" t="s">
        <v>1745</v>
      </c>
      <c r="F1333" s="16" t="str">
        <f>_xlfn.XLOOKUP(D1333,[9]Sheet2!$C:$C,[9]Sheet2!$E:$E,"-")</f>
        <v>Tedy Eko Saputra</v>
      </c>
      <c r="G1333" s="21"/>
    </row>
    <row r="1334" spans="2:7">
      <c r="B1334" s="22" t="s">
        <v>1085</v>
      </c>
      <c r="C1334" s="23" t="s">
        <v>1086</v>
      </c>
      <c r="D1334" s="24" t="s">
        <v>1376</v>
      </c>
      <c r="E1334" s="25" t="s">
        <v>1745</v>
      </c>
      <c r="F1334" s="16" t="str">
        <f>_xlfn.XLOOKUP(D1334,[9]Sheet2!$C:$C,[9]Sheet2!$E:$E,"-")</f>
        <v>Frendy Satria Nugraha</v>
      </c>
      <c r="G1334" s="21"/>
    </row>
    <row r="1335" spans="2:7">
      <c r="B1335" s="22" t="s">
        <v>1085</v>
      </c>
      <c r="C1335" s="23" t="s">
        <v>1086</v>
      </c>
      <c r="D1335" s="24" t="s">
        <v>1377</v>
      </c>
      <c r="E1335" s="25" t="s">
        <v>1722</v>
      </c>
      <c r="F1335" s="16" t="str">
        <f>_xlfn.XLOOKUP(D1335,[9]Sheet2!$C:$C,[9]Sheet2!$E:$E,"-")</f>
        <v>Rizki Dio Reza Andriawan</v>
      </c>
      <c r="G1335" s="21"/>
    </row>
    <row r="1336" spans="2:7">
      <c r="B1336" s="22" t="s">
        <v>1085</v>
      </c>
      <c r="C1336" s="23" t="s">
        <v>1086</v>
      </c>
      <c r="D1336" s="24" t="s">
        <v>1378</v>
      </c>
      <c r="E1336" s="25" t="s">
        <v>1745</v>
      </c>
      <c r="F1336" s="16" t="str">
        <f>_xlfn.XLOOKUP(D1336,[9]Sheet2!$C:$C,[9]Sheet2!$E:$E,"-")</f>
        <v>Wahyu Doniansyah</v>
      </c>
      <c r="G1336" s="21"/>
    </row>
    <row r="1337" spans="2:7">
      <c r="B1337" s="22" t="s">
        <v>1085</v>
      </c>
      <c r="C1337" s="23" t="s">
        <v>1086</v>
      </c>
      <c r="D1337" s="24" t="s">
        <v>1379</v>
      </c>
      <c r="E1337" s="25" t="s">
        <v>1745</v>
      </c>
      <c r="F1337" s="16" t="str">
        <f>_xlfn.XLOOKUP(D1337,[9]Sheet2!$C:$C,[9]Sheet2!$E:$E,"-")</f>
        <v>Galih Christian Kusworo</v>
      </c>
      <c r="G1337" s="21"/>
    </row>
    <row r="1338" spans="2:7">
      <c r="B1338" s="22" t="s">
        <v>1085</v>
      </c>
      <c r="C1338" s="23" t="s">
        <v>1086</v>
      </c>
      <c r="D1338" s="24" t="s">
        <v>1380</v>
      </c>
      <c r="E1338" s="25" t="s">
        <v>1745</v>
      </c>
      <c r="F1338" s="16" t="str">
        <f>_xlfn.XLOOKUP(D1338,[9]Sheet2!$C:$C,[9]Sheet2!$E:$E,"-")</f>
        <v>Wahyu Doniansyah</v>
      </c>
      <c r="G1338" s="21"/>
    </row>
    <row r="1339" spans="2:7">
      <c r="B1339" s="22" t="s">
        <v>1085</v>
      </c>
      <c r="C1339" s="23" t="s">
        <v>1086</v>
      </c>
      <c r="D1339" s="24" t="s">
        <v>1381</v>
      </c>
      <c r="E1339" s="25" t="s">
        <v>1722</v>
      </c>
      <c r="F1339" s="16" t="str">
        <f>_xlfn.XLOOKUP(D1339,[9]Sheet2!$C:$C,[9]Sheet2!$E:$E,"-")</f>
        <v>Irfan Wahyu Bahtiar</v>
      </c>
      <c r="G1339" s="21"/>
    </row>
    <row r="1340" spans="2:7">
      <c r="B1340" s="22" t="s">
        <v>1085</v>
      </c>
      <c r="C1340" s="23" t="s">
        <v>1086</v>
      </c>
      <c r="D1340" s="24" t="s">
        <v>1382</v>
      </c>
      <c r="E1340" s="25" t="s">
        <v>1722</v>
      </c>
      <c r="F1340" s="16" t="str">
        <f>_xlfn.XLOOKUP(D1340,[9]Sheet2!$C:$C,[9]Sheet2!$E:$E,"-")</f>
        <v>Irfan Wahyu Bahtiar</v>
      </c>
      <c r="G1340" s="21"/>
    </row>
    <row r="1341" spans="2:7">
      <c r="B1341" s="22" t="s">
        <v>1085</v>
      </c>
      <c r="C1341" s="23" t="s">
        <v>1086</v>
      </c>
      <c r="D1341" s="24" t="s">
        <v>1383</v>
      </c>
      <c r="E1341" s="25" t="s">
        <v>1722</v>
      </c>
      <c r="F1341" s="16" t="str">
        <f>_xlfn.XLOOKUP(D1341,[9]Sheet2!$C:$C,[9]Sheet2!$E:$E,"-")</f>
        <v>Umi Hanik</v>
      </c>
      <c r="G1341" s="21"/>
    </row>
    <row r="1342" spans="2:7">
      <c r="B1342" s="22" t="s">
        <v>1085</v>
      </c>
      <c r="C1342" s="23" t="s">
        <v>1086</v>
      </c>
      <c r="D1342" s="24" t="s">
        <v>1384</v>
      </c>
      <c r="E1342" s="25" t="s">
        <v>1722</v>
      </c>
      <c r="F1342" s="16" t="str">
        <f>_xlfn.XLOOKUP(D1342,[9]Sheet2!$C:$C,[9]Sheet2!$E:$E,"-")</f>
        <v>Much Zainuri</v>
      </c>
      <c r="G1342" s="21"/>
    </row>
    <row r="1343" spans="2:7">
      <c r="B1343" s="22" t="s">
        <v>1085</v>
      </c>
      <c r="C1343" s="23" t="s">
        <v>1086</v>
      </c>
      <c r="D1343" s="24" t="s">
        <v>1385</v>
      </c>
      <c r="E1343" s="25" t="s">
        <v>1722</v>
      </c>
      <c r="F1343" s="16" t="str">
        <f>_xlfn.XLOOKUP(D1343,[9]Sheet2!$C:$C,[9]Sheet2!$E:$E,"-")</f>
        <v>Wisnu Mahesa Murti</v>
      </c>
      <c r="G1343" s="21"/>
    </row>
    <row r="1344" spans="2:7">
      <c r="B1344" s="22" t="s">
        <v>1085</v>
      </c>
      <c r="C1344" s="23" t="s">
        <v>1086</v>
      </c>
      <c r="D1344" s="24" t="s">
        <v>1386</v>
      </c>
      <c r="E1344" s="25" t="s">
        <v>1722</v>
      </c>
      <c r="F1344" s="16" t="str">
        <f>_xlfn.XLOOKUP(D1344,[9]Sheet2!$C:$C,[9]Sheet2!$E:$E,"-")</f>
        <v>Muhammad Angga Saputra</v>
      </c>
      <c r="G1344" s="21"/>
    </row>
    <row r="1345" spans="2:7">
      <c r="B1345" s="22" t="s">
        <v>1085</v>
      </c>
      <c r="C1345" s="23" t="s">
        <v>1086</v>
      </c>
      <c r="D1345" s="24" t="s">
        <v>1387</v>
      </c>
      <c r="E1345" s="25" t="s">
        <v>1722</v>
      </c>
      <c r="F1345" s="16" t="str">
        <f>_xlfn.XLOOKUP(D1345,[9]Sheet2!$C:$C,[9]Sheet2!$E:$E,"-")</f>
        <v>Muhammad Angga Saputra</v>
      </c>
      <c r="G1345" s="21"/>
    </row>
    <row r="1346" spans="2:7">
      <c r="B1346" s="22" t="s">
        <v>1085</v>
      </c>
      <c r="C1346" s="23" t="s">
        <v>1086</v>
      </c>
      <c r="D1346" s="24" t="s">
        <v>1388</v>
      </c>
      <c r="E1346" s="25" t="s">
        <v>1722</v>
      </c>
      <c r="F1346" s="16" t="str">
        <f>_xlfn.XLOOKUP(D1346,[9]Sheet2!$C:$C,[9]Sheet2!$E:$E,"-")</f>
        <v>Dading Tustiyan Pratama</v>
      </c>
      <c r="G1346" s="21"/>
    </row>
    <row r="1347" spans="2:7">
      <c r="B1347" s="22" t="s">
        <v>1085</v>
      </c>
      <c r="C1347" s="23" t="s">
        <v>1086</v>
      </c>
      <c r="D1347" s="24" t="s">
        <v>1389</v>
      </c>
      <c r="E1347" s="25" t="s">
        <v>1722</v>
      </c>
      <c r="F1347" s="16" t="str">
        <f>_xlfn.XLOOKUP(D1347,[9]Sheet2!$C:$C,[9]Sheet2!$E:$E,"-")</f>
        <v>Wisnu Mahesa Murti</v>
      </c>
      <c r="G1347" s="21"/>
    </row>
    <row r="1348" spans="2:7">
      <c r="B1348" s="22" t="s">
        <v>1085</v>
      </c>
      <c r="C1348" s="23" t="s">
        <v>1086</v>
      </c>
      <c r="D1348" s="24" t="s">
        <v>1390</v>
      </c>
      <c r="E1348" s="25" t="s">
        <v>1722</v>
      </c>
      <c r="F1348" s="16" t="str">
        <f>_xlfn.XLOOKUP(D1348,[9]Sheet2!$C:$C,[9]Sheet2!$E:$E,"-")</f>
        <v>Doni Hadi Prasetyo</v>
      </c>
      <c r="G1348" s="21"/>
    </row>
    <row r="1349" spans="2:7">
      <c r="B1349" s="22" t="s">
        <v>1085</v>
      </c>
      <c r="C1349" s="23" t="s">
        <v>1086</v>
      </c>
      <c r="D1349" s="24" t="s">
        <v>1391</v>
      </c>
      <c r="E1349" s="25" t="s">
        <v>1722</v>
      </c>
      <c r="F1349" s="16" t="str">
        <f>_xlfn.XLOOKUP(D1349,[9]Sheet2!$C:$C,[9]Sheet2!$E:$E,"-")</f>
        <v>Dading Tustiyan Pratama</v>
      </c>
      <c r="G1349" s="21"/>
    </row>
    <row r="1350" spans="2:7">
      <c r="B1350" s="22" t="s">
        <v>1085</v>
      </c>
      <c r="C1350" s="23" t="s">
        <v>1086</v>
      </c>
      <c r="D1350" s="24" t="s">
        <v>1392</v>
      </c>
      <c r="E1350" s="25" t="s">
        <v>1745</v>
      </c>
      <c r="F1350" s="16" t="str">
        <f>_xlfn.XLOOKUP(D1350,[9]Sheet2!$C:$C,[9]Sheet2!$E:$E,"-")</f>
        <v>Presma Havila Manggara</v>
      </c>
      <c r="G1350" s="21"/>
    </row>
    <row r="1351" spans="2:7">
      <c r="B1351" s="22" t="s">
        <v>1085</v>
      </c>
      <c r="C1351" s="23" t="s">
        <v>1086</v>
      </c>
      <c r="D1351" s="24" t="s">
        <v>1393</v>
      </c>
      <c r="E1351" s="25" t="s">
        <v>1722</v>
      </c>
      <c r="F1351" s="16" t="str">
        <f>_xlfn.XLOOKUP(D1351,[9]Sheet2!$C:$C,[9]Sheet2!$E:$E,"-")</f>
        <v>Feri Ardiansyah</v>
      </c>
      <c r="G1351" s="21"/>
    </row>
    <row r="1352" spans="2:7">
      <c r="B1352" s="22" t="s">
        <v>1085</v>
      </c>
      <c r="C1352" s="23" t="s">
        <v>1086</v>
      </c>
      <c r="D1352" s="24" t="s">
        <v>1394</v>
      </c>
      <c r="E1352" s="25" t="s">
        <v>1745</v>
      </c>
      <c r="F1352" s="16" t="str">
        <f>_xlfn.XLOOKUP(D1352,[9]Sheet2!$C:$C,[9]Sheet2!$E:$E,"-")</f>
        <v>Andrean Pradhana Putra Maulana</v>
      </c>
      <c r="G1352" s="21"/>
    </row>
    <row r="1353" spans="2:7">
      <c r="B1353" s="22" t="s">
        <v>1085</v>
      </c>
      <c r="C1353" s="23" t="s">
        <v>1086</v>
      </c>
      <c r="D1353" s="24" t="s">
        <v>1395</v>
      </c>
      <c r="E1353" s="25" t="s">
        <v>1745</v>
      </c>
      <c r="F1353" s="16" t="str">
        <f>_xlfn.XLOOKUP(D1353,[9]Sheet2!$C:$C,[9]Sheet2!$E:$E,"-")</f>
        <v>Gayuh Triasa</v>
      </c>
      <c r="G1353" s="21"/>
    </row>
    <row r="1354" spans="2:7">
      <c r="B1354" s="22" t="s">
        <v>1085</v>
      </c>
      <c r="C1354" s="23" t="s">
        <v>1086</v>
      </c>
      <c r="D1354" s="24" t="s">
        <v>1396</v>
      </c>
      <c r="E1354" s="25" t="s">
        <v>1745</v>
      </c>
      <c r="F1354" s="16" t="str">
        <f>_xlfn.XLOOKUP(D1354,[9]Sheet2!$C:$C,[9]Sheet2!$E:$E,"-")</f>
        <v>Wahyu Kristanto</v>
      </c>
      <c r="G1354" s="21"/>
    </row>
    <row r="1355" spans="2:7">
      <c r="B1355" s="22" t="s">
        <v>1085</v>
      </c>
      <c r="C1355" s="23" t="s">
        <v>1086</v>
      </c>
      <c r="D1355" s="24" t="s">
        <v>1397</v>
      </c>
      <c r="E1355" s="25" t="s">
        <v>1745</v>
      </c>
      <c r="F1355" s="16" t="str">
        <f>_xlfn.XLOOKUP(D1355,[9]Sheet2!$C:$C,[9]Sheet2!$E:$E,"-")</f>
        <v>Andrean Pradhana Putra Maulana</v>
      </c>
      <c r="G1355" s="21"/>
    </row>
    <row r="1356" spans="2:7">
      <c r="B1356" s="22" t="s">
        <v>1085</v>
      </c>
      <c r="C1356" s="23" t="s">
        <v>1086</v>
      </c>
      <c r="D1356" s="24" t="s">
        <v>1398</v>
      </c>
      <c r="E1356" s="25" t="s">
        <v>1722</v>
      </c>
      <c r="F1356" s="16" t="str">
        <f>_xlfn.XLOOKUP(D1356,[9]Sheet2!$C:$C,[9]Sheet2!$E:$E,"-")</f>
        <v>Bayu Indiarto Wisnu Barata</v>
      </c>
      <c r="G1356" s="21"/>
    </row>
    <row r="1357" spans="2:7">
      <c r="B1357" s="22" t="s">
        <v>1085</v>
      </c>
      <c r="C1357" s="23" t="s">
        <v>1086</v>
      </c>
      <c r="D1357" s="24" t="s">
        <v>1399</v>
      </c>
      <c r="E1357" s="25" t="s">
        <v>1745</v>
      </c>
      <c r="F1357" s="16" t="str">
        <f>_xlfn.XLOOKUP(D1357,[9]Sheet2!$C:$C,[9]Sheet2!$E:$E,"-")</f>
        <v>Roffik Ari Wibowo</v>
      </c>
      <c r="G1357" s="21"/>
    </row>
    <row r="1358" spans="2:7">
      <c r="B1358" s="22" t="s">
        <v>1085</v>
      </c>
      <c r="C1358" s="23" t="s">
        <v>1086</v>
      </c>
      <c r="D1358" s="24" t="s">
        <v>1400</v>
      </c>
      <c r="E1358" s="25" t="s">
        <v>1722</v>
      </c>
      <c r="F1358" s="16" t="str">
        <f>_xlfn.XLOOKUP(D1358,[9]Sheet2!$C:$C,[9]Sheet2!$E:$E,"-")</f>
        <v>Catur Budi Cahyono</v>
      </c>
      <c r="G1358" s="21"/>
    </row>
    <row r="1359" spans="2:7">
      <c r="B1359" s="22" t="s">
        <v>1085</v>
      </c>
      <c r="C1359" s="23" t="s">
        <v>1086</v>
      </c>
      <c r="D1359" s="24" t="s">
        <v>1401</v>
      </c>
      <c r="E1359" s="25" t="s">
        <v>1745</v>
      </c>
      <c r="F1359" s="16" t="str">
        <f>_xlfn.XLOOKUP(D1359,[9]Sheet2!$C:$C,[9]Sheet2!$E:$E,"-")</f>
        <v>Andru Hindriyat Saputra</v>
      </c>
      <c r="G1359" s="21"/>
    </row>
    <row r="1360" spans="2:7">
      <c r="B1360" s="22" t="s">
        <v>1085</v>
      </c>
      <c r="C1360" s="23" t="s">
        <v>1086</v>
      </c>
      <c r="D1360" s="24" t="s">
        <v>1402</v>
      </c>
      <c r="E1360" s="25" t="s">
        <v>1722</v>
      </c>
      <c r="F1360" s="16" t="str">
        <f>_xlfn.XLOOKUP(D1360,[9]Sheet2!$C:$C,[9]Sheet2!$E:$E,"-")</f>
        <v>Catur Budi Cahyono</v>
      </c>
      <c r="G1360" s="21"/>
    </row>
    <row r="1361" spans="2:7">
      <c r="B1361" s="22" t="s">
        <v>1085</v>
      </c>
      <c r="C1361" s="23" t="s">
        <v>1086</v>
      </c>
      <c r="D1361" s="24" t="s">
        <v>1403</v>
      </c>
      <c r="E1361" s="25" t="s">
        <v>1745</v>
      </c>
      <c r="F1361" s="16" t="str">
        <f>_xlfn.XLOOKUP(D1361,[9]Sheet2!$C:$C,[9]Sheet2!$E:$E,"-")</f>
        <v>Essa Abdiandiri</v>
      </c>
      <c r="G1361" s="21"/>
    </row>
    <row r="1362" spans="2:7">
      <c r="B1362" s="22" t="s">
        <v>1085</v>
      </c>
      <c r="C1362" s="23" t="s">
        <v>1086</v>
      </c>
      <c r="D1362" s="24" t="s">
        <v>1404</v>
      </c>
      <c r="E1362" s="25" t="s">
        <v>1745</v>
      </c>
      <c r="F1362" s="16" t="str">
        <f>_xlfn.XLOOKUP(D1362,[9]Sheet2!$C:$C,[9]Sheet2!$E:$E,"-")</f>
        <v>Achmad Misbachul Munir</v>
      </c>
      <c r="G1362" s="21"/>
    </row>
    <row r="1363" spans="2:7">
      <c r="B1363" s="22" t="s">
        <v>1085</v>
      </c>
      <c r="C1363" s="23" t="s">
        <v>1086</v>
      </c>
      <c r="D1363" s="24" t="s">
        <v>1405</v>
      </c>
      <c r="E1363" s="25" t="s">
        <v>1745</v>
      </c>
      <c r="F1363" s="16" t="str">
        <f>_xlfn.XLOOKUP(D1363,[9]Sheet2!$C:$C,[9]Sheet2!$E:$E,"-")</f>
        <v>Achmad Misbachul Munir</v>
      </c>
      <c r="G1363" s="21"/>
    </row>
    <row r="1364" spans="2:7">
      <c r="B1364" s="22" t="s">
        <v>1085</v>
      </c>
      <c r="C1364" s="23" t="s">
        <v>1086</v>
      </c>
      <c r="D1364" s="24" t="s">
        <v>1406</v>
      </c>
      <c r="E1364" s="25" t="s">
        <v>1745</v>
      </c>
      <c r="F1364" s="16" t="str">
        <f>_xlfn.XLOOKUP(D1364,[9]Sheet2!$C:$C,[9]Sheet2!$E:$E,"-")</f>
        <v>Achmad Misbachul Munir</v>
      </c>
      <c r="G1364" s="21"/>
    </row>
    <row r="1365" spans="2:7">
      <c r="B1365" s="22" t="s">
        <v>1085</v>
      </c>
      <c r="C1365" s="23" t="s">
        <v>1086</v>
      </c>
      <c r="D1365" s="24" t="s">
        <v>1407</v>
      </c>
      <c r="E1365" s="25" t="s">
        <v>1745</v>
      </c>
      <c r="F1365" s="16" t="str">
        <f>_xlfn.XLOOKUP(D1365,[9]Sheet2!$C:$C,[9]Sheet2!$E:$E,"-")</f>
        <v>Roffik Ari Wibowo</v>
      </c>
      <c r="G1365" s="21"/>
    </row>
    <row r="1366" spans="2:7">
      <c r="B1366" s="22" t="s">
        <v>1085</v>
      </c>
      <c r="C1366" s="23" t="s">
        <v>1086</v>
      </c>
      <c r="D1366" s="24" t="s">
        <v>1408</v>
      </c>
      <c r="E1366" s="25" t="s">
        <v>1722</v>
      </c>
      <c r="F1366" s="16" t="str">
        <f>_xlfn.XLOOKUP(D1366,[9]Sheet2!$C:$C,[9]Sheet2!$E:$E,"-")</f>
        <v>Catur Budi Cahyono</v>
      </c>
      <c r="G1366" s="21"/>
    </row>
    <row r="1367" spans="2:7">
      <c r="B1367" s="22" t="s">
        <v>1085</v>
      </c>
      <c r="C1367" s="23" t="s">
        <v>1086</v>
      </c>
      <c r="D1367" s="24" t="s">
        <v>1409</v>
      </c>
      <c r="E1367" s="25" t="s">
        <v>1722</v>
      </c>
      <c r="F1367" s="16" t="str">
        <f>_xlfn.XLOOKUP(D1367,[9]Sheet2!$C:$C,[9]Sheet2!$E:$E,"-")</f>
        <v>Moh Abdul Rozaq</v>
      </c>
      <c r="G1367" s="21"/>
    </row>
    <row r="1368" spans="2:7">
      <c r="B1368" s="22" t="s">
        <v>1085</v>
      </c>
      <c r="C1368" s="23" t="s">
        <v>1086</v>
      </c>
      <c r="D1368" s="24" t="s">
        <v>1410</v>
      </c>
      <c r="E1368" s="25" t="s">
        <v>1745</v>
      </c>
      <c r="F1368" s="16" t="str">
        <f>_xlfn.XLOOKUP(D1368,[9]Sheet2!$C:$C,[9]Sheet2!$E:$E,"-")</f>
        <v>Andru Hindriyat Saputra</v>
      </c>
      <c r="G1368" s="21"/>
    </row>
    <row r="1369" spans="2:7">
      <c r="B1369" s="22" t="s">
        <v>1085</v>
      </c>
      <c r="C1369" s="23" t="s">
        <v>1086</v>
      </c>
      <c r="D1369" s="24" t="s">
        <v>1411</v>
      </c>
      <c r="E1369" s="25" t="s">
        <v>1722</v>
      </c>
      <c r="F1369" s="16" t="str">
        <f>_xlfn.XLOOKUP(D1369,[9]Sheet2!$C:$C,[9]Sheet2!$E:$E,"-")</f>
        <v>Moh Abdul Rozaq</v>
      </c>
      <c r="G1369" s="21"/>
    </row>
    <row r="1370" spans="2:7">
      <c r="B1370" s="22" t="s">
        <v>1085</v>
      </c>
      <c r="C1370" s="23" t="s">
        <v>1086</v>
      </c>
      <c r="D1370" s="24" t="s">
        <v>1412</v>
      </c>
      <c r="E1370" s="25" t="s">
        <v>1722</v>
      </c>
      <c r="F1370" s="16" t="str">
        <f>_xlfn.XLOOKUP(D1370,[9]Sheet2!$C:$C,[9]Sheet2!$E:$E,"-")</f>
        <v>Moh Abdul Rozaq</v>
      </c>
      <c r="G1370" s="21"/>
    </row>
    <row r="1371" spans="2:7">
      <c r="B1371" s="22" t="s">
        <v>1085</v>
      </c>
      <c r="C1371" s="23" t="s">
        <v>1086</v>
      </c>
      <c r="D1371" s="24" t="s">
        <v>1413</v>
      </c>
      <c r="E1371" s="25" t="s">
        <v>1745</v>
      </c>
      <c r="F1371" s="16" t="str">
        <f>_xlfn.XLOOKUP(D1371,[9]Sheet2!$C:$C,[9]Sheet2!$E:$E,"-")</f>
        <v>Rifqi Auliaq Humaidi</v>
      </c>
      <c r="G1371" s="21"/>
    </row>
    <row r="1372" spans="2:7">
      <c r="B1372" s="22" t="s">
        <v>1085</v>
      </c>
      <c r="C1372" s="23" t="s">
        <v>1086</v>
      </c>
      <c r="D1372" s="24" t="s">
        <v>1414</v>
      </c>
      <c r="E1372" s="25" t="s">
        <v>1722</v>
      </c>
      <c r="F1372" s="16" t="str">
        <f>_xlfn.XLOOKUP(D1372,[9]Sheet2!$C:$C,[9]Sheet2!$E:$E,"-")</f>
        <v>Novan Yogmaputra</v>
      </c>
      <c r="G1372" s="21"/>
    </row>
    <row r="1373" spans="2:7">
      <c r="B1373" s="22" t="s">
        <v>1085</v>
      </c>
      <c r="C1373" s="23" t="s">
        <v>1086</v>
      </c>
      <c r="D1373" s="24" t="s">
        <v>1415</v>
      </c>
      <c r="E1373" s="25" t="s">
        <v>1745</v>
      </c>
      <c r="F1373" s="16" t="str">
        <f>_xlfn.XLOOKUP(D1373,[9]Sheet2!$C:$C,[9]Sheet2!$E:$E,"-")</f>
        <v>Rizky Kurniawan</v>
      </c>
      <c r="G1373" s="21"/>
    </row>
    <row r="1374" spans="2:7">
      <c r="B1374" s="22" t="s">
        <v>1085</v>
      </c>
      <c r="C1374" s="23" t="s">
        <v>1086</v>
      </c>
      <c r="D1374" s="24" t="s">
        <v>1416</v>
      </c>
      <c r="E1374" s="25" t="s">
        <v>1722</v>
      </c>
      <c r="F1374" s="16" t="str">
        <f>_xlfn.XLOOKUP(D1374,[9]Sheet2!$C:$C,[9]Sheet2!$E:$E,"-")</f>
        <v>Nurul Hidayatullah</v>
      </c>
      <c r="G1374" s="21"/>
    </row>
    <row r="1375" spans="2:7">
      <c r="B1375" s="22" t="s">
        <v>1085</v>
      </c>
      <c r="C1375" s="23" t="s">
        <v>1086</v>
      </c>
      <c r="D1375" s="24" t="s">
        <v>1417</v>
      </c>
      <c r="E1375" s="25" t="s">
        <v>1722</v>
      </c>
      <c r="F1375" s="16" t="str">
        <f>_xlfn.XLOOKUP(D1375,[9]Sheet2!$C:$C,[9]Sheet2!$E:$E,"-")</f>
        <v>Yudhy Indra Prasetya</v>
      </c>
      <c r="G1375" s="21"/>
    </row>
    <row r="1376" spans="2:7">
      <c r="B1376" s="22" t="s">
        <v>1085</v>
      </c>
      <c r="C1376" s="23" t="s">
        <v>1086</v>
      </c>
      <c r="D1376" s="24" t="s">
        <v>1418</v>
      </c>
      <c r="E1376" s="25" t="s">
        <v>1722</v>
      </c>
      <c r="F1376" s="16" t="str">
        <f>_xlfn.XLOOKUP(D1376,[9]Sheet2!$C:$C,[9]Sheet2!$E:$E,"-")</f>
        <v>Ridwan Fatarudin</v>
      </c>
      <c r="G1376" s="21"/>
    </row>
    <row r="1377" spans="2:7">
      <c r="B1377" s="22" t="s">
        <v>1085</v>
      </c>
      <c r="C1377" s="23" t="s">
        <v>1086</v>
      </c>
      <c r="D1377" s="24" t="s">
        <v>1419</v>
      </c>
      <c r="E1377" s="25" t="s">
        <v>1722</v>
      </c>
      <c r="F1377" s="16" t="str">
        <f>_xlfn.XLOOKUP(D1377,[9]Sheet2!$C:$C,[9]Sheet2!$E:$E,"-")</f>
        <v>Anang Prasetyo</v>
      </c>
      <c r="G1377" s="21"/>
    </row>
    <row r="1378" spans="2:7">
      <c r="B1378" s="22" t="s">
        <v>1085</v>
      </c>
      <c r="C1378" s="23" t="s">
        <v>1086</v>
      </c>
      <c r="D1378" s="24" t="s">
        <v>1420</v>
      </c>
      <c r="E1378" s="25" t="s">
        <v>1722</v>
      </c>
      <c r="F1378" s="16" t="str">
        <f>_xlfn.XLOOKUP(D1378,[9]Sheet2!$C:$C,[9]Sheet2!$E:$E,"-")</f>
        <v>Ridwan Fatarudin</v>
      </c>
      <c r="G1378" s="21"/>
    </row>
    <row r="1379" spans="2:7">
      <c r="B1379" s="22" t="s">
        <v>1085</v>
      </c>
      <c r="C1379" s="23" t="s">
        <v>1086</v>
      </c>
      <c r="D1379" s="24" t="s">
        <v>1421</v>
      </c>
      <c r="E1379" s="25" t="s">
        <v>1722</v>
      </c>
      <c r="F1379" s="16" t="str">
        <f>_xlfn.XLOOKUP(D1379,[9]Sheet2!$C:$C,[9]Sheet2!$E:$E,"-")</f>
        <v>Nurul Hidayatullah</v>
      </c>
      <c r="G1379" s="21"/>
    </row>
    <row r="1380" spans="2:7">
      <c r="B1380" s="22" t="s">
        <v>1085</v>
      </c>
      <c r="C1380" s="23" t="s">
        <v>1086</v>
      </c>
      <c r="D1380" s="24" t="s">
        <v>1422</v>
      </c>
      <c r="E1380" s="25" t="s">
        <v>1722</v>
      </c>
      <c r="F1380" s="16" t="str">
        <f>_xlfn.XLOOKUP(D1380,[9]Sheet2!$C:$C,[9]Sheet2!$E:$E,"-")</f>
        <v>Imam Nawawi</v>
      </c>
      <c r="G1380" s="21"/>
    </row>
    <row r="1381" spans="2:7">
      <c r="B1381" s="22" t="s">
        <v>1085</v>
      </c>
      <c r="C1381" s="23" t="s">
        <v>1086</v>
      </c>
      <c r="D1381" s="24" t="s">
        <v>1423</v>
      </c>
      <c r="E1381" s="25" t="s">
        <v>1722</v>
      </c>
      <c r="F1381" s="16" t="str">
        <f>_xlfn.XLOOKUP(D1381,[9]Sheet2!$C:$C,[9]Sheet2!$E:$E,"-")</f>
        <v>Fauzi Permana Putra</v>
      </c>
      <c r="G1381" s="21"/>
    </row>
    <row r="1382" spans="2:7">
      <c r="B1382" s="22" t="s">
        <v>1085</v>
      </c>
      <c r="C1382" s="23" t="s">
        <v>1086</v>
      </c>
      <c r="D1382" s="24" t="s">
        <v>1424</v>
      </c>
      <c r="E1382" s="25" t="s">
        <v>1722</v>
      </c>
      <c r="F1382" s="16" t="str">
        <f>_xlfn.XLOOKUP(D1382,[9]Sheet2!$C:$C,[9]Sheet2!$E:$E,"-")</f>
        <v>Alif Septian Nur Alamsyah</v>
      </c>
      <c r="G1382" s="21"/>
    </row>
    <row r="1383" spans="2:7">
      <c r="B1383" s="22" t="s">
        <v>1085</v>
      </c>
      <c r="C1383" s="23" t="s">
        <v>1086</v>
      </c>
      <c r="D1383" s="24" t="s">
        <v>1425</v>
      </c>
      <c r="E1383" s="25" t="s">
        <v>1722</v>
      </c>
      <c r="F1383" s="16" t="str">
        <f>_xlfn.XLOOKUP(D1383,[9]Sheet2!$C:$C,[9]Sheet2!$E:$E,"-")</f>
        <v>Lasio Efendi</v>
      </c>
      <c r="G1383" s="21"/>
    </row>
    <row r="1384" spans="2:7">
      <c r="B1384" s="22" t="s">
        <v>1085</v>
      </c>
      <c r="C1384" s="23" t="s">
        <v>1086</v>
      </c>
      <c r="D1384" s="24" t="s">
        <v>1426</v>
      </c>
      <c r="E1384" s="25" t="s">
        <v>1722</v>
      </c>
      <c r="F1384" s="16" t="str">
        <f>_xlfn.XLOOKUP(D1384,[9]Sheet2!$C:$C,[9]Sheet2!$E:$E,"-")</f>
        <v>Ilham Ramadhan</v>
      </c>
      <c r="G1384" s="21"/>
    </row>
    <row r="1385" spans="2:7">
      <c r="B1385" s="22" t="s">
        <v>1085</v>
      </c>
      <c r="C1385" s="23" t="s">
        <v>1086</v>
      </c>
      <c r="D1385" s="24" t="s">
        <v>1427</v>
      </c>
      <c r="E1385" s="25" t="s">
        <v>1722</v>
      </c>
      <c r="F1385" s="16" t="str">
        <f>_xlfn.XLOOKUP(D1385,[9]Sheet2!$C:$C,[9]Sheet2!$E:$E,"-")</f>
        <v>Muhammad Irsan Junud</v>
      </c>
      <c r="G1385" s="21"/>
    </row>
    <row r="1386" spans="2:7">
      <c r="B1386" s="22" t="s">
        <v>1085</v>
      </c>
      <c r="C1386" s="23" t="s">
        <v>1086</v>
      </c>
      <c r="D1386" s="24" t="s">
        <v>1428</v>
      </c>
      <c r="E1386" s="25" t="s">
        <v>1722</v>
      </c>
      <c r="F1386" s="16" t="str">
        <f>_xlfn.XLOOKUP(D1386,[9]Sheet2!$C:$C,[9]Sheet2!$E:$E,"-")</f>
        <v>Imam Nawawi</v>
      </c>
      <c r="G1386" s="21"/>
    </row>
    <row r="1387" spans="2:7">
      <c r="B1387" s="22" t="s">
        <v>1085</v>
      </c>
      <c r="C1387" s="23" t="s">
        <v>1086</v>
      </c>
      <c r="D1387" s="24" t="s">
        <v>1429</v>
      </c>
      <c r="E1387" s="25" t="s">
        <v>1722</v>
      </c>
      <c r="F1387" s="16" t="str">
        <f>_xlfn.XLOOKUP(D1387,[9]Sheet2!$C:$C,[9]Sheet2!$E:$E,"-")</f>
        <v>Muhammad Irsan Junud</v>
      </c>
      <c r="G1387" s="21"/>
    </row>
    <row r="1388" spans="2:7">
      <c r="B1388" s="22" t="s">
        <v>1085</v>
      </c>
      <c r="C1388" s="23" t="s">
        <v>1086</v>
      </c>
      <c r="D1388" s="24" t="s">
        <v>1430</v>
      </c>
      <c r="E1388" s="25" t="s">
        <v>1722</v>
      </c>
      <c r="F1388" s="16" t="str">
        <f>_xlfn.XLOOKUP(D1388,[9]Sheet2!$C:$C,[9]Sheet2!$E:$E,"-")</f>
        <v>Muhammad Irsan Junud</v>
      </c>
      <c r="G1388" s="21"/>
    </row>
    <row r="1389" spans="2:7">
      <c r="B1389" s="22" t="s">
        <v>1085</v>
      </c>
      <c r="C1389" s="23" t="s">
        <v>1086</v>
      </c>
      <c r="D1389" s="24" t="s">
        <v>1431</v>
      </c>
      <c r="E1389" s="25" t="s">
        <v>1722</v>
      </c>
      <c r="F1389" s="16" t="str">
        <f>_xlfn.XLOOKUP(D1389,[9]Sheet2!$C:$C,[9]Sheet2!$E:$E,"-")</f>
        <v>Leo Fajar Saputra</v>
      </c>
      <c r="G1389" s="21"/>
    </row>
    <row r="1390" spans="2:7">
      <c r="B1390" s="22" t="s">
        <v>1085</v>
      </c>
      <c r="C1390" s="23" t="s">
        <v>1086</v>
      </c>
      <c r="D1390" s="24" t="s">
        <v>1432</v>
      </c>
      <c r="E1390" s="25" t="s">
        <v>1722</v>
      </c>
      <c r="F1390" s="16" t="str">
        <f>_xlfn.XLOOKUP(D1390,[9]Sheet2!$C:$C,[9]Sheet2!$E:$E,"-")</f>
        <v>Fauzi Permana Putra</v>
      </c>
      <c r="G1390" s="21"/>
    </row>
    <row r="1391" spans="2:7">
      <c r="B1391" s="22" t="s">
        <v>1085</v>
      </c>
      <c r="C1391" s="23" t="s">
        <v>1086</v>
      </c>
      <c r="D1391" s="24" t="s">
        <v>1433</v>
      </c>
      <c r="E1391" s="25" t="s">
        <v>1722</v>
      </c>
      <c r="F1391" s="16" t="str">
        <f>_xlfn.XLOOKUP(D1391,[9]Sheet2!$C:$C,[9]Sheet2!$E:$E,"-")</f>
        <v>Budi Achirianto</v>
      </c>
      <c r="G1391" s="21"/>
    </row>
    <row r="1392" spans="2:7">
      <c r="B1392" s="22" t="s">
        <v>1085</v>
      </c>
      <c r="C1392" s="23" t="s">
        <v>1086</v>
      </c>
      <c r="D1392" s="24" t="s">
        <v>1434</v>
      </c>
      <c r="E1392" s="25" t="s">
        <v>1722</v>
      </c>
      <c r="F1392" s="16" t="str">
        <f>_xlfn.XLOOKUP(D1392,[9]Sheet2!$C:$C,[9]Sheet2!$E:$E,"-")</f>
        <v>Candra Robianto</v>
      </c>
      <c r="G1392" s="21"/>
    </row>
    <row r="1393" spans="2:7">
      <c r="B1393" s="22" t="s">
        <v>1085</v>
      </c>
      <c r="C1393" s="23" t="s">
        <v>1086</v>
      </c>
      <c r="D1393" s="24" t="s">
        <v>1435</v>
      </c>
      <c r="E1393" s="25" t="s">
        <v>1722</v>
      </c>
      <c r="F1393" s="16" t="str">
        <f>_xlfn.XLOOKUP(D1393,[9]Sheet2!$C:$C,[9]Sheet2!$E:$E,"-")</f>
        <v>Moh. Sihabudin Zuhri, S.Pd</v>
      </c>
      <c r="G1393" s="21"/>
    </row>
    <row r="1394" spans="2:7">
      <c r="B1394" s="22" t="s">
        <v>1085</v>
      </c>
      <c r="C1394" s="23" t="s">
        <v>1086</v>
      </c>
      <c r="D1394" s="24" t="s">
        <v>1436</v>
      </c>
      <c r="E1394" s="25" t="s">
        <v>1722</v>
      </c>
      <c r="F1394" s="16" t="str">
        <f>_xlfn.XLOOKUP(D1394,[9]Sheet2!$C:$C,[9]Sheet2!$E:$E,"-")</f>
        <v>Ahmad Luky Cahyono</v>
      </c>
      <c r="G1394" s="21"/>
    </row>
    <row r="1395" spans="2:7">
      <c r="B1395" s="22" t="s">
        <v>1085</v>
      </c>
      <c r="C1395" s="23" t="s">
        <v>1086</v>
      </c>
      <c r="D1395" s="24" t="s">
        <v>1437</v>
      </c>
      <c r="E1395" s="25" t="s">
        <v>1722</v>
      </c>
      <c r="F1395" s="16" t="str">
        <f>_xlfn.XLOOKUP(D1395,[9]Sheet2!$C:$C,[9]Sheet2!$E:$E,"-")</f>
        <v>Achmad Subairi</v>
      </c>
      <c r="G1395" s="21"/>
    </row>
    <row r="1396" spans="2:7">
      <c r="B1396" s="22" t="s">
        <v>1085</v>
      </c>
      <c r="C1396" s="23" t="s">
        <v>1086</v>
      </c>
      <c r="D1396" s="24" t="s">
        <v>1438</v>
      </c>
      <c r="E1396" s="25" t="s">
        <v>1722</v>
      </c>
      <c r="F1396" s="16" t="str">
        <f>_xlfn.XLOOKUP(D1396,[9]Sheet2!$C:$C,[9]Sheet2!$E:$E,"-")</f>
        <v>Joko Purnomo</v>
      </c>
      <c r="G1396" s="21"/>
    </row>
    <row r="1397" spans="2:7">
      <c r="B1397" s="22" t="s">
        <v>1085</v>
      </c>
      <c r="C1397" s="23" t="s">
        <v>1086</v>
      </c>
      <c r="D1397" s="24" t="s">
        <v>1439</v>
      </c>
      <c r="E1397" s="25" t="s">
        <v>1722</v>
      </c>
      <c r="F1397" s="16" t="str">
        <f>_xlfn.XLOOKUP(D1397,[9]Sheet2!$C:$C,[9]Sheet2!$E:$E,"-")</f>
        <v>Mochamad Zaini</v>
      </c>
      <c r="G1397" s="21"/>
    </row>
    <row r="1398" spans="2:7">
      <c r="B1398" s="22" t="s">
        <v>1085</v>
      </c>
      <c r="C1398" s="23" t="s">
        <v>1086</v>
      </c>
      <c r="D1398" s="24" t="s">
        <v>1440</v>
      </c>
      <c r="E1398" s="25" t="s">
        <v>1722</v>
      </c>
      <c r="F1398" s="16" t="str">
        <f>_xlfn.XLOOKUP(D1398,[9]Sheet2!$C:$C,[9]Sheet2!$E:$E,"-")</f>
        <v>Fery Hardianto Setiawan</v>
      </c>
      <c r="G1398" s="21"/>
    </row>
    <row r="1399" spans="2:7">
      <c r="B1399" s="22" t="s">
        <v>1085</v>
      </c>
      <c r="C1399" s="23" t="s">
        <v>1086</v>
      </c>
      <c r="D1399" s="24" t="s">
        <v>1441</v>
      </c>
      <c r="E1399" s="25" t="s">
        <v>1722</v>
      </c>
      <c r="F1399" s="16" t="str">
        <f>_xlfn.XLOOKUP(D1399,[9]Sheet2!$C:$C,[9]Sheet2!$E:$E,"-")</f>
        <v>Alfi Abidin</v>
      </c>
      <c r="G1399" s="21"/>
    </row>
    <row r="1400" spans="2:7">
      <c r="B1400" s="22" t="s">
        <v>1085</v>
      </c>
      <c r="C1400" s="23" t="s">
        <v>1086</v>
      </c>
      <c r="D1400" s="24" t="s">
        <v>1442</v>
      </c>
      <c r="E1400" s="25" t="s">
        <v>1722</v>
      </c>
      <c r="F1400" s="16" t="str">
        <f>_xlfn.XLOOKUP(D1400,[9]Sheet2!$C:$C,[9]Sheet2!$E:$E,"-")</f>
        <v>Vavan Aldi Zulkarnain</v>
      </c>
      <c r="G1400" s="21"/>
    </row>
    <row r="1401" spans="2:7">
      <c r="B1401" s="22" t="s">
        <v>1085</v>
      </c>
      <c r="C1401" s="23" t="s">
        <v>1086</v>
      </c>
      <c r="D1401" s="24" t="s">
        <v>1443</v>
      </c>
      <c r="E1401" s="25" t="s">
        <v>1722</v>
      </c>
      <c r="F1401" s="16" t="str">
        <f>_xlfn.XLOOKUP(D1401,[9]Sheet2!$C:$C,[9]Sheet2!$E:$E,"-")</f>
        <v>Aldo Irwansyah</v>
      </c>
      <c r="G1401" s="21"/>
    </row>
    <row r="1402" spans="2:7">
      <c r="B1402" s="22" t="s">
        <v>1085</v>
      </c>
      <c r="C1402" s="23" t="s">
        <v>1086</v>
      </c>
      <c r="D1402" s="24" t="s">
        <v>1444</v>
      </c>
      <c r="E1402" s="25" t="s">
        <v>1722</v>
      </c>
      <c r="F1402" s="16" t="str">
        <f>_xlfn.XLOOKUP(D1402,[9]Sheet2!$C:$C,[9]Sheet2!$E:$E,"-")</f>
        <v>Roni Nofendra Trimanto</v>
      </c>
      <c r="G1402" s="21"/>
    </row>
    <row r="1403" spans="2:7">
      <c r="B1403" s="22" t="s">
        <v>1085</v>
      </c>
      <c r="C1403" s="23" t="s">
        <v>1086</v>
      </c>
      <c r="D1403" s="24" t="s">
        <v>1445</v>
      </c>
      <c r="E1403" s="25" t="s">
        <v>1722</v>
      </c>
      <c r="F1403" s="16" t="str">
        <f>_xlfn.XLOOKUP(D1403,[9]Sheet2!$C:$C,[9]Sheet2!$E:$E,"-")</f>
        <v>Tri Atmojo</v>
      </c>
      <c r="G1403" s="21"/>
    </row>
    <row r="1404" spans="2:7">
      <c r="B1404" s="22" t="s">
        <v>1085</v>
      </c>
      <c r="C1404" s="23" t="s">
        <v>1086</v>
      </c>
      <c r="D1404" s="24" t="s">
        <v>1446</v>
      </c>
      <c r="E1404" s="25" t="s">
        <v>1745</v>
      </c>
      <c r="F1404" s="16" t="str">
        <f>_xlfn.XLOOKUP(D1404,[9]Sheet2!$C:$C,[9]Sheet2!$E:$E,"-")</f>
        <v>Luhur Setya Budi</v>
      </c>
      <c r="G1404" s="21"/>
    </row>
    <row r="1405" spans="2:7">
      <c r="B1405" s="22" t="s">
        <v>1085</v>
      </c>
      <c r="C1405" s="23" t="s">
        <v>1086</v>
      </c>
      <c r="D1405" s="24" t="s">
        <v>1447</v>
      </c>
      <c r="E1405" s="25" t="s">
        <v>1745</v>
      </c>
      <c r="F1405" s="16" t="str">
        <f>_xlfn.XLOOKUP(D1405,[9]Sheet2!$C:$C,[9]Sheet2!$E:$E,"-")</f>
        <v>Rundi Atmoko</v>
      </c>
      <c r="G1405" s="21"/>
    </row>
    <row r="1406" spans="2:7">
      <c r="B1406" s="22" t="s">
        <v>1085</v>
      </c>
      <c r="C1406" s="23" t="s">
        <v>1086</v>
      </c>
      <c r="D1406" s="24" t="s">
        <v>1448</v>
      </c>
      <c r="E1406" s="25" t="s">
        <v>1745</v>
      </c>
      <c r="F1406" s="16" t="str">
        <f>_xlfn.XLOOKUP(D1406,[9]Sheet2!$C:$C,[9]Sheet2!$E:$E,"-")</f>
        <v>Rundi Atmoko</v>
      </c>
      <c r="G1406" s="21"/>
    </row>
    <row r="1407" spans="2:7">
      <c r="B1407" s="22" t="s">
        <v>1085</v>
      </c>
      <c r="C1407" s="23" t="s">
        <v>1086</v>
      </c>
      <c r="D1407" s="24" t="s">
        <v>1449</v>
      </c>
      <c r="E1407" s="25" t="s">
        <v>1745</v>
      </c>
      <c r="F1407" s="16" t="str">
        <f>_xlfn.XLOOKUP(D1407,[9]Sheet2!$C:$C,[9]Sheet2!$E:$E,"-")</f>
        <v>Luhur Setya Budi</v>
      </c>
      <c r="G1407" s="21"/>
    </row>
    <row r="1408" spans="2:7">
      <c r="B1408" s="22" t="s">
        <v>1085</v>
      </c>
      <c r="C1408" s="23" t="s">
        <v>1086</v>
      </c>
      <c r="D1408" s="24" t="s">
        <v>1450</v>
      </c>
      <c r="E1408" s="25" t="s">
        <v>1722</v>
      </c>
      <c r="F1408" s="16" t="str">
        <f>_xlfn.XLOOKUP(D1408,[9]Sheet2!$C:$C,[9]Sheet2!$E:$E,"-")</f>
        <v>Alvin Aviandika Aksanah Pu</v>
      </c>
      <c r="G1408" s="21"/>
    </row>
    <row r="1409" spans="2:7">
      <c r="B1409" s="22" t="s">
        <v>1085</v>
      </c>
      <c r="C1409" s="23" t="s">
        <v>1086</v>
      </c>
      <c r="D1409" s="24" t="s">
        <v>1451</v>
      </c>
      <c r="E1409" s="25" t="s">
        <v>1745</v>
      </c>
      <c r="F1409" s="16" t="str">
        <f>_xlfn.XLOOKUP(D1409,[9]Sheet2!$C:$C,[9]Sheet2!$E:$E,"-")</f>
        <v>Muhammad Ikhwanul Masruri</v>
      </c>
      <c r="G1409" s="21"/>
    </row>
    <row r="1410" spans="2:7">
      <c r="B1410" s="22" t="s">
        <v>1085</v>
      </c>
      <c r="C1410" s="23" t="s">
        <v>1086</v>
      </c>
      <c r="D1410" s="24" t="s">
        <v>1453</v>
      </c>
      <c r="E1410" s="25" t="s">
        <v>1722</v>
      </c>
      <c r="F1410" s="16" t="str">
        <f>_xlfn.XLOOKUP(D1410,[9]Sheet2!$C:$C,[9]Sheet2!$E:$E,"-")</f>
        <v>-</v>
      </c>
      <c r="G1410" s="21"/>
    </row>
    <row r="1411" spans="2:7">
      <c r="B1411" s="22" t="s">
        <v>1085</v>
      </c>
      <c r="C1411" s="23" t="s">
        <v>1086</v>
      </c>
      <c r="D1411" s="24" t="s">
        <v>1454</v>
      </c>
      <c r="E1411" s="25" t="s">
        <v>1722</v>
      </c>
      <c r="F1411" s="16" t="str">
        <f>_xlfn.XLOOKUP(D1411,[9]Sheet2!$C:$C,[9]Sheet2!$E:$E,"-")</f>
        <v>-</v>
      </c>
      <c r="G1411" s="21"/>
    </row>
    <row r="1412" spans="2:7">
      <c r="B1412" s="22" t="s">
        <v>1455</v>
      </c>
      <c r="C1412" s="23" t="s">
        <v>1456</v>
      </c>
      <c r="D1412" s="24" t="s">
        <v>1457</v>
      </c>
      <c r="E1412" s="25" t="s">
        <v>1745</v>
      </c>
      <c r="F1412" s="16" t="str">
        <f>_xlfn.XLOOKUP(D1412,[10]ALL!$C:$C,[10]ALL!$N:$N,"Tidak Ditemukan")</f>
        <v>KADEK DWIPA ANGGARASTRA</v>
      </c>
      <c r="G1412" s="21"/>
    </row>
    <row r="1413" spans="2:7">
      <c r="B1413" s="22" t="s">
        <v>1455</v>
      </c>
      <c r="C1413" s="23" t="s">
        <v>1456</v>
      </c>
      <c r="D1413" s="24" t="s">
        <v>1458</v>
      </c>
      <c r="E1413" s="25" t="s">
        <v>1745</v>
      </c>
      <c r="F1413" s="16" t="str">
        <f>_xlfn.XLOOKUP(D1413,[10]ALL!$C:$C,[10]ALL!$N:$N,"Tidak Ditemukan")</f>
        <v>NI WAYAN ELSA SEPTIANA INDRIANI</v>
      </c>
      <c r="G1413" s="21"/>
    </row>
    <row r="1414" spans="2:7">
      <c r="B1414" s="22" t="s">
        <v>1455</v>
      </c>
      <c r="C1414" s="23" t="s">
        <v>1456</v>
      </c>
      <c r="D1414" s="24" t="s">
        <v>1459</v>
      </c>
      <c r="E1414" s="25" t="s">
        <v>1745</v>
      </c>
      <c r="F1414" s="16" t="str">
        <f>_xlfn.XLOOKUP(D1414,[10]ALL!$C:$C,[10]ALL!$N:$N,"Tidak Ditemukan")</f>
        <v>DEAR RAMOS DAMANIK</v>
      </c>
      <c r="G1414" s="21"/>
    </row>
    <row r="1415" spans="2:7">
      <c r="B1415" s="22" t="s">
        <v>1455</v>
      </c>
      <c r="C1415" s="23" t="s">
        <v>1456</v>
      </c>
      <c r="D1415" s="24" t="s">
        <v>1460</v>
      </c>
      <c r="E1415" s="25" t="s">
        <v>1745</v>
      </c>
      <c r="F1415" s="16" t="str">
        <f>_xlfn.XLOOKUP(D1415,[10]ALL!$C:$C,[10]ALL!$N:$N,"Tidak Ditemukan")</f>
        <v>DWIKY REZA ARDANI WINAHARA</v>
      </c>
      <c r="G1415" s="21"/>
    </row>
    <row r="1416" spans="2:7">
      <c r="B1416" s="22" t="s">
        <v>1455</v>
      </c>
      <c r="C1416" s="23" t="s">
        <v>1456</v>
      </c>
      <c r="D1416" s="24" t="s">
        <v>1461</v>
      </c>
      <c r="E1416" s="25" t="s">
        <v>1745</v>
      </c>
      <c r="F1416" s="16" t="str">
        <f>_xlfn.XLOOKUP(D1416,[10]ALL!$C:$C,[10]ALL!$N:$N,"Tidak Ditemukan")</f>
        <v>NI WAYAN ELSA SEPTIANA INDRIANI</v>
      </c>
      <c r="G1416" s="21"/>
    </row>
    <row r="1417" spans="2:7">
      <c r="B1417" s="22" t="s">
        <v>1455</v>
      </c>
      <c r="C1417" s="23" t="s">
        <v>1456</v>
      </c>
      <c r="D1417" s="24" t="s">
        <v>1462</v>
      </c>
      <c r="E1417" s="25" t="s">
        <v>1745</v>
      </c>
      <c r="F1417" s="16" t="str">
        <f>_xlfn.XLOOKUP(D1417,[10]ALL!$C:$C,[10]ALL!$N:$N,"Tidak Ditemukan")</f>
        <v>NI PUTU DEWI LASTINI</v>
      </c>
      <c r="G1417" s="21"/>
    </row>
    <row r="1418" spans="2:7">
      <c r="B1418" s="22" t="s">
        <v>1455</v>
      </c>
      <c r="C1418" s="23" t="s">
        <v>1456</v>
      </c>
      <c r="D1418" s="24" t="s">
        <v>1463</v>
      </c>
      <c r="E1418" s="25" t="s">
        <v>1745</v>
      </c>
      <c r="F1418" s="16" t="str">
        <f>_xlfn.XLOOKUP(D1418,[10]ALL!$C:$C,[10]ALL!$N:$N,"Tidak Ditemukan")</f>
        <v>NI WAYAN ELSA SEPTIANA INDRIANI</v>
      </c>
      <c r="G1418" s="21"/>
    </row>
    <row r="1419" spans="2:7">
      <c r="B1419" s="22" t="s">
        <v>1455</v>
      </c>
      <c r="C1419" s="23" t="s">
        <v>1456</v>
      </c>
      <c r="D1419" s="24" t="s">
        <v>1464</v>
      </c>
      <c r="E1419" s="25" t="s">
        <v>1745</v>
      </c>
      <c r="F1419" s="16" t="str">
        <f>_xlfn.XLOOKUP(D1419,[10]ALL!$C:$C,[10]ALL!$N:$N,"Tidak Ditemukan")</f>
        <v>GUSTI NGURAH ARY RAKA DARMAYASA, SE.MM</v>
      </c>
      <c r="G1419" s="21"/>
    </row>
    <row r="1420" spans="2:7">
      <c r="B1420" s="22" t="s">
        <v>1455</v>
      </c>
      <c r="C1420" s="23" t="s">
        <v>1456</v>
      </c>
      <c r="D1420" s="24" t="s">
        <v>1465</v>
      </c>
      <c r="E1420" s="25" t="s">
        <v>1745</v>
      </c>
      <c r="F1420" s="16" t="str">
        <f>_xlfn.XLOOKUP(D1420,[10]ALL!$C:$C,[10]ALL!$N:$N,"Tidak Ditemukan")</f>
        <v>NI PUTU DEWI LASTINI</v>
      </c>
      <c r="G1420" s="21"/>
    </row>
    <row r="1421" spans="2:7">
      <c r="B1421" s="22" t="s">
        <v>1455</v>
      </c>
      <c r="C1421" s="23" t="s">
        <v>1456</v>
      </c>
      <c r="D1421" s="24" t="s">
        <v>1466</v>
      </c>
      <c r="E1421" s="25" t="s">
        <v>1745</v>
      </c>
      <c r="F1421" s="16" t="str">
        <f>_xlfn.XLOOKUP(D1421,[10]ALL!$C:$C,[10]ALL!$N:$N,"Tidak Ditemukan")</f>
        <v>AGUS PRADNYANA</v>
      </c>
      <c r="G1421" s="21"/>
    </row>
    <row r="1422" spans="2:7">
      <c r="B1422" s="22" t="s">
        <v>1455</v>
      </c>
      <c r="C1422" s="23" t="s">
        <v>1456</v>
      </c>
      <c r="D1422" s="24" t="s">
        <v>1467</v>
      </c>
      <c r="E1422" s="25" t="s">
        <v>1745</v>
      </c>
      <c r="F1422" s="16" t="str">
        <f>_xlfn.XLOOKUP(D1422,[10]ALL!$C:$C,[10]ALL!$N:$N,"Tidak Ditemukan")</f>
        <v>NI WAYAN ELSA SEPTIANA INDRIANI</v>
      </c>
      <c r="G1422" s="21"/>
    </row>
    <row r="1423" spans="2:7">
      <c r="B1423" s="22" t="s">
        <v>1455</v>
      </c>
      <c r="C1423" s="23" t="s">
        <v>1456</v>
      </c>
      <c r="D1423" s="24" t="s">
        <v>1468</v>
      </c>
      <c r="E1423" s="25" t="s">
        <v>1745</v>
      </c>
      <c r="F1423" s="16" t="str">
        <f>_xlfn.XLOOKUP(D1423,[10]ALL!$C:$C,[10]ALL!$N:$N,"Tidak Ditemukan")</f>
        <v>I Gd Andika Adi Prasetya Murya</v>
      </c>
      <c r="G1423" s="21"/>
    </row>
    <row r="1424" spans="2:7">
      <c r="B1424" s="22" t="s">
        <v>1455</v>
      </c>
      <c r="C1424" s="23" t="s">
        <v>1456</v>
      </c>
      <c r="D1424" s="24" t="s">
        <v>1469</v>
      </c>
      <c r="E1424" s="25" t="s">
        <v>1745</v>
      </c>
      <c r="F1424" s="16" t="str">
        <f>_xlfn.XLOOKUP(D1424,[10]ALL!$C:$C,[10]ALL!$N:$N,"Tidak Ditemukan")</f>
        <v>DWIKY REZA ARDANI WINAHARA</v>
      </c>
      <c r="G1424" s="21"/>
    </row>
    <row r="1425" spans="2:7">
      <c r="B1425" s="22" t="s">
        <v>1455</v>
      </c>
      <c r="C1425" s="23" t="s">
        <v>1456</v>
      </c>
      <c r="D1425" s="24" t="s">
        <v>1470</v>
      </c>
      <c r="E1425" s="25" t="s">
        <v>1745</v>
      </c>
      <c r="F1425" s="16" t="str">
        <f>_xlfn.XLOOKUP(D1425,[10]ALL!$C:$C,[10]ALL!$N:$N,"Tidak Ditemukan")</f>
        <v>NI WAYAN ELSA SEPTIANA INDRIANI</v>
      </c>
      <c r="G1425" s="21"/>
    </row>
    <row r="1426" spans="2:7">
      <c r="B1426" s="22" t="s">
        <v>1455</v>
      </c>
      <c r="C1426" s="23" t="s">
        <v>1456</v>
      </c>
      <c r="D1426" s="24" t="s">
        <v>1471</v>
      </c>
      <c r="E1426" s="25" t="s">
        <v>1745</v>
      </c>
      <c r="F1426" s="16" t="str">
        <f>_xlfn.XLOOKUP(D1426,[10]ALL!$C:$C,[10]ALL!$N:$N,"Tidak Ditemukan")</f>
        <v>GUSTI NGURAH ARY RAKA DARMAYASA, SE.MM</v>
      </c>
      <c r="G1426" s="21"/>
    </row>
    <row r="1427" spans="2:7">
      <c r="B1427" s="22" t="s">
        <v>1455</v>
      </c>
      <c r="C1427" s="23" t="s">
        <v>1456</v>
      </c>
      <c r="D1427" s="24" t="s">
        <v>1472</v>
      </c>
      <c r="E1427" s="25" t="s">
        <v>1745</v>
      </c>
      <c r="F1427" s="16" t="str">
        <f>_xlfn.XLOOKUP(D1427,[10]ALL!$C:$C,[10]ALL!$N:$N,"Tidak Ditemukan")</f>
        <v>YUNAN FURQONA RAMADHANI</v>
      </c>
      <c r="G1427" s="21"/>
    </row>
    <row r="1428" spans="2:7">
      <c r="B1428" s="22" t="s">
        <v>1455</v>
      </c>
      <c r="C1428" s="23" t="s">
        <v>1456</v>
      </c>
      <c r="D1428" s="24" t="s">
        <v>1473</v>
      </c>
      <c r="E1428" s="25" t="s">
        <v>1745</v>
      </c>
      <c r="F1428" s="16" t="str">
        <f>_xlfn.XLOOKUP(D1428,[10]ALL!$C:$C,[10]ALL!$N:$N,"Tidak Ditemukan")</f>
        <v>KADEK DWIPA ANGGARASTRA</v>
      </c>
      <c r="G1428" s="21"/>
    </row>
    <row r="1429" spans="2:7">
      <c r="B1429" s="22" t="s">
        <v>1455</v>
      </c>
      <c r="C1429" s="23" t="s">
        <v>1456</v>
      </c>
      <c r="D1429" s="24" t="s">
        <v>1474</v>
      </c>
      <c r="E1429" s="25" t="s">
        <v>1745</v>
      </c>
      <c r="F1429" s="16" t="str">
        <f>_xlfn.XLOOKUP(D1429,[10]ALL!$C:$C,[10]ALL!$N:$N,"Tidak Ditemukan")</f>
        <v>I GEDE BAGUS ADI SURYAWAN , ST</v>
      </c>
      <c r="G1429" s="21"/>
    </row>
    <row r="1430" spans="2:7">
      <c r="B1430" s="22" t="s">
        <v>1455</v>
      </c>
      <c r="C1430" s="23" t="s">
        <v>1456</v>
      </c>
      <c r="D1430" s="24" t="s">
        <v>1475</v>
      </c>
      <c r="E1430" s="25" t="s">
        <v>1745</v>
      </c>
      <c r="F1430" s="16" t="str">
        <f>_xlfn.XLOOKUP(D1430,[10]ALL!$C:$C,[10]ALL!$N:$N,"Tidak Ditemukan")</f>
        <v>NI PUTU DEWI LASTINI</v>
      </c>
      <c r="G1430" s="21"/>
    </row>
    <row r="1431" spans="2:7">
      <c r="B1431" s="22" t="s">
        <v>1455</v>
      </c>
      <c r="C1431" s="23" t="s">
        <v>1456</v>
      </c>
      <c r="D1431" s="24" t="s">
        <v>1476</v>
      </c>
      <c r="E1431" s="25" t="s">
        <v>1745</v>
      </c>
      <c r="F1431" s="16" t="str">
        <f>_xlfn.XLOOKUP(D1431,[10]ALL!$C:$C,[10]ALL!$N:$N,"Tidak Ditemukan")</f>
        <v>Suhardi</v>
      </c>
      <c r="G1431" s="21"/>
    </row>
    <row r="1432" spans="2:7">
      <c r="B1432" s="22" t="s">
        <v>1455</v>
      </c>
      <c r="C1432" s="23" t="s">
        <v>1456</v>
      </c>
      <c r="D1432" s="24" t="s">
        <v>1477</v>
      </c>
      <c r="E1432" s="25" t="s">
        <v>1745</v>
      </c>
      <c r="F1432" s="16" t="str">
        <f>_xlfn.XLOOKUP(D1432,[10]ALL!$C:$C,[10]ALL!$N:$N,"Tidak Ditemukan")</f>
        <v>DEAR RAMOS DAMANIK</v>
      </c>
      <c r="G1432" s="21"/>
    </row>
    <row r="1433" spans="2:7">
      <c r="B1433" s="22" t="s">
        <v>1455</v>
      </c>
      <c r="C1433" s="23" t="s">
        <v>1456</v>
      </c>
      <c r="D1433" s="24" t="s">
        <v>1478</v>
      </c>
      <c r="E1433" s="25" t="s">
        <v>1745</v>
      </c>
      <c r="F1433" s="16" t="str">
        <f>_xlfn.XLOOKUP(D1433,[10]ALL!$C:$C,[10]ALL!$N:$N,"Tidak Ditemukan")</f>
        <v>KADEK DWIPA ANGGARASTRA</v>
      </c>
      <c r="G1433" s="21"/>
    </row>
    <row r="1434" spans="2:7">
      <c r="B1434" s="22" t="s">
        <v>1455</v>
      </c>
      <c r="C1434" s="23" t="s">
        <v>1456</v>
      </c>
      <c r="D1434" s="24" t="s">
        <v>1479</v>
      </c>
      <c r="E1434" s="25" t="s">
        <v>1745</v>
      </c>
      <c r="F1434" s="16" t="str">
        <f>_xlfn.XLOOKUP(D1434,[10]ALL!$C:$C,[10]ALL!$N:$N,"Tidak Ditemukan")</f>
        <v>I GEDE BAGUS ADI SURYAWAN , ST</v>
      </c>
      <c r="G1434" s="21"/>
    </row>
    <row r="1435" spans="2:7">
      <c r="B1435" s="22" t="s">
        <v>1455</v>
      </c>
      <c r="C1435" s="23" t="s">
        <v>1456</v>
      </c>
      <c r="D1435" s="24" t="s">
        <v>1480</v>
      </c>
      <c r="E1435" s="25" t="s">
        <v>1745</v>
      </c>
      <c r="F1435" s="16" t="str">
        <f>_xlfn.XLOOKUP(D1435,[10]ALL!$C:$C,[10]ALL!$N:$N,"Tidak Ditemukan")</f>
        <v>I GEDE BAGUS ADI SURYAWAN , ST</v>
      </c>
      <c r="G1435" s="21"/>
    </row>
    <row r="1436" spans="2:7">
      <c r="B1436" s="22" t="s">
        <v>1455</v>
      </c>
      <c r="C1436" s="23" t="s">
        <v>1456</v>
      </c>
      <c r="D1436" s="24" t="s">
        <v>1481</v>
      </c>
      <c r="E1436" s="25" t="s">
        <v>1745</v>
      </c>
      <c r="F1436" s="16" t="str">
        <f>_xlfn.XLOOKUP(D1436,[10]ALL!$C:$C,[10]ALL!$N:$N,"Tidak Ditemukan")</f>
        <v>Abi Hilmawan</v>
      </c>
      <c r="G1436" s="21"/>
    </row>
    <row r="1437" spans="2:7">
      <c r="B1437" s="22" t="s">
        <v>1455</v>
      </c>
      <c r="C1437" s="23" t="s">
        <v>1456</v>
      </c>
      <c r="D1437" s="24" t="s">
        <v>1482</v>
      </c>
      <c r="E1437" s="25" t="s">
        <v>1745</v>
      </c>
      <c r="F1437" s="16" t="str">
        <f>_xlfn.XLOOKUP(D1437,[10]ALL!$C:$C,[10]ALL!$N:$N,"Tidak Ditemukan")</f>
        <v>I KOMANG FERI INDRAJAYA</v>
      </c>
      <c r="G1437" s="21"/>
    </row>
    <row r="1438" spans="2:7">
      <c r="B1438" s="22" t="s">
        <v>1455</v>
      </c>
      <c r="C1438" s="23" t="s">
        <v>1456</v>
      </c>
      <c r="D1438" s="24" t="s">
        <v>1483</v>
      </c>
      <c r="E1438" s="25" t="s">
        <v>1745</v>
      </c>
      <c r="F1438" s="16" t="str">
        <f>_xlfn.XLOOKUP(D1438,[10]ALL!$C:$C,[10]ALL!$N:$N,"Tidak Ditemukan")</f>
        <v>MUHAMMAD JUMADIL</v>
      </c>
      <c r="G1438" s="21"/>
    </row>
    <row r="1439" spans="2:7">
      <c r="B1439" s="22" t="s">
        <v>1455</v>
      </c>
      <c r="C1439" s="23" t="s">
        <v>1456</v>
      </c>
      <c r="D1439" s="24" t="s">
        <v>1484</v>
      </c>
      <c r="E1439" s="25" t="s">
        <v>1745</v>
      </c>
      <c r="F1439" s="16" t="str">
        <f>_xlfn.XLOOKUP(D1439,[10]ALL!$C:$C,[10]ALL!$N:$N,"Tidak Ditemukan")</f>
        <v>KADEK DWIPA ANGGARASTRA</v>
      </c>
      <c r="G1439" s="21"/>
    </row>
    <row r="1440" spans="2:7">
      <c r="B1440" s="22" t="s">
        <v>1455</v>
      </c>
      <c r="C1440" s="23" t="s">
        <v>1456</v>
      </c>
      <c r="D1440" s="24" t="s">
        <v>1485</v>
      </c>
      <c r="E1440" s="25" t="s">
        <v>1745</v>
      </c>
      <c r="F1440" s="16" t="str">
        <f>_xlfn.XLOOKUP(D1440,[10]ALL!$C:$C,[10]ALL!$N:$N,"Tidak Ditemukan")</f>
        <v>GUSTI NGURAH ARY RAKA DARMAYASA, SE.MM</v>
      </c>
      <c r="G1440" s="21"/>
    </row>
    <row r="1441" spans="2:7">
      <c r="B1441" s="22" t="s">
        <v>1455</v>
      </c>
      <c r="C1441" s="23" t="s">
        <v>1456</v>
      </c>
      <c r="D1441" s="24" t="s">
        <v>1486</v>
      </c>
      <c r="E1441" s="25" t="s">
        <v>1745</v>
      </c>
      <c r="F1441" s="16" t="str">
        <f>_xlfn.XLOOKUP(D1441,[10]ALL!$C:$C,[10]ALL!$N:$N,"Tidak Ditemukan")</f>
        <v>DWIKY REZA ARDANI WINAHARA</v>
      </c>
      <c r="G1441" s="21"/>
    </row>
    <row r="1442" spans="2:7">
      <c r="B1442" s="22" t="s">
        <v>1455</v>
      </c>
      <c r="C1442" s="23" t="s">
        <v>1456</v>
      </c>
      <c r="D1442" s="24" t="s">
        <v>1487</v>
      </c>
      <c r="E1442" s="25" t="s">
        <v>1745</v>
      </c>
      <c r="F1442" s="16" t="str">
        <f>_xlfn.XLOOKUP(D1442,[10]ALL!$C:$C,[10]ALL!$N:$N,"Tidak Ditemukan")</f>
        <v>NI WAYAN ELSA SEPTIANA INDRIANI</v>
      </c>
      <c r="G1442" s="21"/>
    </row>
    <row r="1443" spans="2:7">
      <c r="B1443" s="22" t="s">
        <v>1455</v>
      </c>
      <c r="C1443" s="23" t="s">
        <v>1456</v>
      </c>
      <c r="D1443" s="24" t="s">
        <v>1488</v>
      </c>
      <c r="E1443" s="25" t="s">
        <v>1745</v>
      </c>
      <c r="F1443" s="16" t="str">
        <f>_xlfn.XLOOKUP(D1443,[10]ALL!$C:$C,[10]ALL!$N:$N,"Tidak Ditemukan")</f>
        <v>GUSTI NGURAH ARY RAKA DARMAYASA, SE.MM</v>
      </c>
      <c r="G1443" s="21"/>
    </row>
    <row r="1444" spans="2:7">
      <c r="B1444" s="22" t="s">
        <v>1455</v>
      </c>
      <c r="C1444" s="23" t="s">
        <v>1456</v>
      </c>
      <c r="D1444" s="24" t="s">
        <v>1489</v>
      </c>
      <c r="E1444" s="25" t="s">
        <v>1745</v>
      </c>
      <c r="F1444" s="16" t="str">
        <f>_xlfn.XLOOKUP(D1444,[10]ALL!$C:$C,[10]ALL!$N:$N,"Tidak Ditemukan")</f>
        <v>GUSTI NGURAH ARY RAKA DARMAYASA, SE.MM</v>
      </c>
      <c r="G1444" s="21"/>
    </row>
    <row r="1445" spans="2:7">
      <c r="B1445" s="22" t="s">
        <v>1455</v>
      </c>
      <c r="C1445" s="23" t="s">
        <v>1456</v>
      </c>
      <c r="D1445" s="24" t="s">
        <v>1490</v>
      </c>
      <c r="E1445" s="25" t="s">
        <v>1745</v>
      </c>
      <c r="F1445" s="16" t="str">
        <f>_xlfn.XLOOKUP(D1445,[10]ALL!$C:$C,[10]ALL!$N:$N,"Tidak Ditemukan")</f>
        <v>NI WAYAN ELSA SEPTIANA INDRIANI</v>
      </c>
      <c r="G1445" s="21"/>
    </row>
    <row r="1446" spans="2:7">
      <c r="B1446" s="22" t="s">
        <v>1455</v>
      </c>
      <c r="C1446" s="23" t="s">
        <v>1456</v>
      </c>
      <c r="D1446" s="24" t="s">
        <v>1491</v>
      </c>
      <c r="E1446" s="25" t="s">
        <v>1745</v>
      </c>
      <c r="F1446" s="16" t="str">
        <f>_xlfn.XLOOKUP(D1446,[10]ALL!$C:$C,[10]ALL!$N:$N,"Tidak Ditemukan")</f>
        <v>KADEK DWIPA ANGGARASTRA</v>
      </c>
      <c r="G1446" s="21"/>
    </row>
    <row r="1447" spans="2:7">
      <c r="B1447" s="22" t="s">
        <v>1455</v>
      </c>
      <c r="C1447" s="23" t="s">
        <v>1456</v>
      </c>
      <c r="D1447" s="24" t="s">
        <v>1492</v>
      </c>
      <c r="E1447" s="25" t="s">
        <v>1722</v>
      </c>
      <c r="F1447" s="16" t="str">
        <f>_xlfn.XLOOKUP(D1447,[10]ALL!$C:$C,[10]ALL!$N:$N,"Tidak Ditemukan")</f>
        <v>MUHAMMAD TONY NUGRAHA</v>
      </c>
      <c r="G1447" s="21"/>
    </row>
    <row r="1448" spans="2:7">
      <c r="B1448" s="22" t="s">
        <v>1455</v>
      </c>
      <c r="C1448" s="23" t="s">
        <v>1456</v>
      </c>
      <c r="D1448" s="24" t="s">
        <v>1493</v>
      </c>
      <c r="E1448" s="25" t="s">
        <v>1722</v>
      </c>
      <c r="F1448" s="16" t="str">
        <f>_xlfn.XLOOKUP(D1448,[10]ALL!$C:$C,[10]ALL!$N:$N,"Tidak Ditemukan")</f>
        <v>Abi Hilmawan</v>
      </c>
      <c r="G1448" s="21"/>
    </row>
    <row r="1449" spans="2:7">
      <c r="B1449" s="22" t="s">
        <v>1455</v>
      </c>
      <c r="C1449" s="23" t="s">
        <v>1456</v>
      </c>
      <c r="D1449" s="24" t="s">
        <v>1494</v>
      </c>
      <c r="E1449" s="25" t="s">
        <v>1722</v>
      </c>
      <c r="F1449" s="16" t="str">
        <f>_xlfn.XLOOKUP(D1449,[10]ALL!$C:$C,[10]ALL!$N:$N,"Tidak Ditemukan")</f>
        <v>CICI TRISNAWATI NGGILLI</v>
      </c>
      <c r="G1449" s="21"/>
    </row>
    <row r="1450" spans="2:7">
      <c r="B1450" s="22" t="s">
        <v>1455</v>
      </c>
      <c r="C1450" s="23" t="s">
        <v>1456</v>
      </c>
      <c r="D1450" s="24" t="s">
        <v>1495</v>
      </c>
      <c r="E1450" s="25" t="s">
        <v>1722</v>
      </c>
      <c r="F1450" s="16" t="str">
        <f>_xlfn.XLOOKUP(D1450,[10]ALL!$C:$C,[10]ALL!$N:$N,"Tidak Ditemukan")</f>
        <v>PETRUS TRIMULIA WANGGA DALA</v>
      </c>
      <c r="G1450" s="21"/>
    </row>
    <row r="1451" spans="2:7">
      <c r="B1451" s="22" t="s">
        <v>1455</v>
      </c>
      <c r="C1451" s="23" t="s">
        <v>1456</v>
      </c>
      <c r="D1451" s="24" t="s">
        <v>1496</v>
      </c>
      <c r="E1451" s="25" t="s">
        <v>1722</v>
      </c>
      <c r="F1451" s="16" t="str">
        <f>_xlfn.XLOOKUP(D1451,[10]ALL!$C:$C,[10]ALL!$N:$N,"Tidak Ditemukan")</f>
        <v>SYARIFUDDIN</v>
      </c>
      <c r="G1451" s="21"/>
    </row>
    <row r="1452" spans="2:7">
      <c r="B1452" s="22" t="s">
        <v>1455</v>
      </c>
      <c r="C1452" s="23" t="s">
        <v>1456</v>
      </c>
      <c r="D1452" s="24" t="s">
        <v>1497</v>
      </c>
      <c r="E1452" s="25" t="s">
        <v>1722</v>
      </c>
      <c r="F1452" s="16" t="str">
        <f>_xlfn.XLOOKUP(D1452,[10]ALL!$C:$C,[10]ALL!$N:$N,"Tidak Ditemukan")</f>
        <v>Suhardi</v>
      </c>
      <c r="G1452" s="21"/>
    </row>
    <row r="1453" spans="2:7">
      <c r="B1453" s="22" t="s">
        <v>1455</v>
      </c>
      <c r="C1453" s="23" t="s">
        <v>1456</v>
      </c>
      <c r="D1453" s="24" t="s">
        <v>1498</v>
      </c>
      <c r="E1453" s="25" t="s">
        <v>1722</v>
      </c>
      <c r="F1453" s="16" t="str">
        <f>_xlfn.XLOOKUP(D1453,[10]ALL!$C:$C,[10]ALL!$N:$N,"Tidak Ditemukan")</f>
        <v>M. SALAHUDIN</v>
      </c>
      <c r="G1453" s="21"/>
    </row>
    <row r="1454" spans="2:7">
      <c r="B1454" s="22" t="s">
        <v>1455</v>
      </c>
      <c r="C1454" s="23" t="s">
        <v>1456</v>
      </c>
      <c r="D1454" s="24" t="s">
        <v>1499</v>
      </c>
      <c r="E1454" s="25" t="s">
        <v>1722</v>
      </c>
      <c r="F1454" s="16" t="str">
        <f>_xlfn.XLOOKUP(D1454,[10]ALL!$C:$C,[10]ALL!$N:$N,"Tidak Ditemukan")</f>
        <v>Abi Hilmawan</v>
      </c>
      <c r="G1454" s="21"/>
    </row>
    <row r="1455" spans="2:7">
      <c r="B1455" s="22" t="s">
        <v>1455</v>
      </c>
      <c r="C1455" s="23" t="s">
        <v>1456</v>
      </c>
      <c r="D1455" s="24" t="s">
        <v>1500</v>
      </c>
      <c r="E1455" s="25" t="s">
        <v>1722</v>
      </c>
      <c r="F1455" s="16" t="str">
        <f>_xlfn.XLOOKUP(D1455,[10]ALL!$C:$C,[10]ALL!$N:$N,"Tidak Ditemukan")</f>
        <v>RITA HERMAWATI</v>
      </c>
      <c r="G1455" s="21"/>
    </row>
    <row r="1456" spans="2:7">
      <c r="B1456" s="22" t="s">
        <v>1455</v>
      </c>
      <c r="C1456" s="23" t="s">
        <v>1456</v>
      </c>
      <c r="D1456" s="24" t="s">
        <v>1501</v>
      </c>
      <c r="E1456" s="25" t="s">
        <v>1722</v>
      </c>
      <c r="F1456" s="16" t="str">
        <f>_xlfn.XLOOKUP(D1456,[10]ALL!$C:$C,[10]ALL!$N:$N,"Tidak Ditemukan")</f>
        <v>DENI SUSATYO</v>
      </c>
      <c r="G1456" s="21"/>
    </row>
    <row r="1457" spans="2:7">
      <c r="B1457" s="22" t="s">
        <v>1455</v>
      </c>
      <c r="C1457" s="23" t="s">
        <v>1456</v>
      </c>
      <c r="D1457" s="24" t="s">
        <v>1502</v>
      </c>
      <c r="E1457" s="25" t="s">
        <v>1722</v>
      </c>
      <c r="F1457" s="16" t="str">
        <f>_xlfn.XLOOKUP(D1457,[10]ALL!$C:$C,[10]ALL!$N:$N,"Tidak Ditemukan")</f>
        <v>MUHAMMAD TONY NUGRAHA</v>
      </c>
      <c r="G1457" s="21"/>
    </row>
    <row r="1458" spans="2:7">
      <c r="B1458" s="22" t="s">
        <v>1455</v>
      </c>
      <c r="C1458" s="23" t="s">
        <v>1456</v>
      </c>
      <c r="D1458" s="24" t="s">
        <v>1503</v>
      </c>
      <c r="E1458" s="25" t="s">
        <v>1722</v>
      </c>
      <c r="F1458" s="16" t="str">
        <f>_xlfn.XLOOKUP(D1458,[10]ALL!$C:$C,[10]ALL!$N:$N,"Tidak Ditemukan")</f>
        <v>MUHAMMAD JUMADIL</v>
      </c>
      <c r="G1458" s="21"/>
    </row>
    <row r="1459" spans="2:7">
      <c r="B1459" s="22" t="s">
        <v>1455</v>
      </c>
      <c r="C1459" s="23" t="s">
        <v>1456</v>
      </c>
      <c r="D1459" s="24" t="s">
        <v>1504</v>
      </c>
      <c r="E1459" s="25" t="s">
        <v>1722</v>
      </c>
      <c r="F1459" s="16" t="str">
        <f>_xlfn.XLOOKUP(D1459,[10]ALL!$C:$C,[10]ALL!$N:$N,"Tidak Ditemukan")</f>
        <v>EKAYASA EBENHAEZER SANDY KALLA</v>
      </c>
      <c r="G1459" s="21"/>
    </row>
    <row r="1460" spans="2:7">
      <c r="B1460" s="22" t="s">
        <v>1455</v>
      </c>
      <c r="C1460" s="23" t="s">
        <v>1456</v>
      </c>
      <c r="D1460" s="24" t="s">
        <v>1505</v>
      </c>
      <c r="E1460" s="25" t="s">
        <v>1722</v>
      </c>
      <c r="F1460" s="16" t="str">
        <f>_xlfn.XLOOKUP(D1460,[10]ALL!$C:$C,[10]ALL!$N:$N,"Tidak Ditemukan")</f>
        <v>CICI TRISNAWATI NGGILLI</v>
      </c>
      <c r="G1460" s="21"/>
    </row>
    <row r="1461" spans="2:7">
      <c r="B1461" s="22" t="s">
        <v>1455</v>
      </c>
      <c r="C1461" s="23" t="s">
        <v>1456</v>
      </c>
      <c r="D1461" s="24" t="s">
        <v>1506</v>
      </c>
      <c r="E1461" s="25" t="s">
        <v>1722</v>
      </c>
      <c r="F1461" s="16" t="str">
        <f>_xlfn.XLOOKUP(D1461,[10]ALL!$C:$C,[10]ALL!$N:$N,"Tidak Ditemukan")</f>
        <v>ALOYSIUS RIWANTO</v>
      </c>
      <c r="G1461" s="21"/>
    </row>
    <row r="1462" spans="2:7">
      <c r="B1462" s="22" t="s">
        <v>1455</v>
      </c>
      <c r="C1462" s="23" t="s">
        <v>1456</v>
      </c>
      <c r="D1462" s="24" t="s">
        <v>1507</v>
      </c>
      <c r="E1462" s="25" t="s">
        <v>1722</v>
      </c>
      <c r="F1462" s="16" t="str">
        <f>_xlfn.XLOOKUP(D1462,[10]ALL!$C:$C,[10]ALL!$N:$N,"Tidak Ditemukan")</f>
        <v>SYARIFUDDIN</v>
      </c>
      <c r="G1462" s="21"/>
    </row>
    <row r="1463" spans="2:7">
      <c r="B1463" s="22" t="s">
        <v>1455</v>
      </c>
      <c r="C1463" s="23" t="s">
        <v>1456</v>
      </c>
      <c r="D1463" s="24" t="s">
        <v>1508</v>
      </c>
      <c r="E1463" s="25" t="s">
        <v>1722</v>
      </c>
      <c r="F1463" s="16" t="str">
        <f>_xlfn.XLOOKUP(D1463,[10]ALL!$C:$C,[10]ALL!$N:$N,"Tidak Ditemukan")</f>
        <v>CICI TRISNAWATI NGGILLI</v>
      </c>
      <c r="G1463" s="21"/>
    </row>
    <row r="1464" spans="2:7">
      <c r="B1464" s="22" t="s">
        <v>1455</v>
      </c>
      <c r="C1464" s="23" t="s">
        <v>1456</v>
      </c>
      <c r="D1464" s="24" t="s">
        <v>1509</v>
      </c>
      <c r="E1464" s="25" t="s">
        <v>1722</v>
      </c>
      <c r="F1464" s="16" t="str">
        <f>_xlfn.XLOOKUP(D1464,[10]ALL!$C:$C,[10]ALL!$N:$N,"Tidak Ditemukan")</f>
        <v>CICI TRISNAWATI NGGILLI</v>
      </c>
      <c r="G1464" s="21"/>
    </row>
    <row r="1465" spans="2:7">
      <c r="B1465" s="22" t="s">
        <v>1455</v>
      </c>
      <c r="C1465" s="23" t="s">
        <v>1456</v>
      </c>
      <c r="D1465" s="24" t="s">
        <v>1510</v>
      </c>
      <c r="E1465" s="25" t="s">
        <v>1722</v>
      </c>
      <c r="F1465" s="16" t="str">
        <f>_xlfn.XLOOKUP(D1465,[10]ALL!$C:$C,[10]ALL!$N:$N,"Tidak Ditemukan")</f>
        <v>PETRUS TRIMULIA WANGGA DALA</v>
      </c>
      <c r="G1465" s="21"/>
    </row>
    <row r="1466" spans="2:7">
      <c r="B1466" s="22" t="s">
        <v>1455</v>
      </c>
      <c r="C1466" s="23" t="s">
        <v>1456</v>
      </c>
      <c r="D1466" s="24" t="s">
        <v>1511</v>
      </c>
      <c r="E1466" s="25" t="s">
        <v>1722</v>
      </c>
      <c r="F1466" s="16" t="str">
        <f>_xlfn.XLOOKUP(D1466,[10]ALL!$C:$C,[10]ALL!$N:$N,"Tidak Ditemukan")</f>
        <v>Abi Hilmawan</v>
      </c>
      <c r="G1466" s="21"/>
    </row>
    <row r="1467" spans="2:7">
      <c r="B1467" s="22" t="s">
        <v>1455</v>
      </c>
      <c r="C1467" s="23" t="s">
        <v>1456</v>
      </c>
      <c r="D1467" s="24" t="s">
        <v>1512</v>
      </c>
      <c r="E1467" s="25" t="s">
        <v>1722</v>
      </c>
      <c r="F1467" s="16" t="str">
        <f>_xlfn.XLOOKUP(D1467,[10]ALL!$C:$C,[10]ALL!$N:$N,"Tidak Ditemukan")</f>
        <v>CHINDY BIRE</v>
      </c>
      <c r="G1467" s="21"/>
    </row>
    <row r="1468" spans="2:7">
      <c r="B1468" s="22" t="s">
        <v>1455</v>
      </c>
      <c r="C1468" s="23" t="s">
        <v>1456</v>
      </c>
      <c r="D1468" s="24" t="s">
        <v>1513</v>
      </c>
      <c r="E1468" s="25" t="s">
        <v>1722</v>
      </c>
      <c r="F1468" s="16" t="str">
        <f>_xlfn.XLOOKUP(D1468,[10]ALL!$C:$C,[10]ALL!$N:$N,"Tidak Ditemukan")</f>
        <v>MANAHAN SIMATUPANG SIBURIAN</v>
      </c>
      <c r="G1468" s="21"/>
    </row>
    <row r="1469" spans="2:7">
      <c r="B1469" s="22" t="s">
        <v>1455</v>
      </c>
      <c r="C1469" s="23" t="s">
        <v>1456</v>
      </c>
      <c r="D1469" s="24" t="s">
        <v>1514</v>
      </c>
      <c r="E1469" s="25" t="s">
        <v>1722</v>
      </c>
      <c r="F1469" s="16" t="str">
        <f>_xlfn.XLOOKUP(D1469,[10]ALL!$C:$C,[10]ALL!$N:$N,"Tidak Ditemukan")</f>
        <v>ADRIAN ALFANDION BENU</v>
      </c>
      <c r="G1469" s="21"/>
    </row>
    <row r="1470" spans="2:7">
      <c r="B1470" s="22" t="s">
        <v>1455</v>
      </c>
      <c r="C1470" s="23" t="s">
        <v>1456</v>
      </c>
      <c r="D1470" s="24" t="s">
        <v>1515</v>
      </c>
      <c r="E1470" s="25" t="s">
        <v>1722</v>
      </c>
      <c r="F1470" s="16" t="str">
        <f>_xlfn.XLOOKUP(D1470,[10]ALL!$C:$C,[10]ALL!$N:$N,"Tidak Ditemukan")</f>
        <v>MUHAMMAD JUMADIL</v>
      </c>
      <c r="G1470" s="21"/>
    </row>
    <row r="1471" spans="2:7">
      <c r="B1471" s="22" t="s">
        <v>1455</v>
      </c>
      <c r="C1471" s="23" t="s">
        <v>1456</v>
      </c>
      <c r="D1471" s="24" t="s">
        <v>1516</v>
      </c>
      <c r="E1471" s="25" t="s">
        <v>1722</v>
      </c>
      <c r="F1471" s="16" t="str">
        <f>_xlfn.XLOOKUP(D1471,[10]ALL!$C:$C,[10]ALL!$N:$N,"Tidak Ditemukan")</f>
        <v>MUHAMMAD JUMADIL</v>
      </c>
      <c r="G1471" s="21"/>
    </row>
    <row r="1472" spans="2:7">
      <c r="B1472" s="22" t="s">
        <v>1455</v>
      </c>
      <c r="C1472" s="23" t="s">
        <v>1456</v>
      </c>
      <c r="D1472" s="24" t="s">
        <v>1517</v>
      </c>
      <c r="E1472" s="25" t="s">
        <v>1722</v>
      </c>
      <c r="F1472" s="16" t="str">
        <f>_xlfn.XLOOKUP(D1472,[10]ALL!$C:$C,[10]ALL!$N:$N,"Tidak Ditemukan")</f>
        <v>MUHAMMAD JUMADIL</v>
      </c>
      <c r="G1472" s="21"/>
    </row>
    <row r="1473" spans="2:7">
      <c r="B1473" s="22" t="s">
        <v>1455</v>
      </c>
      <c r="C1473" s="23" t="s">
        <v>1456</v>
      </c>
      <c r="D1473" s="24" t="s">
        <v>1518</v>
      </c>
      <c r="E1473" s="25" t="s">
        <v>1722</v>
      </c>
      <c r="F1473" s="16" t="str">
        <f>_xlfn.XLOOKUP(D1473,[10]ALL!$C:$C,[10]ALL!$N:$N,"Tidak Ditemukan")</f>
        <v>CHINDY BIRE</v>
      </c>
      <c r="G1473" s="21"/>
    </row>
    <row r="1474" spans="2:7">
      <c r="B1474" s="22" t="s">
        <v>1455</v>
      </c>
      <c r="C1474" s="23" t="s">
        <v>1456</v>
      </c>
      <c r="D1474" s="24" t="s">
        <v>1519</v>
      </c>
      <c r="E1474" s="25" t="s">
        <v>1722</v>
      </c>
      <c r="F1474" s="16" t="str">
        <f>_xlfn.XLOOKUP(D1474,[10]ALL!$C:$C,[10]ALL!$N:$N,"Tidak Ditemukan")</f>
        <v>JUNEIDI ANDRI MANDALA</v>
      </c>
      <c r="G1474" s="21"/>
    </row>
    <row r="1475" spans="2:7">
      <c r="B1475" s="22" t="s">
        <v>1455</v>
      </c>
      <c r="C1475" s="23" t="s">
        <v>1456</v>
      </c>
      <c r="D1475" s="24" t="s">
        <v>1520</v>
      </c>
      <c r="E1475" s="25" t="s">
        <v>1722</v>
      </c>
      <c r="F1475" s="16" t="str">
        <f>_xlfn.XLOOKUP(D1475,[10]ALL!$C:$C,[10]ALL!$N:$N,"Tidak Ditemukan")</f>
        <v>FELIX DEMASIUS FOENAY</v>
      </c>
      <c r="G1475" s="21"/>
    </row>
    <row r="1476" spans="2:7">
      <c r="B1476" s="22" t="s">
        <v>1455</v>
      </c>
      <c r="C1476" s="23" t="s">
        <v>1456</v>
      </c>
      <c r="D1476" s="24" t="s">
        <v>1521</v>
      </c>
      <c r="E1476" s="25" t="s">
        <v>1722</v>
      </c>
      <c r="F1476" s="16" t="str">
        <f>_xlfn.XLOOKUP(D1476,[10]ALL!$C:$C,[10]ALL!$N:$N,"Tidak Ditemukan")</f>
        <v>MUHAMMAD JUMADIL</v>
      </c>
      <c r="G1476" s="21"/>
    </row>
    <row r="1477" spans="2:7">
      <c r="B1477" s="22" t="s">
        <v>1455</v>
      </c>
      <c r="C1477" s="23" t="s">
        <v>1456</v>
      </c>
      <c r="D1477" s="24" t="s">
        <v>1522</v>
      </c>
      <c r="E1477" s="25" t="s">
        <v>1722</v>
      </c>
      <c r="F1477" s="16" t="str">
        <f>_xlfn.XLOOKUP(D1477,[10]ALL!$C:$C,[10]ALL!$N:$N,"Tidak Ditemukan")</f>
        <v>ARMIYATI BULU</v>
      </c>
      <c r="G1477" s="21"/>
    </row>
    <row r="1478" spans="2:7">
      <c r="B1478" s="22" t="s">
        <v>1455</v>
      </c>
      <c r="C1478" s="23" t="s">
        <v>1456</v>
      </c>
      <c r="D1478" s="24" t="s">
        <v>1523</v>
      </c>
      <c r="E1478" s="25" t="s">
        <v>1722</v>
      </c>
      <c r="F1478" s="16" t="str">
        <f>_xlfn.XLOOKUP(D1478,[10]ALL!$C:$C,[10]ALL!$N:$N,"Tidak Ditemukan")</f>
        <v>PETRUS TRIMULIA WANGGA DALA</v>
      </c>
      <c r="G1478" s="21"/>
    </row>
    <row r="1479" spans="2:7">
      <c r="B1479" s="22" t="s">
        <v>1455</v>
      </c>
      <c r="C1479" s="23" t="s">
        <v>1456</v>
      </c>
      <c r="D1479" s="24" t="s">
        <v>1524</v>
      </c>
      <c r="E1479" s="25" t="s">
        <v>1722</v>
      </c>
      <c r="F1479" s="16" t="str">
        <f>_xlfn.XLOOKUP(D1479,[10]ALL!$C:$C,[10]ALL!$N:$N,"Tidak Ditemukan")</f>
        <v>CICI TRISNAWATI NGGILLI</v>
      </c>
      <c r="G1479" s="21"/>
    </row>
    <row r="1480" spans="2:7">
      <c r="B1480" s="22" t="s">
        <v>1455</v>
      </c>
      <c r="C1480" s="23" t="s">
        <v>1456</v>
      </c>
      <c r="D1480" s="24" t="s">
        <v>1525</v>
      </c>
      <c r="E1480" s="25" t="s">
        <v>1722</v>
      </c>
      <c r="F1480" s="16" t="str">
        <f>_xlfn.XLOOKUP(D1480,[10]ALL!$C:$C,[10]ALL!$N:$N,"Tidak Ditemukan")</f>
        <v>MUHAMMAD JUMADIL</v>
      </c>
      <c r="G1480" s="21"/>
    </row>
    <row r="1481" spans="2:7">
      <c r="B1481" s="22" t="s">
        <v>1455</v>
      </c>
      <c r="C1481" s="23" t="s">
        <v>1456</v>
      </c>
      <c r="D1481" s="24" t="s">
        <v>1526</v>
      </c>
      <c r="E1481" s="25" t="s">
        <v>1722</v>
      </c>
      <c r="F1481" s="16" t="str">
        <f>_xlfn.XLOOKUP(D1481,[10]ALL!$C:$C,[10]ALL!$N:$N,"Tidak Ditemukan")</f>
        <v>PUTRY PRATIWY ELISABETH KAMEO</v>
      </c>
      <c r="G1481" s="21"/>
    </row>
    <row r="1482" spans="2:7">
      <c r="B1482" s="22" t="s">
        <v>1455</v>
      </c>
      <c r="C1482" s="23" t="s">
        <v>1456</v>
      </c>
      <c r="D1482" s="24" t="s">
        <v>1527</v>
      </c>
      <c r="E1482" s="25" t="s">
        <v>1722</v>
      </c>
      <c r="F1482" s="16" t="str">
        <f>_xlfn.XLOOKUP(D1482,[10]ALL!$C:$C,[10]ALL!$N:$N,"Tidak Ditemukan")</f>
        <v>M. SALAHUDIN</v>
      </c>
      <c r="G1482" s="21"/>
    </row>
    <row r="1483" spans="2:7">
      <c r="B1483" s="22" t="s">
        <v>1455</v>
      </c>
      <c r="C1483" s="23" t="s">
        <v>1456</v>
      </c>
      <c r="D1483" s="24" t="s">
        <v>1528</v>
      </c>
      <c r="E1483" s="25" t="s">
        <v>1722</v>
      </c>
      <c r="F1483" s="16" t="str">
        <f>_xlfn.XLOOKUP(D1483,[10]ALL!$C:$C,[10]ALL!$N:$N,"Tidak Ditemukan")</f>
        <v>ARMIYATI BULU</v>
      </c>
      <c r="G1483" s="21"/>
    </row>
    <row r="1484" spans="2:7">
      <c r="B1484" s="22" t="s">
        <v>1455</v>
      </c>
      <c r="C1484" s="23" t="s">
        <v>1456</v>
      </c>
      <c r="D1484" s="24" t="s">
        <v>1529</v>
      </c>
      <c r="E1484" s="25" t="s">
        <v>1722</v>
      </c>
      <c r="F1484" s="16" t="str">
        <f>_xlfn.XLOOKUP(D1484,[10]ALL!$C:$C,[10]ALL!$N:$N,"Tidak Ditemukan")</f>
        <v>ISMAIL ABDURAHMAN MARO</v>
      </c>
      <c r="G1484" s="21"/>
    </row>
    <row r="1485" spans="2:7">
      <c r="B1485" s="22" t="s">
        <v>1455</v>
      </c>
      <c r="C1485" s="23" t="s">
        <v>1456</v>
      </c>
      <c r="D1485" s="24" t="s">
        <v>1530</v>
      </c>
      <c r="E1485" s="25" t="s">
        <v>1722</v>
      </c>
      <c r="F1485" s="16" t="str">
        <f>_xlfn.XLOOKUP(D1485,[10]ALL!$C:$C,[10]ALL!$N:$N,"Tidak Ditemukan")</f>
        <v>ALOYSIUS RIWANTO</v>
      </c>
      <c r="G1485" s="21"/>
    </row>
    <row r="1486" spans="2:7">
      <c r="B1486" s="22" t="s">
        <v>1455</v>
      </c>
      <c r="C1486" s="23" t="s">
        <v>1456</v>
      </c>
      <c r="D1486" s="24" t="s">
        <v>1531</v>
      </c>
      <c r="E1486" s="25" t="s">
        <v>1722</v>
      </c>
      <c r="F1486" s="16" t="str">
        <f>_xlfn.XLOOKUP(D1486,[10]ALL!$C:$C,[10]ALL!$N:$N,"Tidak Ditemukan")</f>
        <v>ALOYSIUS RIWANTO</v>
      </c>
      <c r="G1486" s="21"/>
    </row>
    <row r="1487" spans="2:7">
      <c r="B1487" s="22" t="s">
        <v>1455</v>
      </c>
      <c r="C1487" s="23" t="s">
        <v>1456</v>
      </c>
      <c r="D1487" s="24" t="s">
        <v>1532</v>
      </c>
      <c r="E1487" s="25" t="s">
        <v>1722</v>
      </c>
      <c r="F1487" s="16" t="str">
        <f>_xlfn.XLOOKUP(D1487,[10]ALL!$C:$C,[10]ALL!$N:$N,"Tidak Ditemukan")</f>
        <v>PETRUS TRIMULIA WANGGA DALA</v>
      </c>
      <c r="G1487" s="21"/>
    </row>
    <row r="1488" spans="2:7">
      <c r="B1488" s="22" t="s">
        <v>1455</v>
      </c>
      <c r="C1488" s="23" t="s">
        <v>1456</v>
      </c>
      <c r="D1488" s="24" t="s">
        <v>1533</v>
      </c>
      <c r="E1488" s="25" t="s">
        <v>1722</v>
      </c>
      <c r="F1488" s="16" t="str">
        <f>_xlfn.XLOOKUP(D1488,[10]ALL!$C:$C,[10]ALL!$N:$N,"Tidak Ditemukan")</f>
        <v>ARMIYATI BULU</v>
      </c>
      <c r="G1488" s="21"/>
    </row>
    <row r="1489" spans="2:7">
      <c r="B1489" s="22" t="s">
        <v>1455</v>
      </c>
      <c r="C1489" s="23" t="s">
        <v>1456</v>
      </c>
      <c r="D1489" s="24" t="s">
        <v>1534</v>
      </c>
      <c r="E1489" s="25" t="s">
        <v>1722</v>
      </c>
      <c r="F1489" s="16" t="str">
        <f>_xlfn.XLOOKUP(D1489,[10]ALL!$C:$C,[10]ALL!$N:$N,"Tidak Ditemukan")</f>
        <v>ALOYSIUS RIWANTO</v>
      </c>
      <c r="G1489" s="21"/>
    </row>
    <row r="1490" spans="2:7">
      <c r="B1490" s="22" t="s">
        <v>1455</v>
      </c>
      <c r="C1490" s="23" t="s">
        <v>1456</v>
      </c>
      <c r="D1490" s="24" t="s">
        <v>1535</v>
      </c>
      <c r="E1490" s="25" t="s">
        <v>1722</v>
      </c>
      <c r="F1490" s="16" t="str">
        <f>_xlfn.XLOOKUP(D1490,[10]ALL!$C:$C,[10]ALL!$N:$N,"Tidak Ditemukan")</f>
        <v>PETRUS TRIMULIA WANGGA DALA</v>
      </c>
      <c r="G1490" s="21"/>
    </row>
    <row r="1491" spans="2:7">
      <c r="B1491" s="22" t="s">
        <v>1455</v>
      </c>
      <c r="C1491" s="23" t="s">
        <v>1456</v>
      </c>
      <c r="D1491" s="24" t="s">
        <v>1536</v>
      </c>
      <c r="E1491" s="25" t="s">
        <v>1722</v>
      </c>
      <c r="F1491" s="16" t="str">
        <f>_xlfn.XLOOKUP(D1491,[10]ALL!$C:$C,[10]ALL!$N:$N,"Tidak Ditemukan")</f>
        <v>CHINDY BIRE</v>
      </c>
      <c r="G1491" s="21"/>
    </row>
    <row r="1492" spans="2:7">
      <c r="B1492" s="22" t="s">
        <v>1455</v>
      </c>
      <c r="C1492" s="23" t="s">
        <v>1456</v>
      </c>
      <c r="D1492" s="24" t="s">
        <v>1537</v>
      </c>
      <c r="E1492" s="25" t="s">
        <v>1722</v>
      </c>
      <c r="F1492" s="16" t="str">
        <f>_xlfn.XLOOKUP(D1492,[10]ALL!$C:$C,[10]ALL!$N:$N,"Tidak Ditemukan")</f>
        <v>FAHRURRAZI</v>
      </c>
      <c r="G1492" s="21"/>
    </row>
    <row r="1493" spans="2:7">
      <c r="B1493" s="22" t="s">
        <v>1455</v>
      </c>
      <c r="C1493" s="23" t="s">
        <v>1456</v>
      </c>
      <c r="D1493" s="24" t="s">
        <v>1538</v>
      </c>
      <c r="E1493" s="25" t="s">
        <v>1722</v>
      </c>
      <c r="F1493" s="16" t="str">
        <f>_xlfn.XLOOKUP(D1493,[10]ALL!$C:$C,[10]ALL!$N:$N,"Tidak Ditemukan")</f>
        <v>PETRUS TRIMULIA WANGGA DALA</v>
      </c>
      <c r="G1493" s="21"/>
    </row>
    <row r="1494" spans="2:7">
      <c r="B1494" s="22" t="s">
        <v>1455</v>
      </c>
      <c r="C1494" s="23" t="s">
        <v>1456</v>
      </c>
      <c r="D1494" s="24" t="s">
        <v>1539</v>
      </c>
      <c r="E1494" s="25" t="s">
        <v>1722</v>
      </c>
      <c r="F1494" s="16" t="str">
        <f>_xlfn.XLOOKUP(D1494,[10]ALL!$C:$C,[10]ALL!$N:$N,"Tidak Ditemukan")</f>
        <v>ALOYSIUS RIWANTO</v>
      </c>
      <c r="G1494" s="21"/>
    </row>
    <row r="1495" spans="2:7">
      <c r="B1495" s="22" t="s">
        <v>1455</v>
      </c>
      <c r="C1495" s="23" t="s">
        <v>1456</v>
      </c>
      <c r="D1495" s="24" t="s">
        <v>1540</v>
      </c>
      <c r="E1495" s="25" t="s">
        <v>1722</v>
      </c>
      <c r="F1495" s="16" t="str">
        <f>_xlfn.XLOOKUP(D1495,[10]ALL!$C:$C,[10]ALL!$N:$N,"Tidak Ditemukan")</f>
        <v>MUHAMMAD JUMADIL</v>
      </c>
      <c r="G1495" s="21"/>
    </row>
    <row r="1496" spans="2:7">
      <c r="B1496" s="22" t="s">
        <v>1455</v>
      </c>
      <c r="C1496" s="23" t="s">
        <v>1456</v>
      </c>
      <c r="D1496" s="24" t="s">
        <v>1541</v>
      </c>
      <c r="E1496" s="25" t="s">
        <v>1722</v>
      </c>
      <c r="F1496" s="16" t="str">
        <f>_xlfn.XLOOKUP(D1496,[10]ALL!$C:$C,[10]ALL!$N:$N,"Tidak Ditemukan")</f>
        <v>I Gd Andika Adi Prasetya Murya</v>
      </c>
      <c r="G1496" s="21"/>
    </row>
    <row r="1497" spans="2:7">
      <c r="B1497" s="22" t="s">
        <v>1455</v>
      </c>
      <c r="C1497" s="23" t="s">
        <v>1456</v>
      </c>
      <c r="D1497" s="24" t="s">
        <v>1542</v>
      </c>
      <c r="E1497" s="25" t="s">
        <v>1722</v>
      </c>
      <c r="F1497" s="16" t="str">
        <f>_xlfn.XLOOKUP(D1497,[10]ALL!$C:$C,[10]ALL!$N:$N,"Tidak Ditemukan")</f>
        <v>MUHAMMAD JUMADIL</v>
      </c>
      <c r="G1497" s="21"/>
    </row>
    <row r="1498" spans="2:7">
      <c r="B1498" s="22" t="s">
        <v>1455</v>
      </c>
      <c r="C1498" s="23" t="s">
        <v>1456</v>
      </c>
      <c r="D1498" s="24" t="s">
        <v>1543</v>
      </c>
      <c r="E1498" s="25" t="s">
        <v>1722</v>
      </c>
      <c r="F1498" s="16" t="str">
        <f>_xlfn.XLOOKUP(D1498,[10]ALL!$C:$C,[10]ALL!$N:$N,"Tidak Ditemukan")</f>
        <v>GUSTI NGURAH ARY RAKA DARMAYASA, SE.MM</v>
      </c>
      <c r="G1498" s="21"/>
    </row>
    <row r="1499" spans="2:7">
      <c r="B1499" s="22" t="s">
        <v>1455</v>
      </c>
      <c r="C1499" s="23" t="s">
        <v>1456</v>
      </c>
      <c r="D1499" s="24" t="s">
        <v>1544</v>
      </c>
      <c r="E1499" s="25" t="s">
        <v>1722</v>
      </c>
      <c r="F1499" s="16" t="str">
        <f>_xlfn.XLOOKUP(D1499,[10]ALL!$C:$C,[10]ALL!$N:$N,"Tidak Ditemukan")</f>
        <v>MUHAMMAD TONY NUGRAHA</v>
      </c>
      <c r="G1499" s="21"/>
    </row>
    <row r="1500" spans="2:7">
      <c r="B1500" s="22" t="s">
        <v>1455</v>
      </c>
      <c r="C1500" s="23" t="s">
        <v>1456</v>
      </c>
      <c r="D1500" s="24" t="s">
        <v>1545</v>
      </c>
      <c r="E1500" s="25" t="s">
        <v>1722</v>
      </c>
      <c r="F1500" s="16" t="str">
        <f>_xlfn.XLOOKUP(D1500,[10]ALL!$C:$C,[10]ALL!$N:$N,"Tidak Ditemukan")</f>
        <v>MUHAMMAD TONY NUGRAHA</v>
      </c>
      <c r="G1500" s="21"/>
    </row>
    <row r="1501" spans="2:7">
      <c r="B1501" s="22" t="s">
        <v>1455</v>
      </c>
      <c r="C1501" s="23" t="s">
        <v>1456</v>
      </c>
      <c r="D1501" s="24" t="s">
        <v>1546</v>
      </c>
      <c r="E1501" s="25" t="s">
        <v>1722</v>
      </c>
      <c r="F1501" s="16" t="str">
        <f>_xlfn.XLOOKUP(D1501,[10]ALL!$C:$C,[10]ALL!$N:$N,"Tidak Ditemukan")</f>
        <v>GUSTI NGURAH ARY RAKA DARMAYASA, SE.MM</v>
      </c>
      <c r="G1501" s="21"/>
    </row>
    <row r="1502" spans="2:7">
      <c r="B1502" s="22" t="s">
        <v>1455</v>
      </c>
      <c r="C1502" s="23" t="s">
        <v>1456</v>
      </c>
      <c r="D1502" s="24" t="s">
        <v>1547</v>
      </c>
      <c r="E1502" s="25" t="s">
        <v>1722</v>
      </c>
      <c r="F1502" s="16" t="str">
        <f>_xlfn.XLOOKUP(D1502,[10]ALL!$C:$C,[10]ALL!$N:$N,"Tidak Ditemukan")</f>
        <v>GEMAYA WANGSA</v>
      </c>
      <c r="G1502" s="21"/>
    </row>
    <row r="1503" spans="2:7">
      <c r="B1503" s="22" t="s">
        <v>1455</v>
      </c>
      <c r="C1503" s="23" t="s">
        <v>1456</v>
      </c>
      <c r="D1503" s="24" t="s">
        <v>1548</v>
      </c>
      <c r="E1503" s="25" t="s">
        <v>1722</v>
      </c>
      <c r="F1503" s="16" t="str">
        <f>_xlfn.XLOOKUP(D1503,[10]ALL!$C:$C,[10]ALL!$N:$N,"Tidak Ditemukan")</f>
        <v>AGUS KADE DIVA RAMANA</v>
      </c>
      <c r="G1503" s="21"/>
    </row>
    <row r="1504" spans="2:7">
      <c r="B1504" s="22" t="s">
        <v>1455</v>
      </c>
      <c r="C1504" s="23" t="s">
        <v>1456</v>
      </c>
      <c r="D1504" s="24" t="s">
        <v>1549</v>
      </c>
      <c r="E1504" s="25" t="s">
        <v>1722</v>
      </c>
      <c r="F1504" s="16" t="str">
        <f>_xlfn.XLOOKUP(D1504,[10]ALL!$C:$C,[10]ALL!$N:$N,"Tidak Ditemukan")</f>
        <v>GEMAYA WANGSA</v>
      </c>
      <c r="G1504" s="21"/>
    </row>
    <row r="1505" spans="2:7">
      <c r="B1505" s="22" t="s">
        <v>1455</v>
      </c>
      <c r="C1505" s="23" t="s">
        <v>1456</v>
      </c>
      <c r="D1505" s="24" t="s">
        <v>1550</v>
      </c>
      <c r="E1505" s="25" t="s">
        <v>1722</v>
      </c>
      <c r="F1505" s="16" t="str">
        <f>_xlfn.XLOOKUP(D1505,[10]ALL!$C:$C,[10]ALL!$N:$N,"Tidak Ditemukan")</f>
        <v>YUNAN FURQONA RAMADHANI</v>
      </c>
      <c r="G1505" s="21"/>
    </row>
    <row r="1506" spans="2:7">
      <c r="B1506" s="22" t="s">
        <v>1455</v>
      </c>
      <c r="C1506" s="23" t="s">
        <v>1456</v>
      </c>
      <c r="D1506" s="24" t="s">
        <v>1551</v>
      </c>
      <c r="E1506" s="25" t="s">
        <v>1722</v>
      </c>
      <c r="F1506" s="16" t="str">
        <f>_xlfn.XLOOKUP(D1506,[10]ALL!$C:$C,[10]ALL!$N:$N,"Tidak Ditemukan")</f>
        <v>I Gd Andika Adi Prasetya Murya</v>
      </c>
      <c r="G1506" s="21"/>
    </row>
    <row r="1507" spans="2:7">
      <c r="B1507" s="22" t="s">
        <v>1455</v>
      </c>
      <c r="C1507" s="23" t="s">
        <v>1456</v>
      </c>
      <c r="D1507" s="24" t="s">
        <v>1552</v>
      </c>
      <c r="E1507" s="25" t="s">
        <v>1722</v>
      </c>
      <c r="F1507" s="16" t="str">
        <f>_xlfn.XLOOKUP(D1507,[10]ALL!$C:$C,[10]ALL!$N:$N,"Tidak Ditemukan")</f>
        <v>I Gd Andika Adi Prasetya Murya</v>
      </c>
      <c r="G1507" s="21"/>
    </row>
    <row r="1508" spans="2:7">
      <c r="B1508" s="22" t="s">
        <v>1455</v>
      </c>
      <c r="C1508" s="23" t="s">
        <v>1456</v>
      </c>
      <c r="D1508" s="24" t="s">
        <v>1553</v>
      </c>
      <c r="E1508" s="25" t="s">
        <v>1722</v>
      </c>
      <c r="F1508" s="16" t="str">
        <f>_xlfn.XLOOKUP(D1508,[10]ALL!$C:$C,[10]ALL!$N:$N,"Tidak Ditemukan")</f>
        <v>AGUSTINUS DICKY PURWONO</v>
      </c>
      <c r="G1508" s="21"/>
    </row>
    <row r="1509" spans="2:7">
      <c r="B1509" s="22" t="s">
        <v>1455</v>
      </c>
      <c r="C1509" s="23" t="s">
        <v>1456</v>
      </c>
      <c r="D1509" s="24" t="s">
        <v>1554</v>
      </c>
      <c r="E1509" s="25" t="s">
        <v>1722</v>
      </c>
      <c r="F1509" s="16" t="str">
        <f>_xlfn.XLOOKUP(D1509,[10]ALL!$C:$C,[10]ALL!$N:$N,"Tidak Ditemukan")</f>
        <v>AGUSTINUS DICKY PURWONO</v>
      </c>
      <c r="G1509" s="21"/>
    </row>
    <row r="1510" spans="2:7">
      <c r="B1510" s="22" t="s">
        <v>1455</v>
      </c>
      <c r="C1510" s="23" t="s">
        <v>1456</v>
      </c>
      <c r="D1510" s="24" t="s">
        <v>1555</v>
      </c>
      <c r="E1510" s="25" t="s">
        <v>1722</v>
      </c>
      <c r="F1510" s="16" t="str">
        <f>_xlfn.XLOOKUP(D1510,[10]ALL!$C:$C,[10]ALL!$N:$N,"Tidak Ditemukan")</f>
        <v>AGUSTINUS DICKY PURWONO</v>
      </c>
      <c r="G1510" s="21"/>
    </row>
    <row r="1511" spans="2:7">
      <c r="B1511" s="22" t="s">
        <v>1455</v>
      </c>
      <c r="C1511" s="23" t="s">
        <v>1456</v>
      </c>
      <c r="D1511" s="24" t="s">
        <v>1556</v>
      </c>
      <c r="E1511" s="25" t="s">
        <v>1722</v>
      </c>
      <c r="F1511" s="16" t="str">
        <f>_xlfn.XLOOKUP(D1511,[10]ALL!$C:$C,[10]ALL!$N:$N,"Tidak Ditemukan")</f>
        <v>AGUSTINUS DICKY PURWONO</v>
      </c>
      <c r="G1511" s="21"/>
    </row>
    <row r="1512" spans="2:7">
      <c r="B1512" s="22" t="s">
        <v>1455</v>
      </c>
      <c r="C1512" s="23" t="s">
        <v>1456</v>
      </c>
      <c r="D1512" s="24" t="s">
        <v>1557</v>
      </c>
      <c r="E1512" s="25" t="s">
        <v>1722</v>
      </c>
      <c r="F1512" s="16" t="str">
        <f>_xlfn.XLOOKUP(D1512,[10]ALL!$C:$C,[10]ALL!$N:$N,"Tidak Ditemukan")</f>
        <v>I Gd Andika Adi Prasetya Murya</v>
      </c>
      <c r="G1512" s="21"/>
    </row>
    <row r="1513" spans="2:7">
      <c r="B1513" s="22" t="s">
        <v>1455</v>
      </c>
      <c r="C1513" s="23" t="s">
        <v>1456</v>
      </c>
      <c r="D1513" s="24" t="s">
        <v>1558</v>
      </c>
      <c r="E1513" s="25" t="s">
        <v>1722</v>
      </c>
      <c r="F1513" s="16" t="str">
        <f>_xlfn.XLOOKUP(D1513,[10]ALL!$C:$C,[10]ALL!$N:$N,"Tidak Ditemukan")</f>
        <v>YUNAN FURQONA RAMADHANI</v>
      </c>
      <c r="G1513" s="21"/>
    </row>
    <row r="1514" spans="2:7">
      <c r="B1514" s="22" t="s">
        <v>1455</v>
      </c>
      <c r="C1514" s="23" t="s">
        <v>1456</v>
      </c>
      <c r="D1514" s="24" t="s">
        <v>1559</v>
      </c>
      <c r="E1514" s="25" t="s">
        <v>1722</v>
      </c>
      <c r="F1514" s="16" t="str">
        <f>_xlfn.XLOOKUP(D1514,[10]ALL!$C:$C,[10]ALL!$N:$N,"Tidak Ditemukan")</f>
        <v>GUSTI NGURAH ARY RAKA DARMAYASA, SE.MM</v>
      </c>
      <c r="G1514" s="21"/>
    </row>
    <row r="1515" spans="2:7">
      <c r="B1515" s="22" t="s">
        <v>1455</v>
      </c>
      <c r="C1515" s="23" t="s">
        <v>1456</v>
      </c>
      <c r="D1515" s="24" t="s">
        <v>1560</v>
      </c>
      <c r="E1515" s="25" t="s">
        <v>1722</v>
      </c>
      <c r="F1515" s="16" t="str">
        <f>_xlfn.XLOOKUP(D1515,[10]ALL!$C:$C,[10]ALL!$N:$N,"Tidak Ditemukan")</f>
        <v>AGUSTINUS DICKY PURWONO</v>
      </c>
      <c r="G1515" s="21"/>
    </row>
    <row r="1516" spans="2:7">
      <c r="B1516" s="22" t="s">
        <v>1455</v>
      </c>
      <c r="C1516" s="23" t="s">
        <v>1456</v>
      </c>
      <c r="D1516" s="24" t="s">
        <v>1561</v>
      </c>
      <c r="E1516" s="25" t="s">
        <v>1722</v>
      </c>
      <c r="F1516" s="16" t="str">
        <f>_xlfn.XLOOKUP(D1516,[10]ALL!$C:$C,[10]ALL!$N:$N,"Tidak Ditemukan")</f>
        <v>GUSTI NGURAH ARY RAKA DARMAYASA, SE.MM</v>
      </c>
      <c r="G1516" s="21"/>
    </row>
    <row r="1517" spans="2:7">
      <c r="B1517" s="22" t="s">
        <v>1455</v>
      </c>
      <c r="C1517" s="23" t="s">
        <v>1456</v>
      </c>
      <c r="D1517" s="24" t="s">
        <v>1562</v>
      </c>
      <c r="E1517" s="25" t="s">
        <v>1722</v>
      </c>
      <c r="F1517" s="16" t="str">
        <f>_xlfn.XLOOKUP(D1517,[10]ALL!$C:$C,[10]ALL!$N:$N,"Tidak Ditemukan")</f>
        <v>YUNAN FURQONA RAMADHANI</v>
      </c>
      <c r="G1517" s="21"/>
    </row>
    <row r="1518" spans="2:7">
      <c r="B1518" s="22" t="s">
        <v>1455</v>
      </c>
      <c r="C1518" s="23" t="s">
        <v>1456</v>
      </c>
      <c r="D1518" s="24" t="s">
        <v>1563</v>
      </c>
      <c r="E1518" s="25" t="s">
        <v>1722</v>
      </c>
      <c r="F1518" s="16" t="str">
        <f>_xlfn.XLOOKUP(D1518,[10]ALL!$C:$C,[10]ALL!$N:$N,"Tidak Ditemukan")</f>
        <v>YUNAN FURQONA RAMADHANI</v>
      </c>
      <c r="G1518" s="21"/>
    </row>
    <row r="1519" spans="2:7">
      <c r="B1519" s="22" t="s">
        <v>1455</v>
      </c>
      <c r="C1519" s="23" t="s">
        <v>1456</v>
      </c>
      <c r="D1519" s="24" t="s">
        <v>1564</v>
      </c>
      <c r="E1519" s="25" t="s">
        <v>1722</v>
      </c>
      <c r="F1519" s="16" t="str">
        <f>_xlfn.XLOOKUP(D1519,[10]ALL!$C:$C,[10]ALL!$N:$N,"Tidak Ditemukan")</f>
        <v>DEAR RAMOS DAMANIK</v>
      </c>
      <c r="G1519" s="21"/>
    </row>
    <row r="1520" spans="2:7">
      <c r="B1520" s="22" t="s">
        <v>1455</v>
      </c>
      <c r="C1520" s="23" t="s">
        <v>1456</v>
      </c>
      <c r="D1520" s="24" t="s">
        <v>1565</v>
      </c>
      <c r="E1520" s="25" t="s">
        <v>1722</v>
      </c>
      <c r="F1520" s="16" t="str">
        <f>_xlfn.XLOOKUP(D1520,[10]ALL!$C:$C,[10]ALL!$N:$N,"Tidak Ditemukan")</f>
        <v>DEAR RAMOS DAMANIK</v>
      </c>
      <c r="G1520" s="21"/>
    </row>
    <row r="1521" spans="2:7">
      <c r="B1521" s="22" t="s">
        <v>1455</v>
      </c>
      <c r="C1521" s="23" t="s">
        <v>1456</v>
      </c>
      <c r="D1521" s="24" t="s">
        <v>1566</v>
      </c>
      <c r="E1521" s="25" t="s">
        <v>1722</v>
      </c>
      <c r="F1521" s="16" t="str">
        <f>_xlfn.XLOOKUP(D1521,[10]ALL!$C:$C,[10]ALL!$N:$N,"Tidak Ditemukan")</f>
        <v>AGUS KADE DIVA RAMANA</v>
      </c>
      <c r="G1521" s="21"/>
    </row>
    <row r="1522" spans="2:7">
      <c r="B1522" s="22" t="s">
        <v>1455</v>
      </c>
      <c r="C1522" s="23" t="s">
        <v>1456</v>
      </c>
      <c r="D1522" s="24" t="s">
        <v>1567</v>
      </c>
      <c r="E1522" s="25" t="s">
        <v>1722</v>
      </c>
      <c r="F1522" s="16" t="str">
        <f>_xlfn.XLOOKUP(D1522,[10]ALL!$C:$C,[10]ALL!$N:$N,"Tidak Ditemukan")</f>
        <v>DEAR RAMOS DAMANIK</v>
      </c>
      <c r="G1522" s="21"/>
    </row>
    <row r="1523" spans="2:7">
      <c r="B1523" s="22" t="s">
        <v>1455</v>
      </c>
      <c r="C1523" s="23" t="s">
        <v>1456</v>
      </c>
      <c r="D1523" s="24" t="s">
        <v>1568</v>
      </c>
      <c r="E1523" s="25" t="s">
        <v>1722</v>
      </c>
      <c r="F1523" s="16" t="str">
        <f>_xlfn.XLOOKUP(D1523,[10]ALL!$C:$C,[10]ALL!$N:$N,"Tidak Ditemukan")</f>
        <v>AGUS KADE DIVA RAMANA</v>
      </c>
      <c r="G1523" s="21"/>
    </row>
    <row r="1524" spans="2:7">
      <c r="B1524" s="22" t="s">
        <v>1455</v>
      </c>
      <c r="C1524" s="23" t="s">
        <v>1456</v>
      </c>
      <c r="D1524" s="24" t="s">
        <v>1569</v>
      </c>
      <c r="E1524" s="25" t="s">
        <v>1722</v>
      </c>
      <c r="F1524" s="16" t="str">
        <f>_xlfn.XLOOKUP(D1524,[10]ALL!$C:$C,[10]ALL!$N:$N,"Tidak Ditemukan")</f>
        <v>DEAR RAMOS DAMANIK</v>
      </c>
      <c r="G1524" s="21"/>
    </row>
    <row r="1525" spans="2:7">
      <c r="B1525" s="22" t="s">
        <v>1455</v>
      </c>
      <c r="C1525" s="23" t="s">
        <v>1456</v>
      </c>
      <c r="D1525" s="24" t="s">
        <v>1570</v>
      </c>
      <c r="E1525" s="25" t="s">
        <v>1722</v>
      </c>
      <c r="F1525" s="16" t="str">
        <f>_xlfn.XLOOKUP(D1525,[10]ALL!$C:$C,[10]ALL!$N:$N,"Tidak Ditemukan")</f>
        <v>DEAR RAMOS DAMANIK</v>
      </c>
      <c r="G1525" s="21"/>
    </row>
    <row r="1526" spans="2:7">
      <c r="B1526" s="22" t="s">
        <v>1455</v>
      </c>
      <c r="C1526" s="23" t="s">
        <v>1456</v>
      </c>
      <c r="D1526" s="24" t="s">
        <v>1571</v>
      </c>
      <c r="E1526" s="25" t="s">
        <v>1722</v>
      </c>
      <c r="F1526" s="16" t="str">
        <f>_xlfn.XLOOKUP(D1526,[10]ALL!$C:$C,[10]ALL!$N:$N,"Tidak Ditemukan")</f>
        <v>DEAR RAMOS DAMANIK</v>
      </c>
      <c r="G1526" s="21"/>
    </row>
    <row r="1527" spans="2:7">
      <c r="B1527" s="22" t="s">
        <v>1455</v>
      </c>
      <c r="C1527" s="23" t="s">
        <v>1456</v>
      </c>
      <c r="D1527" s="24" t="s">
        <v>1572</v>
      </c>
      <c r="E1527" s="25" t="s">
        <v>1722</v>
      </c>
      <c r="F1527" s="16" t="str">
        <f>_xlfn.XLOOKUP(D1527,[10]ALL!$C:$C,[10]ALL!$N:$N,"Tidak Ditemukan")</f>
        <v>Rino Prasetya Wibowo</v>
      </c>
      <c r="G1527" s="21"/>
    </row>
    <row r="1528" spans="2:7">
      <c r="B1528" s="22" t="s">
        <v>1455</v>
      </c>
      <c r="C1528" s="23" t="s">
        <v>1456</v>
      </c>
      <c r="D1528" s="24" t="s">
        <v>1573</v>
      </c>
      <c r="E1528" s="25" t="s">
        <v>1722</v>
      </c>
      <c r="F1528" s="16" t="str">
        <f>_xlfn.XLOOKUP(D1528,[10]ALL!$C:$C,[10]ALL!$N:$N,"Tidak Ditemukan")</f>
        <v>I GEDE BAGUS ADI SURYAWAN , ST</v>
      </c>
      <c r="G1528" s="21"/>
    </row>
    <row r="1529" spans="2:7">
      <c r="B1529" s="22" t="s">
        <v>1455</v>
      </c>
      <c r="C1529" s="23" t="s">
        <v>1456</v>
      </c>
      <c r="D1529" s="24" t="s">
        <v>1574</v>
      </c>
      <c r="E1529" s="25" t="s">
        <v>1722</v>
      </c>
      <c r="F1529" s="16" t="str">
        <f>_xlfn.XLOOKUP(D1529,[10]ALL!$C:$C,[10]ALL!$N:$N,"Tidak Ditemukan")</f>
        <v>Rino Prasetya Wibowo</v>
      </c>
      <c r="G1529" s="21"/>
    </row>
    <row r="1530" spans="2:7">
      <c r="B1530" s="22" t="s">
        <v>1455</v>
      </c>
      <c r="C1530" s="23" t="s">
        <v>1456</v>
      </c>
      <c r="D1530" s="24" t="s">
        <v>1575</v>
      </c>
      <c r="E1530" s="25" t="s">
        <v>1722</v>
      </c>
      <c r="F1530" s="16" t="str">
        <f>_xlfn.XLOOKUP(D1530,[10]ALL!$C:$C,[10]ALL!$N:$N,"Tidak Ditemukan")</f>
        <v>AGUS PRADNYANA</v>
      </c>
      <c r="G1530" s="21"/>
    </row>
    <row r="1531" spans="2:7">
      <c r="B1531" s="22" t="s">
        <v>1455</v>
      </c>
      <c r="C1531" s="23" t="s">
        <v>1456</v>
      </c>
      <c r="D1531" s="24" t="s">
        <v>1576</v>
      </c>
      <c r="E1531" s="25" t="s">
        <v>1722</v>
      </c>
      <c r="F1531" s="16" t="str">
        <f>_xlfn.XLOOKUP(D1531,[10]ALL!$C:$C,[10]ALL!$N:$N,"Tidak Ditemukan")</f>
        <v>I KOMANG FERI INDRAJAYA</v>
      </c>
      <c r="G1531" s="21"/>
    </row>
    <row r="1532" spans="2:7">
      <c r="B1532" s="22" t="s">
        <v>1455</v>
      </c>
      <c r="C1532" s="23" t="s">
        <v>1456</v>
      </c>
      <c r="D1532" s="24" t="s">
        <v>1577</v>
      </c>
      <c r="E1532" s="25" t="s">
        <v>1722</v>
      </c>
      <c r="F1532" s="16" t="str">
        <f>_xlfn.XLOOKUP(D1532,[10]ALL!$C:$C,[10]ALL!$N:$N,"Tidak Ditemukan")</f>
        <v>AGUS PRADNYANA</v>
      </c>
      <c r="G1532" s="21"/>
    </row>
    <row r="1533" spans="2:7">
      <c r="B1533" s="22" t="s">
        <v>1455</v>
      </c>
      <c r="C1533" s="23" t="s">
        <v>1456</v>
      </c>
      <c r="D1533" s="24" t="s">
        <v>1578</v>
      </c>
      <c r="E1533" s="25" t="s">
        <v>1722</v>
      </c>
      <c r="F1533" s="16" t="str">
        <f>_xlfn.XLOOKUP(D1533,[10]ALL!$C:$C,[10]ALL!$N:$N,"Tidak Ditemukan")</f>
        <v>YUNAN FURQONA RAMADHANI</v>
      </c>
      <c r="G1533" s="21"/>
    </row>
    <row r="1534" spans="2:7">
      <c r="B1534" s="22" t="s">
        <v>1455</v>
      </c>
      <c r="C1534" s="23" t="s">
        <v>1456</v>
      </c>
      <c r="D1534" s="24" t="s">
        <v>1579</v>
      </c>
      <c r="E1534" s="25" t="s">
        <v>1722</v>
      </c>
      <c r="F1534" s="16" t="str">
        <f>_xlfn.XLOOKUP(D1534,[10]ALL!$C:$C,[10]ALL!$N:$N,"Tidak Ditemukan")</f>
        <v>Suhardi</v>
      </c>
      <c r="G1534" s="21"/>
    </row>
    <row r="1535" spans="2:7">
      <c r="B1535" s="22" t="s">
        <v>1455</v>
      </c>
      <c r="C1535" s="23" t="s">
        <v>1456</v>
      </c>
      <c r="D1535" s="24" t="s">
        <v>1580</v>
      </c>
      <c r="E1535" s="25" t="s">
        <v>1722</v>
      </c>
      <c r="F1535" s="16" t="str">
        <f>_xlfn.XLOOKUP(D1535,[10]ALL!$C:$C,[10]ALL!$N:$N,"Tidak Ditemukan")</f>
        <v>I Gd Andika Adi Prasetya Murya</v>
      </c>
      <c r="G1535" s="21"/>
    </row>
    <row r="1536" spans="2:7">
      <c r="B1536" s="22" t="s">
        <v>1455</v>
      </c>
      <c r="C1536" s="23" t="s">
        <v>1456</v>
      </c>
      <c r="D1536" s="24" t="s">
        <v>1581</v>
      </c>
      <c r="E1536" s="25" t="s">
        <v>1722</v>
      </c>
      <c r="F1536" s="16" t="str">
        <f>_xlfn.XLOOKUP(D1536,[10]ALL!$C:$C,[10]ALL!$N:$N,"Tidak Ditemukan")</f>
        <v>DEAR RAMOS DAMANIK</v>
      </c>
      <c r="G1536" s="21"/>
    </row>
    <row r="1537" spans="2:7">
      <c r="B1537" s="22" t="s">
        <v>1455</v>
      </c>
      <c r="C1537" s="23" t="s">
        <v>1456</v>
      </c>
      <c r="D1537" s="24" t="s">
        <v>1582</v>
      </c>
      <c r="E1537" s="25" t="s">
        <v>1722</v>
      </c>
      <c r="F1537" s="16" t="str">
        <f>_xlfn.XLOOKUP(D1537,[10]ALL!$C:$C,[10]ALL!$N:$N,"Tidak Ditemukan")</f>
        <v>DEAR RAMOS DAMANIK</v>
      </c>
      <c r="G1537" s="21"/>
    </row>
    <row r="1538" spans="2:7">
      <c r="B1538" s="22" t="s">
        <v>1455</v>
      </c>
      <c r="C1538" s="23" t="s">
        <v>1456</v>
      </c>
      <c r="D1538" s="24" t="s">
        <v>1583</v>
      </c>
      <c r="E1538" s="25" t="s">
        <v>1722</v>
      </c>
      <c r="F1538" s="16" t="str">
        <f>_xlfn.XLOOKUP(D1538,[10]ALL!$C:$C,[10]ALL!$N:$N,"Tidak Ditemukan")</f>
        <v>GEMAYA WANGSA</v>
      </c>
      <c r="G1538" s="21"/>
    </row>
    <row r="1539" spans="2:7">
      <c r="B1539" s="22" t="s">
        <v>1455</v>
      </c>
      <c r="C1539" s="23" t="s">
        <v>1456</v>
      </c>
      <c r="D1539" s="24" t="s">
        <v>1584</v>
      </c>
      <c r="E1539" s="25" t="s">
        <v>1722</v>
      </c>
      <c r="F1539" s="16" t="str">
        <f>_xlfn.XLOOKUP(D1539,[10]ALL!$C:$C,[10]ALL!$N:$N,"Tidak Ditemukan")</f>
        <v>DEAR RAMOS DAMANIK</v>
      </c>
      <c r="G1539" s="21"/>
    </row>
    <row r="1540" spans="2:7">
      <c r="B1540" s="22" t="s">
        <v>1455</v>
      </c>
      <c r="C1540" s="23" t="s">
        <v>1456</v>
      </c>
      <c r="D1540" s="24" t="s">
        <v>1585</v>
      </c>
      <c r="E1540" s="25" t="e">
        <v>#N/A</v>
      </c>
      <c r="F1540" s="16" t="str">
        <f>_xlfn.XLOOKUP(D1540,[10]ALL!$C:$C,[10]ALL!$N:$N,"Tidak Ditemukan")</f>
        <v>DEAR RAMOS DAMANIK</v>
      </c>
      <c r="G1540" s="21"/>
    </row>
    <row r="1541" spans="2:7">
      <c r="B1541" s="22" t="s">
        <v>1455</v>
      </c>
      <c r="C1541" s="23" t="s">
        <v>1456</v>
      </c>
      <c r="D1541" s="24" t="s">
        <v>1586</v>
      </c>
      <c r="E1541" s="25" t="s">
        <v>1722</v>
      </c>
      <c r="F1541" s="16" t="str">
        <f>_xlfn.XLOOKUP(D1541,[10]ALL!$C:$C,[10]ALL!$N:$N,"Tidak Ditemukan")</f>
        <v>Suhardi</v>
      </c>
      <c r="G1541" s="21"/>
    </row>
    <row r="1542" spans="2:7">
      <c r="B1542" s="22" t="s">
        <v>1455</v>
      </c>
      <c r="C1542" s="23" t="s">
        <v>1456</v>
      </c>
      <c r="D1542" s="24" t="s">
        <v>1587</v>
      </c>
      <c r="E1542" s="25" t="s">
        <v>1722</v>
      </c>
      <c r="F1542" s="16" t="str">
        <f>_xlfn.XLOOKUP(D1542,[10]ALL!$C:$C,[10]ALL!$N:$N,"Tidak Ditemukan")</f>
        <v>M. SALAHUDIN</v>
      </c>
      <c r="G1542" s="21"/>
    </row>
    <row r="1543" spans="2:7">
      <c r="B1543" s="22" t="s">
        <v>1455</v>
      </c>
      <c r="C1543" s="23" t="s">
        <v>1456</v>
      </c>
      <c r="D1543" s="24" t="s">
        <v>1588</v>
      </c>
      <c r="E1543" s="25" t="s">
        <v>1722</v>
      </c>
      <c r="F1543" s="16" t="str">
        <f>_xlfn.XLOOKUP(D1543,[10]ALL!$C:$C,[10]ALL!$N:$N,"Tidak Ditemukan")</f>
        <v>Abi Hilmawan</v>
      </c>
      <c r="G1543" s="21"/>
    </row>
    <row r="1544" spans="2:7">
      <c r="B1544" s="22" t="s">
        <v>1455</v>
      </c>
      <c r="C1544" s="23" t="s">
        <v>1456</v>
      </c>
      <c r="D1544" s="24" t="s">
        <v>1589</v>
      </c>
      <c r="E1544" s="25" t="s">
        <v>1722</v>
      </c>
      <c r="F1544" s="16" t="str">
        <f>_xlfn.XLOOKUP(D1544,[10]ALL!$C:$C,[10]ALL!$N:$N,"Tidak Ditemukan")</f>
        <v>Abi Hilmawan</v>
      </c>
      <c r="G1544" s="21"/>
    </row>
    <row r="1545" spans="2:7">
      <c r="B1545" s="22" t="s">
        <v>1455</v>
      </c>
      <c r="C1545" s="23" t="s">
        <v>1456</v>
      </c>
      <c r="D1545" s="24" t="s">
        <v>1590</v>
      </c>
      <c r="E1545" s="25" t="s">
        <v>1722</v>
      </c>
      <c r="F1545" s="16" t="str">
        <f>_xlfn.XLOOKUP(D1545,[10]ALL!$C:$C,[10]ALL!$N:$N,"Tidak Ditemukan")</f>
        <v>I Kadek Sandiyasa</v>
      </c>
      <c r="G1545" s="21"/>
    </row>
    <row r="1546" spans="2:7">
      <c r="B1546" s="22" t="s">
        <v>1455</v>
      </c>
      <c r="C1546" s="23" t="s">
        <v>1456</v>
      </c>
      <c r="D1546" s="24" t="s">
        <v>1591</v>
      </c>
      <c r="E1546" s="25" t="s">
        <v>1722</v>
      </c>
      <c r="F1546" s="16" t="str">
        <f>_xlfn.XLOOKUP(D1546,[10]ALL!$C:$C,[10]ALL!$N:$N,"Tidak Ditemukan")</f>
        <v>Ari Ardiansyah</v>
      </c>
      <c r="G1546" s="21"/>
    </row>
    <row r="1547" spans="2:7">
      <c r="B1547" s="22" t="s">
        <v>1455</v>
      </c>
      <c r="C1547" s="23" t="s">
        <v>1456</v>
      </c>
      <c r="D1547" s="24" t="s">
        <v>1592</v>
      </c>
      <c r="E1547" s="25" t="s">
        <v>1722</v>
      </c>
      <c r="F1547" s="16" t="str">
        <f>_xlfn.XLOOKUP(D1547,[10]ALL!$C:$C,[10]ALL!$N:$N,"Tidak Ditemukan")</f>
        <v>SYARIFUDDIN</v>
      </c>
      <c r="G1547" s="21"/>
    </row>
    <row r="1548" spans="2:7">
      <c r="B1548" s="22" t="s">
        <v>1455</v>
      </c>
      <c r="C1548" s="23" t="s">
        <v>1456</v>
      </c>
      <c r="D1548" s="24" t="s">
        <v>1593</v>
      </c>
      <c r="E1548" s="25" t="s">
        <v>1722</v>
      </c>
      <c r="F1548" s="16" t="str">
        <f>_xlfn.XLOOKUP(D1548,[10]ALL!$C:$C,[10]ALL!$N:$N,"Tidak Ditemukan")</f>
        <v>DENI SUSATYO</v>
      </c>
      <c r="G1548" s="21"/>
    </row>
    <row r="1549" spans="2:7">
      <c r="B1549" s="22" t="s">
        <v>1455</v>
      </c>
      <c r="C1549" s="23" t="s">
        <v>1456</v>
      </c>
      <c r="D1549" s="24" t="s">
        <v>1594</v>
      </c>
      <c r="E1549" s="25" t="s">
        <v>1722</v>
      </c>
      <c r="F1549" s="16" t="str">
        <f>_xlfn.XLOOKUP(D1549,[10]ALL!$C:$C,[10]ALL!$N:$N,"Tidak Ditemukan")</f>
        <v>Syamsul Bahri</v>
      </c>
      <c r="G1549" s="21"/>
    </row>
    <row r="1550" spans="2:7">
      <c r="B1550" s="22" t="s">
        <v>1455</v>
      </c>
      <c r="C1550" s="23" t="s">
        <v>1456</v>
      </c>
      <c r="D1550" s="24" t="s">
        <v>1595</v>
      </c>
      <c r="E1550" s="25" t="s">
        <v>1722</v>
      </c>
      <c r="F1550" s="16" t="str">
        <f>_xlfn.XLOOKUP(D1550,[10]ALL!$C:$C,[10]ALL!$N:$N,"Tidak Ditemukan")</f>
        <v>FAHRURRAZI</v>
      </c>
      <c r="G1550" s="21"/>
    </row>
    <row r="1551" spans="2:7">
      <c r="B1551" s="22" t="s">
        <v>1455</v>
      </c>
      <c r="C1551" s="23" t="s">
        <v>1456</v>
      </c>
      <c r="D1551" s="24" t="s">
        <v>1596</v>
      </c>
      <c r="E1551" s="25" t="s">
        <v>1722</v>
      </c>
      <c r="F1551" s="16" t="str">
        <f>_xlfn.XLOOKUP(D1551,[10]ALL!$C:$C,[10]ALL!$N:$N,"Tidak Ditemukan")</f>
        <v>Abi Hilmawan</v>
      </c>
      <c r="G1551" s="21"/>
    </row>
    <row r="1552" spans="2:7">
      <c r="B1552" s="22" t="s">
        <v>1455</v>
      </c>
      <c r="C1552" s="23" t="s">
        <v>1456</v>
      </c>
      <c r="D1552" s="24" t="s">
        <v>1597</v>
      </c>
      <c r="E1552" s="25" t="s">
        <v>1722</v>
      </c>
      <c r="F1552" s="16" t="str">
        <f>_xlfn.XLOOKUP(D1552,[10]ALL!$C:$C,[10]ALL!$N:$N,"Tidak Ditemukan")</f>
        <v>GEMAYA WANGSA</v>
      </c>
      <c r="G1552" s="21"/>
    </row>
    <row r="1553" spans="2:7">
      <c r="B1553" s="22" t="s">
        <v>1455</v>
      </c>
      <c r="C1553" s="23" t="s">
        <v>1456</v>
      </c>
      <c r="D1553" s="24" t="s">
        <v>1598</v>
      </c>
      <c r="E1553" s="25" t="s">
        <v>1722</v>
      </c>
      <c r="F1553" s="226" t="str">
        <f>_xlfn.XLOOKUP(D1553,[10]ALL!$C:$C,[10]ALL!$N:$N,"Tidak Ditemukan")</f>
        <v>Muhammad Aqil Fadhilah</v>
      </c>
      <c r="G1553" s="21"/>
    </row>
    <row r="1554" spans="2:7">
      <c r="B1554" s="22" t="s">
        <v>1455</v>
      </c>
      <c r="C1554" s="23" t="s">
        <v>1456</v>
      </c>
      <c r="D1554" s="24" t="s">
        <v>1599</v>
      </c>
      <c r="E1554" s="25" t="s">
        <v>1722</v>
      </c>
      <c r="F1554" s="16" t="str">
        <f>_xlfn.XLOOKUP(D1554,[10]ALL!$C:$C,[10]ALL!$N:$N,"Tidak Ditemukan")</f>
        <v>SYARIFUDDIN</v>
      </c>
      <c r="G1554" s="21"/>
    </row>
    <row r="1555" spans="2:7">
      <c r="B1555" s="22" t="s">
        <v>1455</v>
      </c>
      <c r="C1555" s="23" t="s">
        <v>1456</v>
      </c>
      <c r="D1555" s="24" t="s">
        <v>1600</v>
      </c>
      <c r="E1555" s="25" t="s">
        <v>1722</v>
      </c>
      <c r="F1555" s="16" t="str">
        <f>_xlfn.XLOOKUP(D1555,[10]ALL!$C:$C,[10]ALL!$N:$N,"Tidak Ditemukan")</f>
        <v>GEMAYA WANGSA</v>
      </c>
      <c r="G1555" s="21"/>
    </row>
    <row r="1556" spans="2:7">
      <c r="B1556" s="22" t="s">
        <v>1455</v>
      </c>
      <c r="C1556" s="23" t="s">
        <v>1456</v>
      </c>
      <c r="D1556" s="24" t="s">
        <v>1601</v>
      </c>
      <c r="E1556" s="25" t="s">
        <v>1722</v>
      </c>
      <c r="F1556" s="16" t="str">
        <f>_xlfn.XLOOKUP(D1556,[10]ALL!$C:$C,[10]ALL!$N:$N,"Tidak Ditemukan")</f>
        <v>Abi Hilmawan</v>
      </c>
      <c r="G1556" s="21"/>
    </row>
    <row r="1557" spans="2:7">
      <c r="B1557" s="22" t="s">
        <v>1455</v>
      </c>
      <c r="C1557" s="23" t="s">
        <v>1456</v>
      </c>
      <c r="D1557" s="24" t="s">
        <v>1602</v>
      </c>
      <c r="E1557" s="25" t="s">
        <v>1722</v>
      </c>
      <c r="F1557" s="16" t="str">
        <f>_xlfn.XLOOKUP(D1557,[10]ALL!$C:$C,[10]ALL!$N:$N,"Tidak Ditemukan")</f>
        <v>I Kadek Sandiyasa</v>
      </c>
      <c r="G1557" s="21"/>
    </row>
    <row r="1558" spans="2:7">
      <c r="B1558" s="22" t="s">
        <v>1455</v>
      </c>
      <c r="C1558" s="23" t="s">
        <v>1456</v>
      </c>
      <c r="D1558" s="24" t="s">
        <v>1603</v>
      </c>
      <c r="E1558" s="25" t="s">
        <v>1722</v>
      </c>
      <c r="F1558" s="16" t="str">
        <f>_xlfn.XLOOKUP(D1558,[10]ALL!$C:$C,[10]ALL!$N:$N,"Tidak Ditemukan")</f>
        <v>FAHRURRAZI</v>
      </c>
      <c r="G1558" s="21"/>
    </row>
    <row r="1559" spans="2:7">
      <c r="B1559" s="22" t="s">
        <v>1455</v>
      </c>
      <c r="C1559" s="23" t="s">
        <v>1456</v>
      </c>
      <c r="D1559" s="24" t="s">
        <v>1604</v>
      </c>
      <c r="E1559" s="25" t="s">
        <v>1722</v>
      </c>
      <c r="F1559" s="16" t="str">
        <f>_xlfn.XLOOKUP(D1559,[10]ALL!$C:$C,[10]ALL!$N:$N,"Tidak Ditemukan")</f>
        <v>Ari Ardiansyah</v>
      </c>
      <c r="G1559" s="21"/>
    </row>
    <row r="1560" spans="2:7">
      <c r="B1560" s="22" t="s">
        <v>1455</v>
      </c>
      <c r="C1560" s="23" t="s">
        <v>1456</v>
      </c>
      <c r="D1560" s="24" t="s">
        <v>1605</v>
      </c>
      <c r="E1560" s="25" t="s">
        <v>1722</v>
      </c>
      <c r="F1560" s="16" t="str">
        <f>_xlfn.XLOOKUP(D1560,[10]ALL!$C:$C,[10]ALL!$N:$N,"Tidak Ditemukan")</f>
        <v>Suhardi</v>
      </c>
      <c r="G1560" s="21"/>
    </row>
    <row r="1561" spans="2:7">
      <c r="B1561" s="22" t="s">
        <v>1455</v>
      </c>
      <c r="C1561" s="23" t="s">
        <v>1456</v>
      </c>
      <c r="D1561" s="24" t="s">
        <v>1606</v>
      </c>
      <c r="E1561" s="25" t="s">
        <v>1722</v>
      </c>
      <c r="F1561" s="16" t="str">
        <f>_xlfn.XLOOKUP(D1561,[10]ALL!$C:$C,[10]ALL!$N:$N,"Tidak Ditemukan")</f>
        <v>FAHRURRAZI</v>
      </c>
      <c r="G1561" s="21"/>
    </row>
    <row r="1562" spans="2:7">
      <c r="B1562" s="22" t="s">
        <v>1455</v>
      </c>
      <c r="C1562" s="23" t="s">
        <v>1456</v>
      </c>
      <c r="D1562" s="24" t="s">
        <v>1607</v>
      </c>
      <c r="E1562" s="25" t="s">
        <v>1722</v>
      </c>
      <c r="F1562" s="16" t="str">
        <f>_xlfn.XLOOKUP(D1562,[10]ALL!$C:$C,[10]ALL!$N:$N,"Tidak Ditemukan")</f>
        <v>Ari Ardiansyah</v>
      </c>
      <c r="G1562" s="21"/>
    </row>
    <row r="1563" spans="2:7">
      <c r="B1563" s="22" t="s">
        <v>1455</v>
      </c>
      <c r="C1563" s="23" t="s">
        <v>1456</v>
      </c>
      <c r="D1563" s="24" t="s">
        <v>1608</v>
      </c>
      <c r="E1563" s="25" t="s">
        <v>1722</v>
      </c>
      <c r="F1563" s="16" t="str">
        <f>_xlfn.XLOOKUP(D1563,[10]ALL!$C:$C,[10]ALL!$N:$N,"Tidak Ditemukan")</f>
        <v>ANTON IQRA ANUGRA</v>
      </c>
      <c r="G1563" s="21"/>
    </row>
    <row r="1564" spans="2:7">
      <c r="B1564" s="22" t="s">
        <v>1455</v>
      </c>
      <c r="C1564" s="23" t="s">
        <v>1456</v>
      </c>
      <c r="D1564" s="24" t="s">
        <v>1609</v>
      </c>
      <c r="E1564" s="25" t="s">
        <v>1722</v>
      </c>
      <c r="F1564" s="16" t="str">
        <f>_xlfn.XLOOKUP(D1564,[10]ALL!$C:$C,[10]ALL!$N:$N,"Tidak Ditemukan")</f>
        <v>Ari Ardiansyah</v>
      </c>
      <c r="G1564" s="21"/>
    </row>
    <row r="1565" spans="2:7">
      <c r="B1565" s="22" t="s">
        <v>1455</v>
      </c>
      <c r="C1565" s="23" t="s">
        <v>1456</v>
      </c>
      <c r="D1565" s="24" t="s">
        <v>1610</v>
      </c>
      <c r="E1565" s="25" t="s">
        <v>1722</v>
      </c>
      <c r="F1565" s="16" t="str">
        <f>_xlfn.XLOOKUP(D1565,[10]ALL!$C:$C,[10]ALL!$N:$N,"Tidak Ditemukan")</f>
        <v>DENI SUSATYO</v>
      </c>
      <c r="G1565" s="21"/>
    </row>
    <row r="1566" spans="2:7">
      <c r="B1566" s="22" t="s">
        <v>1455</v>
      </c>
      <c r="C1566" s="23" t="s">
        <v>1456</v>
      </c>
      <c r="D1566" s="24" t="s">
        <v>1611</v>
      </c>
      <c r="E1566" s="25" t="s">
        <v>1722</v>
      </c>
      <c r="F1566" s="16" t="str">
        <f>_xlfn.XLOOKUP(D1566,[10]ALL!$C:$C,[10]ALL!$N:$N,"Tidak Ditemukan")</f>
        <v>Suhardi</v>
      </c>
      <c r="G1566" s="21"/>
    </row>
    <row r="1567" spans="2:7">
      <c r="B1567" s="22" t="s">
        <v>1455</v>
      </c>
      <c r="C1567" s="23" t="s">
        <v>1456</v>
      </c>
      <c r="D1567" s="24" t="s">
        <v>1612</v>
      </c>
      <c r="E1567" s="25" t="s">
        <v>1722</v>
      </c>
      <c r="F1567" s="16" t="str">
        <f>_xlfn.XLOOKUP(D1567,[10]ALL!$C:$C,[10]ALL!$N:$N,"Tidak Ditemukan")</f>
        <v>MUHAMMAD TONY NUGRAHA</v>
      </c>
      <c r="G1567" s="21"/>
    </row>
    <row r="1568" spans="2:7">
      <c r="B1568" s="22" t="s">
        <v>1455</v>
      </c>
      <c r="C1568" s="23" t="s">
        <v>1456</v>
      </c>
      <c r="D1568" s="24" t="s">
        <v>1613</v>
      </c>
      <c r="E1568" s="25" t="s">
        <v>1722</v>
      </c>
      <c r="F1568" s="16" t="str">
        <f>_xlfn.XLOOKUP(D1568,[10]ALL!$C:$C,[10]ALL!$N:$N,"Tidak Ditemukan")</f>
        <v>MUHAMMAD TONY NUGRAHA</v>
      </c>
      <c r="G1568" s="21"/>
    </row>
    <row r="1569" spans="2:7">
      <c r="B1569" s="22" t="s">
        <v>1455</v>
      </c>
      <c r="C1569" s="23" t="s">
        <v>1456</v>
      </c>
      <c r="D1569" s="24" t="s">
        <v>1614</v>
      </c>
      <c r="E1569" s="25" t="s">
        <v>1722</v>
      </c>
      <c r="F1569" s="16" t="str">
        <f>_xlfn.XLOOKUP(D1569,[10]ALL!$C:$C,[10]ALL!$N:$N,"Tidak Ditemukan")</f>
        <v>Abi Hilmawan</v>
      </c>
      <c r="G1569" s="21"/>
    </row>
    <row r="1570" spans="2:7">
      <c r="B1570" s="22" t="s">
        <v>1455</v>
      </c>
      <c r="C1570" s="23" t="s">
        <v>1456</v>
      </c>
      <c r="D1570" s="24" t="s">
        <v>1615</v>
      </c>
      <c r="E1570" s="25" t="s">
        <v>1722</v>
      </c>
      <c r="F1570" s="16" t="str">
        <f>_xlfn.XLOOKUP(D1570,[10]ALL!$C:$C,[10]ALL!$N:$N,"Tidak Ditemukan")</f>
        <v>Suhardi</v>
      </c>
      <c r="G1570" s="21"/>
    </row>
    <row r="1571" spans="2:7">
      <c r="B1571" s="22" t="s">
        <v>1455</v>
      </c>
      <c r="C1571" s="23" t="s">
        <v>1456</v>
      </c>
      <c r="D1571" s="24" t="s">
        <v>1616</v>
      </c>
      <c r="E1571" s="25" t="s">
        <v>1722</v>
      </c>
      <c r="F1571" s="16" t="str">
        <f>_xlfn.XLOOKUP(D1571,[10]ALL!$C:$C,[10]ALL!$N:$N,"Tidak Ditemukan")</f>
        <v>MUHAMMAD JUMADIL</v>
      </c>
      <c r="G1571" s="21"/>
    </row>
    <row r="1572" spans="2:7">
      <c r="B1572" s="22" t="s">
        <v>1455</v>
      </c>
      <c r="C1572" s="23" t="s">
        <v>1456</v>
      </c>
      <c r="D1572" s="24" t="s">
        <v>1617</v>
      </c>
      <c r="E1572" s="25" t="s">
        <v>1722</v>
      </c>
      <c r="F1572" s="16" t="str">
        <f>_xlfn.XLOOKUP(D1572,[10]ALL!$C:$C,[10]ALL!$N:$N,"Tidak Ditemukan")</f>
        <v>DENI SUSATYO</v>
      </c>
      <c r="G1572" s="21"/>
    </row>
    <row r="1573" spans="2:7">
      <c r="B1573" s="22" t="s">
        <v>1455</v>
      </c>
      <c r="C1573" s="23" t="s">
        <v>1456</v>
      </c>
      <c r="D1573" s="24" t="s">
        <v>1618</v>
      </c>
      <c r="E1573" s="25" t="s">
        <v>1722</v>
      </c>
      <c r="F1573" s="16" t="str">
        <f>_xlfn.XLOOKUP(D1573,[10]ALL!$C:$C,[10]ALL!$N:$N,"Tidak Ditemukan")</f>
        <v>I Kadek Sandiyasa</v>
      </c>
      <c r="G1573" s="21"/>
    </row>
    <row r="1574" spans="2:7">
      <c r="B1574" s="22" t="s">
        <v>1455</v>
      </c>
      <c r="C1574" s="23" t="s">
        <v>1456</v>
      </c>
      <c r="D1574" s="24" t="s">
        <v>1619</v>
      </c>
      <c r="E1574" s="25" t="s">
        <v>1722</v>
      </c>
      <c r="F1574" s="16" t="str">
        <f>_xlfn.XLOOKUP(D1574,[10]ALL!$C:$C,[10]ALL!$N:$N,"Tidak Ditemukan")</f>
        <v>MUHAMMAD TONY NUGRAHA</v>
      </c>
      <c r="G1574" s="21"/>
    </row>
    <row r="1575" spans="2:7">
      <c r="B1575" s="22" t="s">
        <v>1455</v>
      </c>
      <c r="C1575" s="23" t="s">
        <v>1456</v>
      </c>
      <c r="D1575" s="24" t="s">
        <v>1620</v>
      </c>
      <c r="E1575" s="25" t="s">
        <v>1722</v>
      </c>
      <c r="F1575" s="16" t="str">
        <f>_xlfn.XLOOKUP(D1575,[10]ALL!$C:$C,[10]ALL!$N:$N,"Tidak Ditemukan")</f>
        <v>Resi Marsila</v>
      </c>
      <c r="G1575" s="21"/>
    </row>
    <row r="1576" spans="2:7">
      <c r="B1576" s="22" t="s">
        <v>1455</v>
      </c>
      <c r="C1576" s="23" t="s">
        <v>1456</v>
      </c>
      <c r="D1576" s="24" t="s">
        <v>1621</v>
      </c>
      <c r="E1576" s="25" t="s">
        <v>1722</v>
      </c>
      <c r="F1576" s="16" t="str">
        <f>_xlfn.XLOOKUP(D1576,[10]ALL!$C:$C,[10]ALL!$N:$N,"Tidak Ditemukan")</f>
        <v>DENI SUSATYO</v>
      </c>
      <c r="G1576" s="21"/>
    </row>
    <row r="1577" spans="2:7">
      <c r="B1577" s="22" t="s">
        <v>1455</v>
      </c>
      <c r="C1577" s="23" t="s">
        <v>1456</v>
      </c>
      <c r="D1577" s="24" t="s">
        <v>1622</v>
      </c>
      <c r="E1577" s="25" t="s">
        <v>1722</v>
      </c>
      <c r="F1577" s="16" t="str">
        <f>_xlfn.XLOOKUP(D1577,[10]ALL!$C:$C,[10]ALL!$N:$N,"Tidak Ditemukan")</f>
        <v>GEMAYA WANGSA</v>
      </c>
      <c r="G1577" s="21"/>
    </row>
    <row r="1578" spans="2:7">
      <c r="B1578" s="22" t="s">
        <v>1455</v>
      </c>
      <c r="C1578" s="23" t="s">
        <v>1456</v>
      </c>
      <c r="D1578" s="24" t="s">
        <v>1623</v>
      </c>
      <c r="E1578" s="25" t="s">
        <v>1722</v>
      </c>
      <c r="F1578" s="16" t="str">
        <f>_xlfn.XLOOKUP(D1578,[10]ALL!$C:$C,[10]ALL!$N:$N,"Tidak Ditemukan")</f>
        <v>I Kadek Sandiyasa</v>
      </c>
      <c r="G1578" s="21"/>
    </row>
    <row r="1579" spans="2:7">
      <c r="B1579" s="22" t="s">
        <v>1455</v>
      </c>
      <c r="C1579" s="23" t="s">
        <v>1456</v>
      </c>
      <c r="D1579" s="24" t="s">
        <v>1624</v>
      </c>
      <c r="E1579" s="25" t="s">
        <v>1722</v>
      </c>
      <c r="F1579" s="16" t="str">
        <f>_xlfn.XLOOKUP(D1579,[10]ALL!$C:$C,[10]ALL!$N:$N,"Tidak Ditemukan")</f>
        <v>MUHAMMAD JUMADIL</v>
      </c>
      <c r="G1579" s="21"/>
    </row>
    <row r="1580" spans="2:7">
      <c r="B1580" s="22" t="s">
        <v>1455</v>
      </c>
      <c r="C1580" s="23" t="s">
        <v>1456</v>
      </c>
      <c r="D1580" s="24" t="s">
        <v>1625</v>
      </c>
      <c r="E1580" s="25" t="s">
        <v>1722</v>
      </c>
      <c r="F1580" s="16" t="str">
        <f>_xlfn.XLOOKUP(D1580,[10]ALL!$C:$C,[10]ALL!$N:$N,"Tidak Ditemukan")</f>
        <v>MUHAMMAD JUMADIL</v>
      </c>
      <c r="G1580" s="21"/>
    </row>
    <row r="1581" spans="2:7">
      <c r="B1581" s="22" t="s">
        <v>1455</v>
      </c>
      <c r="C1581" s="23" t="s">
        <v>1456</v>
      </c>
      <c r="D1581" s="24" t="s">
        <v>1626</v>
      </c>
      <c r="E1581" s="25" t="s">
        <v>1722</v>
      </c>
      <c r="F1581" s="16" t="str">
        <f>_xlfn.XLOOKUP(D1581,[10]ALL!$C:$C,[10]ALL!$N:$N,"Tidak Ditemukan")</f>
        <v>Abi Hilmawan</v>
      </c>
      <c r="G1581" s="21"/>
    </row>
    <row r="1582" spans="2:7">
      <c r="B1582" s="22" t="s">
        <v>1455</v>
      </c>
      <c r="C1582" s="23" t="s">
        <v>1456</v>
      </c>
      <c r="D1582" s="24" t="s">
        <v>1627</v>
      </c>
      <c r="E1582" s="25" t="s">
        <v>1722</v>
      </c>
      <c r="F1582" s="16" t="str">
        <f>_xlfn.XLOOKUP(D1582,[10]ALL!$C:$C,[10]ALL!$N:$N,"Tidak Ditemukan")</f>
        <v>AGUS KADE DIVA RAMANA</v>
      </c>
      <c r="G1582" s="21"/>
    </row>
    <row r="1583" spans="2:7">
      <c r="B1583" s="22" t="s">
        <v>1455</v>
      </c>
      <c r="C1583" s="23" t="s">
        <v>1456</v>
      </c>
      <c r="D1583" s="24" t="s">
        <v>1628</v>
      </c>
      <c r="E1583" s="25" t="s">
        <v>1722</v>
      </c>
      <c r="F1583" s="16" t="str">
        <f>_xlfn.XLOOKUP(D1583,[10]ALL!$C:$C,[10]ALL!$N:$N,"Tidak Ditemukan")</f>
        <v>Rino Prasetya Wibowo</v>
      </c>
      <c r="G1583" s="21"/>
    </row>
    <row r="1584" spans="2:7">
      <c r="B1584" s="22" t="s">
        <v>1455</v>
      </c>
      <c r="C1584" s="23" t="s">
        <v>1456</v>
      </c>
      <c r="D1584" s="24" t="s">
        <v>1629</v>
      </c>
      <c r="E1584" s="25" t="s">
        <v>1722</v>
      </c>
      <c r="F1584" s="16" t="str">
        <f>_xlfn.XLOOKUP(D1584,[10]ALL!$C:$C,[10]ALL!$N:$N,"Tidak Ditemukan")</f>
        <v>I GEDE BAGUS ADI SURYAWAN , ST</v>
      </c>
      <c r="G1584" s="21"/>
    </row>
    <row r="1585" spans="2:7">
      <c r="B1585" s="22" t="s">
        <v>1455</v>
      </c>
      <c r="C1585" s="23" t="s">
        <v>1456</v>
      </c>
      <c r="D1585" s="24" t="s">
        <v>1630</v>
      </c>
      <c r="E1585" s="25" t="s">
        <v>1722</v>
      </c>
      <c r="F1585" s="16" t="str">
        <f>_xlfn.XLOOKUP(D1585,[10]ALL!$C:$C,[10]ALL!$N:$N,"Tidak Ditemukan")</f>
        <v>Rino Prasetya Wibowo</v>
      </c>
      <c r="G1585" s="21"/>
    </row>
    <row r="1586" spans="2:7">
      <c r="B1586" s="22" t="s">
        <v>1455</v>
      </c>
      <c r="C1586" s="23" t="s">
        <v>1456</v>
      </c>
      <c r="D1586" s="24" t="s">
        <v>1631</v>
      </c>
      <c r="E1586" s="25" t="s">
        <v>1722</v>
      </c>
      <c r="F1586" s="16" t="str">
        <f>_xlfn.XLOOKUP(D1586,[10]ALL!$C:$C,[10]ALL!$N:$N,"Tidak Ditemukan")</f>
        <v>I KOMANG FERI INDRAJAYA</v>
      </c>
      <c r="G1586" s="21"/>
    </row>
    <row r="1587" spans="2:7">
      <c r="B1587" s="22" t="s">
        <v>1455</v>
      </c>
      <c r="C1587" s="23" t="s">
        <v>1456</v>
      </c>
      <c r="D1587" s="24" t="s">
        <v>1632</v>
      </c>
      <c r="E1587" s="25" t="s">
        <v>1722</v>
      </c>
      <c r="F1587" s="16" t="str">
        <f>_xlfn.XLOOKUP(D1587,[10]ALL!$C:$C,[10]ALL!$N:$N,"Tidak Ditemukan")</f>
        <v>AGUS PRADNYANA</v>
      </c>
      <c r="G1587" s="21"/>
    </row>
    <row r="1588" spans="2:7">
      <c r="B1588" s="22" t="s">
        <v>1455</v>
      </c>
      <c r="C1588" s="23" t="s">
        <v>1456</v>
      </c>
      <c r="D1588" s="24" t="s">
        <v>1633</v>
      </c>
      <c r="E1588" s="25" t="s">
        <v>1722</v>
      </c>
      <c r="F1588" s="16" t="str">
        <f>_xlfn.XLOOKUP(D1588,[10]ALL!$C:$C,[10]ALL!$N:$N,"Tidak Ditemukan")</f>
        <v>I GEDE BAGUS ADI SURYAWAN , ST</v>
      </c>
      <c r="G1588" s="21"/>
    </row>
    <row r="1589" spans="2:7">
      <c r="B1589" s="22" t="s">
        <v>1455</v>
      </c>
      <c r="C1589" s="23" t="s">
        <v>1456</v>
      </c>
      <c r="D1589" s="24" t="s">
        <v>1634</v>
      </c>
      <c r="E1589" s="25" t="s">
        <v>1722</v>
      </c>
      <c r="F1589" s="16" t="str">
        <f>_xlfn.XLOOKUP(D1589,[10]ALL!$C:$C,[10]ALL!$N:$N,"Tidak Ditemukan")</f>
        <v>I GEDE BAGUS ADI SURYAWAN , ST</v>
      </c>
      <c r="G1589" s="21"/>
    </row>
    <row r="1590" spans="2:7">
      <c r="B1590" s="22" t="s">
        <v>1455</v>
      </c>
      <c r="C1590" s="23" t="s">
        <v>1456</v>
      </c>
      <c r="D1590" s="24" t="s">
        <v>1635</v>
      </c>
      <c r="E1590" s="25" t="s">
        <v>1722</v>
      </c>
      <c r="F1590" s="16" t="str">
        <f>_xlfn.XLOOKUP(D1590,[10]ALL!$C:$C,[10]ALL!$N:$N,"Tidak Ditemukan")</f>
        <v>I GEDE BAGUS ADI SURYAWAN , ST</v>
      </c>
      <c r="G1590" s="21"/>
    </row>
    <row r="1591" spans="2:7">
      <c r="B1591" s="22" t="s">
        <v>1455</v>
      </c>
      <c r="C1591" s="23" t="s">
        <v>1456</v>
      </c>
      <c r="D1591" s="24" t="s">
        <v>1636</v>
      </c>
      <c r="E1591" s="25" t="s">
        <v>1722</v>
      </c>
      <c r="F1591" s="16" t="str">
        <f>_xlfn.XLOOKUP(D1591,[10]ALL!$C:$C,[10]ALL!$N:$N,"Tidak Ditemukan")</f>
        <v>I GEDE BAGUS ADI SURYAWAN , ST</v>
      </c>
      <c r="G1591" s="21"/>
    </row>
    <row r="1592" spans="2:7">
      <c r="B1592" s="22" t="s">
        <v>1455</v>
      </c>
      <c r="C1592" s="23" t="s">
        <v>1456</v>
      </c>
      <c r="D1592" s="24" t="s">
        <v>1637</v>
      </c>
      <c r="E1592" s="25" t="s">
        <v>1722</v>
      </c>
      <c r="F1592" s="16" t="str">
        <f>_xlfn.XLOOKUP(D1592,[10]ALL!$C:$C,[10]ALL!$N:$N,"Tidak Ditemukan")</f>
        <v>I GEDE BAGUS ADI SURYAWAN , ST</v>
      </c>
      <c r="G1592" s="21"/>
    </row>
    <row r="1593" spans="2:7">
      <c r="B1593" s="22" t="s">
        <v>1455</v>
      </c>
      <c r="C1593" s="23" t="s">
        <v>1456</v>
      </c>
      <c r="D1593" s="24" t="s">
        <v>1638</v>
      </c>
      <c r="E1593" s="25" t="s">
        <v>1722</v>
      </c>
      <c r="F1593" s="16" t="str">
        <f>_xlfn.XLOOKUP(D1593,[10]ALL!$C:$C,[10]ALL!$N:$N,"Tidak Ditemukan")</f>
        <v>KADEK DWIPA ANGGARASTRA</v>
      </c>
      <c r="G1593" s="21"/>
    </row>
    <row r="1594" spans="2:7">
      <c r="B1594" s="22" t="s">
        <v>1455</v>
      </c>
      <c r="C1594" s="23" t="s">
        <v>1456</v>
      </c>
      <c r="D1594" s="24" t="s">
        <v>1639</v>
      </c>
      <c r="E1594" s="25" t="s">
        <v>1722</v>
      </c>
      <c r="F1594" s="16" t="str">
        <f>_xlfn.XLOOKUP(D1594,[10]ALL!$C:$C,[10]ALL!$N:$N,"Tidak Ditemukan")</f>
        <v>DWIKY REZA ARDANI WINAHARA</v>
      </c>
      <c r="G1594" s="21"/>
    </row>
    <row r="1595" spans="2:7">
      <c r="B1595" s="22" t="s">
        <v>1455</v>
      </c>
      <c r="C1595" s="23" t="s">
        <v>1456</v>
      </c>
      <c r="D1595" s="24" t="s">
        <v>1640</v>
      </c>
      <c r="E1595" s="25" t="s">
        <v>1722</v>
      </c>
      <c r="F1595" s="16" t="str">
        <f>_xlfn.XLOOKUP(D1595,[10]ALL!$C:$C,[10]ALL!$N:$N,"Tidak Ditemukan")</f>
        <v>NI PUTU DEWI LASTINI</v>
      </c>
      <c r="G1595" s="21"/>
    </row>
    <row r="1596" spans="2:7">
      <c r="B1596" s="22" t="s">
        <v>1455</v>
      </c>
      <c r="C1596" s="23" t="s">
        <v>1456</v>
      </c>
      <c r="D1596" s="24" t="s">
        <v>1641</v>
      </c>
      <c r="E1596" s="25" t="s">
        <v>1722</v>
      </c>
      <c r="F1596" s="16" t="str">
        <f>_xlfn.XLOOKUP(D1596,[10]ALL!$C:$C,[10]ALL!$N:$N,"Tidak Ditemukan")</f>
        <v>NI PUTU DEWI LASTINI</v>
      </c>
      <c r="G1596" s="21"/>
    </row>
    <row r="1597" spans="2:7">
      <c r="B1597" s="22" t="s">
        <v>1455</v>
      </c>
      <c r="C1597" s="23" t="s">
        <v>1456</v>
      </c>
      <c r="D1597" s="24" t="s">
        <v>1642</v>
      </c>
      <c r="E1597" s="25" t="s">
        <v>1722</v>
      </c>
      <c r="F1597" s="16" t="str">
        <f>_xlfn.XLOOKUP(D1597,[10]ALL!$C:$C,[10]ALL!$N:$N,"Tidak Ditemukan")</f>
        <v>NI PUTU DEWI LASTINI</v>
      </c>
      <c r="G1597" s="21"/>
    </row>
    <row r="1598" spans="2:7">
      <c r="B1598" s="22" t="s">
        <v>1455</v>
      </c>
      <c r="C1598" s="23" t="s">
        <v>1456</v>
      </c>
      <c r="D1598" s="24" t="s">
        <v>1643</v>
      </c>
      <c r="E1598" s="25" t="s">
        <v>1722</v>
      </c>
      <c r="F1598" s="16" t="str">
        <f>_xlfn.XLOOKUP(D1598,[10]ALL!$C:$C,[10]ALL!$N:$N,"Tidak Ditemukan")</f>
        <v>NI PUTU DEWI LASTINI</v>
      </c>
      <c r="G1598" s="21"/>
    </row>
    <row r="1599" spans="2:7">
      <c r="B1599" s="22" t="s">
        <v>1455</v>
      </c>
      <c r="C1599" s="23" t="s">
        <v>1456</v>
      </c>
      <c r="D1599" s="24" t="s">
        <v>1644</v>
      </c>
      <c r="E1599" s="25" t="s">
        <v>1722</v>
      </c>
      <c r="F1599" s="16" t="str">
        <f>_xlfn.XLOOKUP(D1599,[10]ALL!$C:$C,[10]ALL!$N:$N,"Tidak Ditemukan")</f>
        <v>DWIKY REZA ARDANI WINAHARA</v>
      </c>
      <c r="G1599" s="21"/>
    </row>
    <row r="1600" spans="2:7">
      <c r="B1600" s="22" t="s">
        <v>1455</v>
      </c>
      <c r="C1600" s="23" t="s">
        <v>1456</v>
      </c>
      <c r="D1600" s="24" t="s">
        <v>1645</v>
      </c>
      <c r="E1600" s="25" t="s">
        <v>1722</v>
      </c>
      <c r="F1600" s="16" t="str">
        <f>_xlfn.XLOOKUP(D1600,[10]ALL!$C:$C,[10]ALL!$N:$N,"Tidak Ditemukan")</f>
        <v>NI PUTU DEWI LASTINI</v>
      </c>
      <c r="G1600" s="21"/>
    </row>
    <row r="1601" spans="2:7">
      <c r="B1601" s="22" t="s">
        <v>1455</v>
      </c>
      <c r="C1601" s="23" t="s">
        <v>1456</v>
      </c>
      <c r="D1601" s="24" t="s">
        <v>1646</v>
      </c>
      <c r="E1601" s="25" t="s">
        <v>1722</v>
      </c>
      <c r="F1601" s="16" t="str">
        <f>_xlfn.XLOOKUP(D1601,[10]ALL!$C:$C,[10]ALL!$N:$N,"Tidak Ditemukan")</f>
        <v>KADEK DWIPA ANGGARASTRA</v>
      </c>
      <c r="G1601" s="21"/>
    </row>
    <row r="1602" spans="2:7">
      <c r="B1602" s="22" t="s">
        <v>1455</v>
      </c>
      <c r="C1602" s="23" t="s">
        <v>1456</v>
      </c>
      <c r="D1602" s="24" t="s">
        <v>1647</v>
      </c>
      <c r="E1602" s="25" t="s">
        <v>1722</v>
      </c>
      <c r="F1602" s="16" t="str">
        <f>_xlfn.XLOOKUP(D1602,[10]ALL!$C:$C,[10]ALL!$N:$N,"Tidak Ditemukan")</f>
        <v>KADEK DWIPA ANGGARASTRA</v>
      </c>
      <c r="G1602" s="21"/>
    </row>
    <row r="1603" spans="2:7">
      <c r="B1603" s="22" t="s">
        <v>1455</v>
      </c>
      <c r="C1603" s="23" t="s">
        <v>1456</v>
      </c>
      <c r="D1603" s="24" t="s">
        <v>1648</v>
      </c>
      <c r="E1603" s="25" t="s">
        <v>1722</v>
      </c>
      <c r="F1603" s="16" t="str">
        <f>_xlfn.XLOOKUP(D1603,[10]ALL!$C:$C,[10]ALL!$N:$N,"Tidak Ditemukan")</f>
        <v>DWIKY REZA ARDANI WINAHARA</v>
      </c>
      <c r="G1603" s="21"/>
    </row>
    <row r="1604" spans="2:7">
      <c r="B1604" s="22" t="s">
        <v>1455</v>
      </c>
      <c r="C1604" s="23" t="s">
        <v>1456</v>
      </c>
      <c r="D1604" s="24" t="s">
        <v>1649</v>
      </c>
      <c r="E1604" s="25" t="s">
        <v>1722</v>
      </c>
      <c r="F1604" s="16" t="str">
        <f>_xlfn.XLOOKUP(D1604,[10]ALL!$C:$C,[10]ALL!$N:$N,"Tidak Ditemukan")</f>
        <v>NI WAYAN ELSA SEPTIANA INDRIANI</v>
      </c>
      <c r="G1604" s="21"/>
    </row>
    <row r="1605" spans="2:7">
      <c r="B1605" s="22" t="s">
        <v>1455</v>
      </c>
      <c r="C1605" s="23" t="s">
        <v>1456</v>
      </c>
      <c r="D1605" s="24" t="s">
        <v>1650</v>
      </c>
      <c r="E1605" s="25" t="s">
        <v>1722</v>
      </c>
      <c r="F1605" s="16" t="str">
        <f>_xlfn.XLOOKUP(D1605,[10]ALL!$C:$C,[10]ALL!$N:$N,"Tidak Ditemukan")</f>
        <v>NI PUTU DEWI LASTINI</v>
      </c>
      <c r="G1605" s="21"/>
    </row>
    <row r="1606" spans="2:7">
      <c r="B1606" s="22" t="s">
        <v>1455</v>
      </c>
      <c r="C1606" s="23" t="s">
        <v>1456</v>
      </c>
      <c r="D1606" s="24" t="s">
        <v>1651</v>
      </c>
      <c r="E1606" s="25" t="s">
        <v>1722</v>
      </c>
      <c r="F1606" s="16" t="str">
        <f>_xlfn.XLOOKUP(D1606,[10]ALL!$C:$C,[10]ALL!$N:$N,"Tidak Ditemukan")</f>
        <v>KADEK DWIPA ANGGARASTRA</v>
      </c>
      <c r="G1606" s="21"/>
    </row>
    <row r="1607" spans="2:7">
      <c r="B1607" s="22" t="s">
        <v>1455</v>
      </c>
      <c r="C1607" s="23" t="s">
        <v>1456</v>
      </c>
      <c r="D1607" s="24" t="s">
        <v>1652</v>
      </c>
      <c r="E1607" s="25" t="s">
        <v>1722</v>
      </c>
      <c r="F1607" s="16" t="str">
        <f>_xlfn.XLOOKUP(D1607,[10]ALL!$C:$C,[10]ALL!$N:$N,"Tidak Ditemukan")</f>
        <v>KADEK DWIPA ANGGARASTRA</v>
      </c>
      <c r="G1607" s="21"/>
    </row>
    <row r="1608" spans="2:7">
      <c r="B1608" s="22" t="s">
        <v>1455</v>
      </c>
      <c r="C1608" s="23" t="s">
        <v>1456</v>
      </c>
      <c r="D1608" s="24" t="s">
        <v>1653</v>
      </c>
      <c r="E1608" s="25" t="s">
        <v>1722</v>
      </c>
      <c r="F1608" s="16" t="str">
        <f>_xlfn.XLOOKUP(D1608,[10]ALL!$C:$C,[10]ALL!$N:$N,"Tidak Ditemukan")</f>
        <v>KADEK DWIPA ANGGARASTRA</v>
      </c>
      <c r="G1608" s="21"/>
    </row>
    <row r="1609" spans="2:7">
      <c r="B1609" s="22" t="s">
        <v>1455</v>
      </c>
      <c r="C1609" s="23" t="s">
        <v>1456</v>
      </c>
      <c r="D1609" s="24" t="s">
        <v>1654</v>
      </c>
      <c r="E1609" s="25" t="s">
        <v>1722</v>
      </c>
      <c r="F1609" s="16" t="str">
        <f>_xlfn.XLOOKUP(D1609,[10]ALL!$C:$C,[10]ALL!$N:$N,"Tidak Ditemukan")</f>
        <v>KADEK DWIPA ANGGARASTRA</v>
      </c>
      <c r="G1609" s="21"/>
    </row>
    <row r="1610" spans="2:7">
      <c r="B1610" s="22" t="s">
        <v>1455</v>
      </c>
      <c r="C1610" s="23" t="s">
        <v>1456</v>
      </c>
      <c r="D1610" s="24" t="s">
        <v>1655</v>
      </c>
      <c r="E1610" s="25" t="s">
        <v>1722</v>
      </c>
      <c r="F1610" s="16" t="str">
        <f>_xlfn.XLOOKUP(D1610,[10]ALL!$C:$C,[10]ALL!$N:$N,"Tidak Ditemukan")</f>
        <v>NI WAYAN ELSA SEPTIANA INDRIANI</v>
      </c>
      <c r="G1610" s="21"/>
    </row>
    <row r="1611" spans="2:7">
      <c r="B1611" s="22" t="s">
        <v>1455</v>
      </c>
      <c r="C1611" s="23" t="s">
        <v>1456</v>
      </c>
      <c r="D1611" s="24" t="s">
        <v>1656</v>
      </c>
      <c r="E1611" s="25" t="s">
        <v>1722</v>
      </c>
      <c r="F1611" s="16" t="str">
        <f>_xlfn.XLOOKUP(D1611,[10]ALL!$C:$C,[10]ALL!$N:$N,"Tidak Ditemukan")</f>
        <v>KADEK DWIPA ANGGARASTRA</v>
      </c>
      <c r="G1611" s="21"/>
    </row>
    <row r="1612" spans="2:7">
      <c r="B1612" s="22" t="s">
        <v>1455</v>
      </c>
      <c r="C1612" s="23" t="s">
        <v>1456</v>
      </c>
      <c r="D1612" s="24" t="s">
        <v>1657</v>
      </c>
      <c r="E1612" s="25" t="s">
        <v>1722</v>
      </c>
      <c r="F1612" s="16" t="str">
        <f>_xlfn.XLOOKUP(D1612,[10]ALL!$C:$C,[10]ALL!$N:$N,"Tidak Ditemukan")</f>
        <v>KADEK DWIPA ANGGARASTRA</v>
      </c>
      <c r="G1612" s="21"/>
    </row>
    <row r="1613" spans="2:7">
      <c r="B1613" s="22" t="s">
        <v>1455</v>
      </c>
      <c r="C1613" s="23" t="s">
        <v>1456</v>
      </c>
      <c r="D1613" s="24" t="s">
        <v>1658</v>
      </c>
      <c r="E1613" s="25" t="s">
        <v>1722</v>
      </c>
      <c r="F1613" s="16" t="str">
        <f>_xlfn.XLOOKUP(D1613,[10]ALL!$C:$C,[10]ALL!$N:$N,"Tidak Ditemukan")</f>
        <v>NI PUTU DEWI LASTINI</v>
      </c>
      <c r="G1613" s="21"/>
    </row>
    <row r="1614" spans="2:7">
      <c r="B1614" s="22" t="s">
        <v>1455</v>
      </c>
      <c r="C1614" s="23" t="s">
        <v>1456</v>
      </c>
      <c r="D1614" s="24" t="s">
        <v>1659</v>
      </c>
      <c r="E1614" s="25" t="s">
        <v>1722</v>
      </c>
      <c r="F1614" s="16" t="str">
        <f>_xlfn.XLOOKUP(D1614,[10]ALL!$C:$C,[10]ALL!$N:$N,"Tidak Ditemukan")</f>
        <v>NI WAYAN ELSA SEPTIANA INDRIANI</v>
      </c>
      <c r="G1614" s="21"/>
    </row>
    <row r="1615" spans="2:7">
      <c r="B1615" s="22" t="s">
        <v>1455</v>
      </c>
      <c r="C1615" s="23" t="s">
        <v>1456</v>
      </c>
      <c r="D1615" s="24" t="s">
        <v>1660</v>
      </c>
      <c r="E1615" s="25" t="s">
        <v>1722</v>
      </c>
      <c r="F1615" s="16" t="str">
        <f>_xlfn.XLOOKUP(D1615,[10]ALL!$C:$C,[10]ALL!$N:$N,"Tidak Ditemukan")</f>
        <v>DWIKY REZA ARDANI WINAHARA</v>
      </c>
      <c r="G1615" s="21"/>
    </row>
    <row r="1616" spans="2:7">
      <c r="B1616" s="22" t="s">
        <v>1455</v>
      </c>
      <c r="C1616" s="23" t="s">
        <v>1456</v>
      </c>
      <c r="D1616" s="24" t="s">
        <v>1661</v>
      </c>
      <c r="E1616" s="25" t="s">
        <v>1722</v>
      </c>
      <c r="F1616" s="16" t="str">
        <f>_xlfn.XLOOKUP(D1616,[10]ALL!$C:$C,[10]ALL!$N:$N,"Tidak Ditemukan")</f>
        <v>DWIKY REZA ARDANI WINAHARA</v>
      </c>
      <c r="G1616" s="21"/>
    </row>
    <row r="1617" spans="2:7">
      <c r="B1617" s="22" t="s">
        <v>1455</v>
      </c>
      <c r="C1617" s="23" t="s">
        <v>1456</v>
      </c>
      <c r="D1617" s="24" t="s">
        <v>1662</v>
      </c>
      <c r="E1617" s="25" t="s">
        <v>1722</v>
      </c>
      <c r="F1617" s="16" t="str">
        <f>_xlfn.XLOOKUP(D1617,[10]ALL!$C:$C,[10]ALL!$N:$N,"Tidak Ditemukan")</f>
        <v>NI WAYAN ELSA SEPTIANA INDRIANI</v>
      </c>
      <c r="G1617" s="21"/>
    </row>
    <row r="1618" spans="2:7">
      <c r="B1618" s="22" t="s">
        <v>1455</v>
      </c>
      <c r="C1618" s="23" t="s">
        <v>1456</v>
      </c>
      <c r="D1618" s="24" t="s">
        <v>1663</v>
      </c>
      <c r="E1618" s="25" t="s">
        <v>1722</v>
      </c>
      <c r="F1618" s="16" t="str">
        <f>_xlfn.XLOOKUP(D1618,[10]ALL!$C:$C,[10]ALL!$N:$N,"Tidak Ditemukan")</f>
        <v>AGUS KADE DIVA RAMANA</v>
      </c>
      <c r="G1618" s="21"/>
    </row>
    <row r="1619" spans="2:7">
      <c r="B1619" s="22" t="s">
        <v>1455</v>
      </c>
      <c r="C1619" s="23" t="s">
        <v>1456</v>
      </c>
      <c r="D1619" s="24" t="s">
        <v>1664</v>
      </c>
      <c r="E1619" s="25" t="s">
        <v>1722</v>
      </c>
      <c r="F1619" s="16" t="str">
        <f>_xlfn.XLOOKUP(D1619,[10]ALL!$C:$C,[10]ALL!$N:$N,"Tidak Ditemukan")</f>
        <v>KADEK DWIPA ANGGARASTRA</v>
      </c>
      <c r="G1619" s="21"/>
    </row>
    <row r="1620" spans="2:7">
      <c r="B1620" s="22" t="s">
        <v>1455</v>
      </c>
      <c r="C1620" s="23" t="s">
        <v>1456</v>
      </c>
      <c r="D1620" s="24" t="s">
        <v>1665</v>
      </c>
      <c r="E1620" s="25" t="s">
        <v>1722</v>
      </c>
      <c r="F1620" s="16" t="str">
        <f>_xlfn.XLOOKUP(D1620,[10]ALL!$C:$C,[10]ALL!$N:$N,"Tidak Ditemukan")</f>
        <v>I GEDE BAGUS ADI SURYAWAN , ST</v>
      </c>
      <c r="G1620" s="21"/>
    </row>
    <row r="1621" spans="2:7">
      <c r="B1621" s="22" t="s">
        <v>1455</v>
      </c>
      <c r="C1621" s="23" t="s">
        <v>1456</v>
      </c>
      <c r="D1621" s="24" t="s">
        <v>1666</v>
      </c>
      <c r="E1621" s="25" t="s">
        <v>1722</v>
      </c>
      <c r="F1621" s="16" t="str">
        <f>_xlfn.XLOOKUP(D1621,[10]ALL!$C:$C,[10]ALL!$N:$N,"Tidak Ditemukan")</f>
        <v>I GEDE BAGUS ADI SURYAWAN , ST</v>
      </c>
      <c r="G1621" s="21"/>
    </row>
    <row r="1622" spans="2:7">
      <c r="B1622" s="22" t="s">
        <v>1455</v>
      </c>
      <c r="C1622" s="23" t="s">
        <v>1456</v>
      </c>
      <c r="D1622" s="24" t="s">
        <v>1667</v>
      </c>
      <c r="E1622" s="25" t="s">
        <v>1722</v>
      </c>
      <c r="F1622" s="16" t="str">
        <f>_xlfn.XLOOKUP(D1622,[10]ALL!$C:$C,[10]ALL!$N:$N,"Tidak Ditemukan")</f>
        <v>I KOMANG FERI INDRAJAYA</v>
      </c>
      <c r="G1622" s="21"/>
    </row>
    <row r="1623" spans="2:7">
      <c r="B1623" s="22" t="s">
        <v>1455</v>
      </c>
      <c r="C1623" s="23" t="s">
        <v>1456</v>
      </c>
      <c r="D1623" s="24" t="s">
        <v>1668</v>
      </c>
      <c r="E1623" s="25" t="s">
        <v>1722</v>
      </c>
      <c r="F1623" s="16" t="str">
        <f>_xlfn.XLOOKUP(D1623,[10]ALL!$C:$C,[10]ALL!$N:$N,"Tidak Ditemukan")</f>
        <v>NI WAYAN ELSA SEPTIANA INDRIANI</v>
      </c>
      <c r="G1623" s="21"/>
    </row>
    <row r="1624" spans="2:7">
      <c r="B1624" s="22" t="s">
        <v>1455</v>
      </c>
      <c r="C1624" s="23" t="s">
        <v>1456</v>
      </c>
      <c r="D1624" s="24" t="s">
        <v>1669</v>
      </c>
      <c r="E1624" s="25" t="s">
        <v>1722</v>
      </c>
      <c r="F1624" s="16" t="str">
        <f>_xlfn.XLOOKUP(D1624,[10]ALL!$C:$C,[10]ALL!$N:$N,"Tidak Ditemukan")</f>
        <v>NI WAYAN ELSA SEPTIANA INDRIANI</v>
      </c>
      <c r="G1624" s="21"/>
    </row>
    <row r="1625" spans="2:7">
      <c r="B1625" s="22" t="s">
        <v>1455</v>
      </c>
      <c r="C1625" s="23" t="s">
        <v>1456</v>
      </c>
      <c r="D1625" s="24" t="s">
        <v>1670</v>
      </c>
      <c r="E1625" s="25" t="s">
        <v>1722</v>
      </c>
      <c r="F1625" s="16" t="str">
        <f>_xlfn.XLOOKUP(D1625,[10]ALL!$C:$C,[10]ALL!$N:$N,"Tidak Ditemukan")</f>
        <v>AGUS KADE DIVA RAMANA</v>
      </c>
      <c r="G1625" s="21"/>
    </row>
    <row r="1626" spans="2:7">
      <c r="B1626" s="22" t="s">
        <v>1455</v>
      </c>
      <c r="C1626" s="23" t="s">
        <v>1456</v>
      </c>
      <c r="D1626" s="24" t="s">
        <v>1671</v>
      </c>
      <c r="E1626" s="25" t="s">
        <v>1722</v>
      </c>
      <c r="F1626" s="16" t="str">
        <f>_xlfn.XLOOKUP(D1626,[10]ALL!$C:$C,[10]ALL!$N:$N,"Tidak Ditemukan")</f>
        <v>Rino Prasetya Wibowo</v>
      </c>
      <c r="G1626" s="21"/>
    </row>
    <row r="1627" spans="2:7">
      <c r="B1627" s="22" t="s">
        <v>1455</v>
      </c>
      <c r="C1627" s="23" t="s">
        <v>1456</v>
      </c>
      <c r="D1627" s="24" t="s">
        <v>1672</v>
      </c>
      <c r="E1627" s="25" t="s">
        <v>1722</v>
      </c>
      <c r="F1627" s="16" t="str">
        <f>_xlfn.XLOOKUP(D1627,[10]ALL!$C:$C,[10]ALL!$N:$N,"Tidak Ditemukan")</f>
        <v>AGUS KADE DIVA RAMANA</v>
      </c>
      <c r="G1627" s="21"/>
    </row>
    <row r="1628" spans="2:7">
      <c r="B1628" s="22" t="s">
        <v>1455</v>
      </c>
      <c r="C1628" s="23" t="s">
        <v>1456</v>
      </c>
      <c r="D1628" s="24" t="s">
        <v>1673</v>
      </c>
      <c r="E1628" s="25" t="s">
        <v>1722</v>
      </c>
      <c r="F1628" s="16" t="str">
        <f>_xlfn.XLOOKUP(D1628,[10]ALL!$C:$C,[10]ALL!$N:$N,"Tidak Ditemukan")</f>
        <v>NI PUTU DEWI LASTINI</v>
      </c>
      <c r="G1628" s="21"/>
    </row>
    <row r="1629" spans="2:7">
      <c r="B1629" s="22" t="s">
        <v>1455</v>
      </c>
      <c r="C1629" s="23" t="s">
        <v>1456</v>
      </c>
      <c r="D1629" s="24" t="s">
        <v>1674</v>
      </c>
      <c r="E1629" s="25" t="s">
        <v>1722</v>
      </c>
      <c r="F1629" s="16" t="str">
        <f>_xlfn.XLOOKUP(D1629,[10]ALL!$C:$C,[10]ALL!$N:$N,"Tidak Ditemukan")</f>
        <v>DWIKY REZA ARDANI WINAHARA</v>
      </c>
      <c r="G1629" s="21"/>
    </row>
    <row r="1630" spans="2:7">
      <c r="B1630" s="22" t="s">
        <v>1455</v>
      </c>
      <c r="C1630" s="23" t="s">
        <v>1456</v>
      </c>
      <c r="D1630" s="24" t="s">
        <v>1675</v>
      </c>
      <c r="E1630" s="25" t="s">
        <v>1722</v>
      </c>
      <c r="F1630" s="16" t="str">
        <f>_xlfn.XLOOKUP(D1630,[10]ALL!$C:$C,[10]ALL!$N:$N,"Tidak Ditemukan")</f>
        <v>KADEK DWIPA ANGGARASTRA</v>
      </c>
      <c r="G1630" s="21"/>
    </row>
    <row r="1631" spans="2:7">
      <c r="B1631" s="22" t="s">
        <v>1455</v>
      </c>
      <c r="C1631" s="23" t="s">
        <v>1456</v>
      </c>
      <c r="D1631" s="24" t="s">
        <v>1676</v>
      </c>
      <c r="E1631" s="25" t="s">
        <v>1722</v>
      </c>
      <c r="F1631" s="16" t="str">
        <f>_xlfn.XLOOKUP(D1631,[10]ALL!$C:$C,[10]ALL!$N:$N,"Tidak Ditemukan")</f>
        <v>AGUS KADE DIVA RAMANA</v>
      </c>
      <c r="G1631" s="21"/>
    </row>
    <row r="1632" spans="2:7">
      <c r="B1632" s="22" t="s">
        <v>1455</v>
      </c>
      <c r="C1632" s="23" t="s">
        <v>1456</v>
      </c>
      <c r="D1632" s="24" t="s">
        <v>1677</v>
      </c>
      <c r="E1632" s="25" t="s">
        <v>1722</v>
      </c>
      <c r="F1632" s="16" t="str">
        <f>_xlfn.XLOOKUP(D1632,[10]ALL!$C:$C,[10]ALL!$N:$N,"Tidak Ditemukan")</f>
        <v>DWIKY REZA ARDANI WINAHARA</v>
      </c>
      <c r="G1632" s="21"/>
    </row>
    <row r="1633" spans="2:7">
      <c r="B1633" s="22" t="s">
        <v>1455</v>
      </c>
      <c r="C1633" s="23" t="s">
        <v>1456</v>
      </c>
      <c r="D1633" s="24" t="s">
        <v>1678</v>
      </c>
      <c r="E1633" s="25" t="s">
        <v>1722</v>
      </c>
      <c r="F1633" s="16" t="str">
        <f>_xlfn.XLOOKUP(D1633,[10]ALL!$C:$C,[10]ALL!$N:$N,"Tidak Ditemukan")</f>
        <v>NI PUTU DEWI LASTINI</v>
      </c>
      <c r="G1633" s="21"/>
    </row>
    <row r="1634" spans="2:7">
      <c r="B1634" s="22" t="s">
        <v>1455</v>
      </c>
      <c r="C1634" s="23" t="s">
        <v>1456</v>
      </c>
      <c r="D1634" s="24" t="s">
        <v>1679</v>
      </c>
      <c r="E1634" s="25" t="s">
        <v>1722</v>
      </c>
      <c r="F1634" s="16" t="str">
        <f>_xlfn.XLOOKUP(D1634,[10]ALL!$C:$C,[10]ALL!$N:$N,"Tidak Ditemukan")</f>
        <v>NI PUTU DEWI LASTINI</v>
      </c>
      <c r="G1634" s="21"/>
    </row>
    <row r="1635" spans="2:7">
      <c r="B1635" s="22" t="s">
        <v>1455</v>
      </c>
      <c r="C1635" s="23" t="s">
        <v>1456</v>
      </c>
      <c r="D1635" s="24" t="s">
        <v>1680</v>
      </c>
      <c r="E1635" s="25" t="s">
        <v>1722</v>
      </c>
      <c r="F1635" s="16" t="str">
        <f>_xlfn.XLOOKUP(D1635,[10]ALL!$C:$C,[10]ALL!$N:$N,"Tidak Ditemukan")</f>
        <v>KADEK DWIPA ANGGARASTRA</v>
      </c>
      <c r="G1635" s="21"/>
    </row>
    <row r="1636" spans="2:7">
      <c r="B1636" s="22" t="s">
        <v>1455</v>
      </c>
      <c r="C1636" s="23" t="s">
        <v>1456</v>
      </c>
      <c r="D1636" s="24" t="s">
        <v>1681</v>
      </c>
      <c r="E1636" s="25" t="s">
        <v>1722</v>
      </c>
      <c r="F1636" s="16" t="str">
        <f>_xlfn.XLOOKUP(D1636,[10]ALL!$C:$C,[10]ALL!$N:$N,"Tidak Ditemukan")</f>
        <v>KADEK DWIPA ANGGARASTRA</v>
      </c>
      <c r="G1636" s="21"/>
    </row>
    <row r="1637" spans="2:7">
      <c r="B1637" s="22" t="s">
        <v>1455</v>
      </c>
      <c r="C1637" s="23" t="s">
        <v>1456</v>
      </c>
      <c r="D1637" s="24" t="s">
        <v>1682</v>
      </c>
      <c r="E1637" s="25" t="s">
        <v>1722</v>
      </c>
      <c r="F1637" s="16" t="str">
        <f>_xlfn.XLOOKUP(D1637,[10]ALL!$C:$C,[10]ALL!$N:$N,"Tidak Ditemukan")</f>
        <v>I KOMANG FERI INDRAJAYA</v>
      </c>
      <c r="G1637" s="21"/>
    </row>
    <row r="1638" spans="2:7">
      <c r="B1638" s="22" t="s">
        <v>1455</v>
      </c>
      <c r="C1638" s="23" t="s">
        <v>1456</v>
      </c>
      <c r="D1638" s="24" t="s">
        <v>1683</v>
      </c>
      <c r="E1638" s="25" t="s">
        <v>1722</v>
      </c>
      <c r="F1638" s="16" t="str">
        <f>_xlfn.XLOOKUP(D1638,[10]ALL!$C:$C,[10]ALL!$N:$N,"Tidak Ditemukan")</f>
        <v>I GEDE BAGUS ADI SURYAWAN , ST</v>
      </c>
      <c r="G1638" s="21"/>
    </row>
    <row r="1639" spans="2:7">
      <c r="B1639" s="22" t="s">
        <v>1455</v>
      </c>
      <c r="C1639" s="23" t="s">
        <v>1456</v>
      </c>
      <c r="D1639" s="24" t="s">
        <v>1684</v>
      </c>
      <c r="E1639" s="25" t="s">
        <v>1722</v>
      </c>
      <c r="F1639" s="16" t="str">
        <f>_xlfn.XLOOKUP(D1639,[10]ALL!$C:$C,[10]ALL!$N:$N,"Tidak Ditemukan")</f>
        <v>DWIKY REZA ARDANI WINAHARA</v>
      </c>
      <c r="G1639" s="21"/>
    </row>
    <row r="1640" spans="2:7">
      <c r="B1640" s="22" t="s">
        <v>1455</v>
      </c>
      <c r="C1640" s="23" t="s">
        <v>1456</v>
      </c>
      <c r="D1640" s="24" t="s">
        <v>1685</v>
      </c>
      <c r="E1640" s="25" t="s">
        <v>1722</v>
      </c>
      <c r="F1640" s="16" t="str">
        <f>_xlfn.XLOOKUP(D1640,[10]ALL!$C:$C,[10]ALL!$N:$N,"Tidak Ditemukan")</f>
        <v>NI WAYAN ELSA SEPTIANA INDRIANI</v>
      </c>
      <c r="G1640" s="21"/>
    </row>
    <row r="1641" spans="2:7">
      <c r="B1641" s="22" t="s">
        <v>1455</v>
      </c>
      <c r="C1641" s="23" t="s">
        <v>1456</v>
      </c>
      <c r="D1641" s="24" t="s">
        <v>1686</v>
      </c>
      <c r="E1641" s="25" t="e">
        <v>#N/A</v>
      </c>
      <c r="F1641" s="16" t="str">
        <f>_xlfn.XLOOKUP(D1641,[10]ALL!$C:$C,[10]ALL!$N:$N,"Tidak Ditemukan")</f>
        <v>NI PUTU DEWI LASTINI</v>
      </c>
      <c r="G1641" s="21"/>
    </row>
    <row r="1642" spans="2:7">
      <c r="B1642" s="22" t="s">
        <v>1455</v>
      </c>
      <c r="C1642" s="23" t="s">
        <v>1456</v>
      </c>
      <c r="D1642" s="24" t="s">
        <v>1687</v>
      </c>
      <c r="E1642" s="25" t="e">
        <v>#N/A</v>
      </c>
      <c r="F1642" s="16" t="str">
        <f>_xlfn.XLOOKUP(D1642,[10]ALL!$C:$C,[10]ALL!$N:$N,"Tidak Ditemukan")</f>
        <v>NI WAYAN ELSA SEPTIANA INDRIANI</v>
      </c>
      <c r="G1642" s="21"/>
    </row>
    <row r="1643" spans="2:7">
      <c r="B1643" s="22" t="s">
        <v>1455</v>
      </c>
      <c r="C1643" s="23" t="s">
        <v>1456</v>
      </c>
      <c r="D1643" s="24" t="s">
        <v>1688</v>
      </c>
      <c r="E1643" s="25" t="s">
        <v>1745</v>
      </c>
      <c r="F1643" s="16" t="str">
        <f>_xlfn.XLOOKUP(D1643,[10]ALL!$C:$C,[10]ALL!$N:$N,"Tidak Ditemukan")</f>
        <v>I GEDE BAGUS ADI SURYAWAN , ST</v>
      </c>
      <c r="G1643" s="21"/>
    </row>
    <row r="1644" spans="2:7">
      <c r="B1644" s="22" t="s">
        <v>1455</v>
      </c>
      <c r="C1644" s="23" t="s">
        <v>1456</v>
      </c>
      <c r="D1644" s="24" t="s">
        <v>1689</v>
      </c>
      <c r="E1644" s="25" t="s">
        <v>1722</v>
      </c>
      <c r="F1644" s="16" t="str">
        <f>_xlfn.XLOOKUP(D1644,[10]ALL!$C:$C,[10]ALL!$N:$N,"Tidak Ditemukan")</f>
        <v>DWIKY REZA ARDANI WINAHARA</v>
      </c>
      <c r="G1644" s="21"/>
    </row>
    <row r="1645" spans="2:7">
      <c r="B1645" s="22" t="s">
        <v>1455</v>
      </c>
      <c r="C1645" s="23" t="s">
        <v>1456</v>
      </c>
      <c r="D1645" s="24" t="s">
        <v>1690</v>
      </c>
      <c r="E1645" s="25" t="s">
        <v>1722</v>
      </c>
      <c r="F1645" s="16" t="str">
        <f>_xlfn.XLOOKUP(D1645,[10]ALL!$C:$C,[10]ALL!$N:$N,"Tidak Ditemukan")</f>
        <v>NI WAYAN ELSA SEPTIANA INDRIANI</v>
      </c>
      <c r="G1645" s="21"/>
    </row>
    <row r="1646" spans="2:7">
      <c r="B1646" s="22" t="s">
        <v>1455</v>
      </c>
      <c r="C1646" s="23" t="s">
        <v>1456</v>
      </c>
      <c r="D1646" s="24" t="s">
        <v>1691</v>
      </c>
      <c r="E1646" s="25" t="s">
        <v>1722</v>
      </c>
      <c r="F1646" s="16" t="str">
        <f>_xlfn.XLOOKUP(D1646,[10]ALL!$C:$C,[10]ALL!$N:$N,"Tidak Ditemukan")</f>
        <v>AGUS PRADNYANA</v>
      </c>
      <c r="G1646" s="21"/>
    </row>
    <row r="1647" spans="2:7">
      <c r="B1647" s="22" t="s">
        <v>1455</v>
      </c>
      <c r="C1647" s="23" t="s">
        <v>1456</v>
      </c>
      <c r="D1647" s="24" t="s">
        <v>1692</v>
      </c>
      <c r="E1647" s="25" t="s">
        <v>1722</v>
      </c>
      <c r="F1647" s="16" t="str">
        <f>_xlfn.XLOOKUP(D1647,[10]ALL!$C:$C,[10]ALL!$N:$N,"Tidak Ditemukan")</f>
        <v>NI WAYAN ELSA SEPTIANA INDRIANI</v>
      </c>
      <c r="G1647" s="21"/>
    </row>
    <row r="1648" spans="2:7">
      <c r="B1648" s="22" t="s">
        <v>1455</v>
      </c>
      <c r="C1648" s="23" t="s">
        <v>1456</v>
      </c>
      <c r="D1648" s="24" t="s">
        <v>1693</v>
      </c>
      <c r="E1648" s="25" t="s">
        <v>1722</v>
      </c>
      <c r="F1648" s="16" t="str">
        <f>_xlfn.XLOOKUP(D1648,[10]ALL!$C:$C,[10]ALL!$N:$N,"Tidak Ditemukan")</f>
        <v>NI WAYAN ELSA SEPTIANA INDRIANI</v>
      </c>
      <c r="G1648" s="21"/>
    </row>
    <row r="1649" spans="2:7">
      <c r="B1649" s="22" t="s">
        <v>1455</v>
      </c>
      <c r="C1649" s="23" t="s">
        <v>1456</v>
      </c>
      <c r="D1649" s="24" t="s">
        <v>1694</v>
      </c>
      <c r="E1649" s="25" t="s">
        <v>1722</v>
      </c>
      <c r="F1649" s="16" t="str">
        <f>_xlfn.XLOOKUP(D1649,[10]ALL!$C:$C,[10]ALL!$N:$N,"Tidak Ditemukan")</f>
        <v>NI WAYAN ELSA SEPTIANA INDRIANI</v>
      </c>
      <c r="G1649" s="21"/>
    </row>
    <row r="1650" spans="2:7">
      <c r="B1650" s="22" t="s">
        <v>1455</v>
      </c>
      <c r="C1650" s="23" t="s">
        <v>1456</v>
      </c>
      <c r="D1650" s="24" t="s">
        <v>1695</v>
      </c>
      <c r="E1650" s="25" t="s">
        <v>1722</v>
      </c>
      <c r="F1650" s="16" t="str">
        <f>_xlfn.XLOOKUP(D1650,[10]ALL!$C:$C,[10]ALL!$N:$N,"Tidak Ditemukan")</f>
        <v>AGUS PRADNYANA</v>
      </c>
      <c r="G1650" s="21"/>
    </row>
    <row r="1651" spans="2:7">
      <c r="B1651" s="22" t="s">
        <v>1455</v>
      </c>
      <c r="C1651" s="23" t="s">
        <v>1456</v>
      </c>
      <c r="D1651" s="24" t="s">
        <v>1696</v>
      </c>
      <c r="E1651" s="25" t="s">
        <v>1722</v>
      </c>
      <c r="F1651" s="16" t="str">
        <f>_xlfn.XLOOKUP(D1651,[10]ALL!$C:$C,[10]ALL!$N:$N,"Tidak Ditemukan")</f>
        <v>DWIKY REZA ARDANI WINAHARA</v>
      </c>
      <c r="G1651" s="21"/>
    </row>
    <row r="1652" spans="2:7">
      <c r="B1652" s="22" t="s">
        <v>1455</v>
      </c>
      <c r="C1652" s="23" t="s">
        <v>1456</v>
      </c>
      <c r="D1652" s="24" t="s">
        <v>1697</v>
      </c>
      <c r="E1652" s="25" t="s">
        <v>1722</v>
      </c>
      <c r="F1652" s="16" t="str">
        <f>_xlfn.XLOOKUP(D1652,[10]ALL!$C:$C,[10]ALL!$N:$N,"Tidak Ditemukan")</f>
        <v>DWIKY REZA ARDANI WINAHARA</v>
      </c>
      <c r="G1652" s="21"/>
    </row>
    <row r="1653" spans="2:7">
      <c r="B1653" s="22" t="s">
        <v>1455</v>
      </c>
      <c r="C1653" s="23" t="s">
        <v>1456</v>
      </c>
      <c r="D1653" s="24" t="s">
        <v>1698</v>
      </c>
      <c r="E1653" s="25" t="s">
        <v>1722</v>
      </c>
      <c r="F1653" s="16" t="str">
        <f>_xlfn.XLOOKUP(D1653,[10]ALL!$C:$C,[10]ALL!$N:$N,"Tidak Ditemukan")</f>
        <v>NI WAYAN ELSA SEPTIANA INDRIANI</v>
      </c>
      <c r="G1653" s="21"/>
    </row>
    <row r="1654" spans="2:7">
      <c r="B1654" s="22" t="s">
        <v>1455</v>
      </c>
      <c r="C1654" s="23" t="s">
        <v>1456</v>
      </c>
      <c r="D1654" s="24" t="s">
        <v>1699</v>
      </c>
      <c r="E1654" s="25" t="s">
        <v>1722</v>
      </c>
      <c r="F1654" s="16" t="str">
        <f>_xlfn.XLOOKUP(D1654,[10]ALL!$C:$C,[10]ALL!$N:$N,"Tidak Ditemukan")</f>
        <v>Ari Ardiansyah</v>
      </c>
      <c r="G1654" s="21"/>
    </row>
    <row r="1655" spans="2:7">
      <c r="B1655" s="22" t="s">
        <v>1455</v>
      </c>
      <c r="C1655" s="23" t="s">
        <v>1456</v>
      </c>
      <c r="D1655" s="24" t="s">
        <v>1700</v>
      </c>
      <c r="E1655" s="25" t="s">
        <v>1722</v>
      </c>
      <c r="F1655" s="16" t="str">
        <f>_xlfn.XLOOKUP(D1655,[10]ALL!$C:$C,[10]ALL!$N:$N,"Tidak Ditemukan")</f>
        <v>Suhardi</v>
      </c>
      <c r="G1655" s="21"/>
    </row>
    <row r="1656" spans="2:7">
      <c r="B1656" s="22" t="s">
        <v>1455</v>
      </c>
      <c r="C1656" s="23" t="s">
        <v>1456</v>
      </c>
      <c r="D1656" s="24" t="s">
        <v>1701</v>
      </c>
      <c r="E1656" s="25" t="s">
        <v>1722</v>
      </c>
      <c r="F1656" s="16" t="str">
        <f>_xlfn.XLOOKUP(D1656,[10]ALL!$C:$C,[10]ALL!$N:$N,"Tidak Ditemukan")</f>
        <v>ADE HARYANTO</v>
      </c>
      <c r="G1656" s="21"/>
    </row>
    <row r="1657" spans="2:7">
      <c r="B1657" s="22" t="s">
        <v>1455</v>
      </c>
      <c r="C1657" s="23" t="s">
        <v>1456</v>
      </c>
      <c r="D1657" s="24" t="s">
        <v>1702</v>
      </c>
      <c r="E1657" s="25" t="s">
        <v>1722</v>
      </c>
      <c r="F1657" s="16" t="str">
        <f>_xlfn.XLOOKUP(D1657,[10]ALL!$C:$C,[10]ALL!$N:$N,"Tidak Ditemukan")</f>
        <v>NOFITA</v>
      </c>
      <c r="G1657" s="21"/>
    </row>
    <row r="1658" spans="2:7">
      <c r="B1658" s="22" t="s">
        <v>1455</v>
      </c>
      <c r="C1658" s="23" t="s">
        <v>1456</v>
      </c>
      <c r="D1658" s="24" t="s">
        <v>1703</v>
      </c>
      <c r="E1658" s="25" t="s">
        <v>1722</v>
      </c>
      <c r="F1658" s="16" t="str">
        <f>_xlfn.XLOOKUP(D1658,[10]ALL!$C:$C,[10]ALL!$N:$N,"Tidak Ditemukan")</f>
        <v>PANJI PRATAMA</v>
      </c>
      <c r="G1658" s="21"/>
    </row>
    <row r="1659" spans="2:7">
      <c r="B1659" s="22" t="s">
        <v>1455</v>
      </c>
      <c r="C1659" s="23" t="s">
        <v>1456</v>
      </c>
      <c r="D1659" s="24" t="s">
        <v>1704</v>
      </c>
      <c r="E1659" s="25" t="s">
        <v>1722</v>
      </c>
      <c r="F1659" s="16" t="str">
        <f>_xlfn.XLOOKUP(D1659,[10]ALL!$C:$C,[10]ALL!$N:$N,"Tidak Ditemukan")</f>
        <v>PANJI PRATAMA</v>
      </c>
      <c r="G1659" s="21"/>
    </row>
    <row r="1660" spans="2:7">
      <c r="B1660" s="22" t="s">
        <v>1455</v>
      </c>
      <c r="C1660" s="23" t="s">
        <v>1456</v>
      </c>
      <c r="D1660" s="24" t="s">
        <v>1705</v>
      </c>
      <c r="E1660" s="25" t="s">
        <v>1722</v>
      </c>
      <c r="F1660" s="16" t="str">
        <f>_xlfn.XLOOKUP(D1660,[10]ALL!$C:$C,[10]ALL!$N:$N,"Tidak Ditemukan")</f>
        <v>Panji Pratama</v>
      </c>
      <c r="G1660" s="21"/>
    </row>
    <row r="1661" spans="2:7">
      <c r="B1661" s="22" t="s">
        <v>1455</v>
      </c>
      <c r="C1661" s="23" t="s">
        <v>1456</v>
      </c>
      <c r="D1661" s="24" t="s">
        <v>1706</v>
      </c>
      <c r="E1661" s="25" t="s">
        <v>1722</v>
      </c>
      <c r="F1661" s="16" t="str">
        <f>_xlfn.XLOOKUP(D1661,[10]ALL!$C:$C,[10]ALL!$N:$N,"Tidak Ditemukan")</f>
        <v>Suhardi</v>
      </c>
      <c r="G1661" s="21"/>
    </row>
    <row r="1662" spans="2:7">
      <c r="B1662" s="22" t="s">
        <v>1455</v>
      </c>
      <c r="C1662" s="23" t="s">
        <v>1456</v>
      </c>
      <c r="D1662" s="24" t="s">
        <v>1707</v>
      </c>
      <c r="E1662" s="25" t="s">
        <v>1722</v>
      </c>
      <c r="F1662" s="16" t="str">
        <f>_xlfn.XLOOKUP(D1662,[10]ALL!$C:$C,[10]ALL!$N:$N,"Tidak Ditemukan")</f>
        <v>FAHRURRAZI</v>
      </c>
      <c r="G1662" s="21"/>
    </row>
    <row r="1663" spans="2:7">
      <c r="B1663" s="22" t="s">
        <v>1455</v>
      </c>
      <c r="C1663" s="23" t="s">
        <v>1456</v>
      </c>
      <c r="D1663" s="24" t="s">
        <v>1708</v>
      </c>
      <c r="E1663" s="25" t="s">
        <v>1722</v>
      </c>
      <c r="F1663" s="16" t="str">
        <f>_xlfn.XLOOKUP(D1663,[10]ALL!$C:$C,[10]ALL!$N:$N,"Tidak Ditemukan")</f>
        <v>AGUSTINUS DICKY PURWONO</v>
      </c>
      <c r="G1663" s="21"/>
    </row>
    <row r="1664" spans="2:7">
      <c r="B1664" s="22" t="s">
        <v>1455</v>
      </c>
      <c r="C1664" s="23" t="s">
        <v>1456</v>
      </c>
      <c r="D1664" s="24" t="s">
        <v>1709</v>
      </c>
      <c r="E1664" s="25" t="s">
        <v>1722</v>
      </c>
      <c r="F1664" s="16" t="str">
        <f>_xlfn.XLOOKUP(D1664,[10]ALL!$C:$C,[10]ALL!$N:$N,"Tidak Ditemukan")</f>
        <v>AGUS KADE DIVA RAMANA</v>
      </c>
      <c r="G1664" s="21"/>
    </row>
    <row r="1665" spans="2:7">
      <c r="B1665" s="22" t="s">
        <v>1455</v>
      </c>
      <c r="C1665" s="23" t="s">
        <v>1456</v>
      </c>
      <c r="D1665" s="24" t="s">
        <v>1710</v>
      </c>
      <c r="E1665" s="25" t="s">
        <v>1722</v>
      </c>
      <c r="F1665" s="16" t="str">
        <f>_xlfn.XLOOKUP(D1665,[10]ALL!$C:$C,[10]ALL!$N:$N,"Tidak Ditemukan")</f>
        <v>I Kadek Sandiyasa</v>
      </c>
      <c r="G1665" s="21"/>
    </row>
    <row r="1666" spans="2:7">
      <c r="B1666" s="22" t="s">
        <v>1455</v>
      </c>
      <c r="C1666" s="23" t="s">
        <v>1456</v>
      </c>
      <c r="D1666" s="24" t="s">
        <v>1711</v>
      </c>
      <c r="E1666" s="25" t="s">
        <v>1722</v>
      </c>
      <c r="F1666" s="16" t="str">
        <f>_xlfn.XLOOKUP(D1666,[10]ALL!$C:$C,[10]ALL!$N:$N,"Tidak Ditemukan")</f>
        <v>Resi Marsila</v>
      </c>
      <c r="G1666" s="21"/>
    </row>
    <row r="1667" spans="2:7">
      <c r="B1667" s="22" t="s">
        <v>1455</v>
      </c>
      <c r="C1667" s="23" t="s">
        <v>1456</v>
      </c>
      <c r="D1667" s="24" t="s">
        <v>1712</v>
      </c>
      <c r="E1667" s="25" t="s">
        <v>1722</v>
      </c>
      <c r="F1667" s="16" t="str">
        <f>_xlfn.XLOOKUP(D1667,[10]ALL!$C:$C,[10]ALL!$N:$N,"Tidak Ditemukan")</f>
        <v>FAHRURRAZI</v>
      </c>
      <c r="G1667" s="21"/>
    </row>
    <row r="1668" spans="2:7">
      <c r="B1668" s="22" t="s">
        <v>1455</v>
      </c>
      <c r="C1668" s="23" t="s">
        <v>1456</v>
      </c>
      <c r="D1668" s="24" t="s">
        <v>1713</v>
      </c>
      <c r="E1668" s="25" t="s">
        <v>1722</v>
      </c>
      <c r="F1668" s="16" t="str">
        <f>_xlfn.XLOOKUP(D1668,[10]ALL!$C:$C,[10]ALL!$N:$N,"Tidak Ditemukan")</f>
        <v>GUSTI NGURAH ARY RAKA DARMAYASA, SE.MM</v>
      </c>
      <c r="G1668" s="21"/>
    </row>
    <row r="1669" spans="2:7">
      <c r="B1669" s="22" t="s">
        <v>1455</v>
      </c>
      <c r="C1669" s="23" t="s">
        <v>1456</v>
      </c>
      <c r="D1669" s="24" t="s">
        <v>1714</v>
      </c>
      <c r="E1669" s="25" t="s">
        <v>1722</v>
      </c>
      <c r="F1669" s="16" t="str">
        <f>_xlfn.XLOOKUP(D1669,[10]ALL!$C:$C,[10]ALL!$N:$N,"Tidak Ditemukan")</f>
        <v>AGUSTINUS DICKY PURWONO</v>
      </c>
      <c r="G1669" s="21"/>
    </row>
    <row r="1670" ht="15.25" spans="2:7">
      <c r="B1670" s="26" t="s">
        <v>1455</v>
      </c>
      <c r="C1670" s="27" t="s">
        <v>1456</v>
      </c>
      <c r="D1670" s="28" t="s">
        <v>1715</v>
      </c>
      <c r="E1670" s="29" t="s">
        <v>1722</v>
      </c>
      <c r="F1670" s="16" t="str">
        <f>_xlfn.XLOOKUP(D1670,[10]ALL!$C:$C,[10]ALL!$N:$N,"Tidak Ditemukan")</f>
        <v>Salvatris Siro</v>
      </c>
      <c r="G1670" s="21"/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2026-08-19T10:07:43Z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EB3D8F31F9B84498A2653155757DA6D9_13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